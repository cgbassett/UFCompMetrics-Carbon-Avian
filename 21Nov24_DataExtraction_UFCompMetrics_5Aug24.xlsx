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Final_Avian Composition article" sheetId="2" r:id="rId5"/>
    <sheet state="visible" name="Final_Carbon Composition articl" sheetId="3" r:id="rId6"/>
    <sheet state="visible" name="removed grey lit" sheetId="4" r:id="rId7"/>
    <sheet state="visible" name="CB_Avian Composition articles" sheetId="5" r:id="rId8"/>
    <sheet state="visible" name="CB_Carbon Composition articles" sheetId="6" r:id="rId9"/>
    <sheet state="visible" name="JL_Avian Composition articles" sheetId="7" r:id="rId10"/>
    <sheet state="visible" name="JL_Carbon Composition articles" sheetId="8" r:id="rId11"/>
    <sheet state="visible" name="CBJLcomparison" sheetId="9" r:id="rId12"/>
    <sheet state="visible" name="UF Comp Metrics List" sheetId="10" r:id="rId13"/>
  </sheets>
  <definedNames/>
  <calcPr/>
</workbook>
</file>

<file path=xl/sharedStrings.xml><?xml version="1.0" encoding="utf-8"?>
<sst xmlns="http://schemas.openxmlformats.org/spreadsheetml/2006/main" count="31054" uniqueCount="4226">
  <si>
    <t>This is the data extraction sheet for the Urban Forest Composition Metrics "deep dive." This is the sheet for Corey and Jess to test the protocol and for interreviewer reliability.</t>
  </si>
  <si>
    <t>Data in Tabs 1 &amp; 2 are extracted from OpenCoding_UFCompMetricsCB, filtered by Forest Metric "Composition"</t>
  </si>
  <si>
    <t>-Corey Bassett, 5Aug24</t>
  </si>
  <si>
    <r>
      <rPr/>
      <t xml:space="preserve">Multiple Select Data Validation script from </t>
    </r>
    <r>
      <rPr>
        <color rgb="FF1155CC"/>
        <u/>
      </rPr>
      <t>https://www.freecodecamp.org/news/google-sheets-multiple-data-validation-selections/</t>
    </r>
  </si>
  <si>
    <t>#</t>
  </si>
  <si>
    <t>Rayyan.ID</t>
  </si>
  <si>
    <t>Article.ID</t>
  </si>
  <si>
    <t>Citation</t>
  </si>
  <si>
    <t>Auth</t>
  </si>
  <si>
    <t>Country.Auth</t>
  </si>
  <si>
    <t>Title</t>
  </si>
  <si>
    <t>Year</t>
  </si>
  <si>
    <t>Journal</t>
  </si>
  <si>
    <t>Pub.Type</t>
  </si>
  <si>
    <t>Email</t>
  </si>
  <si>
    <t>Supp</t>
  </si>
  <si>
    <t>Study.country</t>
  </si>
  <si>
    <t>City</t>
  </si>
  <si>
    <t>Geo.region</t>
  </si>
  <si>
    <t>Hem</t>
  </si>
  <si>
    <t>Lat</t>
  </si>
  <si>
    <t>Long</t>
  </si>
  <si>
    <t>Urb.scale</t>
  </si>
  <si>
    <t>Forest.comp</t>
  </si>
  <si>
    <t>Desc.forest</t>
  </si>
  <si>
    <t>#Species</t>
  </si>
  <si>
    <t>Common.name</t>
  </si>
  <si>
    <t>Latin.name</t>
  </si>
  <si>
    <t>Field.history</t>
  </si>
  <si>
    <t>Desc.field</t>
  </si>
  <si>
    <t>Start.year</t>
  </si>
  <si>
    <t>End.year</t>
  </si>
  <si>
    <t>Month.start</t>
  </si>
  <si>
    <t>Month.end</t>
  </si>
  <si>
    <t>Intervalled</t>
  </si>
  <si>
    <t>Comparator</t>
  </si>
  <si>
    <t>Scale.meas</t>
  </si>
  <si>
    <t>Bird.domainraw</t>
  </si>
  <si>
    <t>Bird.category</t>
  </si>
  <si>
    <t>Category.multi</t>
  </si>
  <si>
    <t>Result</t>
  </si>
  <si>
    <t>Rec.</t>
  </si>
  <si>
    <t>Rec.type</t>
  </si>
  <si>
    <t>Rec</t>
  </si>
  <si>
    <t>Comments</t>
  </si>
  <si>
    <t>Reviewer.intial</t>
  </si>
  <si>
    <t>Metrics</t>
  </si>
  <si>
    <t>Initials</t>
  </si>
  <si>
    <t>Notes</t>
  </si>
  <si>
    <t>A5</t>
  </si>
  <si>
    <t>Antonov &amp; Atanasova (2002)</t>
  </si>
  <si>
    <t>Anton Antonov, Dimitrinka Atanasova</t>
  </si>
  <si>
    <t>Bulgaria</t>
  </si>
  <si>
    <t>Nest-site selection in the Magpie Pica pica in a high-density urban population of Sofia (Bulgaria)</t>
  </si>
  <si>
    <t>Acta Ornithologica</t>
  </si>
  <si>
    <t>Peer-Reviewed Journal</t>
  </si>
  <si>
    <t>tonyant_bg@yahoo.com</t>
  </si>
  <si>
    <t>NA</t>
  </si>
  <si>
    <t>Sofia</t>
  </si>
  <si>
    <t>Southern part of Sofia</t>
  </si>
  <si>
    <t>North</t>
  </si>
  <si>
    <t>42 40' 00"</t>
  </si>
  <si>
    <t>23 20' 00"</t>
  </si>
  <si>
    <t>Multi-patch</t>
  </si>
  <si>
    <t>Composition</t>
  </si>
  <si>
    <t>All trees in nest sites were identified to species and tree height was measured. Trees/bushes were abundant at sites and were diverse. Open lawn patches were avaliable.</t>
  </si>
  <si>
    <t>One</t>
  </si>
  <si>
    <t>Common magpie</t>
  </si>
  <si>
    <t>Pica pica</t>
  </si>
  <si>
    <t>Y</t>
  </si>
  <si>
    <t>Field sites in the southern part of the city, what is known as the "Student town". Very high population density. People present in most sites.</t>
  </si>
  <si>
    <t>February</t>
  </si>
  <si>
    <t>July</t>
  </si>
  <si>
    <t>Yes (years)</t>
  </si>
  <si>
    <t>N</t>
  </si>
  <si>
    <t>Population</t>
  </si>
  <si>
    <t>Breeding</t>
  </si>
  <si>
    <t>Nesting survival</t>
  </si>
  <si>
    <t>Breeding density of magpies ay a site is best predicted by tree diversity, and not limited by tree height. Taller trees and coniferous trees were preferred, but nest success did not differ between conifers or broadleaved trees. At the field sites, magpies used 69% of the tree species avaliable at the sites and had a preference for half of these.</t>
  </si>
  <si>
    <t>No</t>
  </si>
  <si>
    <t>No recommendations</t>
  </si>
  <si>
    <t>CC</t>
  </si>
  <si>
    <t>perch/nest height, tree species composition, total height, plant functional types</t>
  </si>
  <si>
    <t>JL &amp; CB</t>
  </si>
  <si>
    <t>A9</t>
  </si>
  <si>
    <t>Hirayama et al. (2016)</t>
  </si>
  <si>
    <t>Hirayama K, Yamada S, Machida H, Yoshikawa T.</t>
  </si>
  <si>
    <t>Japan</t>
  </si>
  <si>
    <t>How do changes in forest stand development affect frugivorous bird abundance and fruit removal in warm-temperate forests of western Japan?</t>
  </si>
  <si>
    <t>Plant Ecology</t>
  </si>
  <si>
    <t>khirayam@gmail.com</t>
  </si>
  <si>
    <t>Kyoto</t>
  </si>
  <si>
    <t>Urban forested area of Kyoto City, which stretched around Kyoto Basin</t>
  </si>
  <si>
    <t>Northern</t>
  </si>
  <si>
    <t>31 1' 00"</t>
  </si>
  <si>
    <t>135 4' 00"</t>
  </si>
  <si>
    <t>Patch</t>
  </si>
  <si>
    <t>Forested area, Individual tree management, Composition</t>
  </si>
  <si>
    <t>Selected three forest stands to establish the study plots: (1) a secondary deciduous broad-leaved forest stand (DB site), (2) an evergreen broad-leaved forest stand where C. cuspidata became dominant after the 1980s (EB-I site), and (3) a welldeveloped evergreen broad-leaved forest stand that has been dominated by C. cuspidata since the 1930s (EB-II site, consisting of two subplots; details described below) (Fig. 1).</t>
  </si>
  <si>
    <t>Many</t>
  </si>
  <si>
    <t>More than 10</t>
  </si>
  <si>
    <t>The forest soils in this area were Inceptisols (Soil Survey Staff 2010), which were largely derived from Mesozoic sedimentary rocks and partially from upper Cretaceous igneous rocks (Geological Survey of Japan, AIST 2015).</t>
  </si>
  <si>
    <t>September</t>
  </si>
  <si>
    <t>April</t>
  </si>
  <si>
    <t>Community</t>
  </si>
  <si>
    <t>Biodiversity</t>
  </si>
  <si>
    <t>Biodiversity metric, Abundance</t>
  </si>
  <si>
    <t>≥ Two topics</t>
  </si>
  <si>
    <t>Our results showed that the total abundance of frugivorous birds, but not the number of species or Shannon diversity index, differed significantly among the stands. Our results suggested that increasing structural complexity during forest stand development had positive effects on the abundance of frugivorous birds throughout the season. Differences in bird abundance between the DB and EB-I sites was therefore mainly related to differences in stand structure. Accordingly, increased structural complexity during forest stand development appears a more important determinant of frugivorous bird abundance than fruit availability.</t>
  </si>
  <si>
    <t>KHT</t>
  </si>
  <si>
    <t>age, vertical layer assessment, stem density, tree species composition, total height, fruit metrics, diameter, plant functional types</t>
  </si>
  <si>
    <t>A11</t>
  </si>
  <si>
    <t>Rega-Brodsky &amp; Nilon (2016)</t>
  </si>
  <si>
    <t>Rega-Brodsky, C., Nilon, C.</t>
  </si>
  <si>
    <t>USA</t>
  </si>
  <si>
    <t>Vacant lots as a habitat resource: nesting success and body condition of songbirds.</t>
  </si>
  <si>
    <t>Ecosphere</t>
  </si>
  <si>
    <t>cbrodsky@pittstate.edu</t>
  </si>
  <si>
    <t>Baltimore</t>
  </si>
  <si>
    <t>Vacant lots in the city of Baltimore</t>
  </si>
  <si>
    <t>Looked at various vegetation measurements in vacant lots including: canopy cover (%), canopy height (m), shrub cover (shrub density), ground cover (%) and composition, and tree species rich-ness, count, and diameter-at-breast-height. Also looked at lanscape-level vegetation characteristics.</t>
  </si>
  <si>
    <t>American robin, Gray catbird, Northern cardinal</t>
  </si>
  <si>
    <t>Turdus migratorius, Dumetella carolinensis, Cardinalis cardinalis</t>
  </si>
  <si>
    <t>Baltimore declined 34% in population since 1950, which increased the amount of vacant lots in the city.</t>
  </si>
  <si>
    <t>Community, Individual</t>
  </si>
  <si>
    <t>Breeding, Survival</t>
  </si>
  <si>
    <t>Individual survival/mortality, Nesting survival</t>
  </si>
  <si>
    <t>Overall nest success increased with increased shrub density. No strong correlation between body condition index and and any landscape scale or vacant-lot site variables.</t>
  </si>
  <si>
    <t>Yes</t>
  </si>
  <si>
    <t>Management</t>
  </si>
  <si>
    <t>"Identifying nesting and body condition pat-terns of birds throughout the city provides habitat managers additional information for conserving urban avian populations, through vacant lot modifications. Because vacant lots are found throughout the city and vary so greatly in their vegetation composition and structure, those lacking shrub or tree cover could easily be targeted for improvement."</t>
  </si>
  <si>
    <t>total height, tree species composition, shrub layer, diameter, ground layer, tree layer, overall canopy cover, perch/nest height, stem density</t>
  </si>
  <si>
    <t>A12</t>
  </si>
  <si>
    <t>Ausprey &amp; Rodewald (2013)</t>
  </si>
  <si>
    <t>Ausprey IJ., Rodewald AD</t>
  </si>
  <si>
    <t>Post-Fledgling dispersal timing and natal range size of two songbird species in an urbanizing landscape.</t>
  </si>
  <si>
    <t>The Condor</t>
  </si>
  <si>
    <t>iausprey@yahoo.com</t>
  </si>
  <si>
    <t>Ohio</t>
  </si>
  <si>
    <t>Rural-urban landscape gradient in central ohio (Franklin and Delaware counties)</t>
  </si>
  <si>
    <t>Composition, Forested area, Exotic/invasive species</t>
  </si>
  <si>
    <t>Average percent cover of honey-suckle, tree density, sapling density, density of breeding territories of the cardinal witin the natal fragement of forest (density), distance of fledgling from the fragement edge, index of urbanization.
Common trees included: Sycamore, boxelder, sugar maple, black walnut, american hackberry, ash, amur honeysuckle, common spicebush, tall pawpaw and ohio buckeye</t>
  </si>
  <si>
    <t>Northern Cardinals, Acadian Flycatchers</t>
  </si>
  <si>
    <t>Cardinalis carinalis, Empidonax virescens</t>
  </si>
  <si>
    <t>May</t>
  </si>
  <si>
    <t>Behaviour, Survival</t>
  </si>
  <si>
    <t>Micro breeding, Foraging/Movement, Nesting survival</t>
  </si>
  <si>
    <t>≥ Three topics</t>
  </si>
  <si>
    <t xml:space="preserve">Habitat attributes had the strongest influence on fledglings' movements, through social context also explained movements of cardinals. Fledgling movement was inversely related to preferred habitat attributes:
Cardinal- moved less from nest sites that were surrounded by extensive honeysuckle cover or, located in heavily urbanized landscapes.Caridnal density increased with urbanization, likely a response to anthropogenic food sources.
Flycatchers: expanded their natal ranges as honeysuckle increased. Percevied habitat quality as a function of food availability.
As size of breeding territories, tje size of natal ranges may be a function of habitat attributes and is apparently inversely related to the perceived quality of the habitat according to species-specific habitat preferences. Therefore, invasive species, like Amur honeysuckle in our system, have potential to affect the movement ecology of young birds. </t>
  </si>
  <si>
    <t>So relevant but no management outcomes :'(</t>
  </si>
  <si>
    <t>stem density, shrub layer, shrub species composition, diameter</t>
  </si>
  <si>
    <t>A21</t>
  </si>
  <si>
    <t>Fennessy and Kelly (2006)</t>
  </si>
  <si>
    <t>Fennessy GJ, Kelly TC.</t>
  </si>
  <si>
    <t>Ireland</t>
  </si>
  <si>
    <t>Breeding densities of Robin Erithacus rubecula in different habitats: the importance of hedgerow structure.</t>
  </si>
  <si>
    <t>Bird Study</t>
  </si>
  <si>
    <t>Peer-reviewed Journal</t>
  </si>
  <si>
    <t>g.fennessy@ucc.ie</t>
  </si>
  <si>
    <t>Cork and Limerick</t>
  </si>
  <si>
    <t>Sites were selected within a narrow geographical, altitudinal (20–150 m above sea-level) and geological (predominantly Old Red Sandstone and Shale) range.</t>
  </si>
  <si>
    <t>Composition, Land use type</t>
  </si>
  <si>
    <t>Five prominent habitat typesa within the survey areas were chosen as follows: non-improved and semi-improved grassland (referred to as ‘semi-improved grassland’); improved grassland; arable land; coniferous woodland; and mature suburban gardens (referred to as ‘gardens’).</t>
  </si>
  <si>
    <t>Robin</t>
  </si>
  <si>
    <t>Erithacus rubecula</t>
  </si>
  <si>
    <t>Demographics/Patterns</t>
  </si>
  <si>
    <t>Abundance</t>
  </si>
  <si>
    <t>The highest Robin population densities were encountered in semi-improved grassland sites and the lowest values recorded were in gardens. Garden sites were shown to have relatively low numbers of Robins. Detection may have been lower at the suburban sites, but Robin densities could also have been relatively low due to a higher predation risk. Our results are also in agreement with Green et al. (1994), who showed that Robin density per hectare was positively related to the numbers of trees in the hedgerow and also to the average tree height. . It is likely that if basal vegetation becomes overgrown, at some critical point it will impede detection of prey by Robins, even if there are many available perches. The quantity of available hedgerow appears to be an important factor in determining the abundance of Robins.</t>
  </si>
  <si>
    <t xml:space="preserve">ground layer, total height, tree layer, shrub layer, stem density, </t>
  </si>
  <si>
    <t>A25</t>
  </si>
  <si>
    <t>Innangi et al. (2019)</t>
  </si>
  <si>
    <t>Innangi M, Balestrieri R, Danise T, d’Alessandro F, Fioretto A.</t>
  </si>
  <si>
    <t>Italy</t>
  </si>
  <si>
    <t>From soil to bird community: A Partial Least Squares approach to investigate a natural wooded area surrounded by urban patchwork (Astroni crater, southern Italy).</t>
  </si>
  <si>
    <t>Ecological Modelling</t>
  </si>
  <si>
    <t>michele.innangi@unina.it</t>
  </si>
  <si>
    <t>Naples</t>
  </si>
  <si>
    <t>Astroni Crater World Wildlife Fund (WWF) Reserve, in the volcanic area of Campi Flegrei in the urban area Naples, Italy</t>
  </si>
  <si>
    <t>Diversity metric, Composition</t>
  </si>
  <si>
    <t>A total of 464 and 454 living trees were measured, in the Holm Oak Wood and in the Mixed Wood, respectively. The results of the tree diversity survey confirmed that in the Holm Oak Wood, holm oak was 70% of all trees, followed by ash, tree heath, and black locust. Mixed Wood showed a greater species diversity with a codominance of hornbeam (Carpinus betulus) and ash, along with other species such as Acer campestre L., Ostrya carpinifolia, Quercus petraea, Q. robur, Robinia pseudoacacia and Q.</t>
  </si>
  <si>
    <t>June</t>
  </si>
  <si>
    <t>Biodiversity metric, Species distribution</t>
  </si>
  <si>
    <t>In the two ecosystems, a grand total of 18 species of nesting birds were ascertained. In terms of species diversity, the ecosystems were comparable both in terms of dominance (D = 0.10) and Shannon-Wiener diversity index (H’= 2.33), while evenness was slightly higher in the Mixed Wood compared to the Holm Oak Wood (0.68vs.0.64, respectively). different guilds of species are correlated with forest and soil variables in a peculiar way. Although in the lower-left quadrant of the 2B-PLS only Holm Oak Wood locations were distributed, in the upper-right quadrant Mixed Woodand Holm Oak Wood were both present. This indicates that our 2B-PLS does not simply indicate different bird community as related to forest type, but clearly put forward the importance of soil-related variables.</t>
  </si>
  <si>
    <t>The approach showed interesting outputs and could be important in linking forest ecological compartments whose connections in terms of matter and energy flows are not immediately detectable. This could open new perspectives and potentiality in land use management, both in terms of C stock and biodiversity evaluations.</t>
  </si>
  <si>
    <t>RK</t>
  </si>
  <si>
    <t>standing dead trees, stem density, total height, diameter, leaf litter layer, plant functional types, tree species composition</t>
  </si>
  <si>
    <t>A27</t>
  </si>
  <si>
    <t>Rodewald et al. (2005)</t>
  </si>
  <si>
    <t>Rodewald PG, Matthews SN.</t>
  </si>
  <si>
    <t>Landbird use of riparian and upland forest stopover habitats in an urban landscape</t>
  </si>
  <si>
    <t>rodewald.2@osu.edu</t>
  </si>
  <si>
    <t>Columbus</t>
  </si>
  <si>
    <t>Study sites were located within the Columbus metropolitan area and included portions of Delaware, Pickaway, and Franklin Counties, Ohio.</t>
  </si>
  <si>
    <t>Region</t>
  </si>
  <si>
    <t>Composition, Land use type, Canopy Cover</t>
  </si>
  <si>
    <t>Study sites: 12 in mature riparian forests and 12 in mature upland forests. To facilitate comparisons, upland and riparian habitats were paired forest edge sites located 1– 5 km apart and comparable in size and shape (at least 300 m × 80 m). Forests were each 80–100 years old and 16–26 m tall. Forest canopies were largely continuous, with occasional tree-fall gaps. Riparian sites each bordered a waterway that was 20–30 m wide. Understory shrubs and saplings were patchily distributed in both forest types with somewhat denser understory vegetation associated with forest edges.</t>
  </si>
  <si>
    <t>Abundance, Community changes, Species distribution</t>
  </si>
  <si>
    <t>Our research on transient landbird communities within urban midwestern landscapes suggested that mature upland forests were more heavily used by migrating landbirds than riparian forests. In upland forests, stopover abundance was 86% higher for Neotropical transients and 118% higher for temperate transients than in riparian forests. These overall differences were driven by strong patterns of occurrence for individual species, with 20 of 27 species occurring significantly more frequently in mature upland forests where these species do not remain to breed (unpubl. data). The magnitudes of these differences were surprising with 16 of 20 species being at least twice as abundant within upland sites. Indeed, species such as Blue-headed Vireo, Palm Warbler (Dendroica palmarum), Tennessee Warbler (Vermivora peregrina), and Ovenbird (Seiurus aurocapillus) were 4.6 to 12.9 times more abundant in upland forests. Two exceptions to this pattern were Northern Parula and Baltimore Oriole. These species often are associated with riparian forests during the breeding season (Moldenhauer and Regelski 1996, Rising and Flood 1998), but only occurred in limited numbers on our riparian sites during summer months (A. D. Rodewald, unpubl. data). As a result, it seems likely that the majority of individuals recorded in riparian forests were transients, suggesting that these two species exhibited some en route selectivity for riparian forests.Structural differences between habitats may influence the stopover decisions of migrants. In our study, abundance of temperate transients was positively associated with sites that had greater horizontal heterogeneity (i.e., lower percent canopy cover) and were more vertically stratified (denser shrub layer). Neotropical transients were positively associated with mean canopy height, indicating that the taller sites generally contained larger numbers of migrants; such sites usually have more trees &gt;38 cm DBH, but this variable was not selected in the analysis.</t>
  </si>
  <si>
    <t>Conservation, Management</t>
  </si>
  <si>
    <t>Findings suggest that creating or maintaining heterogeneous edge habitats within small urban forests may have conservation value for migrating landbirds.Results are relevant to the conservation and management of forest sites located within fragmented Midwestern landscapes and point to the importance of directing conservation attention toward both upland and riparian forest habitats. Although woodlots in the Midwest may not have high conservation value for breeding forest interior birds, they may represent valuable stopover habitats for the same species during migratory periods. Such information can inform land-management decisions relevant to migratory landbirds and ultimately could improve the quality of such forest sites for stopover migrants. Ultimately, if we can understand factors that affect suitability of stopover habitat within highly fragmented landscapes, we may be able to reduce negative impacts of anthropogenic change on migratory birds.</t>
  </si>
  <si>
    <t>tree layer, shrub layer, tree species composition, diameter, total height</t>
  </si>
  <si>
    <t>JL</t>
  </si>
  <si>
    <t xml:space="preserve">Canopy cover &gt; 2 m = tree layer (not overall canopy cover)
</t>
  </si>
  <si>
    <t>A28</t>
  </si>
  <si>
    <t>Jackson et al. (2013)</t>
  </si>
  <si>
    <t>Jackson AK, Froneberger JP, Cristol DA</t>
  </si>
  <si>
    <t>Habitat near nest boxes correlated with fate of Eastern Bluebird fledglings in an urban landscape</t>
  </si>
  <si>
    <t>Urban Ecosystems</t>
  </si>
  <si>
    <t>Williamsburg</t>
  </si>
  <si>
    <t>Williamsburg, Virginia</t>
  </si>
  <si>
    <t>Canopy Cover, Composition</t>
  </si>
  <si>
    <t>Field habitat sampling within a 30-m radius of nest boxes, sampling five vegetation structure variables around each nest: (1) canopy cover, (2) shrub cover, (3) distance to nearest tree, (4) diameter at breast height (DBH) of nearest tree, and (5) height of lowest perch on nearest tree.</t>
  </si>
  <si>
    <t>Eastern bluebird</t>
  </si>
  <si>
    <t>Sialia sialis</t>
  </si>
  <si>
    <t>March</t>
  </si>
  <si>
    <t>Individual</t>
  </si>
  <si>
    <t>Micro breeding</t>
  </si>
  <si>
    <t>Habitat structure differed between nest boxes giving rise to fledglings that survived for at least 20 days and those producing fledglings that were killed by hawks within 10 days of fledging. Surviving fledglings tended to come from nests surrounded by dense forest, little grass, and close trees.</t>
  </si>
  <si>
    <t>The results suggest that while bluebirds often nest in artificial cavities far from trees or in sparse stands of mature trees, these locations are less favorable for survival of young fledglings because they are prone to increased hawk predation. Managers of nest box trails in suburban and urban habitats should take this into account when selecting nest box locations, placing nest boxes near areas of dense forest or close to trees with perches for fledglings.</t>
  </si>
  <si>
    <t>ground layer, tree layer, overall canopy cover, perch/nest height, diameter, shrub layer</t>
  </si>
  <si>
    <t>Overall canopy cover = forest cover (unless that should not be included since it is landcover).</t>
  </si>
  <si>
    <t>A30</t>
  </si>
  <si>
    <t>Robinson et al. (2018)</t>
  </si>
  <si>
    <t>Robinson DH, Mathewson HA, Morrison ML, Wilkins RN.</t>
  </si>
  <si>
    <t>Habitat effects on golden‐cheeked warbler productivity in an urban landscape</t>
  </si>
  <si>
    <t>Wildlife Society Bulletin</t>
  </si>
  <si>
    <t>Diannehd@gmail.com</t>
  </si>
  <si>
    <t>Austin</t>
  </si>
  <si>
    <t>Austin, Texas</t>
  </si>
  <si>
    <t>Composition, Canopy Cover</t>
  </si>
  <si>
    <t>6 criteria to select potential study sites (habitatpatches): habitat patch delineations, proximity to urbanareas, edge:area ratio, habitat patch canopy cover, habitat patch size, and woodland composition of the habitat patch.</t>
  </si>
  <si>
    <t>Golden-cheeked warbler</t>
  </si>
  <si>
    <t>Setophaga chrysoparia</t>
  </si>
  <si>
    <t>Breeding, Demographics/Patterns</t>
  </si>
  <si>
    <t>Species distribution, Meso breeding</t>
  </si>
  <si>
    <t>Warblers occupied 24% (n¼63) of patches surveyed; 10% (n¼63) of habitat patches had &gt;1 established territory. Warblers successfully paired in 4 patches and fledged young in 3 patches. We found an increasing probability ofoccupancy at approximately 65–70% canopy cover, and an added effect of distance to the nearest habitat patch. We found that distance to and size of the nearest habitat patch best predicted territory establishment.Patch size and size of the nearest habitat patch best predicted pairing success.</t>
  </si>
  <si>
    <t>We recommend to manage for oak–juniper woodland patches with &gt;70% canopy cover that are &gt;26 ha in size, in close proximity to other oak–juniper woodland patches with equal or greater canopy cover and patch size when managing for golden-cheeked warblers within an urban matrix.</t>
  </si>
  <si>
    <t>overall canopy cover, tree species composition</t>
  </si>
  <si>
    <t>Density of habitat patches (oak-juniper woodlands) was important</t>
  </si>
  <si>
    <t>A31</t>
  </si>
  <si>
    <t>Narango &amp; 
Rodewald (2018)</t>
  </si>
  <si>
    <t>Narango, D., Rodewald, S.</t>
  </si>
  <si>
    <t>Signal information of 
bird song changes
in human-dominated 
landscapes</t>
  </si>
  <si>
    <t>dnarango@gmail.com</t>
  </si>
  <si>
    <t>In and around Columbus, Ohio</t>
  </si>
  <si>
    <t>Vegetation attributes preferred by cardinals was a measure of territory quality. They described vegetation composition and structure, trees and large woody shrubs were identified and classified in 4 size classes.</t>
  </si>
  <si>
    <t>Northern Cardinal</t>
  </si>
  <si>
    <t>Cardinalis cardinalis</t>
  </si>
  <si>
    <t>Breeding, Behaviour, Resources</t>
  </si>
  <si>
    <t>Nesting survival, Oral communication, Foraging/Movement</t>
  </si>
  <si>
    <t>Males with lowest, shortest songs had the largest body size in rural landscapes, but absent in
urban landscapes. Relationship between temporal component and body size dependent on
surrounding landscape.</t>
  </si>
  <si>
    <t>perch/nest height, stem density, tree layer, diameter, shrub layer</t>
  </si>
  <si>
    <t>If nests were observed, does that immediately count as nest height?</t>
  </si>
  <si>
    <t>A32</t>
  </si>
  <si>
    <t>LaMontagne et al. (2015)</t>
  </si>
  <si>
    <t>LaMontagne JM, Kilgour RJ, Anderson EC, Magle S.</t>
  </si>
  <si>
    <t>Tree cavity availability across forest, park, and residential habitats in a highly urban area</t>
  </si>
  <si>
    <t>jlamont1@depaul.edu</t>
  </si>
  <si>
    <t>Chicago</t>
  </si>
  <si>
    <t>Chicago, Cook County, Illinois</t>
  </si>
  <si>
    <t>41 53' 00"</t>
  </si>
  <si>
    <t>87 38' 00"</t>
  </si>
  <si>
    <t>Individual tree management, Land use type, Composition, Canopy Cover</t>
  </si>
  <si>
    <t>In all three study habitats (forest, park, residential), the total number of trees surveyed was recorded as well as the number of trees with cavities. For both control trees and cavity trees tree size(dbh), level of decay based on a modified Maser et al. (1979) scale ranging from 1 to 5 (1,healthy and the crown area is 100 % alive; 2, the crown is 1–49 % dead; 3, crown is 50–99 % dead; 4, the crown is dead but the branches are still intact; 5, snag with a broken top), and the presence or absence of visible fungal growths were measured. For all trees containing one or more cavities,the type of cavity (natural or excavated), cavity height, cavity opening size (small (3 cm), medium (3–8 cm), large (8–40 cm), and extra-large (&gt; 40 cm)), and orientation (in eight categories based on cardinal directions) for each cavity were recorded. Canopy cover around each study site was also recorded.</t>
  </si>
  <si>
    <t>December</t>
  </si>
  <si>
    <t>Comparing natural and excavated cavities across three habitat types in an urban area, authors found that overall cavity prevalence was similar in residential areas, large parks, and forests. However, excavated cavities were more common in forest areas, whereas trees containing natural cavities were most abundant in large parks. These results were contrary to the prediction that trees in residential and park areas would be equally abundant in natural cavities. When the higher density of trees in forest habitats was accounted for, far more excavated and natural cavities occur in forest areas than in the other habitat types. The results suggest that while cavity-nesting species may still find potential habitat in urban areas, forested areas provide the most cavities.The main landscape variable related to both the density of excavated cavities and tree density was canopy cover. Household income was also positively related with overall tree density in the models.</t>
  </si>
  <si>
    <t>Most trees in large parks and residential areas were very healthy (showed limited amounts of decay) which suggests that suitable cavity-creating trees are available for excavation by at least Yellow-bellied Sapsuckers in residential areas, but not likely for other species of woodpeckers. While conducting cavity surveys in residential areas, authors observed sapsucker feeding holes and two foraging downy woodpeckers (Picoides pubescens), indicating at least the presence of woodpecker species in residential areas (J. LaMontagne and R.J. Kilgour, pers. obs.). Overall, trees in large parks and residential areas were larger than trees in forest habitat, with a far higher proportion of natural cavities to excavated cavities. Dead trees made up 10 % of forests, while dead trees were absent in parks and made up only 1 % of the trees in residential areas. While it may appear that possible habitat exists for some excavator species, the specific attributes necessary for woodpeckers may be mostly absent in most urban areas. Management of forest areas for cavity excavators promotes retaining a diverse stand structure in terms of tree sizes and decay classes (Fan et al. 2003). The preservation of forest habitat is essential for the integrity of excavated cavities and the species that rely on them. However, in urban areas frequented by people, the challenge is to balance a diverse structure of urban trees with public safety.</t>
  </si>
  <si>
    <t>The study did not directly measure bird related variables, however, it was highly relevant for bird success, comparing bird nesting habitats across 3 types of urban green areas.</t>
  </si>
  <si>
    <t>overall canopy cover, diameter, stem density, standing dead trees, tree condition, cavity metrics, tree species composition</t>
  </si>
  <si>
    <t>Tree condition = level of decay &amp; presence of fungus.
Overall canopy cover = % canopy cover (landscape conditions). 
- But could this also be tree layer?</t>
  </si>
  <si>
    <t>A34</t>
  </si>
  <si>
    <t>Fernandez-Juricic
et al. (2001)</t>
  </si>
  <si>
    <t>Fernandez-Juricic, E., Jimenez, MD., Lucas, E.</t>
  </si>
  <si>
    <t>Spain</t>
  </si>
  <si>
    <t>Alert distance as an alternative measure of bird tolerance to human disturbance: implications for park design</t>
  </si>
  <si>
    <t>Environmental Conservation</t>
  </si>
  <si>
    <t>estebanfj@yahoo.com</t>
  </si>
  <si>
    <t>Madrid</t>
  </si>
  <si>
    <t>Five wooded fragments within the city of Madrid</t>
  </si>
  <si>
    <t>40 25' 00"</t>
  </si>
  <si>
    <t>3 43' 00"</t>
  </si>
  <si>
    <t>Composition, Canopy Cover, Forested Area</t>
  </si>
  <si>
    <t>The following microhabitat variables were recorded in 25-m circular plots: 
grass cover (%), shrub cover (%), shrub height (m), coniferous cover (%), 
deciduous cover (%), and tree height (m)</t>
  </si>
  <si>
    <t>House sparrow, Blackbird, Woodpigeon, and Magpie</t>
  </si>
  <si>
    <t>Passer domesticus, Turdus merula, Columba palumbus, Pica pica</t>
  </si>
  <si>
    <t>Behaviour</t>
  </si>
  <si>
    <t>Oral communication</t>
  </si>
  <si>
    <t>The location of human activity only impacted the House Sparrow's alert distance, which 
increased alert distances in the proximity of pathways. Habitat structure modified the alert 
distances of all four species. The greater the avaliability of escape cover, the more tolerant birds 
were of people. No relationship was found between the number of individuals and alert 
distances.</t>
  </si>
  <si>
    <t>The following recommendations apply mainly to ground foraging birds. First, alert distances can be a conservative indicator of bird tolerance to specific situations. Second, habitat complexity could increase tolerance levels of bird species by increasing the availability of cover to be used as refuges from disturbance, thereby decreasing the perceived risk of predation. Third, minimum approaching distances can be estimated from alert distances, and implemented to reduce human-wildlife conflicts. Fourth, because large species appear to be less tolerant of human approach than smaller species, the implementation of minimum approaching distances based on large species would allow smaller ones to use patches for feeding and breeding largely without being disturbed.</t>
  </si>
  <si>
    <t>tree layer, total height, ground layer, shrub layer, plant functional types</t>
  </si>
  <si>
    <t>A36</t>
  </si>
  <si>
    <t>Jokimäki et al. (2017)</t>
  </si>
  <si>
    <t>Jokimäki J, Suhonen J, Vuorisalo T, Kövér L, Kaisanlahti-Jokimäki ML</t>
  </si>
  <si>
    <t>Finland</t>
  </si>
  <si>
    <t>Urbanization and nest-site selection of the Black-billed Magpie (Pica pica) populations in two Finnish cities: From a persecuted species to an urban exploiter</t>
  </si>
  <si>
    <t>Landscape and Urban Planning</t>
  </si>
  <si>
    <t>jukka.jokimaki@ulapland.fi</t>
  </si>
  <si>
    <t>Rovaniemi, Turku</t>
  </si>
  <si>
    <t>Turku is located in southern Finland, and Rovaniemi in northern Finland</t>
  </si>
  <si>
    <t>60 27' 00" , 66 230' 00"</t>
  </si>
  <si>
    <t>22 15' 00", 25 42' 00"</t>
  </si>
  <si>
    <t>Multi-city</t>
  </si>
  <si>
    <t>Individual tree management, Composition</t>
  </si>
  <si>
    <t>Nest trees were identified to the species/genus level, and the height of tree and the height of the nest bottom from the ground was estimated. In addition, the number of each tree species/genus around (within 50 m) each Magpie nest was calculated.</t>
  </si>
  <si>
    <t>Eurasian Magpie</t>
  </si>
  <si>
    <t>Turku was founded ca. 1300 A.D., making it the oldest town in Finland. The town of Rovaniemi, on the other hand, is the one of the northernmost towns in Finland. The town was almost totally destroyed at the end of the Second World War.</t>
  </si>
  <si>
    <t>In both towns, Magpie nest surroundings contained more green areas and fewer built-up areas than non-breeding random sites. Magpie selects more often common tree species than rare tree species as its nest site in Finland.In Rovaniemi and Turku, the Magpie builds its nests usually in the top part of the tree, on average at the relative height of 72% of tree height.</t>
  </si>
  <si>
    <t>Restoration, Management</t>
  </si>
  <si>
    <t>Tree species selection should be considered when making decisions concerning tree planting in urban green areas. In northern latitudes, Magpies prefer coniferous over deciduous trees, and to attract Magpies also to the urban areas, using conifers in urban park management is a good option. However, our results indicate that after the colonization phase in urban habitats, the Magpie has increasingly started to nest in deciduous trees. It is possible that, although conifers are preferred, their limited availability in urban centers forces some pairs to build their nests in the less-preferred deciduous trees. In addition, it is also important to consider human attitudes towards birds in urban planning (Clucas &amp; Marzluff, 2012; Fernández-Juricic &amp; Jokimäki, 2001; Lepczyk et al., 2008).</t>
  </si>
  <si>
    <t>tree species composition, plant functional types, perch/nest height, overall canopy cover, total height</t>
  </si>
  <si>
    <t>Overall canopy cover = green area.</t>
  </si>
  <si>
    <t>A39</t>
  </si>
  <si>
    <t>Parrish &amp; Hepinstall-Cymerman (2012)</t>
  </si>
  <si>
    <t>Parrish, M. &amp; Hepinstall-Cymerman, J.</t>
  </si>
  <si>
    <t>Associations between multiscale landscape characteristics and breeding bird abundance and diversity across urban-rural gradients in Northeastern Georgia, USA</t>
  </si>
  <si>
    <t>Peer-Reviewed
Journal</t>
  </si>
  <si>
    <t>jhepinstall@warnell.uga.edu</t>
  </si>
  <si>
    <t>Athens</t>
  </si>
  <si>
    <t>Athens, Georgia</t>
  </si>
  <si>
    <t>Forested area, Composition, Land-Use Type</t>
  </si>
  <si>
    <t>They measured four forest landscape configuration variables: percentage of the landscape occupied by the largest forest patch, mean distance between forest patches, forest patch density, total amount of forest edge present.</t>
  </si>
  <si>
    <t>Before colonial settlement, the Piedmont was mostly covered with pine (Pinus spp.), hardwood, and mixed pine-hardwood forests; however, much of the land was cleared for agriculture by the 1900s (Coleman et al. 1977). Today the landscape is a mixture of remnant and old-field succession forestland, production forestland, agriculture, and developed lands.</t>
  </si>
  <si>
    <t>Abundance, biodiversity metric</t>
  </si>
  <si>
    <t>Preferred breeding habitat for most species was forest (66% of species), followed by early 
successional (20%) and urban / suburban (14%). Most species were complete or partial migrants 
(40% and 38% of species, respectively), with permanent residents representing only 22% of 
species. Roughly half of species exhibited synanthropic tendencies (52% of species).</t>
  </si>
  <si>
    <t>N/A</t>
  </si>
  <si>
    <t>Percent forested land cover and percent agricultural land cover.</t>
  </si>
  <si>
    <t>A42</t>
  </si>
  <si>
    <t>Zapata et al. (2014)</t>
  </si>
  <si>
    <t>Zapata VM, Robledano F.</t>
  </si>
  <si>
    <t>Assessing biodiversity and conservation value of forest patches secondarily fragmented by urbanisation in semiarid southeastern Spain.</t>
  </si>
  <si>
    <t>Journal for Nature Conservation</t>
  </si>
  <si>
    <t>vmzapata@um.es</t>
  </si>
  <si>
    <t>Murcia</t>
  </si>
  <si>
    <t>municipality of Murcia (SE Spain)</t>
  </si>
  <si>
    <t>Connectivity, Composition, Forested area, Fragmentation</t>
  </si>
  <si>
    <t>P. halepensis plantations. presence of all woody species recorded to determine frequency of occurrence, all Aleppo pines located within each plot counted to calculate mean density, and the height (in m) of each individual, its age and the presence of cones determined.</t>
  </si>
  <si>
    <t>Biodiversity metric</t>
  </si>
  <si>
    <t>Extreme fragmentation can eliminate core habitat, whose persistence increases bird species richness, allowing the persistence of patch interior species (Bianconi et al., 2003), in our case C. palumbus, P. cristatus and S. undata (positively associated with PCA-L.). Sturnus unicolor Temminck. is a ubiquitous species that apparently favours larger patches simply due to its dispersion from nearby urbanised areas. The negative relationship of S. undata with PCA-L suggests a stronger effect of urban fragmentation on this species, apparently unable to stay as a breeder in pinewoods &lt;30 ha.</t>
  </si>
  <si>
    <t>Reducing the density of pine trees where environmental conditions limit tree growth, will improve the structure of the understory and raise the biodiversity value of the studied patches. At a larger scale, the relationship of biodiversity with pine density also supports such a management strategy. On a landscape perspective, a network of small patches of different sizes spread around the urban-rural matrix and isolated from core forest areas (usually in large mountain ranges) can result in a high accumulated species richness with no need to include areas already given higher protection level. This is particularly useful if the aim is to promote biodiversity in the more intensely developed areas of the municipality (Miller &amp; Hobbs, 2002). However, as we have seen, some large patches (&gt;30 ha) are essential for retaining Mediterranean bird species of high conservation value like S. undata (Pons et al., 2012).</t>
  </si>
  <si>
    <t>age, vertical layer assessment, total height, tree species composition, stem density, standing dead trees, shrub species composition</t>
  </si>
  <si>
    <t>Recorded woody plant species richness (marked as shrub and tree species composition).
Vertical layer assessment = linear coverage (%) of all physical and vegetation layers.</t>
  </si>
  <si>
    <t>A44</t>
  </si>
  <si>
    <t>Ficetola et al. (2007)</t>
  </si>
  <si>
    <t>Ficetola GF, Sacchi R, Scali S, Gentilli A, De Bernardi F, Galeotti P.</t>
  </si>
  <si>
    <t>Vertebrates respond differently to human disturbance: implications for the use of a focal species approach.</t>
  </si>
  <si>
    <t>Acta Oecologica</t>
  </si>
  <si>
    <t>francesco.ficetola@unimi.it</t>
  </si>
  <si>
    <t>Milan</t>
  </si>
  <si>
    <t>Milan (Lombardy, Northern Italy) within the Lambro Valley Natural Park</t>
  </si>
  <si>
    <t>45 35' 00"</t>
  </si>
  <si>
    <t>9 16' 00"</t>
  </si>
  <si>
    <t>Forested area, Composition</t>
  </si>
  <si>
    <t>Tree features were assessed by measuring all of the trees inside each wood patch. Available data for each of the 44 patches were the average tree diameter, the tree density (N/ha) and the patch surface area.</t>
  </si>
  <si>
    <t>Litter disturbance was significantly related to the distribution of two bird species. This relationship was negative for the great spotted woodpecker but positive for the nuthatch. Wood maturity, a factor positively related to woods having large diameter trees, was positively related to the presence of the blue tit.</t>
  </si>
  <si>
    <t>The performance of focal species as a multi species umbrella was poor. Our results suggest that species specific differences in the response to the same source of disturbance can be strong; these differences can hinder the usefulness of focal species as surrogates and as a management tool.</t>
  </si>
  <si>
    <t>stem density, leaf litter layer, diameter</t>
  </si>
  <si>
    <t>Diameter, stem density, leaf litter layer. Wood maturity (combination of dbh and density).</t>
  </si>
  <si>
    <t>A45</t>
  </si>
  <si>
    <t>Ladin et al. (2016)</t>
  </si>
  <si>
    <t>Ladin ZS, D'Amico V, Baetens JM, Roth RR, Shriver WG.</t>
  </si>
  <si>
    <t>Predicting metapopulation responses to conservation in human-dominated landscapes.</t>
  </si>
  <si>
    <t>Frontiers in Ecology and Evolution</t>
  </si>
  <si>
    <t>Newark</t>
  </si>
  <si>
    <t>Newark, DE, USA</t>
  </si>
  <si>
    <t>39 41′ 1"</t>
  </si>
  <si>
    <t>75 44′ 58"</t>
  </si>
  <si>
    <t>Composition, Forested area</t>
  </si>
  <si>
    <t>21 sites within 18 distinct forest fragments. Each site lay along an edge adjacent to non-forest land cover to control for edge effects. Sites ranged in size from 2.1 to 16.3 ha, and included Ecology Woods (Bray et al., 1965), where an ongoing 40-year demographic study on breeding wood thrushes occur.</t>
  </si>
  <si>
    <t>Wood thrush</t>
  </si>
  <si>
    <t>Hylocichla mustelina</t>
  </si>
  <si>
    <t>August</t>
  </si>
  <si>
    <t>Demographics/Patterns, Survival, Breeding</t>
  </si>
  <si>
    <t>Species distribution, Nesting survival, Individual survival/mortality, Abundance</t>
  </si>
  <si>
    <t>Compared to the Null scenario, the Reforest scenario increased mean annual population trends by 54%, the Remove cowbirds scenario increased mean annual population trends by 38%, and the scenario combining reforestation and cowbird removal increased mean annual population trends by 98%. Mean annual growth rates (λ) per site were greater in the Reforest and Remove cowbirds compared to the Null model scenarios. However, only by combining the positive effects of reforestation and cowbird removal did wood thrush populations stop declining.</t>
  </si>
  <si>
    <t>Conservation</t>
  </si>
  <si>
    <t>We estimated that 23% of all forest habitat within BCR 30 (590,794 ha), is contained in forest fragments ≤20 ha that can provide valuable breeding and habitat for wood thrushes and other forest-breeding birds. Given observed differences in wood thrush occupancy across a range of patch sizes (Keller and Yahner, 2007; MacIntosh et al., 2011), we think that solely focusing conservation efforts on larger forest patches would be a mistake in attempting to achieve established population goals for wood thrushes in BCR 30. Our results suggest that independently replacing impervious surface with forest habitat around forest patches and removing cowbirds may slow current negative population trends. Furthermore, conservation efforts that combine reforestation and cowbird removal may potentially benefit populations of wood thrushes and other similarly forest-breeding songbird species within urbanized fragmented landscapes that typify the mid-Atlantic USA.</t>
  </si>
  <si>
    <t>stem density, age, perch/nest height</t>
  </si>
  <si>
    <t>Nest height, plant species. Forest site age, stem density (used in estimates of occupancy and abundance). Recorded proportion of impervious surfaces (for reforestation purposes).
The species of the plants nested in were recorded, and WOTH nest in under- and mid-story vegetation (i.e., plants and shrubs). But plant species were never discussed in the analysis.</t>
  </si>
  <si>
    <t>A46</t>
  </si>
  <si>
    <t>Wysocki (2004)</t>
  </si>
  <si>
    <t>Wysocki, D.</t>
  </si>
  <si>
    <t>Poland</t>
  </si>
  <si>
    <t>Nest re-use by Blackbirds 
- the way for safe 
breeding?</t>
  </si>
  <si>
    <t>darekw@univ.szczecin.pl</t>
  </si>
  <si>
    <t>Szczecin</t>
  </si>
  <si>
    <t>Northwestern Poland, Szczecin.</t>
  </si>
  <si>
    <t>Forested area, Composition, Individual tree management</t>
  </si>
  <si>
    <t>Measured the plant type where the nest was built (either coniferous shrub, deciduous shrub, coniferous tree, or deciduous tree), and then the place where the nest was built (on branch, at trunk, in trunk bifurcation, or in a tree hollow)</t>
  </si>
  <si>
    <t>Blackbird</t>
  </si>
  <si>
    <t>Turdus merula</t>
  </si>
  <si>
    <t>35 nests re-used year to year. In 33 of these cases, nest re-use occurred after a successful raising 
of fledglings.</t>
  </si>
  <si>
    <t>plant functional types, perch/nest height</t>
  </si>
  <si>
    <t>Nest height, plant functional type. Age of bird. Recorded the place where the nest was built: branch, trunk, hollow.</t>
  </si>
  <si>
    <t>A48</t>
  </si>
  <si>
    <t>Thompson et al. (1993)</t>
  </si>
  <si>
    <t>Thompson PS, Greenwood JJD, Greenaway K.</t>
  </si>
  <si>
    <t>United Kingdom</t>
  </si>
  <si>
    <t>Birds in European gardens in the winter and spring of 1988–89.</t>
  </si>
  <si>
    <t>No email: Dr J.J.D. Greenwood, British Trust for Ornithology, Thetford, Norfolk IP24 2PU, UK.</t>
  </si>
  <si>
    <t>Multiple (14 countries)</t>
  </si>
  <si>
    <t>Multiple</t>
  </si>
  <si>
    <t>14 European countries (Finland, Norway, Sweden, Denmark, West Germany, Austria, Spain, Italy, Portugal, France, Switzerland, Belgium, The Netherlands and the Republic of Ireland). These were grouped into six geographical regions for analysis on a priori judgements of similarity of their avifaunas and climates.</t>
  </si>
  <si>
    <t>Measured garden area, altitude, trees present (trees, shrubs, vegetation layer), commonest habitat type in the surrounding area.</t>
  </si>
  <si>
    <t>October</t>
  </si>
  <si>
    <t>Of all the habitat-related factors considered, garden size had the greatest effect on the number of species recorded. There was no overall effect of altitude on the number of species recorded. As expected, urban gardens were consistently poorer than the others in terms of the number of species recorded (Tables 2 &amp; 3). However, the degree to which they were poor varied between regions, as did the degree of difference between suburban and rural gardens. The presence of a number and variety of mature trees might be expected to exert an effect on the number and range of species recorded in any one garden. There was no major effect of feeding frequency on the number of species recorded.</t>
  </si>
  <si>
    <t>plant functional types, tree layer, shrub layer, ground layer</t>
  </si>
  <si>
    <t>Plant functional type. 'Good gardens' marked by presence of trees, shrubs, and grasses.</t>
  </si>
  <si>
    <t>A49</t>
  </si>
  <si>
    <t>Fernández-Juricic (2002)</t>
  </si>
  <si>
    <t>Fernández-Juricic E.</t>
  </si>
  <si>
    <t>Can human disturbance promote nestedness? A case study with breeding birds in urban habitat fragments.</t>
  </si>
  <si>
    <t>Oecologia</t>
  </si>
  <si>
    <t>Composition, Diversity metric, Canopy Cover, Forested area</t>
  </si>
  <si>
    <t>Vegetation traits were measured in 25-m-radius circular plots distributed at 30-m intervals along transects in parks &gt;2 ha, and randomly in parks &lt;2 ha: grass cover, shrub cover, coniferous cover, deciduous cover, number of stems &lt;10 cm, 10–30,30–50 and &gt;50 cm dbh (diameter at breast height).</t>
  </si>
  <si>
    <t>Species distribution, Abundance</t>
  </si>
  <si>
    <t>Community structure, along with the distribution of individual species, in urban wooded fragments follows a
nested rather than a random distributional pattern. Fragment size had an important influence on nestedness at the community and individual species levels. Nearly 55% of the species, on average, tended to occupy larger than smaller fragments. Habitat diversity affected community composition patterns as well. Species accumulated in fragments with increasing diversity of stems. That was particularly the case with many insectivorous birds (Parus sp., Troglodytes troglodytes, Aegithalos caudatus and Phylloscopus bonelli), which relied upon forest substrates to cope with their food requirements.Besides the classic area and habitat diversity effects, human disturbance can also promote nestedness: locally, by restraining the time and space of foraging and breeding opportunities, thus reducing fragment suitability, and regionally, by increasing extinction and decreasing colonization probabilities in highly disturbed fragments.</t>
  </si>
  <si>
    <t>First, the increase in local levels of human disturbance can affect community structure at the landscape scale, decreasing the suitability and availability of fragments for reproduction. This must be evaluated in areas with increasing levels of ecotourists due to the popularity of wildlife recreational activities, such as national parks, natural reserves, etc. Second, human disturbance could increase the convergence of communities to nested subsets (Patterson and Atmar 1986), leading to areas dominated by widespread species with high tolerance to people. If so, rare or low-tolerant species could be restraining their breeding to low-disturbed and large fragments only. Third, area may be interacting with human disturbance in such a way as to become a sort of buffer against which pedestrian effects may be reduced (Fox and Fox 2000). Since small fragments have higher edge/area ratios than large fragments, similar visitation levels would further decrease the proportion of suitable area on small fragments. If human visitation were to be increased temporarily, then large fragments would be the appropriate target spots due to this buffering effect.</t>
  </si>
  <si>
    <t>tree layer, plant functional types, ground layer, shrub layer, diameter</t>
  </si>
  <si>
    <t>Grass, shrub, and tree cover. Plant functional traits. Diameter. Tree diversity = diversity in DBH category, not species ('stem diversity').</t>
  </si>
  <si>
    <t>A51</t>
  </si>
  <si>
    <t>O’Neal Campbell (2006)</t>
  </si>
  <si>
    <t>O’Neal Campbell M.</t>
  </si>
  <si>
    <t>Urban parks as shared spaces? The utility of alert distances as indicators of avian tolerance of humans in Stirling, Scotland.</t>
  </si>
  <si>
    <t>Area</t>
  </si>
  <si>
    <t>ecol55@hotmail.com</t>
  </si>
  <si>
    <t>Scotland</t>
  </si>
  <si>
    <t>Stirling</t>
  </si>
  <si>
    <t>Stirling, Scotland</t>
  </si>
  <si>
    <t>56 12' 00"</t>
  </si>
  <si>
    <t>3 95' 00"</t>
  </si>
  <si>
    <t>The survey classified plants into four categories: 
grass and lawns, dense undergrowth (0.5 m tall), 
shrub (0.5-3 m) and trees (&gt;3 m tall). The vegetation 
variables were height, shrubs, tree-shrub, tree 
undergrowth and tree-grass combinations, and the 
percentage of grasses, shrubs, undergrowth and 
trees.</t>
  </si>
  <si>
    <t>Foraging/Movement</t>
  </si>
  <si>
    <t>This study, observing birds after flight, revealed two different behaviours: (1) the reluctance 
of birds to leave the area, by flying to another nearby area, perching on a nearby branch of a tree 
or large shrubs (mostly the larger species) or hiding in dense foliage or undergrowth (mostly the smaller species), another form of habitat selection; and (2) the leaving of the area entirely. One of 
the most relevant variables was shrub height (especially for sparrows and chaffinches, which hid in 
shrubbery, and the larger corvids which perched on upper branches), possibly because larger shrubs 
offered the advantage of small trees for larger species (but usually with more branches) and the cover 
of undergrowth for smaller species. Tree height was significant when combined with shrubs for some 
larger corvids and wagtails, which flew to upper branches over shrub height.</t>
  </si>
  <si>
    <t>The use of several bird species over a large size range allows modelling for wider species selection,
while the selection of passerines, generally seen as commoner, more tolerant invaders of human spaces,may allow a ‘tolerance bench mark’, for the study of less tolerant species. Such knowledge may provide an effective grounding for park planning and vegetation maintenance, a vital issue due to the increased patronage of parks, expanding urban populations and the common bush (shrub, undergrowth, some lower branches) clearance style of park management.</t>
  </si>
  <si>
    <t>vertical layer assessment, shrub layer, tree layer, ground layer, total height, plant functional types</t>
  </si>
  <si>
    <t>Classified plants into four categories based on height. Assessed the effect of combinations of vegetation heights on bird alert distances (ex: trees + understory, tree + shrubs, trees + grass, shrub).</t>
  </si>
  <si>
    <t>A53</t>
  </si>
  <si>
    <t>Kang et al. (2015)</t>
  </si>
  <si>
    <t>Kang W, Minor ES, Park CR, Lee D.</t>
  </si>
  <si>
    <t>Republic of Korea</t>
  </si>
  <si>
    <t>Effects of habitat structure, human disturbance, and habitat connectivity on urban forest bird communities</t>
  </si>
  <si>
    <t>Peer-Reviewed 
Journal</t>
  </si>
  <si>
    <t>leedw@snu.ac.kr</t>
  </si>
  <si>
    <t>South Korea</t>
  </si>
  <si>
    <t>Seoul</t>
  </si>
  <si>
    <t>Seoul and surrounding cities in Gyeonggi Province, South Korea</t>
  </si>
  <si>
    <t>Canopy Cover, Composition, Land use type, Forested area</t>
  </si>
  <si>
    <t>Forty-four forest patches between 0.5 and 20.0 ha in size. Mean canopy cover, shrub cover, 
ground vegetation cover, leaf litter cover, and cover of fine and coarse woody debris for each 
transect</t>
  </si>
  <si>
    <t>Abundance, Species distribution</t>
  </si>
  <si>
    <t>Patch area had the greatest effects on both overall species richness and abundance. In this study, only a small range of patch sizes (0.5–20 ha) was 
considered. Study also identified a patch size threshold for forest birds of ca. 3.5 ha.Remnant patches with lower levels of human disturbance had higher diversity than newly established patches where intense human activities occurred more frequently. In addition, vegetation complexity and habitat connectivity were positively related to total species richness and abundance, respectively, but they were less important.</t>
  </si>
  <si>
    <t>Management strategies for the conservation of urban forest birds should 
consider not only local improvements in habitat structure – through increased patch size, 
reduced human disturbance, and increased vegetation complexity – but also the maintenance 
of habitat connectivity. Forest remnants should be a minimum of 3.5 ha.</t>
  </si>
  <si>
    <t>coarse woody debris layer, stem density, diameter, tree layer, shrub species composition, vertical layer assessment, standing dead trees, ground layer, tree species composition, shrub layer, leaf litter layer</t>
  </si>
  <si>
    <t>Discusses vegetation complexity (vertical layer assessment). Canopy cover = tree canopy cover only, as the others are separately established.</t>
  </si>
  <si>
    <t>A57</t>
  </si>
  <si>
    <t>Kaushik et al. (2022)</t>
  </si>
  <si>
    <t>Kaushik M, Tiwari S, Manisha K.</t>
  </si>
  <si>
    <t>India</t>
  </si>
  <si>
    <t>Habitat patch size and tree species richness shape the bird community in urban green spaces of rapidly urbanizing Himalayan foothill region of India.</t>
  </si>
  <si>
    <t>monicak@aud.ac.in</t>
  </si>
  <si>
    <t>Dehradun</t>
  </si>
  <si>
    <t>Dehradun city (30.3165° N, 78.0322° E) which is the capital of the northern state, Uttarakhand, India</t>
  </si>
  <si>
    <t>30 31' 65"</t>
  </si>
  <si>
    <t>78 03' 22"</t>
  </si>
  <si>
    <t>Forested area, Canopy Cover, Composition</t>
  </si>
  <si>
    <t>urban green spaces of which six were educational institutions, four city parks, four residential complex, three office parks and one abandoned tea plantation.</t>
  </si>
  <si>
    <t>Species distribution</t>
  </si>
  <si>
    <t>Size of the urban green space at landscape level and tree species richness at the local scale emerged as important predictors influencing bird species richness, density and richness of imperilled insectivorous guild across seasons. Urban green spaces within education institutions and offices experiencing less vegetation management supported higher bird species richness and density whereas city parks were species poor. Community composition was affected more strongly by built-up cover and barren area in the landscape matrix and also by tree species richness at the local scale within urban green spaces.</t>
  </si>
  <si>
    <t>City planners should focus on allocating green spaces within urban settings and expand the formal green spaces. Existing green spaces could be improved by augmenting compositional and structural heterogeneity of vegetation as well as conservation of large old native trees.</t>
  </si>
  <si>
    <t>shrub layer, tree layer, total height, diameter, stem density, merchantable height, shrub species composition, tree species composition</t>
  </si>
  <si>
    <t>Girth at breast height = diameter
Tree bole height.
Mention structural complexity (p 426).
'Large old trees' ≠ age (since they are only trees &gt;50cm GBH.</t>
  </si>
  <si>
    <t>A58</t>
  </si>
  <si>
    <t>Mazumdar &amp; Kumar (2014)</t>
  </si>
  <si>
    <t>Mazumdar AB, Kumar PR.</t>
  </si>
  <si>
    <t>Difference in nesting ecology of purple sunbird Nectarinia asiatica among urban and rural habitats in New Delhi, India.</t>
  </si>
  <si>
    <t>Avocetta</t>
  </si>
  <si>
    <t>abhijit.mazumdar@rediffmail.com</t>
  </si>
  <si>
    <t>New Delhi</t>
  </si>
  <si>
    <t>New Delhi, India</t>
  </si>
  <si>
    <t>28 35' 00"</t>
  </si>
  <si>
    <t>77 12' 00"</t>
  </si>
  <si>
    <t>% of nest concealment by vegetation</t>
  </si>
  <si>
    <t>Purple Sunbird</t>
  </si>
  <si>
    <t>Nectarinia asiatica</t>
  </si>
  <si>
    <t>Micro breeding, Nesting survival, Population changes</t>
  </si>
  <si>
    <t>Many urban nests were clumped around greener patches. Rural nests had significantly greater depth 
to support larger clutch sizes. Rural nests had significantly greater concealment than urban ones. Average egg/nest in urban and rural nests was 1.85 and 2.46 respectively. During incubation females were away from urban nests for significantly greater periods. Urban nests had significantly less hatching success, lower nesting and breeding success. Mortality was significantly higher in urban nests.</t>
  </si>
  <si>
    <t>perch/nest height</t>
  </si>
  <si>
    <t>A60</t>
  </si>
  <si>
    <t>Le Louarn et al. (2017)</t>
  </si>
  <si>
    <t>Le Louarn M, Clergeau P, Briche E, Deschamps-Cottin M.</t>
  </si>
  <si>
    <t>France</t>
  </si>
  <si>
    <t>“Kill Two Birds with One Stone”: Urban Tree Species Classification Using Bi-Temporal Pléiades Images to Study Nesting Preferences of an Invasive Bird.</t>
  </si>
  <si>
    <t>Remote Sensing</t>
  </si>
  <si>
    <t>marine.le-louarn@univ-amu.fr</t>
  </si>
  <si>
    <t>Marseille</t>
  </si>
  <si>
    <t>This study was carried out in the downtown and suburban part of Marseille, France. Located in the southeast of France, Marseille is the second most populous city in the country with an estimated human population of 855,000.</t>
  </si>
  <si>
    <t>Predicted species composition based on model outputs. The procedure consists of four steps: (1) data pre-processing (detailed in Section 2.2.1), (2) image segmentation, (3) feature extraction, and (4) object-based classification using SVM and RF. In this study, only nadir-visible trees were considered as the spectral information of trees obscured by shadows (i.e., from buildings) is difficult to obtain.</t>
  </si>
  <si>
    <t>Ring-Necked Parakeet</t>
  </si>
  <si>
    <t>Psittacula krameri</t>
  </si>
  <si>
    <t>Biodiversity, Breeding</t>
  </si>
  <si>
    <t>Nesting survival, Abundance</t>
  </si>
  <si>
    <t>The most used tree species is Platanus sp. in which 95% of the parakeets’ nests (invasive species) are found. A very low proportion of parakeet nests is also found in Quercus sp. and Tilia sp. Tree species classification performed in this study allowed identification of 98.5% of all tree species used by nesting ring-necked parakeets. Remote sensing techniques using open-source software such as Orfeo ToolBox may be particularly useful for invasive species management but also for the conservation of native fauna by highlighting ecological preferences regarding their breeding and feeding areas.</t>
  </si>
  <si>
    <t>plant functional types, tree species composition</t>
  </si>
  <si>
    <t>A61</t>
  </si>
  <si>
    <t>Wysocki et al. (2004)</t>
  </si>
  <si>
    <t>Wysocki D, J. A, R. K, Śmietana P.</t>
  </si>
  <si>
    <t>The size of breeding territory in an urban population of the Blackbird (Turdus merula) in Szczecin (NW Poland)</t>
  </si>
  <si>
    <t>Ornis Fennica</t>
  </si>
  <si>
    <t>darekw @sus . univ.szczecin .pl</t>
  </si>
  <si>
    <t>The observations were carried out in two city parks of Szczecin (420,000 inhabitants; NW Poland): Zeromski Park (Park Z,21 .9 ha) was studied in 1997-2000, while observations in Kownas Park (Park K, 16 ha) were conducted in 1998-2000. Park Z is located in the city centre</t>
  </si>
  <si>
    <t>Shrub coverage (m), canopy development(%)and number of trees in territories acquired atdifferent dates (C= coniferous, D= deciduous) .</t>
  </si>
  <si>
    <t>The hypothesis that a large breeding territory increases amale European Blackbird's chances of attracting a female is supported also by the factthat there were no size differences between the territories held past pentade 20by old and young males. In the present study, all the measured variables that might affect territory quality (shrub coverage, development of canopy, presence of nest-sheltering tree species), showed statistically significant differences between territories. Those territories acquired earliest in the season supported the most extensive shrubberies, those occupied last having much fewer shrubs . However, the coniferous shrubs served as major nest sites only during the first month of the breeding season ; later on few nests were found in conifers .</t>
  </si>
  <si>
    <t>tree layer, plant functional types, shrub layer</t>
  </si>
  <si>
    <t>Observe nests (nest checks).
Nest height?
Canopy cover?</t>
  </si>
  <si>
    <t>A65</t>
  </si>
  <si>
    <t>Meissner and Zolkos (2010)</t>
  </si>
  <si>
    <t>Meissner W, Żółkoś K.</t>
  </si>
  <si>
    <t>Does the Magpie Pica pica (L.) prefer poplars as a nesting tree in the urban environment?</t>
  </si>
  <si>
    <t>Polish Journal of Ecology</t>
  </si>
  <si>
    <t>Peer-Reviwed Journal</t>
  </si>
  <si>
    <t>w.meissner@univ.gda.pl</t>
  </si>
  <si>
    <t>Gdańsk</t>
  </si>
  <si>
    <t>The research was conducted in Zaspa, a 180 ha district in the city of Gdańsk with mostly medium (4- to 5-storey) and tall (10to 12-storey) buildings.</t>
  </si>
  <si>
    <t>In April 2004 we counted all trees and shrubs in the district taller than 3 m, the minimal height assumed suitable for magpie nesting based on previous observations. We distinguished various spatial organizations of the trees: rows of more than two trees planted in a line; clumps of more than two trees growing close to each other in a random pattern; two trees growing close together; and single trees. Groups of trees were treated as separate entities when they were spaced at least 10 m apart.</t>
  </si>
  <si>
    <t>Magpie</t>
  </si>
  <si>
    <t>This urban district was developed in the early 1970s and almost all the trees were planted between 1974 and 1979 (A. Dąbrowski – pers. comm.).</t>
  </si>
  <si>
    <t>We counted 5294 trees and high shrubs in the study area. The most numerous were maples (Acer sp.), followed by lindens (Tilia sp.) and sorbs (Sorbus sp.) (Table 1). We found 124 magpie nests in 10 different species of tree, more than 80% in maples, lindens and both types of poplars. The relationship between the type of spatial tree organization and the presence of nests remained statistically insignificant. The index showed magpies’ strong preference for lombardy poplar and birch regardless of the type of tree grouping. Thus, magpies usually built their nests in rows and clumps of trees in this urban district because their preferred tree species were planted this way.</t>
  </si>
  <si>
    <t>planting arrangement, tree layer, tree species composition, shrub layer, perch/nest height</t>
  </si>
  <si>
    <t>Planting arrangement = spatial organization.
Did not directly measure nest height, but mentioned that magpies need to nest at at least 3 m, and that no magpie in this study ever nested below 4 m.</t>
  </si>
  <si>
    <t>A66</t>
  </si>
  <si>
    <t>Hong et al. (2013)</t>
  </si>
  <si>
    <t>Hong S-H, Kim J-S, Ki K-S, Park S-G, Kurosawa K.</t>
  </si>
  <si>
    <t>Woodpeckers Appearance and Forest Vegetation Type in Urban Forests of Seoul Area, Korea.</t>
  </si>
  <si>
    <t>Journal of the Faculty of Agriculture Kyushu University</t>
  </si>
  <si>
    <t>Departmental Academic Paper</t>
  </si>
  <si>
    <t>sgpark@sunchon.ac.kr</t>
  </si>
  <si>
    <t>A detailed actual vegetation map (on a scale of 1/1,000) was created for the first time for Seoul City. The map is most accurate actual vegetation map of Korea. Therefore, Seoul City is considered as the most appropriate area to study the relationships between the appearance of birds and vegetation type in a given area. The study site was identified to be the forests in and around the outskirts of Seoul City</t>
  </si>
  <si>
    <t>Land use type, Composition</t>
  </si>
  <si>
    <t>Vegetation types of the forest and also the mean diameter of canopy trees at breast height (DBH) and vegetation coverage (%) in each patch of vegetation type were parts of our survey. There was a wide variety of 31 vegetation types in the study area, of which, 26 were dominated by woody plants including shrubs.</t>
  </si>
  <si>
    <t>Three</t>
  </si>
  <si>
    <t>Japanese pygmy woodpecker (DK)
Great spotted woodpecker (DM), 
Grey–faced green woodpecker (PC).</t>
  </si>
  <si>
    <t>Dendrocopos kizuki
Dendrocopos major
Picus canus</t>
  </si>
  <si>
    <t>Most of the forests in the Korean peninsula were destroyed during the Korean War (1950–1953). A largescale afforestation project was undertaken in the 1960s and 1970s by populating the bare mountains with trees from other countries.</t>
  </si>
  <si>
    <t>January</t>
  </si>
  <si>
    <t>This study determined that the Korean woodpeckers living in an urban forest had a specific preference for vegetation types when foraging for food. The vegetation types in black birch and Japanese alder forests were the most frequented by the woodpeckers. Regarding the relationships between the frequency of woodpecker appearance and tree size, the PC species appeared most frequently in trees with a large tree DBH. However, both the DM and DK species showed identical tendencies, and the number of individuals decreased where large trees were present. This behavior is probably related to the difference in biomass (relatively large and small biomasses) of woodpeckers. A large biomass woodpecker such as PC prefers large trees for roosting, foraging, or nesting compared to the other woodpeckers that have small biomasses.</t>
  </si>
  <si>
    <t>shrub species composition, shrub layer, diameter, tree layer, tree species composition</t>
  </si>
  <si>
    <t>A67</t>
  </si>
  <si>
    <t>Rodrigues et al. (2018)</t>
  </si>
  <si>
    <t>Rodrigues AG, Borges-Martins M, Zilio F.</t>
  </si>
  <si>
    <t>Brazil</t>
  </si>
  <si>
    <t>Bird diversity in an urban ecosystem: the role of local habitats in understanding the effects of urbanization.</t>
  </si>
  <si>
    <t>Iheringia</t>
  </si>
  <si>
    <t>alinegrbio@gmail.com</t>
  </si>
  <si>
    <t>Porto Alegre</t>
  </si>
  <si>
    <t>Canoas (29°55’12”S, 51°10’48”W) is
part of the metropolitan area of Porto Alegre (the capital and
largest city of the state of Rio Grande do Sul, Brazil) known
as Greater Porto Alegre</t>
  </si>
  <si>
    <t>Southern</t>
  </si>
  <si>
    <t>29 55’12”</t>
  </si>
  <si>
    <t>51 10’48”</t>
  </si>
  <si>
    <t>Vegetation cover and the number of trees higher than 3 m</t>
  </si>
  <si>
    <t>The city grew in a disordered 
way, scattered in patches of neighborhoods and villages that 
were settled in marshy and flooded areas. Industry had large 
impact on the city demography, as well as the local economy 
(Mayer, 2009). Despite the level of urbanization, Canoas 
has 16.2 m² of green areas per capita, making a total of 5.49 
km² in the city (Estado da Cidade, 2014).</t>
  </si>
  <si>
    <t>Species distribution, Abundance, Community changes</t>
  </si>
  <si>
    <t>The proportion of arboreal vegetation cover was the most 
important variable predicting an increase in species richness 
in Canoas, corroborating the known role of green areas 
as biodiversity enhancers in urban centers.</t>
  </si>
  <si>
    <t>Urban planners need to take into account how the city works 
ecologically (Pickett et al., 2011), for example, how the 
biota responds to an urban environment. This is essential for 
conservation and management purposes. The effects of the 
level of noise and presence of green areas on urban-dwelling 
birds should be considered in urban planning 
policies. Supporting citizens in maintaining residential 
vegetation (e.g., private yards), and, hence, keeping areas 
of native vegetation inside the urban area, is a simple example 
of how to increase a city’s green areas and promote biological 
conservation (Smith et al., 2014).</t>
  </si>
  <si>
    <t>tree layer, ground layer</t>
  </si>
  <si>
    <t>Vegetation cover: "Percent of the sample unit covered by trees"
Open vegetation = grass = ground layer.
Vegetation cover = trees = tree layer.
Tree density = number of trees over 3 m
- they do not use any density metrics (nothing in the results), they only use the word density in the methods</t>
  </si>
  <si>
    <t>A68</t>
  </si>
  <si>
    <t>Campos-Silva &amp; Piratelli (2021)</t>
  </si>
  <si>
    <t>Campos-Silva LA, Piratelli AJ.</t>
  </si>
  <si>
    <t>Vegetation structure drives taxonomic diversity and functional traits of birds in urban private native forest fragments.</t>
  </si>
  <si>
    <t>andrei.10@hotmail.com</t>
  </si>
  <si>
    <t>Sorocaba</t>
  </si>
  <si>
    <t>Sorocaba, southeastern
Brazil</t>
  </si>
  <si>
    <t>23 30’ 5.65"</t>
  </si>
  <si>
    <t>47 27’ 9.46"</t>
  </si>
  <si>
    <t>Thirteen vegetation characteristics were measured to evaluate
the effects of habitat structure. Tree characteristics: Tree morphospecies richness; Tree individuals; Number of standing dead trees; Canopy cover; Highest tree; Canopy height; Diameter at breast height 
of the trees; Standard error of the diameter at 
breast height of the trees</t>
  </si>
  <si>
    <t>Vegetation structure shaped the ecological attributes of birds, with five vegetation traits (number of standing dead trees, canopy cover, tree richness, grass cover and tree individuals) driving bird taxonomic diversity and 
functional traits, of which the number of standing dead trees was related to more bird ecological attributes.</t>
  </si>
  <si>
    <t>Results presented here support the protection of 
natural vegetation structure not only in public areas, but in 
private areas as well, due to their cascade effects on urban bird 
composition, and the functions and services they provide. 
These findings highlight the importance of urban private native forest fragments as reservoirs of urban biodiversity, and 
bring important insights to ecological management with a focus on maintaining key ecological resources like the number 
of standing dead trees and canopy cover, and prioritizing tree 
diversity instead of solely abundance.</t>
  </si>
  <si>
    <t>shrub species composition, total height, crown height, tree layer, standing dead trees, ground layer, shrub layer, diameter, leaf litter layer, tree species composition</t>
  </si>
  <si>
    <t>Tree and shrub morphospecies.
Highest tree = crown height (of only the tallest tree)
Canopy height = height of tallest tree
Counted the numbers of individuals of shrubs and trees (Presence).</t>
  </si>
  <si>
    <t>A71</t>
  </si>
  <si>
    <t>Heggie-Gracie et al. (2020)</t>
  </si>
  <si>
    <t>Heggie-Gracie SD, Krull CR, Stanley MC.</t>
  </si>
  <si>
    <t>New Zealand</t>
  </si>
  <si>
    <t>Urban divide: Predictors of bird communities in forest fragments and the surrounding urban matrix.</t>
  </si>
  <si>
    <t>Emu-Austral Ornithology</t>
  </si>
  <si>
    <t>mc.stanley@auckland.ac.nz</t>
  </si>
  <si>
    <t>Auckland</t>
  </si>
  <si>
    <t>Auckland, New Zealand</t>
  </si>
  <si>
    <t>Forested area, Fragmentation, Composition, Canopy Cover</t>
  </si>
  <si>
    <t>Number of vegetation variables within a 25 m radius of each bird point survey: a) number of trees, maximum tree height and estimated tree % cover, b) estimated shrub % cover and tallest shrub height, c) estimated herbaceous % cover and maximum herbaceous plant height. To assess the predictors of bird community composition in urban fragments, 17 fragments from the Auckland isthmus were chosen (Auckland, New Zealand, 36°50′26″S 174°44′24″E). Fragment characteristics used in analyses: fragment size, degree of isolation, noise pollution, and mammalian pest control intensity.</t>
  </si>
  <si>
    <t>The city was settled by Māori about 700 years ago, with approximately 10 000 Māori residents in 1740, and a British colony established in 1841 (McArthur 2017). The city now extends to 560 km2 and was once covered primarily by temperate forest prior to human settlement (McArthur 2017; Singers et al. 2017).</t>
  </si>
  <si>
    <t>While introduced birds dominated the urban matrix, both in species richness and density, native birds dominated the habitat fragments, emphasising the importance of urban habitat fragments as refuges for native birds. Native birds in the urban matrix were more likely to be associated with higher levels of shrub and tree cover than introduced species. Native birds dominated the habitat fragments, emphasising the importance of urban habitat fragments as refuges for native birds. Typically, fragment size is the best predictor of bird species richness and abundance (e.g. Donnelly and Marzluff 2004); however, in this study human density surrounding fragments and noise were stronger predictors.</t>
  </si>
  <si>
    <t>Native bird communities are more diverse and abundant in ‘spared’ forest fragments, compared to the urban matrix. However, for an already sprawling city such as Auckland, ‘sharing’ is perhaps the only viable option to increasing bird habitat given creation of new biodiverse habitat fragments within the city is unlikely in the context on increasing intensification. Therefore, while existing fragments may be providing sanctuary in cities from a larger suite of challenges in the urban matrix, future urban planning should aim to enhance the urban matrix for birds as well as for the human population. This study shows there is an opportunity to mitigate the homogenising effects of urbanisation on birds in the urban matrix by additional planting of shrubs and trees and reducing noise levels in these areas.</t>
  </si>
  <si>
    <t>tree layer, shrub layer, ground layer, total height</t>
  </si>
  <si>
    <t>Shrubs and trees defined by DBH &lt; or &gt; 10 cm, but DBH is not used in analysis.</t>
  </si>
  <si>
    <t>A73</t>
  </si>
  <si>
    <t>Jokimäki et al. (2005)</t>
  </si>
  <si>
    <t>Jokimäki J, Kaisanlahti-Jokimäki M-L, Sorace A, Fernández-Juricic E, Rodriguez-Prieto I, Jimenez MD.</t>
  </si>
  <si>
    <t>Finalnd</t>
  </si>
  <si>
    <t>Evaluation of the “Safe Nesting Zone” Hypothesis across an Urban Gradient: A Multi-Scale Study</t>
  </si>
  <si>
    <t>Ecography</t>
  </si>
  <si>
    <t>jukka.jokimaki@upland.fi</t>
  </si>
  <si>
    <t>Multiple (Finland, Italy, Spain)</t>
  </si>
  <si>
    <t>The study was conducted following similar methodological procedures in three European countries: Finland, Italy, and Spain. Three different scales were used: continental scale (between countries comparison), regional scale (within country comparison) and local scale (within town comparison)</t>
  </si>
  <si>
    <t>The vegetation measurements were made using a nest-centered circular plot (3-m radius, area =28 m2). The steam frequency distribution of deciduous and coniferous trees was determined by height classes. We also measured the total nuber of shrubs. We estimated canopy cover of trees and next cover above each nest with a carboard tube by looking firectly up from height of 1.7m.</t>
  </si>
  <si>
    <t>Survival, Breeding</t>
  </si>
  <si>
    <t>Nest visibility differed among countries, being highest in Spain, intermediate in Italy, and lowest in Finland. Nest visibility correlated negativel with the total number of shrubs and the height of the ground layer vegetation. The risk of articifical gorund nest predation was higher in (or in some cases similar) town centers than in other habitats (villages and forests) in thre countries studied. The main landscape types (forests in Finland, pastoral in Spain and agricultural in Italy) differed between the study countries. Geograhpical differences in ladscape attributes (in our case those related mainly to the visibility of nests, but possibly also to the perching and hiding of predators) can affect patterns of predation along urban gradients. At least partly, the high nest losses in Spain mimght be explained by the fact that the visibility of nests was greater in Spain than in other countries.</t>
  </si>
  <si>
    <t>tree layer, total height, shrub layer, plant functional types, ground layer</t>
  </si>
  <si>
    <t>Nest height = on the ground.
Stem frequency distribution.
Nest cover (%) used as a metric.</t>
  </si>
  <si>
    <t>A74</t>
  </si>
  <si>
    <t>Mason et al. (2007)</t>
  </si>
  <si>
    <t>Mason, J., Moorman, C., 
Hess, G., Sinclair, K.</t>
  </si>
  <si>
    <t>Designing suburban 
greenways to provide 
habitat for forest-breeding 
birds</t>
  </si>
  <si>
    <t>chris_moorman@ncsu.edu</t>
  </si>
  <si>
    <t>Raleigh and Cary</t>
  </si>
  <si>
    <t>Raleigh and Cary, North Carolina</t>
  </si>
  <si>
    <t>Visited each greenway segment during September 2002 to characterize the greenway composition and vegetation structure within the 50 m radius point count plot. Recorded greenway composition as the percentages of each 50 m radius plot covered by mature forest, young forest, managed area, and stream. Defined mature forest as any area covered by trees taller than 6 m. Young forest included woody vegetation 1–6 m tall. Measured percent
canopy cover by standing at a single location within the mature
forest and averaging four spherical densiometer readings, one
in each cardinal direction.</t>
  </si>
  <si>
    <t>Raleigh and Cary are part 
of the Triangle Region of 
North Carolina, within 
the larger physiographic 
region of the Central 
Appalachian Piedmont. 
This region consists mostly 
of urban–suburban land 
use within a forest–
agriculture mosaic. 
In recent decades, 
population growth within 
the region has resulted in 
urban and suburban growth, 
replacing forests and 
fields with residential, 
commercial, institutional, 
and industrial development 
and infrastructure</t>
  </si>
  <si>
    <t>Recorded 53 species during point counts of breeding birds. The amount of managed area within 
the greenway was the most consistently retained variable in regression models. Total
avian richness, neotropical migrant richness and abundance, insectivore richness 
and abundance, and forest-interior species richness and abundance all decreased 
with increasing amounts of managed area within the greenway.</t>
  </si>
  <si>
    <t>1. Be creative in finding ways to minimize managed area within a greenway. Mow less, make paved trails narrower, leave certain trails within the system unpaved, and locate trails at the greenway edge to maximize forest interior. If vegetation removal is necessary for sight lines on steep terrain, leave forest litter rather than planting grass or ornamentals. Recommendations for specific maximum trail widths are difficult to formulate because of regional variations in bird communities and environmental factors. Instead, we suggest that trails and the associated managed areas be narrow enough that the forest canopy remains relatively unbroken. 
2. Conserve wider greenways. Greenways of at least 100 m wide provide habitat for some development-sensitive species, but greenways as wide as 300–600 m may be needed to conserve certain forest-interior specialists and ground-nesting songbirds. When greenways of this width are not realistic, larger non-linear reserves are needed to provide habitat for these species. These might be located as “nodes” along greenways.
3. Encourage developers of property adjacent to greenways to
minimize pavement, building, and bare earth cover. Through
education and outreach, developers and landowners can be
motivated to participate in the conservation of developmentsensitive bird species by limiting impervious surface and
retaining native vegetation on the privately-owned lands surrounding greenways.</t>
  </si>
  <si>
    <t>tree layer, ground layer, plant functional types, standing dead trees, total height, shrub layer, vine layer, age</t>
  </si>
  <si>
    <t>Mature vs. young forest (by tree/shrub size).</t>
  </si>
  <si>
    <t>A75</t>
  </si>
  <si>
    <t>Hinsley et al. (2009)</t>
  </si>
  <si>
    <t>Hinsley SA, Hill RA, Bellamy P, Broughton RK, Harrison NM, Mackenzie JA, et al.</t>
  </si>
  <si>
    <t>Do Highly Modified Landscapes Favour Generalists at the Expense of Specialists? An Example using Woodland Birds.</t>
  </si>
  <si>
    <t>Landscape Research</t>
  </si>
  <si>
    <t>sahi@ceh.ac.uk</t>
  </si>
  <si>
    <t>Cambridgeshire</t>
  </si>
  <si>
    <t>Monks Wood NNR comprises 157 ha of mixed deciduous woodland in Cambridgeshire in eastern England</t>
  </si>
  <si>
    <t>In total, data were available for two large woods, about 30 small woods, two urban parks but only one farmland site. To test for differences in performance in the different habitat types, a mixed model with fixed effects for habitat type, year and type x year interaction, and random effects for site, site x year interaction and nest box was used.</t>
  </si>
  <si>
    <t>Grey tit,
Blue tit</t>
  </si>
  <si>
    <t>Parus minor,
Cyanistes caeruleus</t>
  </si>
  <si>
    <t>Nesting survival, Micro breeding</t>
  </si>
  <si>
    <t>Overall, reproductive success in both great tits and blue tits declined with declining habitat patch size (e.g. from large woods to small woods) and with increasing fragmentation (e.g. from woods to park/farmland) (Figure 2). Both fewer (Figure 2c, &amp; f) and poorer quality (i.e. lower body mass, Figure 2b &amp; e) young were reared in secondary habitats. By definition, habitat specialists are likely to be more vulnerable to loss, fragmentation and modification of their primary habitat, less likely to exploit secondary habitats and prone to competition/predation from increasing numbers of generalists. Sedentary species and poor dispersers will be at particular risk.</t>
  </si>
  <si>
    <t>shrub layer, tree layer, overall canopy cover, total height, vertical layer assessment, tree species composition</t>
  </si>
  <si>
    <t>Top canopy height of different layers (tree, understory, ground) = overall canopy cover.
Visited nest boxes.
Vertical layer assessment = description of the heights of the vertical layers (canopy, understory, ground)</t>
  </si>
  <si>
    <t>A78</t>
  </si>
  <si>
    <t>Walther et al. (2018)</t>
  </si>
  <si>
    <t>Walther BA, Geier J, Chou LS, Bain A.</t>
  </si>
  <si>
    <t>Taiwan</t>
  </si>
  <si>
    <t>The figs of winter: Seasonal importance of fruiting fig trees (Ficus: Moraceae) for urban birds.</t>
  </si>
  <si>
    <t>anth.bain@gmail.com</t>
  </si>
  <si>
    <t>Taipei, New Taipei</t>
  </si>
  <si>
    <t>Taipei city (National Taiwan University campus and Da'an forest park); New Taipei city (Wulai and Gongliao districts); and the Hengchun and Manzhou townships (Pingtung county) in the south of Taiwan Island</t>
  </si>
  <si>
    <t>Twenty-five individual trees of five Ficus species, namely, F. caulocarpa (n = 2), F. microcarpa (n = 5), F. septica (n = 1), F. subpisocarpa (n = 16), and F. virgata (n = 1), were observed. For each surveyed tree, an estimation of fruit abundance was made whereby the volume of the tree was multiplied with a measure of fruit density (estimated from eight 1-m branches). Furthermore, the size (namely, diameter and height) of ten randomly chosen figs was measured.</t>
  </si>
  <si>
    <t>They observed 42 bird species consuming 18 fig species. The bird diversity in urban areas was non-negligible even during winter. Therefore, there are two reasons why figs are important for Taiwan's bird avifauna: in cities, the tree diversity is generally low so that figs provide a stable food resource; and since figs are fruiting all year-round, they are one of the few reliable resources available during winter when many migrant birds overwinter in Taiwan. Already crucial for many species in tropical and subtropical forests, fig trees may also be essential for urban birds in tropical and subtropical regions.</t>
  </si>
  <si>
    <t>fruit metrics, tree species composition</t>
  </si>
  <si>
    <t>A79</t>
  </si>
  <si>
    <t>Šálek et al. (2004)</t>
  </si>
  <si>
    <t>Šálek M, Marhoul P, Pintíř J, Kopecký T, Slabý L.</t>
  </si>
  <si>
    <t>Czech Republic</t>
  </si>
  <si>
    <t>Importance of unmanaged wasteland patches for the grey partridge Perdix perdix in suburban habitats.</t>
  </si>
  <si>
    <t>salek@lf.czu.cz</t>
  </si>
  <si>
    <t>Prague</t>
  </si>
  <si>
    <t>Locations at the border of the administrative territory of Prague, the Czech Republic</t>
  </si>
  <si>
    <t>Non-linear wasteland patches (further referred to as “patches”) have been defined as unmanaged (idle) herbaceous communities in their early stages of succession. Habitat description of patches performed in June 2002 includes the following parameters: mean height of herb vegetation, proportion of shrubs and trees and rate of direct human disturbances.</t>
  </si>
  <si>
    <t>Grey Partridge</t>
  </si>
  <si>
    <t>Perdix perdix</t>
  </si>
  <si>
    <t>Patches, physically separated one from another, consisted mainly of land left idle by city planners for future development projects such as shopping centers, roads or houses.</t>
  </si>
  <si>
    <t>Behaviour, Biodiversity</t>
  </si>
  <si>
    <t>Foraging/Movement, Species distribution, Biodiversity metric</t>
  </si>
  <si>
    <t>Patch size, availability of patches within the surrounding landscape and mean height of plant cover were the most important factors influencing the numbers of breeding pairs among patches. Numbers of weed seeds collected on the soil surface seems to be of greater importance than specific plant composition. Distance to the nearest monitored patch, proportion of shrubs and trees and human disturbances showed no significant influence on pair numbers within patches. Only the proportion of forests was found to have a negative influence on the presence of grey partridges in distances &gt;750 m of the nearest patches. In other words, small and isolated patches of any plant composition anywhere within the studied agricultural landscape cannot be of the same quality as clusters of large patches situated nearby, even though they are supported by grassy lines or by the absence of human constructions.</t>
  </si>
  <si>
    <t>Wasteland patches are highly valuable for grey partridge conservation but only once they begin to be dominated by an overly high vegetation (grasses, shrubs). If a seed-bank, optimal herb cover and wild partridge populations were present, the patches did not require any other specific management or, as r-selective habitats, any protection against disturbances such as human activity nearby the settlements.</t>
  </si>
  <si>
    <t>tree layer, shrub species composition, shrub layer, ground layer, total height, tree species composition</t>
  </si>
  <si>
    <t>Ground layer = grassy lines and weeded spots</t>
  </si>
  <si>
    <t>A80</t>
  </si>
  <si>
    <t>Hinsley et al. (2008)</t>
  </si>
  <si>
    <t>Hinsley SA, Hill RA, Bellamy PE, Harrison NM, Speakman JR, Wilson AK, et al.</t>
  </si>
  <si>
    <t>Effects of structural and functional habitat gaps on breeding woodland birds: working harder for less.</t>
  </si>
  <si>
    <t>Landscape Ecology</t>
  </si>
  <si>
    <t>Cardiff and Cambridgeshire</t>
  </si>
  <si>
    <t>The two study sites were Bute Park in Cardiff, south Wales, UK, and Monks Wood National Nature Reserve (NNR) in Cambridgeshire, eastern England, UK.</t>
  </si>
  <si>
    <t>Composition, Fragmentation, Canopy Cover</t>
  </si>
  <si>
    <t>Canopy height and habitat patchiness were measured using airborne Light Detection And Ranging (LiDAR).</t>
  </si>
  <si>
    <t>Great Tits,
Blue Tits</t>
  </si>
  <si>
    <t>Breeding, Biodiversity, Survival</t>
  </si>
  <si>
    <t>Biodiversity metric, Nesting survival, Micro breeding</t>
  </si>
  <si>
    <t>In the park, the reproductive success of great tits was reduced compared with the wood, and yet female energy expenditure was higher, despite the smaller brood sizes. Thus great tits in the park worked harder for less return. In the wood, birds with less oak around their boxes worked harder than average, while in the park, birds with fewer trees worked harder. In the wood, birds with less oak around their boxes worked harder than average, while in the park, birds with fewer trees worked harder.</t>
  </si>
  <si>
    <t>In parks and other secondary habitats, and especially where space to increase total habitat area is limited, this could be done by increasing the proportion of native tree species. In woodland, increasing the proportion of oak, and other tree species with rich invertebrate faunas, is one possibility, but would have to be balanced against additional requirements of both the birds and other taxa.</t>
  </si>
  <si>
    <t>tree layer, tree species composition, overall canopy cover, total height</t>
  </si>
  <si>
    <t>% of gap in the canopy (canopy &gt; 1 m) &amp; habitat patchiness = overall canopy cover
Used nest boxes.</t>
  </si>
  <si>
    <t>A81</t>
  </si>
  <si>
    <t>Dures &amp; Cumming (2010)</t>
  </si>
  <si>
    <t>Dures SG, Cumming GS.</t>
  </si>
  <si>
    <t>South Africa</t>
  </si>
  <si>
    <t>The confounding influence of homogenising invasive species in a globally endangered and largely urban biome: Does habitat quality dominate avian biodiversity?</t>
  </si>
  <si>
    <t>Biological Conservation</t>
  </si>
  <si>
    <t>simondures@gmail.com</t>
  </si>
  <si>
    <t>Cape Town</t>
  </si>
  <si>
    <t>Cape Town, South Africa</t>
  </si>
  <si>
    <t>Single vegetation type was selected for the study; Cape Flats Sand Fynbos. At each site they measured the average canopy height of the dominant vegetation and the density of A. saligna within a 20 m quadrat.</t>
  </si>
  <si>
    <t>Cape Flats Sand Fynbos has also been heavily invaded by the Australian Acacia saligna (Port Jackson Wattle). The massive invasion of the lowlands of the fynbos biome by A. saligna, with little or no evidence of predation, has been aided by two characteristics that enable it to outcompete the native flora.</t>
  </si>
  <si>
    <t>November</t>
  </si>
  <si>
    <t>Changes in urban density and the presence or absence of the invasive alien tree species Acacia saligna (blue wattle) appeared to be the main drivers of avian species richness. Increasing urban density, decreasing A. saligna density and decreasing canopy height correlated with higher avian species richness, with confounding variables corrected for.</t>
  </si>
  <si>
    <t>For the management of urban biodiversity, the results suggest that the most urgent focus should be on retaining the quality remaining areas of native vegetation (and particularly, containing the spread of A. salgina) rather than extending current networks with poor quality habitat. More generally, habitat quality appears to be more important than habitat amount or arrangement in this system.</t>
  </si>
  <si>
    <t>total height, tree species composition, tree layer, stem density</t>
  </si>
  <si>
    <r>
      <rPr>
        <rFont val="Times New Roman"/>
        <color theme="1"/>
        <sz val="11.0"/>
      </rPr>
      <t xml:space="preserve">Average canopy height of dominant vegetation = total height
Density of </t>
    </r>
    <r>
      <rPr>
        <rFont val="Times New Roman"/>
        <i/>
        <color theme="1"/>
        <sz val="11.0"/>
      </rPr>
      <t>A. saligna</t>
    </r>
    <r>
      <rPr>
        <rFont val="Times New Roman"/>
        <color theme="1"/>
        <sz val="11.0"/>
      </rPr>
      <t xml:space="preserve"> measured. Used acacia presence or absence to divide sites.</t>
    </r>
  </si>
  <si>
    <t>A84</t>
  </si>
  <si>
    <t>Sol et al. (1997)</t>
  </si>
  <si>
    <t>Sol D, Santos DM, Feria E, Clavell J.</t>
  </si>
  <si>
    <t>Habitat Selection by the Monk Parakeet during Colonization of a New Area in Spain.</t>
  </si>
  <si>
    <t>Barcelona</t>
  </si>
  <si>
    <t>The study was conducted in the city of Barcelona (NE Spain), excluding industrial areas and mountainous zones of the periphery.</t>
  </si>
  <si>
    <t>In Spain, parakeet nests have been found in palms (Phoenix spp.), eucalyptus (Eucalyptus spp.), pines. Thus, nest-site availability was estimated by counting the individuals of these four tree species in each square. % Forest Cover.</t>
  </si>
  <si>
    <t>Monk Parakeet</t>
  </si>
  <si>
    <t>Myiopsittu monachus</t>
  </si>
  <si>
    <t>Abundance, Nesting survival</t>
  </si>
  <si>
    <t>Most of the nests were located in palms, a few in pines, and the rest in a Trachycarpus sp., an elm, and on a wall covered by Ivy (Hedera helix). There were significant differences between used and random squares (Table 2), the former tending to contain more palms and food, a higher percentage of park area, and to be located near urban parks. Squares containing forest areas were not used by parakeets.</t>
  </si>
  <si>
    <t>total height, overall canopy cover, planting arrangement, stem density, tree layer, diameter, tree species composition</t>
  </si>
  <si>
    <t>Assessed food availability per square by counting the number of vegetation species present that the parakeets fed upon: included grasses, shrubs, and trees.
Assessed % of square covered by close woods = overall canopy cover
Number of trees surrounding or touching the nest palm trees = planting arrangement.</t>
  </si>
  <si>
    <t>A85</t>
  </si>
  <si>
    <t>Blewett &amp; Marzluff (2005)</t>
  </si>
  <si>
    <t>Blewett CM, Marzluff JM.</t>
  </si>
  <si>
    <t>Effects of urban sprawl on snags and the abundance and productivity of cavity-nesting birds.</t>
  </si>
  <si>
    <t>corvid@u.washington.edu</t>
  </si>
  <si>
    <t>Seattle</t>
  </si>
  <si>
    <t>49, 1-km2 ‘‘suburban landscapes’’ within a 3200 km2 area
of temperate, moist forest around Seattle, Washington</t>
  </si>
  <si>
    <t>Density of snags in 49 sites (1-km2 “suburban landscapes” that included built and forested portions), and the diameter, height, decay status, and species of individual snags. count of all live trees and record of their species. Live tree densities (trees ha−1), percent of each species, and mean DBH.</t>
  </si>
  <si>
    <t>Black-capped Chickadee, Red-breasted Nuthatch, Northern Flicker, Downy Woodpecker, Brown Creeper, Chestnut-backed Chickadee, Pileated and Hairy Woodpecker, Red-breasted Sapsucker</t>
  </si>
  <si>
    <t>Poecile atricapillus, Sitta canadensis, Colaptes auratus, Picoides pubescens, Certhia americana, Poecile rufescens, Dryocopus pileatus, Picoides villosus, Sphyrapicus ruber</t>
  </si>
  <si>
    <t>Biodiversity metric, Species distribution, Macro breeding, Abundance, Meso breeding</t>
  </si>
  <si>
    <t>Snags, especially red alder (Alnus rubra), were abundant in sites' forested portions, but rare in the built portions. Snag density was positively correlated with density of live trees. Snags in built versus forested portions were similar in all attributes except decay, which was more advanced in forested areas. In the oldest suburbs (60–80 years old), snags in forested portions were larger, more decayed, and more likely to have broken tops than those in younger suburbs (2–20 years old). Cavity-nesting bird species richness and equity of individuals per species was highest in suburban landscapes where remaining forest was not fragmented, but adjacent to highly intermixed urban and urban-forest land covers. Suburban landscapes with highly interspersed land covers had higher densities of Black-capped Chickadees (Poecile atricapillus), Red-breasted Nuthatches (Sitta canadensis), Northern Flickers (Colaptes auratus) and Downy Woodpeckers (Picoides pubescens); suburban landscapes with higher percentages of forest had higher densities of Brown Creepers (Certhia americana), Chestnut-backed Chickadees (Poecile rufescens), Pileated (Dryocopus pileatus) and Hairy Woodpeckers (Picoides villosus). Red-breasted Sapsucker (Sphyrapicus ruber) densities were positively correlated only with the density of snags. Cavity-nesting birds bred successfully in all landscapes; seven of the nine species produced fledglings in &gt;50% of their nesting attempts. Snags important for nesting were larger in diameter, taller, and more decayed than expected based on availability. Snags with active nests also had evidence of previous use, fungal conks, broken tops, and substantial bark.</t>
  </si>
  <si>
    <t>The importance of snag density and 1-km2-scale landscape attributes (amount of remaining forest, and interspersion of forest and built areas) to cavity-nesting birds differed by species, suggesting that conservation of this guild in areas of rapid urban development may need to be addressed at multiple scales and requires planners to make trade-offs between species. Fortunately, retaining forest and interspersing forest and built areas are not necessarily mutually exclusive. Sites with high interspersion of forest and urban areas require at least moderate amounts of forest: one site had 27% forest and contained all nine species of birds. This site was 30-years old, which suggests that this amount of forest can maintain cavity-nesting bird populations following development.
Variety in development pattern may become increasingly important as large areas of forest are developed. To increase densities and reproductive success of all species, different patterns of developments with differing amounts of percent forest would be prudent. For example, planners in the Pacific Northwest should design some developments that retain at least 60% forest for every 100 ha developed, where mean forest patch sizes are 20–30 ha, and some that have 27% to 60% forest in a variety of patch sizes interspersed with urban areas. Forested parks (70%–96% forest; large mean forest patch sizes 23–30 ha; very small mean urban patch sizes 0.14 to 0.74 ha) would complement these urban areas for the benefit of cavity-nesting birds. When deciding which forest areas to conserve, we recommend targeting conservation efforts to areas with high densities of existing snags (&gt;8 snags ≥25 cm DBH ha−1), and live trees (&gt;318 trees ha−1). These management suggestions would also provide the diversity of forest conditions used by mature and early-successional forest songbirds (Donnelly 2002, Donnelly and Marzluff 2004).
Active management may be needed within built portions of suburban landscapes to conserve snags with characteristics important to cavity-nesters. Based on snags used by cavity-nesting birds in our study, efforts should be made to conserve all snags that are large in diameter (minimum of 30–40 cm), more decayed (class 2), red alder and coniferous species, taller (&gt;18 m), with broken tops, with some bark remaining, with conk fungus, and containing other cavities.</t>
  </si>
  <si>
    <t>total height, tree condition, tree species composition, overall canopy cover, standing dead trees, diameter, stem density</t>
  </si>
  <si>
    <t>Tree condition = level of decay of snag
Analyse % forest in each site = overall canopy cover.
Searched for nests of cavity-nesting birds.</t>
  </si>
  <si>
    <t>A86</t>
  </si>
  <si>
    <t>Gleditsch and Carlo (2011)</t>
  </si>
  <si>
    <t>Gleditsch JM, Carlo TA.</t>
  </si>
  <si>
    <t>Fruit quantity of invasive shrubs predicts the abundance of common native avian frugivores in central Pennsylvania.</t>
  </si>
  <si>
    <t>Diversity and Distributions</t>
  </si>
  <si>
    <t>Peer-Reviewed Article</t>
  </si>
  <si>
    <t>jmg5214@gmail.com</t>
  </si>
  <si>
    <t>Centre County</t>
  </si>
  <si>
    <t>To select point count locations, a rectangular grid was laid over a map of the State College area in Centre County, Pennsylvania (Fig. 1). The grid was made of 30 2.5 · 2.5 km squares and measured 15 · 12.5 km. The grid was centred at the Penn State University Campus</t>
  </si>
  <si>
    <t>40°47' 44"N</t>
  </si>
  <si>
    <t>77°51'52"</t>
  </si>
  <si>
    <t>We conducted a fruit-removal experiment using 78 potted black nightshade plants (Solanum americanum – greenhouse grown) bearing ripe fruit in September of 2009 at two sites in the State College area in Centre County, PA. The objective was to test for differences in fruit-removal rates for a native plant species in two contrasting backgrounds.</t>
  </si>
  <si>
    <t>We recorded a total of 34 species of birds and at least 22 species of fleshy-fruited zoochorous plants (see Appendix S1 &amp; S2 in Supporting Information). In censuses, frugivorous robins and catbirds were the two most abundant and frequently detected bird species, accounting for 31.7%. The abundance of catbirds, robins, and American goldfinches (Carduelis tristis) were positively correlated with Lonicera fruit, while counts of red-bellied woodpeckers (Melanerpes carolinus), downy woodpeckers (Picoides pubescens) and dark-eyed juncos (Junco hyemalis) were negatively correlated with Lonicera fruit. When looking at the influence of land cover types on the numerically dominant bird frugivores (i.e. catbirds and robins), we found that the land cover around each point did not have a significant effect on the frugivore abundance.</t>
  </si>
  <si>
    <t>Our results advise caution to be taken in conducting control and eradication practices since reductions in Lonicera could negatively impact frugivore abundance, which could have undesirable ecological and economical consequences in both local and distant regions. We argue that in the case of Lonicera, control can be locally targeted to favour the dispersal and establishment of native species where it seems fit. However, a widespread and rapid eradication of large patches of dense Lonicera across the landscape might pose a greater immediate threat to biodiversity if control programs do not account for the loss of resources for bird mutualists and other consumers.</t>
  </si>
  <si>
    <t>tree species composition, fruit metrics, stem density, shrub species composition</t>
  </si>
  <si>
    <t>Measured fruit removal rates.</t>
  </si>
  <si>
    <t>A87</t>
  </si>
  <si>
    <t>Bakermans and Rodewald (2006)</t>
  </si>
  <si>
    <t>Bakermans MH, Rodewald AD.</t>
  </si>
  <si>
    <t>Scale-Dependent Habitat use of Acadian FlyCatcher (Empidonax Virescens) in Central Ohio.</t>
  </si>
  <si>
    <t>The Auk</t>
  </si>
  <si>
    <t>bakermans.1@osu.edu</t>
  </si>
  <si>
    <t>Franklin, Pickaway, and Delaware counties</t>
  </si>
  <si>
    <t>Thirty-six riparian forest sites were selected in Franklin, Pickaway, and Delaware counties, Ohio, which averaged 57.2% agriculture–open land, 29.6% urban (i.e. paved or built-up land), and 6.3% forest</t>
  </si>
  <si>
    <t>Composition, Forested area, Land use type</t>
  </si>
  <si>
    <t>Forest width, vegetation density, snags, small trees, large trees, % urban</t>
  </si>
  <si>
    <t>Acadian Flycatcher</t>
  </si>
  <si>
    <t>Empidonax virescens</t>
  </si>
  <si>
    <t>Percentage of urban cover at the landscape scale best explained observed variation in abundance of Acadian Flycatchers (∆AICc = 0, ωi = 0.76; Table 4), and was 4.7× more likely than other models based on Akaike weights. We found no evidence that our measures of vegetation structure and arthropod biomass were potential causes of these landscape associations. In other words, vegetation structure within a stand did not change as the landscape shi_x001b_ed from a rural to urban matrix or with varying forest width. Vegetation density was 2.5× lower within the nest patch than throughout the stand, which suggests that Acadian Flycatchers avoided areas with dense understory vegetation, possibly associated with invading exotic shrubs (e.g. amur honeysuckle and multiflora rose). One of our most striking findings was that numbers of Acadian Flycatchers were negatively related to the amount of urban development within 1 km. Acadian Flycatchers required wider riparian forests (≥105 m) than those in rural landscapes (≥85 m).</t>
  </si>
  <si>
    <t>Land managers and biologists should consider a multiscale approach when designing or improving reserves that addresses landuse planning at landscape scales coupled with habitat management. Although management at the local scale may be more convenient, a central challenge facing ecologists and managers will be synthesizing the complex factors that influence animal populations and communities across scales into clear, usable management approaches.</t>
  </si>
  <si>
    <t>stem density, diameter, standing dead trees</t>
  </si>
  <si>
    <t>Number of fallen logs assessed.
Tree species, % canopy cover, and % ground cover measured, then dropped as a variable.</t>
  </si>
  <si>
    <t>A88</t>
  </si>
  <si>
    <t>Friesen et al. (2013)</t>
  </si>
  <si>
    <t>Friesen LE, Casbourn G, Martin V, Mackay RJ.</t>
  </si>
  <si>
    <t>Canada</t>
  </si>
  <si>
    <t>Nest predation in an anthropogenic landscape.</t>
  </si>
  <si>
    <t>The Wilson Journal of Ornithology</t>
  </si>
  <si>
    <t>lyle.friesen@ec.gc.ca</t>
  </si>
  <si>
    <t>Waterloo</t>
  </si>
  <si>
    <t>The Region of Waterloo, Ontario (population 553,000; 2011 estimate, www.regionofwaterloo.ca), which encompasses a 1,369 km- area in southwestern Ontario.</t>
  </si>
  <si>
    <t>Forested area, Composition, Canopy Cover</t>
  </si>
  <si>
    <t>We conducted field work during 2006-2010 in 14 woodlots in the Region of Waterloo, Ontario. The study sites consisted of upland deciduous forest and were located in an agricultural/urban-suburban landscape with 14% forest cover and a mean forest patch size of 12.8 ha.</t>
  </si>
  <si>
    <t>Wood Thrushes</t>
  </si>
  <si>
    <t>Hylocichia mustelina</t>
  </si>
  <si>
    <t>Survival</t>
  </si>
  <si>
    <t>Nesting survival, Individual survival/mortality</t>
  </si>
  <si>
    <t>Three species contributed to the majority (61%) of prédation events (Table 1). Brown-headed Cowbirds were the most frequently recorded predators (n = 15 events, all in the incubation stage). Our study provides further evidence that the abundance of a potential nest predator species does not automatically equate to actual risk of prédation for a songbird species, and that the cast of species regularly identified as common nest predators in urban and fragmented habitats may require revision with respect to their individual importance. Contrary to our prediction, we found support for effects of higher levels of urban pressure reducing the probability of prédation. In our case, the reverse was true; as housing intensity increased in and around a nest site, the chance of a prédation event decreased. The probability of prédation in our study area was unaffected by forest size or percent forest cover. Such lack of infiuence could be attributed to the fact that all our woodlots were of relatively small size and that regional forest cover was so low that any possibility of meaningful association became irrelevant as larger radii were used in the models.</t>
  </si>
  <si>
    <t>overall canopy cover</t>
  </si>
  <si>
    <t>Overall canopy cover = % forest cover</t>
  </si>
  <si>
    <t>A96</t>
  </si>
  <si>
    <t>Atsushi et al. (2017)</t>
  </si>
  <si>
    <t>Atsushi Shimazaki, Yuichi Yamaura, Masayuki Senzaki, Yuki Yabuhara, Futoshi Nakamura.</t>
  </si>
  <si>
    <t>Mobbing call experiment suggests the enhancement of forest bird movement by tree cover in urban landscapes across seasons.</t>
  </si>
  <si>
    <t>Avian Conservation &amp; Ecology</t>
  </si>
  <si>
    <t>yamaura@ffpri.affrc.go.jp</t>
  </si>
  <si>
    <t>Sapporo, Hokkaido and adjacent cities</t>
  </si>
  <si>
    <t>We conducted experiments in Sapporo, Hokkaido, Japan and six adjacent cities (Otaru, Ebetsu, Ishikari, Kitahirosima, Chitose, and Tomakomai; Fig. 1) to examine the effects of three elements included in the urban landscape on bird movement. Sapporo is the fourth largest city in Japan, with a population of 1.93 million.</t>
  </si>
  <si>
    <t>43°3′ N</t>
  </si>
  <si>
    <t>141°20′E</t>
  </si>
  <si>
    <t>We estimated the effects of tree cover, building area, electric wire density, and season on the probabilities that focal species crossed the plots (crossing probability) using logistic regression analysis.</t>
  </si>
  <si>
    <t>Marsh Tit, Varied Tit, Japanese Tit, and Eurasian Nuthatch</t>
  </si>
  <si>
    <t>Poecile palustris, Sittiparus varius, P. minor, Sitta europaea</t>
  </si>
  <si>
    <t>Foraging</t>
  </si>
  <si>
    <t>The tree cover had a positive effect on the crossing probabilities of the focal species other than Varied Tit, suggesting that planting trees effectively would promote forest bird movement in urban landscapes fitting well with previous studies showing that forest birds use individual trees or small patches as stepping stones in agricultural landscapes. We observed that individual birds used coniferous trees as the perches during the experiments (A. Shimazaki, personal observation). However, forest birds can have preferences in tree species (Holmes and Robinson 1981, Yoshii et al. 2015), and what tree species are planted may be important for the gap-crossing behavior as well as bird movements in urban area.</t>
  </si>
  <si>
    <t>These suggest that planting broadleaved trees may be beneficial for many bird species.</t>
  </si>
  <si>
    <t>tree layer</t>
  </si>
  <si>
    <t>A97</t>
  </si>
  <si>
    <t>Sasaki et al. (2016)</t>
  </si>
  <si>
    <t>Sasaki T, Imanishi J, Fukui W, Morimoto Y.</t>
  </si>
  <si>
    <t>Fine-scale characterization of bird habitat using airborne LiDAR in an urban park in Japan.</t>
  </si>
  <si>
    <t>Urban Forestry &amp; Urban Greening</t>
  </si>
  <si>
    <t>sasakita2@gmail.com</t>
  </si>
  <si>
    <t>Suita City</t>
  </si>
  <si>
    <t>The study was conducted at the Expo ‘70Commemorative Park located in Suita City, Osaka Prefecture, Japan</t>
  </si>
  <si>
    <t>34 47-48' 00"</t>
  </si>
  <si>
    <t>135 31-32' 00"</t>
  </si>
  <si>
    <t>Composition, Diversity metric, Canopy Cover</t>
  </si>
  <si>
    <t>Tree canopy percentage within a 25-m radius for each plot was derived and used as a reference standard for LiDAR data in the following analyses. The plots having canopy area more than 60% were defined as “dense-canopy plots.”LIDAR canopy height model (CHM), the number of strata (NSTRAT) and the foliage height diversity (FHD) were derived. Within each 25-m radius plot corresponding to the field-based bird survey area, the mean, standard deviation, and maximum of the CHM values (CHMMEAN, CHMSD, and CHMMAX, respectively), and the mean of the NSTRAT and FHD values (STRATMEAN and FHDMEAN respectively) were calculated. In addition, total vegetation amount (VGTAMOUNT) was derived for each plot by counting the sum of the “present” voxels. VGTAMOUNT is proportional to the percent vegetation cover (PCVC).</t>
  </si>
  <si>
    <t>more than 10</t>
  </si>
  <si>
    <t>This park was revegetated after the World Exposition in 1970, and now the planted trees have reached heights of up to 20 m.</t>
  </si>
  <si>
    <t>All of the response variables were explained by one or a few LiDAR variables, and the 1 × 1 × 1-m voxel-based variables were especially robust estimators. When targeting only densely-forested plots having more than 60% canopy area, the LiDAR data efficiency declined in estimation of the richness and diversity of whole forest bird species, whereas a laser penetration rate was efficient for estimating the Paridae species abundance.</t>
  </si>
  <si>
    <t>The results implied that the LiDAR data are useful in habitat characterization of forest birds, and even when targeting only dense forests, some LiDAR variables are effective for habitat estimation of birds preferring specific forest structures. In the future, application of LiDAR across a variety of ecosystems will greatly serve to develop adaptive conservation and management planning for urban forests.</t>
  </si>
  <si>
    <t>total height, vertical layer assessment, overall canopy cover, tree layer</t>
  </si>
  <si>
    <t>Foliage height diversity metric.
Number of strata metric = vertical layer assessment</t>
  </si>
  <si>
    <t>A98</t>
  </si>
  <si>
    <t>Clergeau and Quenot (2007)</t>
  </si>
  <si>
    <t>Clergeau P, Quenot F.</t>
  </si>
  <si>
    <t>Roost selection flexibility of European starlings aids invasion of urban landscape.</t>
  </si>
  <si>
    <t>philippe.clergeau@rennes.inra.fr</t>
  </si>
  <si>
    <t>Brittany</t>
  </si>
  <si>
    <t>Firstly, we analysed roost sites used by starlings in Brittany (27,000 km2), western France.</t>
  </si>
  <si>
    <t>To characterise trees, we measured total tree height, clear bole height, canopy height, canopy radius, bole circumference at breast height and an estimate of canopy volume. We also estimated the availability of small branches (&lt;2 cm) using four photographs of canopy cover per tree (according to the recommendations of Mills et al., 1993) and classified the trees into four cover classes: 0 (&lt;10%), 1 (11–25%), 2 (26–40%), 3 (&gt;40%).</t>
  </si>
  <si>
    <t>European Starling</t>
  </si>
  <si>
    <t>Sturnus vulgaris</t>
  </si>
  <si>
    <t>Micro breeding, Abundance</t>
  </si>
  <si>
    <t>Our analysis of urban starling roost site characteristics showed the importance of the size of the trees (tree height, canopy volume) and of the high availability of small branches of the trees selected by birds. Characteristics of urban starling roosts are the same as those obtained for other birds in urban context. Especially large trees with a high density of twigs allow large numbers of starlings to perch and benefit from wind protection.</t>
  </si>
  <si>
    <t>From these characteristics, we can recommend that homogeneous patches of tall trees with a high density of foliage and twigs should be avoided if urban roosts are undesirable. Pruning of trees could also be used to avoid the development of a high density of small branches.</t>
  </si>
  <si>
    <t>shrub layer, tree species composition, diameter, plant functional types, total height, crown height, ground layer, shrub species composition, crown width/area</t>
  </si>
  <si>
    <t>Reeds &amp; lawns= ground cover.
Clear bole height ≠ merchantable bole height
Canopy height = crown height</t>
  </si>
  <si>
    <t>A99</t>
  </si>
  <si>
    <t>Fernandez-Juricic (2002)</t>
  </si>
  <si>
    <t>FernÁndez-Juricic E.</t>
  </si>
  <si>
    <t>Nested patterns of species distribution and winter flock occurrence of insectivorous birds in a fragmented landscape.</t>
  </si>
  <si>
    <t>Ecoscience</t>
  </si>
  <si>
    <t>The study was conducted in the city of Madrid (Spain) in 23 wooded parks ranging from 0.23 ha to 118 ha during the 1998 winter.</t>
  </si>
  <si>
    <t>Composition, Fragmentation</t>
  </si>
  <si>
    <t>Vegetation traits included shrub cover, shrub height, number of shrub species, coniferous cover, deciduous cover, number of tree species, tree height, and number of stems &lt; 10 cm, 10-30 cm, 30-50 cm, and &gt; 50 cm diameter at breast height (d.b.h.).</t>
  </si>
  <si>
    <t>Great tit, blue tit, coal tit, long-tailed tit, chiffchaff, firecrest, treecreeper</t>
  </si>
  <si>
    <t>Parus major, Parus caeruleus, Parus ater, Aegithalos caudatus, Phylloscopus collybita, Regulus ignicapillus, Certhia brachydactyla</t>
  </si>
  <si>
    <t>Species distribution, Biodiversity metric</t>
  </si>
  <si>
    <t>Small insectivorous species followed a nested distributional pattern in this landscape mainly determined by fragment size, whereby species present in small fragments were subsets of those in larger fragments. The degree of isolation affected two species, coal tits and great tits, decreasing flock occurrence probabilities. Certain habitat features (coniferous cover, number of thick trees) raised the chances of flock occurrence of chiffchaffs, coal tits, and firecrests, likely because of higher prey abundance during winter.</t>
  </si>
  <si>
    <t>total height, plant functional types, tree layer, tree species composition, diameter, shrub layer, shrub species composition</t>
  </si>
  <si>
    <t>Number of trees ≠ stem density.</t>
  </si>
  <si>
    <t>A100</t>
  </si>
  <si>
    <t>Heymen (2010)</t>
  </si>
  <si>
    <t>Heymen, E.</t>
  </si>
  <si>
    <t>Sweden</t>
  </si>
  <si>
    <t>Clearance of understory in urban woodlands: Assessing impact on bird abundance and diversity</t>
  </si>
  <si>
    <t>Forest Ecology and Management</t>
  </si>
  <si>
    <t>erik.heyman@dpes.gu.se</t>
  </si>
  <si>
    <t>Alingsas, Boras, and Skovde</t>
  </si>
  <si>
    <t>County of Vastra Gotaland in south-western Sweden. Five experimental sites on the fringe of three cities.</t>
  </si>
  <si>
    <t>Composition, Forested Area,</t>
  </si>
  <si>
    <t>Vegetation mapping, tree and understory vegetation was surveyed at ten points in each of the 13 experimental plots. All stems of bushes and trees over 1m height were counted within a circle with area of 100m2. Species and DBH recorded for all stems.</t>
  </si>
  <si>
    <t>Land owned by municipalities. No recent clearance or thinning before the experiment. One site was part of a nature reserve.</t>
  </si>
  <si>
    <t>Demographics/Patterns, Biodiversity</t>
  </si>
  <si>
    <t>Abundance, Species Distribution, Changes in Community</t>
  </si>
  <si>
    <t>Reduction in bird densities in plots with "complete" clearance, where understory was reduced by 89%. In plots with "patchy" clearance, understory was reduced by 54%, but no decrease in bird densities compared to control plots.</t>
  </si>
  <si>
    <t>stem density, shrub species composition, tree layer, plant functional types, shrub layer, diameter</t>
  </si>
  <si>
    <t xml:space="preserve">Clearance of bushes, shrubs, and small trees.
Understory vegetation ≠ ground layer
What is the difference between a bush and a shrub?
</t>
  </si>
  <si>
    <t>A101</t>
  </si>
  <si>
    <t>Huang et al. (2015)</t>
  </si>
  <si>
    <t>Huang, Y., Zhao, Y., Li, S., von Gadow, K.</t>
  </si>
  <si>
    <t>China</t>
  </si>
  <si>
    <t>The Effects of habitat area, vegetation structure and insect richness on breeding bird populations in Beijing urban parks</t>
  </si>
  <si>
    <t>huangyue_315@163.com</t>
  </si>
  <si>
    <t>Beijing</t>
  </si>
  <si>
    <t>Beijing city parks</t>
  </si>
  <si>
    <t>39 54'20"_x0004__x0004_N</t>
  </si>
  <si>
    <t>116 25'29"_x0004_E</t>
  </si>
  <si>
    <t>Composition, Canopy cover, Forested area</t>
  </si>
  <si>
    <t>Number of trees by species, DBH in cm, height, canopy cover, frequencies.</t>
  </si>
  <si>
    <t>The results suggest that larger parks do support a greater number of bird species. The reasons 
for birds choosing particular habitats are twofold: the biological characteristics of the bird 
species: a species with higher persistence ability is able to maintain a population with a higher 
density even after correction for the sampling area (Bolgeret al., 1991) and habitat quality, which 
determines access to essential resources.However, in our study, woody plant richness did not 
play a significant positive role, exceptin the models with Spolli and Apolli as intervening variables. 
The richness of the whole breeding bird community, Insecti, f-Foliage and n-Tree groups was 
affected positively by Swood, which again indicates that woody plants are important for 
breeding birds relying on trees.</t>
  </si>
  <si>
    <t>This study, like many others, has shown that in designing parks, the choice of plants is crucial for the maintenance of rich bird communities.</t>
  </si>
  <si>
    <t>plant functional types, total height, shrub layer, shrub species composition, ground layer, tree species composition, crown width/area, diameter, tree layer</t>
  </si>
  <si>
    <t>Ground layer = grasses and herbs</t>
  </si>
  <si>
    <t>A103</t>
  </si>
  <si>
    <t>Wang et al. (2021)</t>
  </si>
  <si>
    <t>Wang, M., Zhang, H., Fan, S., Hao, P., Dong, L</t>
  </si>
  <si>
    <t>A zoning-based solution for hierarchical forest patch mosaic in urban parks.</t>
  </si>
  <si>
    <t>iswangmon@gmail.com</t>
  </si>
  <si>
    <t>Core of Beijing, China</t>
  </si>
  <si>
    <t>The plant community structure was described by the number of understory layers. Simple vegetation structures referred to one layer of lawn, shrub, or tree only, and two layers of tree-shrub, tree-herb (lawn), and shrub-herb, while complex vegetation structures (i.e., three or more layers) could include various combinations of turf, herbs, shrubs, understory trees, and canopy trees. The numbers and dimensions of understory layers and multilayered vegetation were also measured.</t>
  </si>
  <si>
    <t>One of the parks was the first to implement Beijing's Urban Master Plan: which proposed the strategy of “Let the forest into the city” to build urban forests with near-natural complex community features (dominant indigenous species and dominant overstory tree layer followed by understory shrub and herb layers)</t>
  </si>
  <si>
    <t>This study found that a small forest patch assigned a stronger biodiversity function than did general parks because of complex vegetation structures. Bird and insect diversity indices are significantly correlated with vegetation structures. Insectivore bird species would increase because of more insect species that prefer understory shrubs as main habitats (Xie et al., 2016). The positive interactions within a plant-insect-bird system reveal the fundamental and crucial role of HFP in urban areas.</t>
  </si>
  <si>
    <t>tree layer, shrub layer, ground layer, vertical layer assessment, shrub species composition, tree species composition</t>
  </si>
  <si>
    <t>Design planting of hierarchical forest patches in urban parks.</t>
  </si>
  <si>
    <t>A105</t>
  </si>
  <si>
    <t>Arévalo et al. (2022)</t>
  </si>
  <si>
    <t>Arévalo C, Amaya-Espinel JD, Henríquez C, Ibarra JT, Bonacic C.</t>
  </si>
  <si>
    <t>Chile</t>
  </si>
  <si>
    <t>Urban noise and surrounding city morphology influence green space occupancy by native birds in a Mediterranean-type South American metropolis</t>
  </si>
  <si>
    <t>Scientific Reports</t>
  </si>
  <si>
    <t>bona@uc.cl</t>
  </si>
  <si>
    <t>Santiago</t>
  </si>
  <si>
    <t>59 small green spaces (SGS) and 6 large urban parks (PAR) in the Metropolitan Region of Santiago (MRS) in central Chile</t>
  </si>
  <si>
    <t>Canopy Cover, Forested area, Composition</t>
  </si>
  <si>
    <t>The average NDVI for each urban green space as an estimate of vegetation cover.
The proportion of native vegetation and tree cover (vegetation &gt; 2 m tall) in each green space was estimated.</t>
  </si>
  <si>
    <t>Significantly higher noise levels were detected in SGS, along with significantly greater exotic bird (n = 4) richness and abundance than PAR, which possessed significantly greater native bird (n = 25) richness and abundance. Native birds were more abundant than exotic birds in green spaces with average noise levels &lt; 52 dB and average NDVI &gt; 0.5. Occupancy models indicate that green space occupancy by 50% of modeled native bird species was influenced by maximum noise levels, playing a larger role than vegetation (30%) and urban morphology (0%).</t>
  </si>
  <si>
    <t>Management, Conservation</t>
  </si>
  <si>
    <t>Noise associated with urbanization plays a significant role in influencing green space occupancy by native bird species, and, quite possibly, other animal species dependent on acoustic signaling (e.g., amphibians and mammals). Given the recreational role of urban green spaces in cities, noise regulation within these areas should be considered, while also considering how city morphology may impact bird communities. This study exemplifies how, in addition to noise, the size of urban green spaces and the vegetation cover in them, particularly tree cover, are vital aspects to consider in city planning in order to preserve native bird communities in urban systems. Large urban parks held significantly richer bird communities than small green spaces, with greater native bird richness and abundance. Therefore, it is imperative that science and city planning collaborate to develop cities with networks of large green spaces with abundant tree cover, surrounded by smaller urban morphology, where noise is regulated and maintained at tolerable levels for native birds. There is a clear need to move towards biophilic city planning to harmonize urban growth and the protection and expansion of networks of green areas that generate habitat for birds that, in turn, provide important ecosystem services to cities.</t>
  </si>
  <si>
    <t>tree layer, overall canopy cover</t>
  </si>
  <si>
    <t>A106</t>
  </si>
  <si>
    <t>Aurora et al. (2009)</t>
  </si>
  <si>
    <t>Aurora AL, Simpson TR, Small MF, Bender KC</t>
  </si>
  <si>
    <t>Toward increasing avian diversity: urban wildscapes programs</t>
  </si>
  <si>
    <t>r_simpson@txstate.edu</t>
  </si>
  <si>
    <t>San Antonio</t>
  </si>
  <si>
    <t>study sites consisted of two adjacent residential neighborhoods in San Antonio, Texas and a natural area outside the city limits</t>
  </si>
  <si>
    <t>vegetative community at each study site by species composition, density, and vertical cover of woody plant species</t>
  </si>
  <si>
    <t>Development of WCN began in 1996. At the time of our study it was completed and occupied. It encompasses about 10.1 ha and includes 29 single-family, residential lots with a mean lot size of 0.18 ha. Certification as a Texas Wildscapes neighborhood was achieved through developer and Texas Wildscapes program coordinators cooperation. Removal of native flora (trees and shrubs) was minimized during construction and pre-construction vegetative structure was retained on lots and in drainages. Post construction stipulations required only plants native to the area be used in landscaping (for more details see http://www.tpwd.state.tx.us/huntwild/wild/wildscapes/). 
Our TDN site was typical of residential developments constructed from the 1960s until the late 1990s. Commercial turf grass lawns compose the understory with non-native ornamental shrubs and trees representing a large portion of over-story species. It encompassed about 24 ha with a mean individual lot size of 0.11 ha, typical of residential developments in the general area. There was no coordinated effort to incorporate wildlife habitat or native vegetation into the TDN development planning.</t>
  </si>
  <si>
    <t>Biodiversity, Demographics/Patterns</t>
  </si>
  <si>
    <t>Species distribution, Abundance, Biodiversity metric</t>
  </si>
  <si>
    <t>Bird abundance and species richness in the neighborhoods were greater than at Government Canyon State Natural Area (P &lt; 0.01), but no differences existed between the neighborhoods. Bird diversity was greatest at the wildscapes neighborhood (P &lt; 0.01). Further, bird diversity did not differ between the traditional neighborhood and the natural area. Evenness differed among sites (P = 0.006) with the natural area having the greatest value. Bird diversity measures correlated with woody plant density and vertical cover (r = 0.358 to 0.673, P &lt; 0.05) at residential sites.</t>
  </si>
  <si>
    <t>The results are also consistent with research linking urban and suburban development and the intermediate disturbance hypothesis (Blair 1996, Marzluff 2005, McKinney 2002). McKinney (2002) suggests the most efficient conservation strategy for maintaining species richness within housing developments is to retain predevelopment vegetation. This practice, incorporated in development of WCN, represents an intermediate stage of neighborhood development compared to traditional construction techniques which remove existing vegetation to facilitate construction. Since completion of the study, five additional neighborhoods have been certified as Texas Wildscapes. Additional studies are needed to evaluate overall program effectiveness, but this study indicates the Texas Wildscapes program and similar programs have the potential to provide significant benefits to native wildlife species in residential areas.</t>
  </si>
  <si>
    <t>vertical layer assessment, shrub species composition, tree species composition, stem density, overall canopy cover</t>
  </si>
  <si>
    <t>Vertical layer assessment = vegetative profile board</t>
  </si>
  <si>
    <t>A108</t>
  </si>
  <si>
    <t>Blinkova &amp; Shupova (2017)</t>
  </si>
  <si>
    <t>Blinkova O, Shupova T</t>
  </si>
  <si>
    <t>Ukraine</t>
  </si>
  <si>
    <t>Bird communities and vegetation composition in the urban forest ecosystem: correlations and comparisons of diversity indices</t>
  </si>
  <si>
    <t>Ekológia</t>
  </si>
  <si>
    <t>elena.blinkova@gmail.com</t>
  </si>
  <si>
    <t>Vinnytsia</t>
  </si>
  <si>
    <t>Study sites were all located within the Vinnytsia city</t>
  </si>
  <si>
    <t>Composition, Diversity metric</t>
  </si>
  <si>
    <t>Forestry vegetation (diversity indices, dominance indices, distribution uniformity
indices) of intensive, medium, moderate and weak stages of recreational transformation of biotope.</t>
  </si>
  <si>
    <t>There were significant correlations between vertical heterogeneity of tree distribution and abundance, species richness and nesting density of birds. 
The interrelationship between species diversity of birds and floristic richness was also confirmed.</t>
  </si>
  <si>
    <t>stem density, tree species composition, age, total height, tree layer, standing dead trees, shrub layer, leaf litter layer, ground layer, vertical layer assessment, shrub species composition, tree condition, diameter</t>
  </si>
  <si>
    <t>Measured the distance between forest trees (not planted).
Vertical layer assessment = index of vertical heterogeneity of vegetation (IVH)</t>
  </si>
  <si>
    <t>A112</t>
  </si>
  <si>
    <t>Pei et al. (2018)</t>
  </si>
  <si>
    <t>Pei N, Wang C, Jin J, Chen B, Qie G, Qiu E, Gu L, Sun R, Li J, Zhang C, Jiang S, Zhang Z</t>
  </si>
  <si>
    <t>Long-term afforestation efforts increase bird species diversity in Beijing, China</t>
  </si>
  <si>
    <t>nancai.pei@gmail.com</t>
  </si>
  <si>
    <t>Forested area, Land use type, Composition</t>
  </si>
  <si>
    <t>Values of forest coverage (a comprehensive biotic indicator) recorded since 1949 were extracted from the Beijing Statistical Yearbook (http://www.bjstats.gov.cn/). Woodland areas with a canopy density≧ 0.2 were included in the calculation of forest coverage. Records of land use and land-cover change (LUCC) in 1985, 1995 and 2013 were available in the database, which corresponded approximately to records of BSD from 1987, 1994 and 2014. Several biological characteristics of commonly used tree species
were identified during the PAP study, including taxonomical, geographical, and phenological items.</t>
  </si>
  <si>
    <t>China is undergoing rapid development both economically and socially (with an urbanization rate of around 56% in 2015). In order to improve the ecological environment in the region, in 1979 China has launched the “Three Norths Shelter Forest System Project”, which will continue until 2050. This project is officially considered to be extremely necessary and generally successful, though accompanied with misunderstandings and even controversies. In order to enlarge the ecological area in urbanized plains, the Beijing municipal government
decided to carry out the “Plain Afforestation Project (PAP)”. Initiated in
early 2012 and basically completed by late 2014, the project resulted in
the planting of over 50 million individuals of more than 160 plant
species (ca. 700 km2
), increasing the forest coverage to 41% (ca. 24.5%
in urbanized plains).</t>
  </si>
  <si>
    <t>Community changes</t>
  </si>
  <si>
    <t>Specifically, 344 species (belonging to 70 families and 18 orders) were
reported in 1987, 375 species (71 families and 18 orders) in 1994, and
430 species (73 families and 18 orders) in 2014, respectively. The records exhibited an almost consistent pattern, with endemic, migratory
and vagrant bird species accounting for approximately 15%, 80% and
5% of the total, respectively. Compared with 1987, 118 species were
recorded, while 37 species had disappeared in 2014 (Table 2). reported in 1987, 375 species (71 families and 18 orders) in 1994, and 430 species (73 families and 18 orders) in 2014, respectively. The records exhibited an almost consistent pattern, with endemic, migratory and vagrant bird species accounting for approximately 15%, 80% and 5% of the total, respectively. Compared with 1987, 118 species were recorded, while 37 species had disappeared in 2014 (Table 2).</t>
  </si>
  <si>
    <t>shrub species composition, plant functional types, overall canopy cover, tree species composition</t>
  </si>
  <si>
    <t>Canopy density and forest coverage metrics.</t>
  </si>
  <si>
    <t>A116</t>
  </si>
  <si>
    <t>DeGraaf &amp; Wentworth (1986)</t>
  </si>
  <si>
    <t>DeGraaf RM, Wentworth JM</t>
  </si>
  <si>
    <t>Avian guild structure and habitat associations in suburban bird communities</t>
  </si>
  <si>
    <t>Urban Ecology</t>
  </si>
  <si>
    <t>Amherst</t>
  </si>
  <si>
    <t>Amherst (pop. 
25 000), a university town in western Massachusetts.</t>
  </si>
  <si>
    <t>Vegetation measurements included the diameter breast height (d.b.h.), 
total height, and height to crown of all deciduous and coniferous trees, 
height of coniferous and deciduous shrubs, and the areas of lawn and 
herbaceous growth on each 1-ha plot. Values were calculated for deciduous 
and coniferous tree and shrub densities, numbers of tree and shrub species, 
and coniferous:deciduous ratios for trees and shrubs.</t>
  </si>
  <si>
    <t>Community changes, Species distribution</t>
  </si>
  <si>
    <t>Breeding bird communities were compared in three suburbs: a 70-year-old area of 
large houses along streets shaded by mature trees (MT), primarily oaks (Quercus) and 
elms (Ulmus); a 15-year-old area built upon open agricultural land with young maple 
(Acer) street trees (YT); and a 15-year-old area on which houses were built in small 
clearings within a second-growth oak-pine (Quercus-Pinus) woodland (OP). Bird 
censuses each year for 5 years revealed that YT supported the lowest total avian density 
of the three suburbs; OP supported the greatest variety and total density of insectivores, 
and the lowest number of ground-gleaning omnivores; and MT supported the highest 
total avian density, comprised primarily of ground-foraging seed eaters and omnivores. 
Among nesting guilds, OP contained the fewest ground/herb nesters, and MT the most. 
Also, OP had the fewest shrub nesters, and MT the most. Tree cavity and twig nesters 
were significantly more numerous in OP, and tree branch nesters fewer in YT than in 
either OP or MT.</t>
  </si>
  <si>
    <t>Apparently, no 
matter how diverse, a planted habitat may not suffice as a replacement for 
forest insectivores. Edge species will probably continue to thrive in suburbs, 
but to attract many insectivorous migrant species (which have been used as 
measures of avifaunal quality (Walcott, 1974), native forest must be retained 
where possible.</t>
  </si>
  <si>
    <t>plant functional types, shrub species composition, crown height, total height, diameter, tree species composition, stem density, ground layer</t>
  </si>
  <si>
    <t>DBH is a proxy for age.</t>
  </si>
  <si>
    <t>A117</t>
  </si>
  <si>
    <t>DeGraaf (1991)</t>
  </si>
  <si>
    <t>DeGraaf RM</t>
  </si>
  <si>
    <t>Winter foraging guild structure and habitat associations in suburban bird communities</t>
  </si>
  <si>
    <t>USDA Forest Service, Northeastern Forest Experiment Station, University of Massachusetts, Amherst, MA 01003, USA</t>
  </si>
  <si>
    <t>Vegetation measurements included the diameter at breast height (DBH ), total height, and height to crown of all deciduous and coniferous trees, height of deciduous and coniferous shrubs, and areas of lawn and nerbaceous growth on each 1 ha plot. Values were calculated for coniferous and deciduous tree and shrub densities, numbers of tree and shrub species, and coniferous : deciduous ratios for trees and shrubs.</t>
  </si>
  <si>
    <t>Community changes, Abundance, Biodiversity metric</t>
  </si>
  <si>
    <t>The total number of species across suburban types was 32: total abundance was higher (P&lt;0.05) in MT and YT than in OP. Species richness was similar in each suburban type. Seedeaters and omnivorous ground-foragers dominated the avifaunas of MT and YT, comprising 86% and 92% of their respective avifaunal abundances. Insectivores comprised 14% of the avifauna in OP, but less than 4% and 1% respectively, in MT and YT.
All significant correlations (r) between ground foragers and measures of tree cover were negative: positive relationships existed between lawn area and distance to the nearest forest fragment. All significant correlations between numbers of insectivores and measures of tree cover were positive. Even though MT contained the largest trees and the greatest tree species and shrub richness, habitat conditions for insectivorous birds were poor in this mature, planted habitat compared with those in OP, built in remnant natural woodland.</t>
  </si>
  <si>
    <t>Features such as fields and woodlots are important to high bird species richness in the larger landscape; the overall landscape must support a diverse avifauna from which the greatest variety may be attracted through se!ection of plant materials to smaller sites. Urbanization need not eliminate insectivorous forest birds if fragments of native woodland are retained where possible.</t>
  </si>
  <si>
    <t>ground layer, tree species composition, total height, stem density, crown height, shrub species composition, diameter, plant functional types</t>
  </si>
  <si>
    <t>A118</t>
  </si>
  <si>
    <t>Diamond &amp; Ross (2018)</t>
  </si>
  <si>
    <t>Diamond JM, Ross MS</t>
  </si>
  <si>
    <t>Tree selection and foraging height of wintering Yellow-bellied Sapsuckers (Sphyrapicus varius) in an urban environment</t>
  </si>
  <si>
    <t>jdiam009@fiu.edu</t>
  </si>
  <si>
    <t>Miami Beach, Palmetto Bay</t>
  </si>
  <si>
    <t>2 municipalities, the City of Miami Beach, and the Village of Palmetto Bay. Both communities are coastal, and Palmetto Bay is ~20 km southeast of Miami Beach. We also
collected data on the main campus of Florida International University, ~23 km west of Miami Beach.</t>
  </si>
  <si>
    <t>Composition, Individual tree management, Diversity metric</t>
  </si>
  <si>
    <t>tree inventories collected by arborists contracted by Palmetto Bay and Miami Beach. In the tree inventories, all trees within the public right-of-way were recorded,along with the species identification, diameter at breast height (DBH), tree health, and infrastructure conflicts. We did not have a tree inventory for Florida International University, so we produced our own inventory, recording the DBH of all trees encountered along walking transects, with additional data collected on drilled trees. We combined all 3 inventories for 
analysis. We recorded all individual trees with sap holes created by Yellow-bellied Sapsuckers and the percentage of bole length drilled. We recorded the height above the ground of the lowest sap hole because it may indicate the sapsucker’s vulnerability to feral cats or other terrestrial predators. We considered a drilled tree as a ‘‘host tree’’ (i.e., used 
heavily by sapsuckers) if it contained 100 sap hole bands.</t>
  </si>
  <si>
    <t>Yellow-bellied Sapsucker</t>
  </si>
  <si>
    <t>Sphyrapicus varius</t>
  </si>
  <si>
    <t>We determined that black olive (Bucida buceras) and tropical almond (Terminalia catappa) trees are strongly preferred and are used to a greater extent than all other trees. Coconut palms (Cocos nucifera) and baldcypress (Taxodium distichum) are also drilled but are less likely to become host trees with ≥100 bands of sap holes. In urban areas where black olive and tropical almond are grown, these trees are used so extensively by the sapsucker that bands of sap holes usually extend to within a meter of the ground surface.</t>
  </si>
  <si>
    <t>Not really observations of birds, but their sap holes. I included as still relevant to bird success and tree managements.</t>
  </si>
  <si>
    <t>tree species composition, tree condition, perch/nest height, diameter</t>
  </si>
  <si>
    <t>Tree proximity to infrastructure.
Recorded the % of bole length drilled with sap holes.
Perch height = height of lowest sap hole.</t>
  </si>
  <si>
    <t>A122</t>
  </si>
  <si>
    <t>Clement et al. (2019)</t>
  </si>
  <si>
    <t>Clement MA, Barrett K, Baldwin RF.</t>
  </si>
  <si>
    <t>Key habitat features facilitate the presence of Barred Owls in developed landscapes:</t>
  </si>
  <si>
    <t>mcleme2@clemson.edu</t>
  </si>
  <si>
    <t>We conducted surveys along an urban-wildland gradient within a 300 km² portion of the Piedmont ecoregion of South Carolina</t>
  </si>
  <si>
    <t>We used data from the 2018 National Wetland Inventory (U.S. Department of the Interior, Fish and Wildlife Service 2018) to calculate wetland area, excluding open water and large lakes such as Lake Hartwell. We extracted 3 habitat variables, i.e., deciduous forest, coniferous forest, and impervious surface, and classified all other features as “other.”</t>
  </si>
  <si>
    <t>Barred Owl</t>
  </si>
  <si>
    <t>Strix varia</t>
  </si>
  <si>
    <t>Although Barred Owls are almost exclusively described as inhabiting contiguous mature forest, our research demonstrates that Barred Owls can occupy developed areas provided certain habitat requirements are met. Across the development gradient, we found average tree height was the best estimator of Barred Owl occupancy probability, which suggests that habitat structure is critical to Barred Owl presence in developed. Because neither deciduous nor coniferous forest area was a parameter featured in the top-ranking models, tree maturity appears to be a better predictor of Barred Owl occupancy than total forest coverage in our study region. This indicates that individual or small patches of large trees can meet the habitat requirements of Barred Owls. Our study indicates that mature urban canopy may be critical to sustain Barred Owls in urban areas. As a tertiary and secondary consumer, Barred Owls may serve the function of an umbrella species; the management and protection of Barred Owls could indirectly protect other wildlife sensitive to anthropogenic change.</t>
  </si>
  <si>
    <t>total height, tree layer, stem density, plant functional types</t>
  </si>
  <si>
    <t>Tree layer = coniferous/deciduous forest cover
All land cover variables converted to densities.
Tree height as a proxy for tree maturity.</t>
  </si>
  <si>
    <t>A123</t>
  </si>
  <si>
    <t>Shanahan et al. (2011)</t>
  </si>
  <si>
    <t>SHANAHAN DF, POSSINGHAM HP, MARTIN TG.</t>
  </si>
  <si>
    <t>Australia</t>
  </si>
  <si>
    <t>Foraging height and landscape context predict the relative abundance of bird species in urban vegetation patches.</t>
  </si>
  <si>
    <t>Austral Ecology</t>
  </si>
  <si>
    <t>danielleshanahan@gmail.com</t>
  </si>
  <si>
    <t>Brisbane</t>
  </si>
  <si>
    <t>We test the efficacy of this ranking system in both revegetated areas and unmanaged remnant vegetation sites in Brisbane, Australia.</t>
  </si>
  <si>
    <t>Unmanaged remnant vegetation with weedy undergrowth. Areas which have been revegetated, beginning as cleared land or with few remnant trees. Weed management ongoing.</t>
  </si>
  <si>
    <t>Overall, we found that Model 3 (Similarity between the foraging preferences of species i and the vegetation cover of a given stratum within patch j, adjusted for the landscape context) provided the highest level of success in ranking patches for the relative abundance of the 30 species considered. This model performed better in unmanaged remnant vegetation than in revegetated areas. Incorporating landscape context into the predictive model enhanced accuracy for bird species which primarily forage in understorey vegetation, including the eastern whipbird, and the variegated and superb fairy-wrens. However, consistent with our expectations, incorporating landscape context decreased model accuracy for some ground foraging species. Such species are known to adapt well to urban landscapes and forage largely in open areas. Increasing woody vegetation cover in the landscape is therefore likely to decrease suitable foraging areas for these species.</t>
  </si>
  <si>
    <t>perch/nest height, total height, vertical layer assessment, overall canopy cover</t>
  </si>
  <si>
    <t>Foraging height = vegetation stratum categories
Vertical layer assessment = vegetation stratum.
Tree, shrub, ground cover assessment.
Overall canopy cover = woody vegetation cover</t>
  </si>
  <si>
    <t>A124</t>
  </si>
  <si>
    <t>Porter et al. (2005)</t>
  </si>
  <si>
    <t>Porter EE, Bulluck J, Blair RB.</t>
  </si>
  <si>
    <t>Multiple spatial-scale assessment of the conservation value of golf courses for breeding birds southwestern Ohio.</t>
  </si>
  <si>
    <t>blairrb@umn.edu</t>
  </si>
  <si>
    <t>Cincinnati</t>
  </si>
  <si>
    <t>We sampled 6 golf courses within a 50-km radius of Cincinnati, Ohio in the Eastern Broadleaf Forest (Bailey et al. 1994).</t>
  </si>
  <si>
    <t>39 20'</t>
  </si>
  <si>
    <t>84 20'</t>
  </si>
  <si>
    <t>Diversity metric, Native species, Composition, Exotic/invasive species</t>
  </si>
  <si>
    <t>We measured vegetation characteristics of all woody plants within 50 m of the 16 points used for bird sampling in each course.</t>
  </si>
  <si>
    <t>All 3 diversity measures tended to decrease in more intensively developed courses, and there was no clear pattern for bird abundance (Table 2). Declining birds showed a significant positive relationship with total DBH (Table 3). Otherwise, no environmental variables were related to total, Neotropical, or grassland bird abundance, and no on-site environmental variables were related to any bird community measure. On-site vegetation characteristics did not vary according to the same predictable pattern. Total bird-species composition was similar in the 4 least-developed courses, and only the most-developed course, the Oxford Country Club, was missing more than 20% of the entire species pool. Therefore, species richness did not vary tremendously. Our results suggest that any increase in land-use intensity within the landscape beyond the creation of a golf course reduces bird diversity. While landscape buffers explained the most variation in bird diversity among golf courses, there was no advantage to using one buffer size over another. In this study natural land surrounding golf courses probably was the single most important determinant of bird community structure.</t>
  </si>
  <si>
    <t>Developers interested in creating golf courses useful for bird conservation should strive to establish as large a buffer as possible, with minimal housing around courses. Our results indicate that any decrease in buffer size from 500 m leads to a corresponding decrease in bird abundance and species richness. They also should maintain as much natural cover as possible within these buffers. This relationship suggests that a small buffer, free from housing developments, surrounding a course improves its conservation value.</t>
  </si>
  <si>
    <t>diameter, plant functional types, tree species composition, ground layer</t>
  </si>
  <si>
    <t>Percent landcover
Ground layer = golf course grass assessment
- height of grass</t>
  </si>
  <si>
    <t>A127</t>
  </si>
  <si>
    <t>Murgui (2010)</t>
  </si>
  <si>
    <t>Murgui, E.</t>
  </si>
  <si>
    <t>Seasonality and nestedness of bird communities in urban parks in Valencia, Spain.</t>
  </si>
  <si>
    <t>enmurpe@alumni.uv.es</t>
  </si>
  <si>
    <t>Valencia</t>
  </si>
  <si>
    <t>The urban parks of Valencia, Spain, an urban area spanning approximately 35 km2, represent a combined total area of 287.2 ha, with ca 50% of parks measuring B1 ha in size</t>
  </si>
  <si>
    <t>Composition, Forested area, Canopy Cover</t>
  </si>
  <si>
    <t>As potentially explanatory variables of nestedness (Table 1) I included park size and isolation (Lomolino 1996, Ferna ́ndez-Juricic 2000a), park habitat variables (Ferna ́ndez-Juricic 2000a), and human disturbance (Ferna ́ndez-Juricic 2002). These variables were also important in explaining the species-area relationship in the studied system</t>
  </si>
  <si>
    <t>Park area was associated with presence of all species except for the house sparrow and the white wagtail. Isolation appeared to have little effect on the distribution of wintering species. However isolation from parks _x0015_10 ha was negatively associated with the occurrence of four breeding species while distance to nearest cultivated land was positively associated with two breeding species. A reduction in use of parks by some species outside the breeding season does not appear to be compensated for by an increase in use by other species.</t>
  </si>
  <si>
    <t>In the studied system, colonization events would be facilitated by the short distances between parks and from parks to the regional pool (B5 km), and by the relatively large range of dispersal abilities of the species</t>
  </si>
  <si>
    <t>fruit metrics, total height, tree species composition, tree layer, diameter, ground layer</t>
  </si>
  <si>
    <r>
      <rPr>
        <rFont val="Times New Roman"/>
        <color theme="1"/>
        <sz val="11.0"/>
      </rPr>
      <t xml:space="preserve">% fruit tree cover
</t>
    </r>
    <r>
      <rPr>
        <rFont val="Times New Roman"/>
        <b/>
        <color theme="1"/>
        <sz val="11.0"/>
      </rPr>
      <t xml:space="preserve">
</t>
    </r>
    <r>
      <rPr>
        <rFont val="Times New Roman"/>
        <color theme="1"/>
        <sz val="11.0"/>
      </rPr>
      <t>They use DBH as a threshold (only count trees greater than 50 cm DBH).</t>
    </r>
    <r>
      <rPr>
        <rFont val="Times New Roman"/>
        <b/>
        <color theme="1"/>
        <sz val="11.0"/>
      </rPr>
      <t xml:space="preserve">
</t>
    </r>
    <r>
      <rPr>
        <rFont val="Times New Roman"/>
        <color theme="1"/>
        <sz val="11.0"/>
      </rPr>
      <t>% cover of fruit trees count = fruit metrics</t>
    </r>
  </si>
  <si>
    <t>A128</t>
  </si>
  <si>
    <t>Dykstra et al. (2021)</t>
  </si>
  <si>
    <t>Dykstra CR, Hays JL, Simon MM, Wegman AR, Dykstra LR, Williams KA.</t>
  </si>
  <si>
    <t>Habitat and weather conditions influence reproductive rates of suburban and rural Red-shouldered Hawks Buteo lineatus.</t>
  </si>
  <si>
    <t>Ibis</t>
  </si>
  <si>
    <t>cheryldykstra@gmail.com</t>
  </si>
  <si>
    <t>We studied Red-shouldered Hawks nesting in suburban and rural areas of southern Ohio. Our suburban study site in the Interior Plateau ecoregion (Omernik 1987) of southwestern Ohio (SWOH) included nests in the suburbs of Cincinnati</t>
  </si>
  <si>
    <t>32 13' 32"</t>
  </si>
  <si>
    <t>84 25' 49"</t>
  </si>
  <si>
    <t>Land cover types quantified within our study areas included: deciduous and mixed forest, coniferous forest, high-intensity developed area (80–100% impervious surfaces), medium- and low-intensity developed areas (2079% impervious surfaces), open-space developed areas (mostly lawn grasses; &lt; 20% impervious surfaces), agriculture (pasture/hay and cultivated crops), grassland, shrubs, wetlands (emergent herbaceous and woody), barren, and open water (Table 1).</t>
  </si>
  <si>
    <t>Red-shouldered Hawk</t>
  </si>
  <si>
    <t>Buteo lineatus</t>
  </si>
  <si>
    <t>mid-February</t>
  </si>
  <si>
    <t>mid-April</t>
  </si>
  <si>
    <t>Productivity of Red-shouldered Hawks did not differ between the suburban and rural study areas in any of the 20 years of the study. Higher May air temperatures and increasing amounts of coniferous forest were associated with higher reproductive rates, whereas increasing April air temperatures and increasing amount of grassland cover had the opposite effect. Land cover variables associated with suburban regions did not influence reproductive rates, suggesting that the Red-shouldered Hawk is welladapted to suburban environments.</t>
  </si>
  <si>
    <t>shrub layer, ground layer, plant functional types, tree layer</t>
  </si>
  <si>
    <t>Land cover: deciduous, coniferous, grassland, shrubs, etc.
Forest land cover assessed.</t>
  </si>
  <si>
    <t>A129</t>
  </si>
  <si>
    <t>Rega-Brodsky &amp; Nilon (2017)</t>
  </si>
  <si>
    <t>Rega-Brodsky CC, Nilon CH.</t>
  </si>
  <si>
    <t>Forest cover is important across multiple scales for bird communities in vacant lots</t>
  </si>
  <si>
    <t>We conducted our study in Baltimore, Maryland, as a part of the Baltimore Ecosystem Study, a long-term ecological research project</t>
  </si>
  <si>
    <t>Canopy Cover, Composition, Land use type</t>
  </si>
  <si>
    <t>Within each sample plot, we measured 17 habitat variables: canopy cover (%), canopy height (m), shrub density (shrub stem count), ground cover (%) and composition, and tree species richness, count, and diameter-at-breastheight (dbh).</t>
  </si>
  <si>
    <t>Baltimore is a shrinking city and has lost 34 % of its population since its peak in 1950 (Pallagst et al. 2015; U.S. Census Bureau 2014) due to loss of manufacturing jobs, increasing crime rates, and movement into the adjacent county. This loss of population and jobs caused an increase in vacant lots throughout the city to its current level of 16,500 vacant parcels, comprising over 1700 ha</t>
  </si>
  <si>
    <t>Vegetation structure and composition of urban lots varied considerably (Table 1). The majority of the vacant lots were dominated by grass ground cover with a height that indicated a lack of regular mowing maintenance. Canopy coverage was moderate because most sites only had a few trees. We detected 60 bird species within our point count surveys (Table 3). The ordination indicated a separation of study sites' species composition primarily by the presence and abundance
of trees at the site. At a threshold of r2 = 0.25, tree species
richness, canopy height and canopy coverage were positively
correlated with both Axes 1 and 2 (Fig. 2). The positive correlation of these variables with both axes indicated a gradient
in tree cover, as sites ranged from those in areas with high
impervious surfaces and fewer trees (low axes scores) to those
within forested areas with high tree cover (high axes scores).</t>
  </si>
  <si>
    <t>tree species composition, diameter, ground layer, leaf litter layer, tree layer, shrub layer, stem density, vertical layer assessment, coarse woody debris layer, total height</t>
  </si>
  <si>
    <t>Vertical layer assessment = evaluation of horizontal and vertical layers and vegetation structure</t>
  </si>
  <si>
    <t>A130</t>
  </si>
  <si>
    <t>Xie et al. (2020)</t>
  </si>
  <si>
    <t>Xie S, Wang X, Zhou W, Wu T, Qian Y, Lu F, Gong C, Zhao H, Ouyang Z.</t>
  </si>
  <si>
    <t>The effects of residential greenspace on avian Biodiversity in Beijing</t>
  </si>
  <si>
    <t>Global Ecology and Conservation</t>
  </si>
  <si>
    <t>zyouyang@rcees.ac.cn</t>
  </si>
  <si>
    <t>Within each quadrat, plant species (including tree, shrub and herb species) and the coverage of trees and shrubs were recorded.</t>
  </si>
  <si>
    <t>As the capital of China, Beijing has a 2000-year history of urban settlement and in recent decades has become an international metropolis, with a typical layout consisting of a single centre with multiple surrounding concentric ring roads</t>
  </si>
  <si>
    <t>In our field survey, a total of 3425 individuals of 19 species were recorded, which belong to 5 orders and 13 families. Including the only raptor, Eurasian Sparrowhawk (Accipiter nisus), which is a Class 2 protected animal in China, there were nine bird species that were recorded in a single residential community. . In comparison, there were 9101 individuals of 52 species recorded in urban parks, which belongs to nine orders and 23 families.</t>
  </si>
  <si>
    <t>Therefore, we suggest a more comprehensive understanding of the landscape matrix within the entire buffer zone when it comes to the planning of residential communities, since the spatial configuration of greenspaces could be more important than their size in terms of urban avifauna abundance</t>
  </si>
  <si>
    <t>tree layer, shrub species composition, shrub layer, tree species composition</t>
  </si>
  <si>
    <t>Noted the species of herbs.</t>
  </si>
  <si>
    <t>A132</t>
  </si>
  <si>
    <t>Antikainen (1992)</t>
  </si>
  <si>
    <t>Antikainen E</t>
  </si>
  <si>
    <t>Kenya</t>
  </si>
  <si>
    <t>The vertical use of a city park by urban birds in Poland</t>
  </si>
  <si>
    <t>Cracow</t>
  </si>
  <si>
    <t>Planty, a 4 km long (20.5 ha) park, encircles the 
Old City of Cracow</t>
  </si>
  <si>
    <t>The park was divided into the following six vertical zones:
1) the ground,
2) the top of the bushes and the lowest branches
of trees up to about 3 m,
3) halfway up the trees, i.e . approximately 8 m,
4) the top of the trees, i.e . 15 m,
5) the height of the roof of 5-storey houses, or 25
meters, and high top brances and
6) the air space above the roofs.</t>
  </si>
  <si>
    <t>The four most abundant species, the Feral Pigeon Columba livia, Rook Corvus frugilegus, 
House Sparrow Passer domesticus and Collared Turtle Dove Streptopelia decaocto, comprised 
88.6% of the individuals. The total densities, 1013 and 1382 pairs/10 ha, did not vary significantly during the season (censuses of March and early May, t = 0.26) . The herb layer (ground) and the two following vertical zones were exploited by the granivorous/ omnivorous Feral Pigeon, House Sparrow and Rook, which availed themselves of the year-round feeding in the park and market place. The upper height zones (4-5) were used by granivorous species and Rooks and Jackdaws, which perch and roost in canopy . The Swift Apus apus utilized the aerial plankton (zone 6) .</t>
  </si>
  <si>
    <t>perch/nest height, vertical layer assessment</t>
  </si>
  <si>
    <t>Vertical layer assessment = analysis of vertical use by birds</t>
  </si>
  <si>
    <t>A136</t>
  </si>
  <si>
    <t>Borgmann &amp; Rodewald (2004)</t>
  </si>
  <si>
    <t>Borgmann KL, Rodewald AD.</t>
  </si>
  <si>
    <t>NEST PREDATION IN AN URBANIZING LANDSCAPE:THE ROLE OF EXOTIC SHRUBS.</t>
  </si>
  <si>
    <t>Ecological Applications</t>
  </si>
  <si>
    <t>kathiborgmann@hotmail.com</t>
  </si>
  <si>
    <t>Franklin and Delaware Counties</t>
  </si>
  <si>
    <t>The study area was located within the Scioto River Watershed in central Ohio. Sites were located within Franklin and Delaware counties on publicly and privately owned lands. Land cover within these two counties was primarily agriculture (44%) and urban/residential development (41%), whereas only 8.5% of the land cover was forested</t>
  </si>
  <si>
    <t>Exotic/invasive species, Land use type, Composition, Native species</t>
  </si>
  <si>
    <t>Vegetation characteristics describing the nest patch (0.04-ha circular plot centered on the nest) were measured for the most common species. Nest-patch characteristics measured included distance of the nest from the nearest forest edge, number and diameter (1.4 m above the ground) of tree species, number of snags, amount of course woody debris (logs [$7.5 cm diameter and $1 m long] and stumps), understory vegetation volume (#3 m), and percent canopy cover (measured with an ocular tube). We measured characteristics of nest placement within each nest substrate, including nest height, nest substrate species, number of branches supporting the nest, diameter of support branches, distance of the nest from the central axis of the nest substrate, and distance of the nest from the nearest foliage edge.</t>
  </si>
  <si>
    <t>American Robin,
Northern Cardinal</t>
  </si>
  <si>
    <t>Turdus migratorious,
Carinalis cardinalis</t>
  </si>
  <si>
    <t>Of these nests, 24% were in honeysuckle, 28% in rose, and 48% in native substrates. Nests in exotic shrubs in urbanizing landscapes experienced higher daily mortality rates (DMR) than those in more rural landscapes. Although exotic shrubs in the natural nest study did not appear to negatively impact nest success in rural landscapes, results from the artificial nest experiment indicate that exotic shrubs in rural landscapes can still reduce nest success. Therefore, our results provide compelling evidence that the nest substrate itself, rather than its location within a site, is responsible for increased predation.</t>
  </si>
  <si>
    <t>First, because invasion of exotic shrubs is tied to the landscape matrix (Borgmann 2002), and landscape matrix characteristics (i.e., urbanization) exacerbated the negative impacts of exotic shrubs, managers can identify forest reserves where avian communities may be especially vulnerable and require additional conservation attention. Second, city planners and managers can take a proactive approach by addressing land uses that increase invasion risk. For example, low-development buffer zones surrounding forest reserves may reduce invasion by exotic plants. Third, at the local scale, restoring the native shrub community, especially in urban landscapes, may prove to be a viable strategy to improve nest success for species already at risk.</t>
  </si>
  <si>
    <t>shrub layer, coarse woody debris layer, tree layer, ground layer, perch/nest height, tree species composition, diameter, standing dead trees</t>
  </si>
  <si>
    <t xml:space="preserve">Percent canopy cover = tree layer
Understory vegetation volume = shrub &amp; ground layer </t>
  </si>
  <si>
    <t>A137</t>
  </si>
  <si>
    <t>Ausprey &amp; Rodewald (2011)</t>
  </si>
  <si>
    <t>Ausprey IJ, Rodewald AD.</t>
  </si>
  <si>
    <t>Postfledging Survivorship and Habitat Selection Across a Rural-to-Urban Landscape Gradient.</t>
  </si>
  <si>
    <t>We conducted research in  mature riparian forest stands located within the Columbus metropolitan area of Franklin and Delaware counties, Ohio.</t>
  </si>
  <si>
    <t>We visually estimated the average cover (nearest %) of the forest canopy, native shrub layer, honeysuckle shrubs, and Multiflora Rose (Rosa multiflora) and other invasive shrubs, and we counted numbers of woody stems _x001e_ cm diameter at breast height (DBH). Stem counts were grouped into four classes: saplings (– cm DBH), small trees (– cm DBH), medium trees (– cm DBH), and large trees (_x001e_ cm DBH). For each cover variable, we averaged estimates collected at four quadrants per plot.</t>
  </si>
  <si>
    <t>Northern Cardinal,
Acadian Flycatcher</t>
  </si>
  <si>
    <t>Cardinalis cardinalis,
Empidonax virescens</t>
  </si>
  <si>
    <t>Individual survival/mortality</t>
  </si>
  <si>
    <t>Over the entire postfledging period, survivorship was not strongly related to urbanization in either species. However, survival of fledgling cardinals tended to be higher in more urbanized landscapes during the initial  days postfledging, when fledgling mortality was greatest. Our study provides evidence that habitat characteristics selected by juveniles promoted survival. Cardinals and, to a lesser extent, flycatchers selected microhabitats with complex understory structure—a behavior that was associated with improved survivorship. The link between fledging survivorship and structural complexity may partly explain the positive relationship that we detected between cardinal survivorship and urbanization. In our system, as landscapes surrounding forests urbanized, the forest understory increased in density and was dominated by the exotic and invasive Amur Honeysuckle</t>
  </si>
  <si>
    <t>diameter, shrub layer, perch/nest height, tree layer</t>
  </si>
  <si>
    <t>Grouped trees into small, medium, and large categories (by DBH).
Number of small, medium, or large trees are an important variable (but not measured as stem density).</t>
  </si>
  <si>
    <t>A138</t>
  </si>
  <si>
    <t>Weaving et al. (2016)</t>
  </si>
  <si>
    <t>Weaving MJ, White JG, Isaac B, Rendall AR, Cooke R.</t>
  </si>
  <si>
    <t>Adaptation to urban environments promotes high reproductive success in the tawny frogmouth (Podargus strigoides), an endemic nocturnal bird species.</t>
  </si>
  <si>
    <t>mweaving@deakin.edu.au</t>
  </si>
  <si>
    <t>Melbourne</t>
  </si>
  <si>
    <t>Using the NDVI layer we then classified the landscape into five broad land-use types that could define the urban landscape: – grass, impervious surfaces, trees, rivers and permanent water bodies.</t>
  </si>
  <si>
    <t>Composition, Native species, Land use type</t>
  </si>
  <si>
    <t>Tawny Frogmouth</t>
  </si>
  <si>
    <t>Podargus strigoides</t>
  </si>
  <si>
    <t>Using the 158 nests, we found that even when other options are available, birds preferentially select trees with specific attributes. Native tree species (95%) were selected over exotic (5%) species with Eucalyptus spp. selected over any other genus (94%). Trees with rough (57%) and flaky barks (26%) were selected over smooth barked species (17%). All pairs constructed a nest from sticks and twigs as opposed to selecting abandoned bird nests. In most instances (70%), birds chose a branch junction (a branch fork under the canopy of the tree) on which to locate their nest, followed by tree trunk junction (16%), mid branch location (13%) and on a branch where it connects to the trunk (1%).</t>
  </si>
  <si>
    <t>tree species composition, diameter, ground layer, tree layer, perch/nest height</t>
  </si>
  <si>
    <t>A139</t>
  </si>
  <si>
    <t>Natuhara &amp; Imai (1999)</t>
  </si>
  <si>
    <t>Natuhara Y, Imai C.</t>
  </si>
  <si>
    <t>Prediction of species richness of breeding birds by landscape-level factors of urban woods in Osaka Prefecture, Japan.</t>
  </si>
  <si>
    <t>Biodiversity &amp; Conservation</t>
  </si>
  <si>
    <t>For bird records of urban parks in Osaka Prefecture (Table 1) we referred to Nakagami et al. (1995), Natuhara (1989), Natuhara and Imai (1992, 1996), Natuhara et al. (1991, 1993) the Wild Bird Association of Japan, Osaka Branch (1994, 1995), Osaka Prefecture Tobu Park OÅce (1984), and Yamagishi (1985, 1988).</t>
  </si>
  <si>
    <t>Osaka</t>
  </si>
  <si>
    <t>Osaka City has been established in the marsh of the Yodo river for 2000 years. There are few forests and parks except several shrine groves, and most trees in Osaka City have been planted within the last 50 years.</t>
  </si>
  <si>
    <t>Woodland area of urban parks (A), the elongation (E), % of woodland area (Pw) and % of Æeld (grassland + farmland) are (Pf) within 25 pieces (5 ¥ 5 km) of the third grid of the National Geographical Survey outside the study sites, distance to the nearest mountain (D) and distance to the nearest woods (with a woodland area larger than 10 ha) (D10) were measured for the independent variables of multiple regression models.</t>
  </si>
  <si>
    <t>By decreasing woodland areas, the numbers of carnivorous and insectivorous species decreased more rapidly than those of granivores and omnivores. The distribution of carnivorous birds and insectivorous birds are limited to mountains. Avifauna in urban areas is inØuenced by area and shape of habitat, % of woodland of the surroundings, and distance to the mountains. Among these, area is the most important factor. If a larger area of woodland cannot be supported, enlargement of % of woodland in local areas by planting small groves can help in the colonization of forest edge species.</t>
  </si>
  <si>
    <t>If a larger area of woodland cannot be supported, enlargement of % of woodland in local areas by planting small groves can help in the colonization of forest edge species.</t>
  </si>
  <si>
    <t>tree layer, ground layer, age</t>
  </si>
  <si>
    <t>% woodland &amp; % field (grassland/farmland).</t>
  </si>
  <si>
    <t>A140</t>
  </si>
  <si>
    <t>Rafal et al. (2017)</t>
  </si>
  <si>
    <t>Rafał Czechowski, Natalia Tańska, Cezary Mitrus, Konrad Leniowski, Ewa Węgrzyn.</t>
  </si>
  <si>
    <t>Breeding density and nest-site selection of urban population of the fieldfare Turdus pilaris in Rzeszow (SE Poland).</t>
  </si>
  <si>
    <t>Biologia</t>
  </si>
  <si>
    <t>songbird.ewa@gmail.com</t>
  </si>
  <si>
    <t>Rzeszow</t>
  </si>
  <si>
    <t>The study area comprised three locations along the Wisl _x0003_ok River in Rzeszów (22◦01′ E, 50◦03′ N), Poland: (i) the Old Cemetery (OC), (ii) the Olszynki Park (OP) and (iii) the Park of Culture and Recreation (PCR).</t>
  </si>
  <si>
    <t>22 01'</t>
  </si>
  <si>
    <t>50 03'</t>
  </si>
  <si>
    <t>. Nests were mapped and the following data were obtained: (i) nest-tree species, (ii) nest-tree height, (iii) the height of the nest above the ground, and (iv) species composition of the trees within 10 meters around the nest-tree.</t>
  </si>
  <si>
    <t>Fieldfare</t>
  </si>
  <si>
    <t>Tardus pilaris</t>
  </si>
  <si>
    <t>Another interesting finding of our study is that fieldfares nested entirely on deciduous trees, despite the presence of numerous coniferous trees in parks. We did not observe any preference towards the species of deciduous trees in any of the study plotsthe highest number of the fieldfare nests was found on deciduous tree species that were the most abundant. This shows that the studied population of the fieldfare is rather opportunistic in the selection of a nesttree species and we have not found the evidence that it prefers any particular tree species.</t>
  </si>
  <si>
    <t>plant functional types, total height, tree species composition, perch/nest height, planting arrangement</t>
  </si>
  <si>
    <t>Planting arrangement = number of trees 10m from the nesting tree.</t>
  </si>
  <si>
    <t>A145</t>
  </si>
  <si>
    <t>Lancaster &amp; Rees (1979)</t>
  </si>
  <si>
    <t>Lancaster RK, Rees WE</t>
  </si>
  <si>
    <t>Bird communities and the structure of urban habitats</t>
  </si>
  <si>
    <t>Canadian Journal of Zoology</t>
  </si>
  <si>
    <t>Vancouver</t>
  </si>
  <si>
    <t>We selected eight study plots from the habitat types represented along a gradient of urbanization in Vancouver</t>
  </si>
  <si>
    <t>49 15'</t>
  </si>
  <si>
    <t>123 10'</t>
  </si>
  <si>
    <t>We estimated the relative area covered by different classes of vegetation and man-made features in each plot as detailed by Lancaster (1976). Land use type: commercial, industrial, detached residential, apartment residential, woodland.</t>
  </si>
  <si>
    <t>"Our data on bird communities in Vancouver reveal a positive linear relationship between bird species diversity and foliage height diversity across the urban gradient."
"In conclusion, the observed high densities of a few species of ground-feeding, cavity-nesting omnivores along a gradient of increasing urbanization is consistent with the nature and availability of food and habitat in cities."
"As vegetation cover increased so did the relative abundance of insectivores (cf. Weber 1972). Interestingly, the numbers and proportions of insectivores decreased in all urban habitats in winter."</t>
  </si>
  <si>
    <t xml:space="preserve">"On the positive side these findings suggest severa1 approaches for urban planners who would attempt to manage wildlife in our cities. Starlings, rock doves, and house sparrows might be suppressed by future design and retroactive programs to reduce holes, cavities, and ledges suitable for nesting in buildings."
"Conversely, more extensive and greater diversity of vegetational plantings in urban green spaces would increase bird species diversity, contributing to aesthetic improvement even in downtown areas."
</t>
  </si>
  <si>
    <t>shrub layer, total height, vertical layer assessment, ground layer, stem density, tree layer, plant functional types, overall canopy cover</t>
  </si>
  <si>
    <t>A147</t>
  </si>
  <si>
    <t>Donnelly &amp; Marzluff (2006)</t>
  </si>
  <si>
    <t>Donnelly R, Marzluff JM</t>
  </si>
  <si>
    <t>Relative importance of habitat quantity, structure, and spatial pattern to birds in urbanizing environments</t>
  </si>
  <si>
    <t>Urban Ecoystems</t>
  </si>
  <si>
    <t>rdonnelly@oglethorpe.edu</t>
  </si>
  <si>
    <t>The Seattle metropolitan area is located within the Western Hemlock
(Tsuga heterophylla) Zone of the Pacific Northwest</t>
  </si>
  <si>
    <t>47 40' 00"</t>
  </si>
  <si>
    <t>122 20' 00"</t>
  </si>
  <si>
    <t>Land use type, Diversity metric, Composition</t>
  </si>
  <si>
    <t>Within the larger plots, we counted the number of individuals representing all tree species and the number of snags.From these data, we calculated 12 vegetation indices. For the ground and shrub strata,we calculated the total percent vertical cover, percent cover by exotic species, total horizontal cover in the four cardinal directions (shrub strata only), and species diversity. For the canopy, we estimated tree density, snag density, percent exotic trees, percent evergreen trees, and total canopy closure in the four cardinal directions. To summarize the indices by site, we averaged values across survey points within the same habitat type (i.e., forest or development).</t>
  </si>
  <si>
    <t>Biodiversity metric, Abundance, Species distribution</t>
  </si>
  <si>
    <t>bird species richness was high and many native forest species were retained where urban 
landcover comprised less than 52% of the landscape, tree density (especially that of evergreens) remained at least 9.8 trees/ha in developments, and forest was at least 64% aggregated 
across the landscape.</t>
  </si>
  <si>
    <t>At small spatial scales, we recommend that state, county and city policy makers provide incentives for small property owners to retain or restore neighborhood canopies to at 
least 9.8 trees/ha and at least 23% evergreen trees. The threshold for tree density is an average, meaning that densities will vary among yards and that some yards must have much 
higher densities than 9.8 trees/ha to realize conservation benefits. Existing incentives for these management activities include, but need not be limited to, certification of properties as wildlife sanctuaries, tax breaks for protection or restoration of native vegetation, and provision of saplings for canopy restoration.Policy makers can help conserve native forest birds at large (10–100 km2) and small spatial scales (0.2–1.5 ha). At large scales, we recommend that county and city policy makers use a two-step process to maintain less than 52% urban landcover and greater than 64% forest aggregation, ideally creating forest patches of at least 42 ha (Donnelly and Marzluff, 2004). First, they should limit forest conversion and fragmentation by adopting ordinances that 
limit the amount of clearing/grading and that aggregate native growth protection areas within and among developments. Second, they should create ordinances protecting managemen tthresholds from subsequent development or subdivision that would significantly increase urban landcover or decrease forest aggregation.</t>
  </si>
  <si>
    <t>tree species composition, vertical layer assessment, standing dead trees, tree layer, plant functional types, shrub species composition, stem density, shrub layer, ground layer</t>
  </si>
  <si>
    <t>vertical layer assessment = % vertical cover of ground/forb species</t>
  </si>
  <si>
    <t>A148</t>
  </si>
  <si>
    <t>Dyson (2020)</t>
  </si>
  <si>
    <t>Dyson K</t>
  </si>
  <si>
    <t>Conserving native trees increases native bird diversity and community composition on commercial office developments</t>
  </si>
  <si>
    <t>Journal of Urban Ecology</t>
  </si>
  <si>
    <t>karenldyson@gmail.com</t>
  </si>
  <si>
    <t>Bellevue, Redmond</t>
  </si>
  <si>
    <t>Bellevue (2017 population 144 000) and Redmond (population 64 000) are located east of Seattle in King County, Washington in the Puget Trough region</t>
  </si>
  <si>
    <t>Land use type, Composition, Canopy Cover</t>
  </si>
  <si>
    <t>I quantified the percent of tall tree canopy cover and of short and medium height vegetation cover using 2015 NAIP, 2014 Redmond LiDAR data and 2016 King County LiDAR data (USGS 2015; Quantum Spatial 2014, 2017). I classified pixels as tall tree canopy when NDVI ≥ 0.15 and object height ≥ 15 m and as short and medium height vegetation when NDVI ≥ 0.15 and object height &lt; 15 m. Individual trees &gt;10 cm DBH were identified to species or genus, the five tallest native conifers were measured, and the median was used as a proxy for tree age.</t>
  </si>
  <si>
    <t>This temperate lowland region lies between the Cascades and Puget Sound, with post glaciation conifer-dominated forests of Douglas-fir, western red cedar and western hemlock (Pseudotsuga menziesii, Thuja plicata and Tsuga heterophylla). Both cities share a similar ecological history including glaciation ending over 10 000 years ago, a similar disturbance timeline for colonial logging and agriculture, and have grown considerably since the opening of the Evergreen Point Floating Bridge (SR 520) in 1963.</t>
  </si>
  <si>
    <t>Abundance, Species distribution, Community changes</t>
  </si>
  <si>
    <t>I found that measures of bird effective species richness and bird community are positively influenced by the presence of more native conifers, including the presence of a stand predating development and the height and density of native conifers. Measures of the native bird community are negatively influenced by higher non-native tree density. In contrast to prior research, top-down landscape-scale variables did not explain variation in measures of the bird community on office developments. Importantly, I found that birds are associated with the same habitat on office developments as observed elsewhere.</t>
  </si>
  <si>
    <t>In the Puget Trough, human actions supporting native conifers are important for the continued presence of native forest species including brown creeper, varied thrush and Pacific wren. Specific recommendations for the Puget Trough region arising from this research include maximizing preservation of existing native canopy cover during development, landscaping with native trees and shrubs, and reducing use of non-native trees.
Future research efforts should center on facilitating development approaches that are both cost effective and foster bird conservation, as changing developer and landowner actions and preferences is critical to sustainably and meaningfully altering development patterns. Where native conifers cannot be preserved or have already been lost, researchers should explore the value to local bird species of planting native conifer and deciduous trees and of alternative native habitats, including grasslands and shrublands mimicking newly disturbed/early successional habitat. Additionally, though of less import than the tree community, the native shrub community including native shrub effective species richness was also positively associated with native birds. Conifer forests are not the only type of habitat historically found in the Puget Trough. Landscaping on office developments following historic grasslands, shrubby young forests etc. could provide important resources for native bird species and other wildlife while offering design alternatives for developers and landowners when there is no existing forest or retaining trees on site is not feasible.</t>
  </si>
  <si>
    <t>total height, vertical layer assessment, shrub species composition, standing dead trees, tree species composition, stem density, ground layer, coarse woody debris layer, diameter, plant functional types, shrub layer, tree layer</t>
  </si>
  <si>
    <r>
      <rPr>
        <rFont val="Times New Roman"/>
        <color theme="1"/>
        <sz val="11.0"/>
      </rPr>
      <t>Logs and stumps surveyed = CWD</t>
    </r>
    <r>
      <rPr>
        <rFont val="Times New Roman"/>
        <b/>
        <color theme="1"/>
        <sz val="11.0"/>
      </rPr>
      <t xml:space="preserve">
</t>
    </r>
    <r>
      <rPr>
        <rFont val="Times New Roman"/>
        <color theme="1"/>
        <sz val="11.0"/>
      </rPr>
      <t xml:space="preserve">Median height of trees in a stand used as a proxy for age.
</t>
    </r>
  </si>
  <si>
    <t>A149</t>
  </si>
  <si>
    <t>Goldstein et al. (1986)</t>
  </si>
  <si>
    <t>Goldstein EL, Gross M, DeGRAAF RM</t>
  </si>
  <si>
    <t>Breeding birds and vegetation: a quantitative assessment</t>
  </si>
  <si>
    <t>Thomas, J.W., DeGraaf, R.M. and Mawson, J.C., 1977. Determination of habitat requirements for birds in suburban areas. U.S. For. Serv. Res. Pap. NE-357. DeGraaf, R.M., 1981. Urban bird communities and habitats in New England. Trans. 
North. Am. Wildl. Nat. Resour. Conf., 46: 396-413.</t>
  </si>
  <si>
    <t>Amherst, Massachusetts</t>
  </si>
  <si>
    <t>Amherst, Massachusetts, U.S.A.</t>
  </si>
  <si>
    <t>Among the vegetation characteristics recorded on each of the sixty 
study plots were the number of woody stems, average woody stem diameter, and average total height of woody plants broken down into four 
classes: deciduous trees, coniferous trees, deciduous shrubs, coniferous 
shrubs. For the present study, we prepared these data to serve as the independent variables in our analysis of how vegetation volume seemed to 
influence species’ richness. Each partial vegetation volume estimate (for 
deciduous trees, coniferous trees, deciduous shrubs, coniferous shrubs) 
was calculated by multiplying the number of stems of that vegetation 
type by their average diameter and by their average height. This produced 
four independent variables (VI, . . . . V,) for each study plot.</t>
  </si>
  <si>
    <t>Over all habitats, and throughout the 5-year period, woody vegetation volume 
alone accounted for 50% of all the variation in breeding bird species number, and species 
richness kept increasing even at relatively high vegetation volumes. Sixty-five species 
of breeding birds were seen during the study, and these can be divided into three groups 
based on their overall abundance in the sample areas and on their amenability to management: one group is liable to occur anyway, whether or not woody vegetation volume is encouraged as a management strategy; the second group is liable to be well represented where vegetation volume is encouraged but not well represented where it is not, and is the group most suitably targeted for management; the last group consists of birds which are poorly adapted to built-up areas, and which - though detected in small numbers - are not judged likely to increase significantly even where vegetation volume is augmented.</t>
  </si>
  <si>
    <t>These limited findings, however, still strongly indicate that suburban landscapes provide little in the way of wildlife resources unless their expanses of lawn vegetation are generously augmented 
by trees and shrubs. And they further indicate that there is no limit from wildlife’s point of view to the benefit from increasing the amount of native woody vegetation present in man’s domain. The greatest benefit per tree and shrub, it is true, comes with the first few trees and shrubs added to 
bare lawns and pavement. But thereafter, the benefits of adding vegetation never cease right up to 70 000 units (roughly 1982 m3 or 70000 cubic feet) per ha.</t>
  </si>
  <si>
    <t>total height, tree layer, overall canopy cover, shrub layer, diameter</t>
  </si>
  <si>
    <t>Analysed vegetation volume.</t>
  </si>
  <si>
    <t>A150</t>
  </si>
  <si>
    <t>Haas et al. (2020)</t>
  </si>
  <si>
    <t>Haas AR, Kross SM, Kneitel JM</t>
  </si>
  <si>
    <t>Avian community composition, but not richness, differs between urban and exurban parks</t>
  </si>
  <si>
    <t>angela.haas88@gmail.com</t>
  </si>
  <si>
    <t>Rancho Cordova</t>
  </si>
  <si>
    <t>We collected field data at 17 parks in Sacramento County, CA, within the City of Rancho Cordova or adjacent census-designated areas</t>
  </si>
  <si>
    <t>To capture vegetation structure heterogeneity we measured park percent land cover, tree DBH and tree height. We used aerial photographs and Google Earth Pro software to calculate the park area and percent land covers within each park.</t>
  </si>
  <si>
    <t>Historically, numerous native-American tribes lived along watercourses in the area, followed by an influx of European miners in the early 1800s (US Forest Service 2003). The four rivers that cross the county (Sacramento, American, Consumnes and Mokelumne) contributed to the development of agriculture and transportation (US Forest Service 2003). The county experienced major population growth in the 1950s, due to local aerospace industry, government services growth and military expansion (County of Sacramento 1996). By 1950, ∼245 km2 of built landscape existed in the Sacramento region (Sacramento County and adjacent counties with associated urban sprawl) (Wheeler and Beebe 2011). By 2010, developed landscape had increased to 1978 km2.</t>
  </si>
  <si>
    <t>Community changes, Biodiversity metric</t>
  </si>
  <si>
    <t>Fifty bird species, including 15 migrants, were observed. Total species richness and abundance at urban and exurban parks was not significantly different, but community assemblages differed significantly. Park area positively predicted species richness. Abundance was negatively associated with in-park percent built cover, average number of fruiting trees and landscape-scale percent water cover. Species composition changes were associated with distance to riparian habitat and landscape percent grass cover for all but one exurban park; and with tree height, DBH and park and landscape percent tree cover for urban parks.</t>
  </si>
  <si>
    <t>Recently built parks with young saplings might not support as many migrants or species that forage or roost in dense tree canopies, but they can provide refuge to displaced grassland species whose native habitat was transformed by recent development. Their role as a refuge in this context could be enhanced by increasing park size, perhaps by opting for a single large park within a development complex in lieu of several smaller parks. A diversity of parks or other refuges within urban landscapes, strategically located and prioritized for large, contiguous size, could slow the spread of biotic homogenization and help support native species. Importantly, the development of well-designed parks cannot replace preservation of threatened habitats as a strategy to conserve species, so we caution that our results do not support the conversion of natural grassland habitats in favor of exurban housing development; however, our results do suggest that exurban parks can support some native species.</t>
  </si>
  <si>
    <t>ground layer, tree species composition, tree layer, diameter, fruit metrics, total height</t>
  </si>
  <si>
    <t>Counted fruiting trees/park</t>
  </si>
  <si>
    <t>A152</t>
  </si>
  <si>
    <t>Hemami &amp; Zaeri (2011)</t>
  </si>
  <si>
    <t>Hemami MR, Zaeri AA</t>
  </si>
  <si>
    <t>Iran</t>
  </si>
  <si>
    <t>Influence if urban park size and shape on bird species richness: Case study: Parks of Isfahan</t>
  </si>
  <si>
    <t>Journal of Environmental Studies</t>
  </si>
  <si>
    <t>a.zaeri@na.iut.ac.ir</t>
  </si>
  <si>
    <t>Isfahan</t>
  </si>
  <si>
    <t>The study was conducted in Isfahan, one of the largest cities in central Iran</t>
  </si>
  <si>
    <t>Area, circumference and green space of the parks were 
obtained by employing Quick bird satellite images and ArcView GIS 3.3 software.</t>
  </si>
  <si>
    <t>Abundance, Biodiversity metric</t>
  </si>
  <si>
    <t>24 species of birds were identified within the studied parks. House sparrow Passer domesticus and carrion crow Corvus corone constituted 62% and 21% of the observed species respectively and were observed in all the studied parks. Barn swallows Hirundo rustica (4.2%); Raven Corvus corax (3.6%), laughing dove Streptopelia senegalensis (2.2%) and Magpie Pica pica (1.8%) were also relatively abundant. We also examined the effect of park crowdedness on bird species richness. A significant positive association between bird species richness and area of the parks was obtained, while the relationship of the park edge with bird species richness was significantly negative. ‏‏ The impact of disturbance on bird species richness was significantly negative.</t>
  </si>
  <si>
    <t>A153</t>
  </si>
  <si>
    <t>Kopij (2015)</t>
  </si>
  <si>
    <t>Kopij G</t>
  </si>
  <si>
    <t>The effect of the undergrowth on the breeding bird communities in urbanized afforested habitats</t>
  </si>
  <si>
    <t>Alauda</t>
  </si>
  <si>
    <t>grzegorz.kopij@up.wroc.pl</t>
  </si>
  <si>
    <t>Wrocław</t>
  </si>
  <si>
    <t>studies were conducted in the south-west part of the city of wrocław, c. 4.5km from the city hall</t>
  </si>
  <si>
    <t>in the presented study, the breeding bird community of the same area was quantified again, 17 years after the initial undergrowth removal.in most placesthe undergrowth reappeared again. in general, it is, however, impoverished in comparison with the period before the removal. 
However, tree stand has not been altered, being only older by c. 10 years. Breeding bird community of this area with natural, lush undergrowth 
is compared here with: 1) a neighbouring area with similar tree stand but much poorer, yet mostly natural undergrowth; 
2) a neighbouring area with similar tree stand, but poorer and mostly exotic undergrowth. this has been designed as to expose the effect 
of undergrowth and ground layer, and to exclude the effect of other factors, such as weather conditions (year-to-year variations), geographical position, and habitat type.</t>
  </si>
  <si>
    <t>Both the structure and density of undergrowth in urbanized forest habitats affect significantly avian breeding communities, affected are both the dominance structure and densities, but no effect was shown on the number of species and biodiversity level. in general, the proportion of dominant species is larger in forests with sparse than dense undergrowth. species depended on undergrowth for foraging and/or nesting (e.g. robin, great tit, Blackcap, Chiffchaff, song thrush, Blackbird) breed in much lower density in forest with sparse than in forests with dense undergrowth, but the reverse is true for species such as Chaffinch, tree sparrow and greenfinch.</t>
  </si>
  <si>
    <t>results of this study support a general opinion that in urban woods with similar tree stands, 
the denser is the undergrowth, the higher is the number of species breeding in the urban woods. 
furthermore, also densities of breeding pairs of many of these species is higher in such urban 
woods, where the undergrowth is compact and composed mainly of indigenous species. urban 
wood managers should, therefore, protect the undergrowth vegetation in the forms of clumps, 
avenues and hedgerows.</t>
  </si>
  <si>
    <t>ground layer, tree layer, plant functional types, shrub layer, tree species composition</t>
  </si>
  <si>
    <t>Undergrowth = combination of shrub and ground layer
They mention the denseness of undergrowth, but I will attribute that to shrub/ground layer</t>
  </si>
  <si>
    <t>A154</t>
  </si>
  <si>
    <t>Erskine (2008)</t>
  </si>
  <si>
    <t>Erskine AJ.</t>
  </si>
  <si>
    <t>Pileated Woodpeckers, Dryocopus pileatus, Foraging in Suburban Habitats in New Brunswick.</t>
  </si>
  <si>
    <t>The Canadian Field Naturalist</t>
  </si>
  <si>
    <t>New Brunswick</t>
  </si>
  <si>
    <t>Built-up parts of Sackville adjoin the Tantramar dykeland, formerly saltmarsh, the largest treeless area in Canada’s Maritime Provinces (Figure 1). The site slopes gradually upwards to the west, into largely continuous forest that formerly included the area where the town now stands.</t>
  </si>
  <si>
    <t>Nearby forest is mixed, with conifers (mostly Picea spp. and Abies balsamea) predominating in a “fog belt” around the upper Bay of Fundy. Trees in town, planted, are largely broad-leafed, including especially maples (Acer spp.) and elms (Ulmus spp.). Those plantings line streets in older residential areas and around Mount Allison University; more recent housing developments and industrial areas often have few trees and no mature ones.</t>
  </si>
  <si>
    <t>Pileated Woodpecker</t>
  </si>
  <si>
    <t>Dryocopus pileatus</t>
  </si>
  <si>
    <t>Built-up parts of Sackville adjoin the Tantramar dykeland, formerly saltmarsh, the largest treeless area in Canada’s Maritime Provinces (Figure 1). The site slopes gradually upwards to the west, into largely continuous forest that formerly included the area where the town now stands. The town limits were greatly enlarged in 1974, and now include several formerly separate villages (Middle Sackville, Upper Sackville and Mount View to the north; Frosty Hollow to the south).</t>
  </si>
  <si>
    <t>Trees used by PIWO in Sackville were mostly maples (Table 4), especially Norway Maples (Acer platinoides), which may be planted more often than other maple species. Elms, which included most other large trees in town, were little used, although many were dead, dying, or in poor condition. Evidence from PIWO diggings indicated that many mature maples were infested by larvae of wood-boring insects, some of which were seen (by other people) as the birds extracted them. PIWO use of urban trees in Sackville was apparently restricted to foraging. No reports suggested PIWO activity focussed in any particular areas in early morning or late afternoon, as would be expected if the birds roosted in town.</t>
  </si>
  <si>
    <t>tree species composition, total height, tree condition, plant functional types, cavity metrics, diameter</t>
  </si>
  <si>
    <t>A155</t>
  </si>
  <si>
    <t>Bernat-Ponce et al. (2018)</t>
  </si>
  <si>
    <t>Bernat-Ponce E, Gil-Delgado JA, Guijarro D.</t>
  </si>
  <si>
    <t>Factors affecting the abundance of House Sparrows Passer domesticus in urban areas of southeast of Spain.</t>
  </si>
  <si>
    <t>edberpon@alumni.uv.es</t>
  </si>
  <si>
    <t>The study was carried out in five locations in the Valencia area in southeastern Spain (four located in the northern area of Alicante’s province and one in the southeast of Valencia’s province) (Figure 1 and Table 1). This last location was split across two sites, Gandía and Grao/Playa, separated by orange groves (Figure 1 and Table 1).</t>
  </si>
  <si>
    <t>Forested area, Composition, Land use type</t>
  </si>
  <si>
    <t>At each point count in the urban landscape, 17 variables were described (Table 2A), some through a qualitative classification of presence/absence (1/0), and others through a qualitative ranking (0, 1, 2, ...)orby quantized values (0 to n). These 17 landscape variables were grouped into three classes: urban structure, human factors and food resources.</t>
  </si>
  <si>
    <t>House Sparrows</t>
  </si>
  <si>
    <t>Passer domesticus</t>
  </si>
  <si>
    <t>Presence of parks and trees had the highest values of VIF (6.53 and 3.01, respectively)." 
"urban parks had a positive significant effect on House Sparrow abundance, which was especially important in summer, with an independent effect higher than 31%"
"Eight variables had a positive effect on House Sparrow abundance. The most significant ones were the presence of urban parks and rubbish bins, which are sources of food and shelter for birds (Mitschke &amp; Mulsow 2003, Bokotey &amp; Gorban 2005, Murgui 2009). Our results, in agreement with Murgui (2009), showed that urban parks are the main feeding location for House Sparrows in cities of southeastern Spain."
"Greater spatial separation between urban parks reduced the abundance of birds, suggesting a positive role for connectedness between neighbouring parks."</t>
  </si>
  <si>
    <t>"Valencian Community (Cantó 2014) would be one urban planning option to halt and, in time, reverse the negative trend of the House Sparrow decline in the Valencian area because even small green patches provide suitable habitats for the birds (Rega et al. 2015). Similar projects could create sufficient heterogeneous urban green space that reduces predation of the target species in the long run (Summers-Smith 2003, Shaw et al. 2008) while also ameliorating air quality by reducing oxidative stress currently experienced by birds in polluted city areas (Herrera-Dueñas et al. 2017) and also promoting reproductive success of birds by increasing the availability of their natural foods (Peach et al. 2014)."</t>
  </si>
  <si>
    <t>overall canopy cover, tree layer, shrub layer, ground layer, total height</t>
  </si>
  <si>
    <t>Presence/absence of mature trees</t>
  </si>
  <si>
    <t>A157</t>
  </si>
  <si>
    <t>Park &amp; Lee (2000)</t>
  </si>
  <si>
    <t>Park C-R, Lee W-S.</t>
  </si>
  <si>
    <t>Relationship between species composition and area in breeding birds of urban woods in Seoul, Korea.</t>
  </si>
  <si>
    <t>chandrap@chollian.net</t>
  </si>
  <si>
    <t>This study was conducted in Seoul, Korea. Seoul is a city of approximately 12 million population and covered 60 542 ha in 1995.</t>
  </si>
  <si>
    <t>Composition, Fragmentation, Forested area</t>
  </si>
  <si>
    <t>For quantitative description of vertical structure of forest, foliage coverages were recorded at 5 m diameter plots at intervals of 50 m along the census trails in each area.</t>
  </si>
  <si>
    <t>Most of the forests were destroyed during the Korean War in 1950. So, they were comprised of a mixture of semi-natural and artiÆcial forest stands. Large urban forests were located on the outer block and small woods on the inner block of the city.</t>
  </si>
  <si>
    <t>"As the area increases, species composition of each site changed and some species were added or omitted. There was no species that decreased with the increase of area." 
"Therefore, not only the area of woods but also its surroundings are important for the inhabitation of birds."</t>
  </si>
  <si>
    <t>Conservation, Management, Restoration</t>
  </si>
  <si>
    <t>"This study implies the management guidelines for the proper inhabitation of birds in Seoul, Korea. They are summarized as follows: 1. Larger areas of woods should be maintained. 2. More green areas should be protected around woods. 3. More nest holes should be provided by preserving the trees of high DBH class, and by installing artiÆcial nests. 4. Shrub and ground layers should be restored by plantation and limiting human use."</t>
  </si>
  <si>
    <t>tree layer, vertical layer assessment, shrub layer, total height</t>
  </si>
  <si>
    <t>A159</t>
  </si>
  <si>
    <t>de la Hera (2019)</t>
  </si>
  <si>
    <t>de la Hera I</t>
  </si>
  <si>
    <t>Seasonality affects avian species distribution but not diversity and nestedness patterns in the urban parks of Vitoria–Gasteiz (Spain)</t>
  </si>
  <si>
    <t>Animal Biodiversity and Conservation</t>
  </si>
  <si>
    <t>delaheraivan@gmail.com</t>
  </si>
  <si>
    <t>Vitoria-Gasteiz</t>
  </si>
  <si>
    <t>Vitoria–Gasteiz (42º 50' 58.4'' N 2º 40' 14.8'' W; 525 m a.s.l.; c.a. 250,000 inhabitants) is located in Northern Iberia (Araba, Basque Country, Spain)</t>
  </si>
  <si>
    <t>42 50' 58.4"</t>
  </si>
  <si>
    <t>2 40' 14.8"</t>
  </si>
  <si>
    <t>Composition, Canopy Cover, Diversity metric</t>
  </si>
  <si>
    <t>Vitoria–Gasteiz council provided (fully transferred on the 16 I 15) the most updated digital information on urban vegetation. This enabled accurate estimates following the variables of the parks (table 1): grass cover, shrub cover, tree density, and tree diversity (measured as the effective number of tree species). Between 2 and 6 geographic locations within each park were selected randomly to visually estimate the tree height and trunk diameter at breast height of the 15 closest trees, since this information was not operational in the digital data provided by the city council.</t>
  </si>
  <si>
    <t>Avian diversity was significantly greater during breeding than during the winter period, although the most diverse parks during breeding were also the most diverse during winter. Most of the among–park variation in diversity was explained by park size, while tree density had a marginal contribution that was only significant during winter. Avian communities showed a significant nested subset pattern that was similar between seasons, with these patterns being mainly mediated by park size. Although the distribution of seven out of the 16 species occurring all–year–round changed significantly from one season to the other, the park ranks in the nestedness matrices were strongly correlated between seasons. This was caused by the reduction in the park distribution of some species from one season to the other that was compensated by the expansion of other species that were initially less common.</t>
  </si>
  <si>
    <t>These results support the idea that, in small and medium–sized cities, park size is the main constraint on avian diversity, and the presence of relatively large parks (&gt; 10 ha) should be encouraged to promote a rich avifauna all year round.</t>
  </si>
  <si>
    <t>stem density, total height, tree species composition, diameter, ground layer, shrub layer</t>
  </si>
  <si>
    <t>A160</t>
  </si>
  <si>
    <t>Lindenmayer et al. (2010)</t>
  </si>
  <si>
    <t>Lindenmayer DB, Knight EJ, Crane MJ, Montague-Drake R, Michael DR, MacGregor CI.</t>
  </si>
  <si>
    <t>What makes an effective restoration planting for woodland birds?</t>
  </si>
  <si>
    <t>david.lindenmayer@anu.edu.au</t>
  </si>
  <si>
    <t>Several</t>
  </si>
  <si>
    <t>"Our study region was the southern half of the South-west Slopes region of New South Wales, south-eastern Australia. It included the towns of Junee (0552952E 6140128N) in the north, Albury (0494981E 6008873N) in the south (a distance of approximately 150 km), and Gundagai (600532E 6119073N) and Howlong (467090E 6017897N) in the east and west, respectively (a distance of approximately 120 km)."</t>
  </si>
  <si>
    <t>Land use type, Composition, Forested area</t>
  </si>
  <si>
    <t>We surveyed 38, 45 and 62 plantings in 2002, 2004 and 2006, respectively, resulting in a total of 145 site-by-year observations. These plantings ranged from 2 to 20 years old and were a mix of locally endemic and non-local Australian ground cover, understorey and overstorey plant species. We measured context, configuration and content attributes of the plantings (see Table 1 for a full list and description).</t>
  </si>
  <si>
    <t>"Our findings reinforce the concept that ‘‘the matrix matters” (Daily et al., 2003; Haynes et al., 2006; Lindenmayer and Fischer, 2006; Ricketts, 2001) and corroborates the importance of context effects reported in a wide range of ecosystems..."
"For example, we found that bird species richness was greater in plantings located in gullies and riparian areas than elsewhere in the landscape (Fig. 1,Table 2 ) – a result common with many other studies of a wide range of organisms (Huggett and Cheeseman, 2002)."
"We found a positive effect of the number of logs in a planting on bird species richness (Fig. 1,Table 2 ), and the probability of detection of Rufous Whistler (Fig. 2,Table 2 )."
"We did not find that older plantings were more species rich than younger ones, as has been observed by other researchers in south-eastern Australia..."</t>
  </si>
  <si>
    <t xml:space="preserve">"We found that if an aim is to maximize overall species richness in plantings, there is value in targeting the location of new plantings by building on vegetation assets that are already there. For example, locating plantings in riparian areas and establishing plantings in places with pre-existing areas of remnant or planted native vegetation."
"In the case of the Rufous Whistler, our data suggest that there will be value in establishing plantings: (1) with a high density of stems, (2) with numerous logs, and (3) located near other plantings (Fig. 2). For the White-browed Woodswallow, we found it is important to establish plantings around existing paddock trees and to not remove dead shrubs from plantings (Fig. 2)."
"We found evidence of the importance of retaining existing large paddock trees within plantings (e.g. for the White-plumed Honeyeater and the White-browed Woodswallow [Fig. 2])."
</t>
  </si>
  <si>
    <t>stem density, shrub layer, tree condition, tree layer, age, planting arrangement, coarse woody debris layer, standing dead trees, crown height, total height, vertical layer assessment</t>
  </si>
  <si>
    <t>A162</t>
  </si>
  <si>
    <t>Paker et al. (2014)</t>
  </si>
  <si>
    <t>Paker Y, Yom-Tov Y, Alon-Mozes T, Barnea A.</t>
  </si>
  <si>
    <t>Israel</t>
  </si>
  <si>
    <t>The effect of plant richness and urban garden structure on bird species richness, diversity and community structure.</t>
  </si>
  <si>
    <t>yairpk@gmail.com</t>
  </si>
  <si>
    <t>Tel Aviv</t>
  </si>
  <si>
    <t>We investigated bird communities in 25 public gardens in the cities of Tel-Aviv and nearby Holon, Israel (highest point above sea level is 62 m).</t>
  </si>
  <si>
    <t>32◦02′</t>
  </si>
  <si>
    <t>34◦47′</t>
  </si>
  <si>
    <t>Composition, Native species, Exotic/invasive species, Land use type</t>
  </si>
  <si>
    <t>Vegetation structure was evaluated around each point count, at half circular plots, within a radius of 50 m from the observer. Trees and shrubs species were counted in each plot and we also recorded whether they were natives or aliens. Height of plants was divided into three groups: low (under 1.5 m), medium (1.6–5 m), and high (above 5 m). Annual plants were excluded. Trees, shrubs and lawn coverage were calculated using aerial photos in ArcView 9.3.</t>
  </si>
  <si>
    <t xml:space="preserve">"However, we found that bird species richness was not affected by any of the 14 environmental variables that we tested. This outcome might indicate that in the Israeli urban environment birds can be less selective in their choice of habitat and therefore occupy any available greenspace."
"Our results indicate that a diverse garden, composed of many shrub and tree species and a diverse spatial structure is attractive to many bird species."
"In the light of this, our finding that native birds are attracted to native trees while alien ones are attracted to alien trees is of considerable importance to garden planners. It indicates that garden planners should prefer local trees over aliens in spite of the often more impressive appearance (greater height and extensive foliage) of the latter."
</t>
  </si>
  <si>
    <t xml:space="preserve">"Therefore, we recommend avoiding large open lawns without trees or shrubs, as well as dense monoculture woods, because these components support only few bird species, and moreover – mostly aliens, like the Common Myna (Acridotheres tristis), or urban exploiters, like the Feral Pigeon (Columba livia). Instead, our recommendation is to plant many trees and shrub species, and to balance between open lawn space and close shrubberies or small thickets. As evident from Fig. 2, such diverse gardens support more bird species, and therefore can contribute to the enjoyment that people can get from visiting gardens in their neighborhood."
"Accordingly, we recommend that when planning new gardens, designers will avoid large open lawns and dense monoculture woods without undergrowth, because these environments are favorable only for some urban exploiters and alien bird species. Instead, we recommend that an urban garden will consist of diverse shrubs and trees species."
"On the other hand, we recommend reducing the proportion of alien trees, because they provide high habitats and food (big flowers with much nectar) that the larger alien birds need."
</t>
  </si>
  <si>
    <t>total height, ground layer, tree species composition, overall canopy cover, tree layer, shrub species composition, shrub layer</t>
  </si>
  <si>
    <t>A164</t>
  </si>
  <si>
    <t>Shriver et al. (2020)</t>
  </si>
  <si>
    <t>Shriver WG, Ladin ZS, Buler J, D’Amico V.</t>
  </si>
  <si>
    <t>Non-native shrubs and calcium availability are important for birds breeding in urban forests.</t>
  </si>
  <si>
    <t>gshriver@udel.edu</t>
  </si>
  <si>
    <t>Delaware/Pennsylvannia</t>
  </si>
  <si>
    <t>"We randomly selected 30 study sites within 22 discrete forest patches in northern Delaware and Southern Pennsylvania (Fig. 1, Ladin et al. 2016a)."</t>
  </si>
  <si>
    <t>Exotic/invasive species, Native species, Composition</t>
  </si>
  <si>
    <t>Within each site, we sampled; soil to estimate exchangeable calcium, litter volume, shrub density, tree basal area, and coarse woody debris (cwd).</t>
  </si>
  <si>
    <t>Carolina chickadees,
Carolina wren,
Eastern Towhee,
Gray catbird,
Wood thrush</t>
  </si>
  <si>
    <t>Poecile carolinensis,
Thyrothorus ludovicianus,
Pipilo erythrophthalmus,
Dumtella carolensis,
Hylocichla mustelina</t>
  </si>
  <si>
    <t>Meso breeding, Abundance</t>
  </si>
  <si>
    <t>"We found that relationships among species’ territory density were driven by local-scale effects rather than landscape-scale effects, with non-native shrub cover and Ca rich prey the primary drivers. These findings provide an increased appreciation for the complex role of non-native invasive plants within urbanized landscapes, and an improved understanding for how local-scale conservation efforts may benefit breeding bird populations more generally."
"Therefore, non-native shrubs, which are dominated by multi-flora rose, are providing the majority of the vegetation structure in the height strata where these species construct nests."</t>
  </si>
  <si>
    <t>diameter, coarse woody debris layer, tree layer, stem density, shrub layer, leaf litter layer, shrub species composition, total height, tree species composition</t>
  </si>
  <si>
    <t>Litter and CWD volume in soil
Vertical vegetation density (Nudds 1977) not included as vertical layer assessment as it is not explicitly used to assess avian outcomes</t>
  </si>
  <si>
    <t>A166</t>
  </si>
  <si>
    <t>Woongsoon et al. (2019)</t>
  </si>
  <si>
    <t>Woongsoon Jang, Ara Seol, Ok-Sik Chung, Junghee Sagong, Jong Koo Lee.</t>
  </si>
  <si>
    <t>Avian Reporting Rates in Chugcheongnam Province, South Korea Depend on Distance from Forest Edge, Size of Trees, and Size of Forest Fragments.</t>
  </si>
  <si>
    <t>Forests</t>
  </si>
  <si>
    <t>woongsoon.jang@gmail.com</t>
  </si>
  <si>
    <t>Chungcheongnam</t>
  </si>
  <si>
    <t>The study was conducted in the Province of Chungcheongnam, located in the western part of South Korea</t>
  </si>
  <si>
    <t>35 00'</t>
  </si>
  <si>
    <t>126 13'</t>
  </si>
  <si>
    <t>The study utilized the Korea Forest Cover Type Map’s tree size classification and forest types. The size classes were classified with the median diameter at breast height (DBH) of trees in the stand: (a) &lt;6 cm, size class 0; (b) 6–18 cm, size class 1; (c) 18–30 cm, size class 2; and (d) &gt;30 cm, size class 3. The forest types were classified into coniferous, deciduous, and mixed forests. Other minor forests types (e.g., bamboo forest) were excluded due to no sampling data (Table 1). These variables were used as explanatory</t>
  </si>
  <si>
    <t>However, the results of this study were unexpected in that forests patches with larger areas tended to have lower species diversity. Presumably, this can be attributed to the fact that forest sizes across the study region had been fragmented for a long time, rendering the average forest size quite small (Table 1). In this study, the positive relationship between tree size and avian diversity and abundance also reveals an optimistic view. Large trees are essential to some species, especially for cavity-nesting birds such as woodpeckers [51–53]. In this study, several bird species showed notable trends of occurrence when related to forest size and distance to forest edge. If this study classified a species showing negative associations with forest size and/or distance to forest edge as a forest-edge species, then the forest-edge species were more distinctly and abundantly identified than the forest-interior species.</t>
  </si>
  <si>
    <t>Furthermore, due to regional reforestation about 40 years ago [40], the composition and structure of the forests in this study region might be relatively simple and homogeneous [50]. As a result, even a large-sized forest in this region might provide less diverse habitats and resources. As a conservation implication, the establishment of strategies to increase bird species diversity should not only take into account forest patch size but also habitat heterogeneity.</t>
  </si>
  <si>
    <t>diameter, plant functional types</t>
  </si>
  <si>
    <t>Forest area assessed -- not as a land cover variable</t>
  </si>
  <si>
    <t>A167</t>
  </si>
  <si>
    <t>Zivanovic &amp; Luck (2016)</t>
  </si>
  <si>
    <t>Zivanovic AJ, Luck GW</t>
  </si>
  <si>
    <t>Social and environmental factors drive variation in plant and bird communities across urban greenspace in Sydney, Australia</t>
  </si>
  <si>
    <t>Journal of Environmental Management</t>
  </si>
  <si>
    <t>ashlea@mail.org</t>
  </si>
  <si>
    <t>Sydney</t>
  </si>
  <si>
    <t>30 city park sites in Sydney, Australia</t>
  </si>
  <si>
    <t>Forested area, Composition, Diversity metric</t>
  </si>
  <si>
    <t>At the site scale, bird species richness and abundance were modelled against four environmental predictors. These included site size, topography and site plant species richness; however, mean leaf size was modelled only against bird species richness, whereas percent concrete ground cover was modelled only against bird abundance.</t>
  </si>
  <si>
    <t>Bird species richness within greenspaces increased with increasing distance from the central business district and decreasing distance from freshwater. Bird abundance was best explained by a combination of social–ecological factors, with abundance increasing with increasing site (greenspace) age, increasing percent concrete groundcover of a site and increasing proximity to the central business district.</t>
  </si>
  <si>
    <t>Co-management arrangements between local citizen groups and councils appeared to have a strong influence on the plant communities of particular city park sites, increasing species richness and abundance. This is a very important consideration for future management of urban greenspaces that aim to improve both human and environmental health outcomes – given recent evidence that ecologically diverse UGS may improve the psychological well-being of greenspace users (Carrus et al., 2015, Fuller et al., 2007) (but see Dallimer et al., 2012, Konijnendijk et al., 2013, Luck et al., 2011). 
Given the scarcity of the ‘rare parks’ identified in our study, councils should implement policies that protect not only their biodiversity, but also their cumulative ecological qualities (inclusive of ‘exotic’ vegetation) until further investigation into how varying ecological characteristics influence park user well-being can be carried out.</t>
  </si>
  <si>
    <t>tree species composition, ground layer, tree layer, shrub layer, shrub species composition, vertical layer assessment, total height</t>
  </si>
  <si>
    <t>A168</t>
  </si>
  <si>
    <t>Greco &amp; Airola (2018)</t>
  </si>
  <si>
    <t>Greco SE, Airola DA.</t>
  </si>
  <si>
    <t>The importance of native valley oaks (Quercus lobata) as stopover habitat for migratory songbirds in urban Sacramento, California, USA.</t>
  </si>
  <si>
    <t>segreco@ucdavis.edu</t>
  </si>
  <si>
    <t>Sacramento</t>
  </si>
  <si>
    <t>The study area was the Curtis Park neighborhood (“Curtis Park”)a 259 ha neighborhood in Sacramento, California, USA (Fig. 1) with a 2015 census population of about 5200.</t>
  </si>
  <si>
    <t>A photographic image (dated October 30, 2011) of the Curtis Park study area was obtained from Google Earth (accessed September 12, 2012) and georeferenced in ArcGIS using four control points, resulting in a 2.1 m RMSE (root mean square error).</t>
  </si>
  <si>
    <t>Abundance, Foraging/Movement</t>
  </si>
  <si>
    <t>Our results clearly demonstrate that higher abundance of Neotropical migrant songbirds occur in areas of the urban forest in Curtis Park, Sacramento, California that support greater canopy cover of the native valley oak. Our results also show the mechanism for this attraction − strong selection of valley oak during foraging by migrants. From a regional perspective, our study clearly shows that native valley oak trees in an urban area can support substantial numbers of migratory birds.</t>
  </si>
  <si>
    <t>shrub species composition, tree layer, tree species composition, plant functional types, diameter</t>
  </si>
  <si>
    <t>Tree canopy area
Diameter as a threshold</t>
  </si>
  <si>
    <t>A170</t>
  </si>
  <si>
    <t>Kane et al. (2015)</t>
  </si>
  <si>
    <t>Kane B, Warren PS, Lerman SB.</t>
  </si>
  <si>
    <t>A broad scale analysis of tree risk, mitigation and potential habitat for cavity-nesting birds.</t>
  </si>
  <si>
    <t>bkane@eco.umass.edu</t>
  </si>
  <si>
    <t>We inspected trees in July through September of 2005–2009 in two locations designed to encompass a range of conditions from highly urbanized (Baltimore, MD, USA) to suburban residential to rural wildlands (western Massachusetts, USA).</t>
  </si>
  <si>
    <t>Composition, Individual tree management</t>
  </si>
  <si>
    <t>"...10 randomly selected trees from 100 m long transects along roads or bike trails (“transect trees”) and (ii) pairs of trees identified through searching for bird nests. In western MA, we identified areas in the region with sufficient tree cover to support cavity nesting birds, and then selected sites in a stratified design to include: large towns, small towns, and extensively forested recreational areas. We selected pairs of trees by first identifying all trees in a plot with a woodpeckerexcavated cavity nest(s) (“nest tree”). Then we paired each nest tree with a randomly selected, nearby tree of the same species and DBH (“paired tree”)."</t>
  </si>
  <si>
    <t>"However, since almost half of the cavities we observed occurred on branches, whole tree removal was only recommended a little more than half the time. Removing fewer trees offers the possibility of retaining habitat for cavity-nesting birds if pruning can reduce risk. Pruning may be a viable alternative in areas of infrequent or occasional use, but conventional practice would have to be modified."
"However, substantially shortening branches (leaving stubs) may facilitate trunk decay and reduce mass damping, which can increase the likelihood of failure of the tree. A clearer understanding of the effect of pruning on the likelihood of failure is necessary. Whether wildlife will utilize partial branches or long stubs on trees growing in urban and suburban areas, or whether they simply prefer the proximal portion of entire branches, must also be investigated."</t>
  </si>
  <si>
    <t>diameter, tree condition, tree species composition, standing dead trees, cavity metrics</t>
  </si>
  <si>
    <t>A171</t>
  </si>
  <si>
    <t>Dale (2018)</t>
  </si>
  <si>
    <t>Dale S.</t>
  </si>
  <si>
    <t>Norway</t>
  </si>
  <si>
    <t>Urban bird community composition influenced by size of urban green spaces, presence of native forest, and urbanization.</t>
  </si>
  <si>
    <t>svein.dale@nmbu.no</t>
  </si>
  <si>
    <t>Oslo</t>
  </si>
  <si>
    <t>The vegetation of study sites varied from intensively managed parks with ornamental deciduous trees and lawns, to green spaces with a mix of managed park- land and remant patches of more or less natural, native forest vegetation.</t>
  </si>
  <si>
    <t>Forested area, Connectivity, Composition</t>
  </si>
  <si>
    <t>"Analyses of the relative contribution of (1) urban zone (alternative models used distance from periphery of the city), (2) site size and (3) presence of native forest for shaping (a) overall bird species richness, (b) species richness of specific ecological groups of bird in each site, and (c) proportion of the bird community belonging to specific ecological groups, were conducted with general linear models (GLM)."</t>
  </si>
  <si>
    <t>"Larger sites had larger proportions of species nesting on the ground or at low height, species with a specialist diet, and redlisted species (Table 5, Fig. 3). There was a trend that larger sites also had a larger proportion of forest species, but the effect of site size dropped out from the final model (size removed with P =0.07;Table5)."
"In line with many previous studies, the results of the present study showed that species richness increased with the size of urban green spaces and with the presence of native forest...In the present study, distance from potential source areas outside the city had no effects at all, suggesting that distances from source areas to inner parts of the city (maximum 5.4 km) were too short to function as constraints on the ability of the birds to disperse to and colonize urban green spaces."
"I found that community composition was most strongly affected by presence or absence of native forest, but there were also additional effects of site size and urban zone. In general, sensitive groups of bird species comprised a larger proportion of the bird community in larger sites with native forest close to the periphery of the city, and, conversely, that more adaptive groups of bird species comprised a larger proportion of the bird community in smaller sites without native forest in the city centre."</t>
  </si>
  <si>
    <t>"The key components to maintaining this situation is to avoid reducing the size of these areas and to prevent loss of natural vegetation such as native forest. This strategy is likely to be relevant for most cities worldwide."
"The results of the present study did not suggest that bird occupation of urban sites was limited by distance from the periphery of the city (i.e. distance from potential source areas). Thus, at least for mobile animals such as birds, there would apparently not be major gains by trying to improve connectivity between patches of urban green areas. However, Dale et al. (2015) found that the commonness of bird species within Oslo city was strongly related to their commonness outside of the city. This suggests that a key strategy to maintaining a rich birdlife within cities is to preserve large and varied source areas immediately outside the city."</t>
  </si>
  <si>
    <t>Categorized birds by habitat variables incl. nest height and deciduous/coniferous nesting habits.
Include cavity nesters, but not cavity metrics.</t>
  </si>
  <si>
    <t>A172</t>
  </si>
  <si>
    <t>Threlfall et al. (2016)</t>
  </si>
  <si>
    <t>Threlfall CG, Williams NSG, Hahs AK, Livesley SJ.</t>
  </si>
  <si>
    <t>Approaches to urban vegetation management and the impacts on urban bird and bat assemblages.</t>
  </si>
  <si>
    <t>caragh.threlfall@unimelb.edu.au</t>
  </si>
  <si>
    <t>We sampled birds and bats within three types of urban green spaces in south-east Melbourne, including: (1) golf courses, (2) public parks and (3) residential neighbourhoods (e.g. front gardens and streetscapes).</t>
  </si>
  <si>
    <t>Native species, Land use type, Composition</t>
  </si>
  <si>
    <t>"The green spaces we selected ranged between 1 and 80 ha in size. To characterise the effect of management practices on vegetation within each green space, we measured (1) vegetation composition (proportion of native plants); (2) the density of trees (trees ha−1); and (3) volume of understorey vegetation (m3)."</t>
  </si>
  <si>
    <t>Breeding, Biodiversity</t>
  </si>
  <si>
    <t>Micro breeding, Biodiversity metric</t>
  </si>
  <si>
    <t xml:space="preserve">"No differences were found in the bird and bat assemblages between parkland and naturalistic style courses."
"We examined three local scale vegetation management approaches that are suggested to positively influence both bird and bats: (1) increasing the proportion of native vegetation; (2) increasing the density of large trees, and (3) increasing the volume of understorey vegetation. However, only the increases in the proportion of native vegetation had a consistently positive effect on both taxa."
"Overall, we found that large urban green spaces (golf courses) supported a significant proportion of the regional bat and bird species pool and should be considered as critical habitats in urban landscapes."
</t>
  </si>
  <si>
    <t xml:space="preserve">"Importantly, half of all native bird species and all the bat species in our study are insectivores, and our data suggests that increasing the proportion of native vegetation is one vegetation management approach that could easily increase the abundance of food resources available for insectivorous bat species, and support increases in breeding activity of native birds."
"Importantly, urban tree policies should be revised to increase the age at which existing trees in urban green spaces are considered for removal, and could be broadened to protect trees of different origin. Strategies to reduce the level of human risk whilst enabling the dead or over-mature tree to remain in urban green spaces need to be agreed, and implemented by arborists (Dunster, 1998). Pruning and limb removal of over-mature trees obviously carries a financial cost, but can extend the ecological and societal benefit that these large trees provide."
"There are several opportunities to increase the extent of understorey vegetation within urban green spaces that will not affect their ability to be used for multiple purposes. This includes the retention of logs, mulch, leaf litter, shrubs and seedlings (Le Roux, Ikin, Lindenmayer, Blanchard et al., 2014; Shwartz et al., 2013; Stagoll et al., 2010). Areas of green space containing these features could be balanced with areas containing shorter, more simplified vegetation, or simpler habitat structures only, to allow for the full complement of open-adapted bat species to occur in green spaces, and to ensure that a range of passive and active recreational values and green spaces preferences are maintained."
</t>
  </si>
  <si>
    <t>Strong recommendations</t>
  </si>
  <si>
    <t>vertical layer assessment, total height, tree layer, ground layer, diameter, shrub species composition, shrub layer, tree species composition, stem density</t>
  </si>
  <si>
    <t>Volume of understory vegetation
Used vegetation volumen pole method (like some of the previous recent papers) -&gt; removed trees to only look at understory
---&gt;  = vertical layer assessment &amp; total height</t>
  </si>
  <si>
    <t>A173</t>
  </si>
  <si>
    <t>Pennington &amp; Blair (2011)</t>
  </si>
  <si>
    <t>Pennington DN, Blair RB.</t>
  </si>
  <si>
    <t>Habitat selection of breeding riparian birds in an urban environment: untangling the relative importance of biophysical elements and spatial scale.</t>
  </si>
  <si>
    <t>Penn0107@umn.edu</t>
  </si>
  <si>
    <t>"We quantified bird, local vegetation and landscape variables for riparian forests of the Mill Creek watershed (42,994 ha) located within the Midwestern metropolitan area of Cincinnati, Hamilton County, Ohio (39.2°N 84.5°W) (Fig. 1)."</t>
  </si>
  <si>
    <t>39.2°</t>
  </si>
  <si>
    <t>84.5°</t>
  </si>
  <si>
    <t>Native species, Composition, Canopy Cover</t>
  </si>
  <si>
    <t>"We assessed local woody vegetation structure and composition characteristics on both sides of the stream in a 70-mdiameter plot (0.38 ha) centred at each bird sampling point; each vegetation sampling plot included five randomly sited 10-m-diameter subplots."
...centre; we calculated canopy height for a plot as the average of five subplot height measures. We calculated tree or canopy stem densities, canopy basal area, number of dead trees, average canopy height and understory stem density (see Table S1)."</t>
  </si>
  <si>
    <t xml:space="preserve">"Species responses to spatial scale and biophysical features varied. For the majority of breeding species, landscape features within 500 m of streams were among the most important variables influencing habitat selection; however, several birds also responded to larger scales (Table S5; Fig. S2)."
"Bird species’ responses to woody vegetation composition and structure measures varied widely, emphasizing the importance of species-specific management (Table S4). Native woody species composition of both canopy and understory vegetation were the most important vegetation variables influencing bird distributions."
"Species’ responses to vegetation structure were similar whereby many native forest-dependent species were positively associated with higher tree densities, while edge species were negatively associated (e.g., American goldfinch). Cavity nesting and bark gleaning species were strongly associated with the presence of large-diameter trees (e.g., Carolina chickadee, redbellied woodpecker, tufted titmouse)."
"For the majority of species, the amount of vegetation in the landscape was more important than building density."
</t>
  </si>
  <si>
    <t xml:space="preserve">"Our findings emphasize the importance of species-specific management actions in expanding metropolitan areas to prevent possible local extinctions of regionally widespread species. Expanding traditional conservation targets beyond the regionally listed ‘species of greatest conservation concern’ will not only aid in keeping common species common but also give people opportunities to experience a more biologically diverse landscape (Miller, 2005)."
"Most native birds would benefit from the implementation of long-range comprehensive development plans that consider landscape composition and structure at scales &gt; 300 m. Many of the most urban-sensitive species or urban avoiders require the large-scale maintenance of natural habitat within urban areas, such as maintaining large grassy open areas (e.g., meadows or prairies – not lawns) with few trees (e.g., brown thrasher, common yellowthroat and yellow-billed cuckoo; Table 2), while others require the large-scale maintenance of forest cover (e.g., Acadian flycatcher, Louisiana waterthrush, scarlet tanager and wood thrush; Table 1). Still others, often the most abundant and widespread species, such as Carolina chickadee, blue jay, northern mockingbird and northern cardinal, can co-exist with varying levels of development and vegetation (Table 1–3)."
"Researchers of small study areas should attend to the larger landscape context, while those focused on landscape modelling efforts should acknowledge the role of local vegetation characteristics. Landscape-scale studies should evaluate habitat conditions at scales &lt; 1 km, especially when high-resolution remotely sensed data are available. For most species, a combination of both local and landscape features provide important information."
</t>
  </si>
  <si>
    <t>detailed recommendations</t>
  </si>
  <si>
    <t>stem density, shrub layer, tree species composition, tree layer, shrub species composition, ground layer, standing dead trees, diameter, total height</t>
  </si>
  <si>
    <t>A174</t>
  </si>
  <si>
    <t>Nooten et al. (2018)</t>
  </si>
  <si>
    <t>Nooten SS, Schultheiss P, Wright J, Macdonald C, Singh BK, Cook JM, et al.</t>
  </si>
  <si>
    <t>What shapes plant and animal diversity on urban golf courses?</t>
  </si>
  <si>
    <t>sabine.nooten@gmail.com</t>
  </si>
  <si>
    <t>"The Greater Sydney Region is Australia’s most densely populated metropolitan area, supporting approximately five million people in an area spanning ~12 thousand square kilometres (www.cityofsydney.nsw.gov.au)."</t>
  </si>
  <si>
    <t>33° 44′ 20.75′′</t>
  </si>
  <si>
    <t>151° 18′ 22. 06′′</t>
  </si>
  <si>
    <t>Composition, Connectivity, Forested area</t>
  </si>
  <si>
    <t>"...(4) connectivity to surrounding woodland, calculated as the percentage adjacent to the golf course perimeter (10–85%). Local-scale factors were course age (42–111years),coursesize(32–92 ha), size of on-course remnant vegetation (0–31 ha), size of water features (0–33 ha), average tree density (110–456 trees ha−1) and tree biomass (13199 t ha−1). All site-level data are included in Table S1."</t>
  </si>
  <si>
    <t>"Bird species diversity was positively related (P &lt; 0.01) to the area of water features on a site (Table 1,Fig.2e). However, the diversity of non-water birds (77% of all bird species) was significantly higher (P = 0.02) on older courses (Table 1,Fig.2f). Relationships with other environmental factors were not significant."
"Environmental correlates of biodiversity differed for plants, birds and ants."
"We found that remnant habitats consistently harboured more species than other habitat types (Fig. 3), a large proportion of which were unique at the site level."</t>
  </si>
  <si>
    <t>"Overall, our results indicate that large areas of open, park-like fairways, water features and patches of remnant woodland on golf courses provide a habitat matrix that can support a wide range of plant and animal species. On-course remnant habitats in particular harboured a greater diversity of the less mobile species (i.e. plants and ants), highlighting their role as refugia for local flora and fauna and thus representing mini hot spots of diversity in an otherwise species-poor urban landscape. Our results suggest that the floristic and faunal diversity of urban golf courses can be enhanced by management practices aimed at increasing the extent of woody non-playing areas, especially by preserving and/or enhancing remnant native habitats."</t>
  </si>
  <si>
    <t>stem density, overall canopy cover, shrub species composition, tree species composition</t>
  </si>
  <si>
    <t>Area of remnant vegetation = overall canopy cover</t>
  </si>
  <si>
    <t>A175</t>
  </si>
  <si>
    <t>Korányi et al. (2021)</t>
  </si>
  <si>
    <t>Korányi D, Gallé R, Donkó B, Chamberlain DE, Batáry P.</t>
  </si>
  <si>
    <t>Hungary</t>
  </si>
  <si>
    <t>Urbanization does not affect green space bird species richness in a mid-sized city</t>
  </si>
  <si>
    <t>batary.peter@okologia.mta.hu</t>
  </si>
  <si>
    <t>Germany</t>
  </si>
  <si>
    <t>Göttingen</t>
  </si>
  <si>
    <t>We carried out this study in Göttingen, a city with an area of 117 km2 and a population of 120,000 residents. This city is situated at 150 m a.s.l. in Lower Saxony, Germany (51°32′ 28.61”N9°54′56.89′′E)</t>
  </si>
  <si>
    <t>51 32' 28.61"</t>
  </si>
  <si>
    <t>9 54' 56.89"</t>
  </si>
  <si>
    <t>"Mean (SEM) of areas, impervious surface percentage in the surrounding matrix, shrub and tree covers of allotments and parks and their comparison based on general and generalized linear models."</t>
  </si>
  <si>
    <t>Breeding, Biodiversity, Survival, Behaviour</t>
  </si>
  <si>
    <t>Nesting survival, Foraging/Movement, Biodiversity metric, Migration</t>
  </si>
  <si>
    <t>"Contrary to our expectations (1, 2 and, 3), our results showed that increasing level of urbanization and increasing GS size had no effect on bird species richness nor on the examined functional traits. In accord with expectation (4), we found more ground or near-ground nesting and more migrant birds in parks, but we found no differences regarding other trait values (foraging technique and diet of birds) between the two GI types, showing that allotments, despite their lower species richness, act as important bird habitats."
"We found that increasing size of GS had no effect on avian species richness despite the fact that large green areas in urban environments can harbor more species compared to small ones (Fernández-Juricic and Jokimäki 2001; Carbó-Ramírez and Zuria 2011; Callaghan et al. 2018)."
"We did not find any relationship between species richness and increasing levels of urbanization."</t>
  </si>
  <si>
    <t>"In conclusion, our results suggest that in addition to providing an adequate amount of green space, management measures should also focus on maintaining their diverse local characteristics in order to maintain diverse and functionally rich bird communities. Although allotments are primarily designed for the benefit of humans, their role in enhancing species richness can be increased when they are interconnected with other green spaces as an integral part of an urban green infrastructure."</t>
  </si>
  <si>
    <t>tree layer, shrub layer</t>
  </si>
  <si>
    <t>A176</t>
  </si>
  <si>
    <t>Hodgkison et al. (2007)</t>
  </si>
  <si>
    <t>Hodgkison S, Hero J-M, Warnken J.</t>
  </si>
  <si>
    <t>The efficacy of small-scale conservation efforts, as assessed on Australian golf courses.</t>
  </si>
  <si>
    <t>S.Hodgkison@Griffith.edu.au</t>
  </si>
  <si>
    <t>Queensland</t>
  </si>
  <si>
    <t>"Bird, reptile, mammal and amphibian diversity and environmental characteristics were surveyed on 20 suburban golf courses in south-east Queensland (Brisbane and the Gold Coast), Australia between 2001 and 2004"</t>
  </si>
  <si>
    <t>Canopy Cover, Connectivity, Composition, Native species</t>
  </si>
  <si>
    <t>"% native grass cover, foliage height diversity, canopy gap fraction, number of dead trees, number of hallow trees, area of vegetation, area of core vegetation, course connectivity, area of water, % built land in 1 km, connectivity at 200m, % vegetation in 200m, % vegetation in 5km"</t>
  </si>
  <si>
    <t>"The local abundance and species richness of birds, reptiles, mammals and frogs were significantly influenced by the size and spatial arrangement of terrestrial and aquatic habitats on golf courses. The principal factor associated with increased abundance and species richness of birds, mammals, amphibians and to a lesser extent, reptiles was the area of native terrestrial vegetation retained within the golf course boundary."
"Habitat connectivity also had an impact, improving the association between landscape conditions and the abundance and species richness of urban-avoiding birds and mammals. Maximizing habitat connectivity on urban green-space areas will therefore increase their refuge value for urban-avoiding wildlife."
"Bird abundance and species richness increased with foliage height diversity and the proportion of native grass cover.... Habitat remnants that have greater structural complexity can therefore support a greater diversity of bird species."
"Bird and mammal species richness increased with the proportion of vegetation cover in a 2 km radius and decreased with the proportion of built land in a 1 km radius."</t>
  </si>
  <si>
    <t>Results split into local, patch, landscape. Really relevant results but no clear recommendations</t>
  </si>
  <si>
    <t>ground layer, vertical layer assessment, total height, overall canopy cover, cavity metrics, standing dead trees</t>
  </si>
  <si>
    <t>Foliage height diversity (like other papers)
Other variables were measured, but were used to assess other fauna, not birds.</t>
  </si>
  <si>
    <t>A177</t>
  </si>
  <si>
    <t>Strohback et al. (2013)</t>
  </si>
  <si>
    <t>Strohbach MW, Lerman SB, Warren PS.</t>
  </si>
  <si>
    <t>Are small greening areas enhancing bird diversity? Insights from community-driven greening projects in Boston.</t>
  </si>
  <si>
    <t>michael.strohbach@ti.bund.de</t>
  </si>
  <si>
    <t>Boston</t>
  </si>
  <si>
    <t>"Boston is located at the Massachusetts Bay in the northeastern USA (42◦21′N, 71◦4′W). The climate is classified as snow climate, fully humid with hot summers (Kottek, Grieser, Beck, Rudolf, &amp; Rubel, 2006). The city has 617,594 inhabitants and a population density of 4939 inhabitants per km2 (USA Census Bureau, n.d.)."</t>
  </si>
  <si>
    <t>42◦21′N</t>
  </si>
  <si>
    <t>71◦4′W</t>
  </si>
  <si>
    <t>Forested area, Diversity metric, Canopy Cover, Composition</t>
  </si>
  <si>
    <t>"The following land-cover classes were differentiated: bare soil, building, lawn, impervious surface, tree and water. We used the percentage cover and average patch size of each land cover class as variables. We also combined adjacent lawns and trees to estimate the total cover and average patch size of green space. As a measure of tree structure and tree maintenance level, we conducted a tree survey along a 100 m transect that was centered at each bird observation point."</t>
  </si>
  <si>
    <t>"We designed our study in conjunction with the “CityRoots” greening campaign by the Urban Ecology Institute, which aims at greening in underserved neighborhoods through community planting projects. In seven years, 48 “CityRoots” projects were implemented involving more than 600 residents, ranging in scale from street tree plantings to the creation of green space on vacant lots (Urban Ecology Institute, n.d.)."</t>
  </si>
  <si>
    <t xml:space="preserve">"Our results show that there are no general differences between the bird community composition of the greening projects and the random urban sites; they are mixed and do not form distinguishable groups on the ordination (Fig. 3)."
"There are several environmental parameters for which significant vectors could be fitted onto the ordination result. All of them extend mainly along the first dimension of the ordination (NMDS1) and can be interpreted as a gradient of urbanization intensity, with environmental parameters such as distance to green space larger than 43 ha or impervious surface increasing along the first dimension of the ordination, and parameters like canopy cover, patch size of green space, and the percentage of trees with cavities decreasing along the first dimension."
"While the bird community composition does not appear to be different at the greening projects compared to the random urban sites, the paired test showed that a difference in species richness was moderately significant and eight greening projects had more species present than the random urban site in the vicinity (Fig. 6)."
"In addition to patch size, the percentage of trees with cavities also explains some of the species richness differences in Boston; in our model, 15% of the total variance of species richness differences was explained by this parameter...It must be clarified that the difference in trees with cavities is unlikely to stem from the recent tree plantings but rather from trees that were present at and around the sites before the “CityRoots” projects were implemented. Therefore, this is an indicator of the tree maintenance level and tree age surrounding the sites. Nevertheless, the greening projects can serve to protect existing tree habitat."
"Our model suggests that an additional 150 m2 in green space patch size accounts for one additional species being observed. However, whether the greening projects just attract birds that are present in the area or whether they actually provide foraging or nesting habitat to support additional species cannot be determined with our study, but nest monitoring and experiments with artificial nests could show this in the future."
</t>
  </si>
  <si>
    <t>In a green network, small greening projects could be designed to provide key habitat features like fruit bearing trees, linear elements like hedges that provide habitat and improve permeability of the urban matrix, nesting boxes, and in the long-run, more trees with cavities (Fernández-Juricic &amp; Jokimäki, 2001). In addition, if the habitat quality of the urban matrix (gardens, streetscapes, etc.) increases, then the importance of small parks might increase. Murgui (2009), who studied bird richness in Valencia, Spain, using a raster survey, found that the total area covered by urban parks was more important for explaining the number of bird species than mean patch size of parks. However, the result was confined to winter birds and the author suggested that general habitat enhancements in the city would be needed for increasing the number of breeding birds. Several small greening projects, like the ones studied in this paper, could probably increase the habitat value of an area. In combination with previous research, our findings suggest that greening initiatives like “CityRoots” or “Grow Boston Greener” would have to be integrated into a comprehensive green space plan to achieve the greatest value for bird conservation.</t>
  </si>
  <si>
    <t>diameter, overall canopy cover, tree layer, ground layer, total height, cavity metrics</t>
  </si>
  <si>
    <t>Overall canopy cover = green space cover
Trees were "identified", but species never mentioned or used.</t>
  </si>
  <si>
    <t>A179</t>
  </si>
  <si>
    <t>Mühlbauer et al. (2021)</t>
  </si>
  <si>
    <t>Mühlbauer M, Weisser WW, Müller N, Meyer ST.</t>
  </si>
  <si>
    <t>A green design of city squares increases abundance and diversity of birds.</t>
  </si>
  <si>
    <t>Basic and Applied Ecology</t>
  </si>
  <si>
    <t>sebastian.t.meyer@tum.de.</t>
  </si>
  <si>
    <t>Munich</t>
  </si>
  <si>
    <t>"The city of Munich is situated in the alpine upland at 519 m a. s. l. (Bavaria, South-Germany: 48° 8' 13'' N, 11° 24' 31'' E). Climatically, Munich belongs to the warm temperate climate-zone with precipitation of 944 mm per year (Ø 1981 – 2010) and an average temperature of 9.7 °C."</t>
  </si>
  <si>
    <t>48 8' 13"</t>
  </si>
  <si>
    <t>11 24' 31"</t>
  </si>
  <si>
    <t>"These square characteristics were the mean number of people, the mean number of domestic animals, size of squares, tree density, shrub volume, the proportion of grass cover, number of old trees, and proportion of green buffer area."</t>
  </si>
  <si>
    <t xml:space="preserve">"Our study confirms that an increase in greenness of a square increased both the abundance and diversity of birds. By investigating the effect of individual square characteristics, we could show that the size of the square, the proportion of grass cover, the density of trees, and the number of old trees had a strong positive effect on the diversity and abundance of birds. In contrast, human activity had an overall negative effect. The positive effect of greenness on diversity was local, as the green area in the surroundings of the squares did not affect diversity and even negatively affected abundance."
"Regarding individual square characteristics, the positive effect of square size was strong, which is in line with the theoretical diversity-area relationship (Beninde et al. 2015). Regarding the green characteristics of a square, our study confirms that trees are a crucial factor in urban environments for diversity (Fontana et al. 2011; Sandström et al. 2006), and some bird species were exclusively associated with trees on a square."
"Our study also underlines the importance of grassy areas on squares for birds. Despite these being highly managed lawns in Munich, a higher proportion of lawns on squares positively affected bird diversity and abundance."
"In contrast to the local characteristics of the squares, the green area in the surrounding of the squares had no impact on diversity, confirming previous studies (for an overview, see Evans et al. 2009). Thus, local characteristics of the square were more important than surrounding characteristics in line with studies showing that the local availability of resources drives the presence of birds (see Clergeau, Jokimäki and Savard (2001) and references therein)."
</t>
  </si>
  <si>
    <t>"Our community analysis further showed how specific square characteristics favored different bird species. This underlines that the individual components of green spaces on squares are synergistic in their effects on birds. Consequently, there is a benefit in combining different types of vegetation to create various habitats to successfully support bird diversity. This heterogeneity might be even more important when targeting the diversity of urban wildlife as a whole beyond birds only."</t>
  </si>
  <si>
    <t>diameter, tree species composition, tree layer, total height, ground layer, overall canopy cover, stem density, shrub layer</t>
  </si>
  <si>
    <t>Calculated the Landsat Normalized Difference Vegetation Index (NDVI) = overall canopy over
Used DBH of  ≥60 cm as proxy for old trees (i.e., AGE)  = age not included
Proportion of old trees = tree layer</t>
  </si>
  <si>
    <t>A182</t>
  </si>
  <si>
    <t>Kos et al. (2021)</t>
  </si>
  <si>
    <t>Kos K, Bujoczek M, Bujoczek L.</t>
  </si>
  <si>
    <t>How do the features of individual gardens affect bird diversity in rural-suburban areas?</t>
  </si>
  <si>
    <t>malgorzata.bujoczek@urk.edu.pl</t>
  </si>
  <si>
    <t>Bielsko-Biala</t>
  </si>
  <si>
    <t>"The study was conducted in the city of Bielsko-Bia ła, located in southern Poland on the Biała River (49◦49′21′′ N, 19◦02′40′′ E). The city has an area of more than 124 km2, 41 % of which is green space, including municipal green areas, forests, and farmland. Population density is almost 1,400 inhabitants per km2"</t>
  </si>
  <si>
    <t>49◦49′21′′ N</t>
  </si>
  <si>
    <t>19◦02′40′′ E</t>
  </si>
  <si>
    <t>"The studied gardens were described in great detail, with several dozen checked or measured features, such as vegetation (trees, shrubs, herbaceous plants), buildings, the presence of domestic and farm animals and the provision of food for them (feeding places)."</t>
  </si>
  <si>
    <t>"Depending on garden type, bird density ranged from 10.8 to 57.4 breeding pairs per ha, with 0.8–8.3 species per garden. The species similarity Jaccard index of bird assemblages was from 0.10 to 0.75. The evenness index revealed some garden types with very even species distributions, as well as some types that were strongly dominated by a single species. Garden features also affected proportions between groups of species with different nesting preferences (cavity nesters, canopy nesters, birds nesting in building, and those nesting in shrubs and near the ground). The function of gardens as food sources increased from spring to winter. The garden attributes that significantly affected the occurrence of breeding birds were high tree density and hedges, building walls and attics available for birds, as well the presence of chicken coops. In terms of feeding, of importance was not only lush vegetation, but also places where different types of food were provided for birds, poultry, and domestic and farm animals."</t>
  </si>
  <si>
    <t>"Thus, the main question is how to preserve garden diversity in the face of suburbanization. The improvement of garden quality and the mitigation of adverse tendencies requires cooperation with garden owners and an under standing of the socioeconomic factors motivating their decisions. It appears necessary to raise their awareness and stimulate social needs associated with gardens by deploying programs encompassing both an educational component and professional consulting."</t>
  </si>
  <si>
    <t>DMR</t>
  </si>
  <si>
    <t>shrub layer, total height, fruit metrics, vine layer, ground layer, cavity metrics, shrub species composition, tree species composition, plant functional types, tree layer, stem density</t>
  </si>
  <si>
    <t>Fruiting vegetation presence
Nest box &amp; cavity presence</t>
  </si>
  <si>
    <t>A183</t>
  </si>
  <si>
    <t>Watson et al. (2001)</t>
  </si>
  <si>
    <t>Watson J, Freudenberger D, Paull D.</t>
  </si>
  <si>
    <t>An Assessment of the Focal-Species Approach for Conserving Birds in Variegated Landscapes in Southeastern Australia.</t>
  </si>
  <si>
    <t>Conservation Biology</t>
  </si>
  <si>
    <t>Canberra</t>
  </si>
  <si>
    <t>"The study area is located in the northern Australian Capital Territory (ACT) and bordering areas of New South Wales (NSW) (Fig. 1)."</t>
  </si>
  <si>
    <t>"The canopy cover of a patch, the density of shrubs, and the amount of litter and groundcover strongly influence the diversity of bird species found on it (Recher 1969; Wiens 1989; Ford &amp; Barrett 1995). We measured the vegetation structural complexity of patches using a rapid appraisal method first developed by Newsome and Catling (1979) to explain the diversity of mammals found in a wide range of habitats."</t>
  </si>
  <si>
    <t>"We concur with Lambeck (1999) that guidelines derived from the focal-species approach are more useful to land managers and conservation planners than are general enhancement principles that essentially state that large and proximate remnants are better than small and isolated remnants. The focal-species approach allows explicit recommendations to be developed that should improve the probability of retaining a wide range of species in fragmented landscapes. The focal-species approach is likely to be useful in the development of conservation guidelines in other highly modified landscapes in Australia and elsewhere."</t>
  </si>
  <si>
    <t xml:space="preserve">"Following the focal-species approach of Lambeck (1997), we identified the Hooded Robin as the species most sensitive to habitat area and complexity. We propose the Eastern Yellow Robin as the candidate focal species for isolation, although there were insufficient occurrences to detect a statistically significant effect of isolation. If the spatial and compositional requirements of these two species could be met, then the requirements of other bird species, limited by similar threats, should also be met. The conservation planning guidelines we derived from these two focal species were (1) conserve or create remnants at least 100 ha in size; (2) conserve or create a diverse vegetation structure (with a habitat complexity score of at least 12); and (3) conserve or establish woodland patches that are within a mean of 1.5 km of five neighboring patches."
"...., we devised the following revegetation guidelines based on the requirements of moderately sensitive species (Table 3): (1) revegetation should increase the area of each remnant to at least 10 ha; (2) remnants should have a mean habitat complexity score of at least 6 (created by reducing grazing sufficiently to establish a native understory); (3) if remnants are _x0002_1.5 km from one another, intervening patches should be created; and (4) conservation of existing remnants of _x0002_100 ha should be a priority, and if these remnants have a poor habitat structure, they should be enhanced by planting native grasses and shrubs within them."
"Highly sensitive woodland bird species will be conserved only if remnants of _x0002_100 ha are conserved and long-term enhancement programs occur within and around them."
</t>
  </si>
  <si>
    <t>Focal species approach</t>
  </si>
  <si>
    <t>ground layer, coarse woody debris layer, shrub layer, vertical layer assessment, total height, tree species composition, leaf litter layer, tree layer</t>
  </si>
  <si>
    <t>A184</t>
  </si>
  <si>
    <t>Stagoll et al. (2012)</t>
  </si>
  <si>
    <t>Stagoll K, Lindenmayer DB, Knight E, Fischer J, Manning AD.</t>
  </si>
  <si>
    <t>Large trees are keystone structures in urban parks.</t>
  </si>
  <si>
    <t>Conservation Letters</t>
  </si>
  <si>
    <t>karen.stagoll@anu.edu.au</t>
  </si>
  <si>
    <t>"We conducted our study in Canberra, Australian Capital Territory (ACT), in southeastern Australia. Canberra is approximately 800 km2, and has a population of 362,000 people."</t>
  </si>
  <si>
    <t>"We measured the trunk diameter at breast height (DBH; 1.3 m above ground level) of all live eucalypt trees within the site. For trees with multiple stems at breast height, we measured the diameter of each stem, and used the summed basal area to calculate the equivalent diameter for a single-stemmed tree with the same basal area at breast height (following Fischer et al. 2009)."
"We also recorded within each site: (1) the total number of trees per hectare (of all species), (2) the proportion that were eucalypts, (3) the presence of shrubs, (4) the percentage cover of leaf litter, and (5) the percentage cover of grass."</t>
  </si>
  <si>
    <t>"Our study is the first to explicitly demonstrate that large trees are also keystone structures in urban parks. This is because they have a consistent, positive, and strong relationship with bird richness, average abundance, presence of breeding, woodland species richness, and community composition. Furthermore, we confirmed that as trees became larger in size, their positive effect on bird diversity also increased."
"We found that trees as small as 40 cm in diameter can have a strong positive effect on bird diversity, which is smaller than minimum sizes prescribed by many managing authorities, including in North America, Europe, Asia, and Australia (Table 1). In our study area, government law regulates only the removal of trees &gt;50 cm in diameter, so that 457 park trees 40–49 cm in diameter (14% of all trees that we measured) do not receive formal protection. Similar numbers of trees may be at risk in other cities worldwide where the physical criteria for tree regulation focus on larger trunks (Table 1). Tree preservation laws, therefore, may not be providing adequate protection for a large number of important trees. We suggest that physical criteria for protection as part of tree preservation policies should be evidence-based and regularly reviewed and that the value of large trees for biodiversity be explicitly acknowledged."</t>
  </si>
  <si>
    <t>"Because large urban trees provide important habitat resources for wildlife, it is vital that they are managed appropriately. The loss of large trees from urban settings may have far-reaching ecological consequences that may undermine other biodiversity conservation measures. Harper et al. (2005, p. 187) for example, concluded that a lack of large hollow-bearing trees was “possibly the greatest threat to the short-term (&lt;20 years) ecological sustainability” of urban remnants within their study region in southeastern Australia. This is particularly pertinent in urban areas where management policies often cause trees to be felled or extensively pruned before they reach their full biological potential (Jim 2004, 2005; Carpaneto et al. 2010), thereby limiting their value to wildlife. For example, we found that species richness increased by approximately 10% with the addition of five &gt;50 cm trees but by over 150% with the addition of five &gt;100 cm trees."
"Finally, our findings reiterate the importance of proactively planning for future large trees (Jim 2004)."</t>
  </si>
  <si>
    <t>diameter, leaf litter layer, tree species composition, ground layer, stem density, shrub layer</t>
  </si>
  <si>
    <t>A186</t>
  </si>
  <si>
    <t>Husté et al. (2006)</t>
  </si>
  <si>
    <t>Husté A, Selmi S, Boulinier T.</t>
  </si>
  <si>
    <t>Bird communities in suburban patches near Paris: Determinants of local richness in a highly fragmented landscape.</t>
  </si>
  <si>
    <t>alissign@mail.snv.jussieu.fr</t>
  </si>
  <si>
    <t>Paris</t>
  </si>
  <si>
    <t>"The study area is situated in the Seine-Saint-Denis administrative division of France (48° 54' n, 2° 29' w), in the northeastern suburbs of the city of Paris."</t>
  </si>
  <si>
    <t>48° 54'</t>
  </si>
  <si>
    <t>2° 29'</t>
  </si>
  <si>
    <t>Fragmentation, Composition, Forested area</t>
  </si>
  <si>
    <t>"Using the Geographic Information System (GIS) ArcView 3.2 (ESRI, 1996) and the colour aerial photographs, we determined the size (ha) of each patch and the geographic coordinates of its centroid. In order to characterize vegetation within patches, the following descriptors were measured: cover of trees (%), number of tree species, cover of shrubs (%), number of shrub species, cover of herbaceous plants (%), and number of herbaceous plant species. Vegetation"</t>
  </si>
  <si>
    <t>"As expected, local breeding bird species richness was related to local patch characteristics in the studied urban region. More precisely, we found that species richness was related primarily to patch size, but also to the abundance and diversity of trees and shrubs (PC1 in our analyses). Surprisingly, local bird species richness was not found to be related to PC2 (i.e., diversity and abundance of herbaceous plants), the urbanization intensity around the patches, or their isolation, as measured by the distance to any of the four large natural remnant patches."
"This study has also pointed out that the ecological patterns of urban patches are not necessarily the same as those of patches in more natural landscapes. Indeed, like other urban studies, this study found that surrounding urbanization intensity and isolation from large natural remnants did not affect bird species richness. Yet, these two metrics may affect bird species richness in other landscapes (Andrèn, 1994)."</t>
  </si>
  <si>
    <t>ground layer, shrub species composition, tree species composition, shrub layer, tree layer</t>
  </si>
  <si>
    <t>A188</t>
  </si>
  <si>
    <t>Pellissier et al. (2012)</t>
  </si>
  <si>
    <t>Pellissier V, Cohen M, Boulay A, Clergeau P.</t>
  </si>
  <si>
    <t>Birds are also sensitive to landscape composition and configuration within the city centre.</t>
  </si>
  <si>
    <t>vincent.pellissier@gmail.com</t>
  </si>
  <si>
    <t>"The area studied is the city of Paris, the administrative capital of France. The city proper has an area of 105.40 km2 and a mean density of 20,980 inhabitants per km2."</t>
  </si>
  <si>
    <t>"Three land use types were identified: bare soil, vegetation and built-up areas. The vegetation height was determined by subtracting the digital elevation model from the digital surface model on the vegetation pixels. APUR provided the visible vegetation height according to three classes: herbs (less than 1 m), shrubs (from 1 m to 10 m) or trees (more than 10 m)."</t>
  </si>
  <si>
    <t xml:space="preserve">"Based on the species richness data of bird guilds, it appeared that insectivorous species richness was little influenced by the organisation of tree areas, whereas their abundance was strongly influenced by the proportion of shrubs, this influence being stronger in areas with a high proportion of medium-height buildings."
"Richness of granivorous and omnivorous species was not affected by our metrics. Granivorous and omnivorous species are known to adapt well to urban environments (Lim &amp; Sodhi, 2004; Chace &amp; Walsh, 2006). For these two groups, the number of species remained similar and urban characteristics were of little importance."
"Surprisingly, the richness of shrub nester species is not influenced by spatial organisation, even if they are known to be very sensitive to urbanisation (Lim &amp; Sodhi, 2004). Moreover, their abundance increased in areas with a large shrub cover."
"The proportion of trees in the surroundings did indeed increase both the richness and the abundance of tree nesters since it provided suitable nesting habitats. These birds also benefited from areas with large bare soil areas and equal spatial distribution of the three vegetation heights since they may provide suitable feeding areas."
"Finally, if the roof nesters were negatively influenced by large amounts of bare soil, this negative effect was buffered by the presence of the different vegetation elements close to each other in the cell. It thus appeared that this nesting guild would benefit from advanced green space management since it requires both a low bare soil cover and an equal proportion of each type of vegetation, as long as each green element is close to the other."
</t>
  </si>
  <si>
    <t>"It is thus likely that a simple urban management option such as varying the heights of buildings when constructing a new neighbourhood rather than clustering buildings of similar height will increase the abundances of bird species. In the same way, when designing urban green spaces, focusing on the spatial configuration of these spaces (especially their proximity) is likely to increase avifauna abundance. Thus, urban planning can also promote the abundance of bird species in the city centre. Nonetheless, as the species richness was barely influenced by the landscape metrics considered here, a challenging issue to tackle in designing these new neighbourhoods will be to ensure that these increases in abundance is not due to only a few species. Thus, taking into account other factors likely to influence the diversity itself, such as the inclusion of large, diverse semi-natural areas (Oliver et al., 2011), altogether with the buildings characteristics and urban green spaces configuration is key to maintain high level of local diversity within highly urbanised areas."</t>
  </si>
  <si>
    <t>tree layer, overall canopy cover, ground layer, total height, shrub layer, vertical layer assessment</t>
  </si>
  <si>
    <r>
      <rPr>
        <rFont val="Times New Roman"/>
        <color theme="1"/>
        <sz val="11.0"/>
      </rPr>
      <t>Tree, shrub, herb determined by vegetation height classes (pixels) -&gt; proportion of cover calculated
Interspersion and juxtaposition index = vertical assessment</t>
    </r>
    <r>
      <rPr>
        <rFont val="Times New Roman"/>
        <b/>
        <color theme="1"/>
        <sz val="11.0"/>
      </rPr>
      <t xml:space="preserve">
</t>
    </r>
    <r>
      <rPr>
        <rFont val="Times New Roman"/>
        <color theme="1"/>
        <sz val="11.0"/>
      </rPr>
      <t>Vegetation surface area</t>
    </r>
  </si>
  <si>
    <t>A189</t>
  </si>
  <si>
    <t>Smith et al. (2014)</t>
  </si>
  <si>
    <t>Smith AC, Francis CM, Fahrig L.</t>
  </si>
  <si>
    <t>Similar effects of residential and non-residential vegetation on bird diversity in suburban neighbourhoods.</t>
  </si>
  <si>
    <t>adam.smith@ec.gc.ca</t>
  </si>
  <si>
    <t>Ottawa</t>
  </si>
  <si>
    <t>"Ottawa, Ontario, Canada is an urban centre of approximately 800,000 residents, surrounded by a landscape composed of agricultural fields and coniferous-deciduous, mixed-wood forests."</t>
  </si>
  <si>
    <t>Composition, Native species</t>
  </si>
  <si>
    <t>"Measures of vegetation amount and type were calculated separately at two scales: local within the 75 m radius point count plot; and landscape – within a 425 m buffer around the edge of the point count plot (i.e., a circle, 500 m in radius that excludes the plot area itself, Fig. 1)."</t>
  </si>
  <si>
    <t>Residential vegetation amount (i.e., the area of private yards around houses and apartments) and non-residential vegetation amount (i.e., parks and other large green spaces) had very similar effects on the richness and conservation value of an urban bird community, when the effects were combined across both the local and landscape scales. The similar local-scale relative effects of residential and non-residential vegetation suggests that residential vegetation is not necessarily of lower overall quality for most bird species, nor even for species of greater conservation value (Chase and Walsh 2006). In fact, residential vegetation amount had a similar or even slightly stronger positive effect on our conservation value index than non-residential vegetation.
Increasing the tree and shrub cover of residential vegetation had a positive effect on forest bird richness at both the local and landscape scales. Otherwise, the effects of vegetation type were weak, uncertain, and depended more on the choice of response variable, in comparison to the effects of changing vegetation amount.</t>
  </si>
  <si>
    <t>Therefore, developers and city planners can have the greatest influence the bird community of an urban area by managing both the amount of vegetation within residential developments in addition to the amount that is set aside for parks and green spaces.</t>
  </si>
  <si>
    <t>tree layer, shrub layer, ground layer, overall canopy cover</t>
  </si>
  <si>
    <t>A190</t>
  </si>
  <si>
    <t>Sander &amp; McCurdy (2021)</t>
  </si>
  <si>
    <t>Sander HA, McCurdy JD.</t>
  </si>
  <si>
    <t>Urban vegetation and songbird nesting guilds: Relationships and implications for conservation and management.</t>
  </si>
  <si>
    <t>heather-a-sander@uiowa.edu</t>
  </si>
  <si>
    <t>Cedar Rapids and Iowa City</t>
  </si>
  <si>
    <t>"We focused on Cedar Rapids and Iowa City (Fig. 1), two neighboring metropolitan areas in eastern Iowa, USA. The US Census (2018) iden tifies the human population of Iowa City as approximately 75,000 distributed over 65-km2 and a larger population(&gt;130,000) over nearly 185-km2 for Cedar Rapids."</t>
  </si>
  <si>
    <t>"Well-trained surveyors proficient at identifying and measuring native and exotic Iowa trees surveyed plot vegetation during the summers (June-September) of 2014–2018, recording species, dbh, height, crown width, and geographic coordinates for trees over 3-cm dbh. We calculated the crown width for each tree using a spoke methodin which we averaged crown radius measurementsmade in six directionsfrom the trunk. We also estimated percent cover of understory vegetation of different heights (50–100-cm, &gt;100-cm) and lawn (turfgrass) by recording the presence or absence of each vegetation type at points located every 10-m along 4, regularly-spaced 50-m transects running from each plot centroid to its edge."</t>
  </si>
  <si>
    <t>"Our findings suggest that few attributes of urban vegetation can be managed uniformly to support the conservation and management of species from multiple nesting guilds. These attributes include lawn cover, with positive relationships with PCN richness and shrub-nester abundance that peaked at 40 % and 55 % cover, respectively, and with tree-nester richness and PCN abundance at all levels. Maintaining lawn cover near 40 % could supportthese guilds withoutsacrificing SCN nesters, given non-significant relationships for SCN. The similar relationships identified between PCN, SCN, and shrub-nesters and impervious cover suggest that maintaining such cover at 35–40 % could support relatively high species diversity and density with little effect on tree-nester richness and, potentially, a positive impact on tree-nester abundance."
"Conflicts occur between the habitat requirements of guilds, sug gesting that some guilds require zones specifically targeted to their conservation. For example, shrub-nester abundance could be enhanced by maintaining high levels of low vegetation cover, but with reduced tree-nester abundance. In other cases, only one species exhibits significant relationships with a vegetation attribute; thus, management of that attribute would have low returns for overall diversity and richness."</t>
  </si>
  <si>
    <t>"While vegetation attributes with similar relationships for multiple guilds could be managedbroadly, this approach could cause these guilds to dominate communities (Goddard et al., 2017) or could favor only common species (Archer et al., 2019). A zoned approach that manages particular settings within cities for particular species or groups thereof, might thus best support urban avian diversity (Goddard et al., 2010). Such zones could be defined using guild or vegetation distributions, indicator species analysis, or specific interests or goals. Some zones could be managed to support multiple guilds, although such management might involve trade-offs. For example, maintaining high deciduous-tree densities in a zone could support both PCN and tree nesters, but higher densities would better-support tree nesters, and maintaining canopy cover near 40 % would avoid negative impacts on shrub nesters while supporting SCN, although SCN abundance would be better-supported by up to 60 % canopy cover."</t>
  </si>
  <si>
    <t>standing dead trees, tree layer, crown width/area, fruit metrics, total height, ground layer, shrub layer, diameter, plant functional types</t>
  </si>
  <si>
    <t>Count fruiting trees (not the fruit themselves)
Ground layer = lawn cover
Tree species identified, but not used for further assessment or calculation.</t>
  </si>
  <si>
    <t>A191</t>
  </si>
  <si>
    <t>Kocian et al. (2002)</t>
  </si>
  <si>
    <t>Kocian L, Harustiakova D, Melicherova D, Matuskova A.</t>
  </si>
  <si>
    <t>Slovakia</t>
  </si>
  <si>
    <t>Breeding bird communities in three cemeteries in the City of Bratislava (Slovakia).</t>
  </si>
  <si>
    <t>Folia Zoologica</t>
  </si>
  <si>
    <t>kocian@fns.uniba.sk</t>
  </si>
  <si>
    <t>Bratislava</t>
  </si>
  <si>
    <t>"The research was conducted in three cemeteries in the city of Bratislava, south-western Slovakia. The localities under investigation were the Sláviãie údolie cemetery (CSU), the RuÏinov cemetery (CR) and the Ondrejsk ̆ cemetery (OC). These cemeteries are located in the city of Bratislava, and differ from each other in their area, location as well as in the composition, structure and age of their vegetation."</t>
  </si>
  <si>
    <t>"Vegetation variables were separated into two categories: structural characteristics of the habitat and floristic composition. The basic structural variables were measured as proposed by James &amp; Shugart (1970) and Noon (1981). The structural characteristics included: tree height (m), shrub height (cm), herb height (cm), average trunk diameter at breast height (cm), number of trunks of trees, basal area (cm2), vegetation volume (%) in different layers (0–0.3 m, 0.3–1 m, 1–3 m, 3–7 m, 7–9 m, above 9 m), total vegetation volume (sum of the values from six layers), proportion of grass in ground cover (%), proportion of dicotyledons in ground cover (%), proportion of woody vegetation less than 1 m tall in ground cover (%), proportion of bare ground in ground cover (%), proportion of graves and concrete paths in ground cover (%)."</t>
  </si>
  <si>
    <t>"The Sláviãie údolie cemetery (18.15 ha) is situated on the western periphery of the town in the vicinity of former gardens and university campuses. Since its establishment in 1912 it has been extended many times." "The RuÏinov cemetery (16.46 ha) is located in the eastern part of the town periphery. It is the youngest one among the cemeteries studied, established in 1970s." "The Ondrejsk ̆ cemetery (6.32 ha) is situated in the centre of the town. It was founded in 1784, and so it is the oldest cemetery among the three localities studied"</t>
  </si>
  <si>
    <t>Meso breeding, Biodiversity metric</t>
  </si>
  <si>
    <t>"The species-environment correlation was high, indicating a strong relationship between seven of the environmental variables and the 14 bird species. The first axis was positively correlated with the basal area (r = 0.82), the canopy height (r = 0.78) and the percent cover of three tree taxa (Tilia spp.; r = 0.75; Taxus baccata; r = 0.45; Fraxinus excelsior; r = 0.32). In addition, this axis was negatively correlated with the number of trunks of trees, although the correlation was weak (r = -0.16). The first canonical axis is therefore associated with increasing basal area and tree height and decreasing number of trunks of trees. The second axis showed a positive correlation with several tree variables and a negative correlation with the foliage volume (r = -0.67). Consequently, the second canonical axis is associated with decreasing vegetation volume."</t>
  </si>
  <si>
    <t>"Our results emphasize the importance of this urban type of habitat for birds. To increase the number of species in such localities, habitat requirements of particular bird species have to be known. Different species benefit from different vegetation attributes, so in order to maximize species diversity, a mixture of habitats should be created. The way of increasing vegetation heterogeneity is by preserving old trees suitable for hole nesting birds as well as by laying out shrubs and trees."</t>
  </si>
  <si>
    <t>diameter, ground layer, shrub species composition, vertical layer assessment, tree layer, total height, shrub layer, tree species composition</t>
  </si>
  <si>
    <t>Density, functional type, and age are mentioned, but not explicitly measured for each vegetation type. (more discussion-related). Same with cavities.</t>
  </si>
  <si>
    <t>A192</t>
  </si>
  <si>
    <t>Pennington et al. (2008)</t>
  </si>
  <si>
    <t>Pennington DN, Hansel J, Blair RB.</t>
  </si>
  <si>
    <t>Unites States</t>
  </si>
  <si>
    <t>The conservation value of urban riparian areas for landbirds during spring migration: Land cover, scale, and vegetation effects.</t>
  </si>
  <si>
    <t>penn0107@umn.edu</t>
  </si>
  <si>
    <t>"The 4243 ha study area within the urbanizing Mill Creek watershed (42,994 ha) is located on the geologically homogeneous Pre-Wisconsinan Drift Plains within the greater Cincinnati metropolitan area (39.2° N 84.5° W)"</t>
  </si>
  <si>
    <t>39.2 N</t>
  </si>
  <si>
    <t>84.5 W</t>
  </si>
  <si>
    <t>"We identified all trees &gt;10 cm diameter at breast height (dbh) and measured their dbh within the plot and identified dead trees for separate analysis. In each 10-m diameter subplot, we identified woody plants with stems &lt;10 cm diameter and calculated total stem density. Also, in each subplot, we measured the height of the tree (&gt;10 cm dbh) located nearest the center using a clinometer. For each plot, we averaged the five height measures to obtain a canopy height measure for the plot."</t>
  </si>
  <si>
    <t>Biodiversity, Behaviour</t>
  </si>
  <si>
    <t>Abundance, Biodiversity metric, Migration</t>
  </si>
  <si>
    <t>"Three general trends emerged from the spatial analyses. First, the percentage of tree cover was often the most predictive landscape characteristic of bird guilds across scales (Fig. 3) with the exception of the proportion of building area, which was most predictive of resident Neotropical migrants (Fig. 4a and b) and exotic species (Fig. 3b). These two guilds had opposite correlations with respect to building area; resident Neotropical migrants were inversely correlated with building area while exotics were positively correlated. Secondly, species richness tended to respond most strongly to landscape characteristics followed by relative density and evenness across bird guilds. Finally, birds responded most strongly to the medium and largest scales measured, i.e. 250 m to 500 m scales."
"In general, native birds were positively associated with tree cover (within 250500 m of stream) and native vegetation, and negatively with building area (within 250 m); exotic species responded inversely to these measures. Short-distance migrants and permanent residents displayed the weakest responses to landscape and vegetation measures. Neotropical migrants responded strongest to landscape and vegetation measures and were positively correlated with areas of wide riparian forests and less development (&gt;250 m)."</t>
  </si>
  <si>
    <t>"Maintaining unfragmented forest cover within a 250 m and greater radius surrounding streams is paramount for resident Neotropical migrant conservation; however, en-route Neotropical species do appear to be able to utilize both smaller fragmented or marginal areas of forest cover surrounding urban streams, but we do not know how capable these individuals are of securing adequate food, water, and safe haven from predators."</t>
  </si>
  <si>
    <t>stem density, total height, tree layer, standing dead trees, tree species composition, shrub species composition, diameter, shrub layer, ground layer</t>
  </si>
  <si>
    <t>Shrub = understory</t>
  </si>
  <si>
    <t>A193</t>
  </si>
  <si>
    <t>Fernández-Juricic (2000)</t>
  </si>
  <si>
    <t>Avifaunal Use of Wooded Streets in an Urban Landscape.</t>
  </si>
  <si>
    <t>estebanf@eucmax.sim.ucm.es</t>
  </si>
  <si>
    <t>"I conducted my study in Madrid, Spain, during 1997 and 1998 (May to August). Madrid has an extensive network of urban parks, many of which are connected by wooded streets."</t>
  </si>
  <si>
    <t>Composition, Connectivity, Canopy Cover</t>
  </si>
  <si>
    <t>"Placement of wooded streets in the urban landscape, grass and shrub cover, number of shrub and tree species, tree height and number of stems, shrub height and coniferous cover, number of stems, car traffic rate, pedestrian traffic rate (Table 2)."</t>
  </si>
  <si>
    <t xml:space="preserve">"I detected only 56% of urbanpark species richness in wooded streets, corresponding to only four out of eight guild categories. This lack of species probably has to do with habitat requirements or the inherent properties of corridors (largely edge habitats with high ratios of edge to interior; Saunders &amp; Hobbs 1991; Rich et al. 1994)."
"Higher species persistence and a lower variability in density among years were a function of the quality of a particular wooded street, which rested on shrub and tree complexity and low human disturbance levels."
"Street placement within the landscape could be considered a regional trait, a first or coarse-grain step in the habitat selection process which affects mainly tree/tree-hole species and some ground/tree species. But corridor quality may differ according to the particular habitat requirements of individual species (Henein &amp; Merriam 1990)."
"At a more local scale involving fine-grained processes of habitat selection, the suitability of wooded streets appears to be influenced by vegetation structure and human disturbance. The complexity of the vegetative cover greatly increases the probabilities of occupation of ground/ tree-hole and ground/tree species in particular, possibly because of a greater availability of feeding and nesting substrates. On the contrary, human disturbance (pedestrian or traffic load) restrains the available area and time that wooded streets could be exploited."
</t>
  </si>
  <si>
    <t>"Corridor implementation, however, should take into account not only a general improvement of corridor quality but also its suitability for the species subject to management (Saunders &amp; Hobbs 1991)."</t>
  </si>
  <si>
    <t>diameter, shrub species composition, plant functional types, tree layer, ground layer, tree species composition, shrub layer, total height</t>
  </si>
  <si>
    <t>A194</t>
  </si>
  <si>
    <t>Mackenzie et al. (2014)</t>
  </si>
  <si>
    <t>Mackenzie JA, Hinsley SA, Harrison NM.</t>
  </si>
  <si>
    <t>Parid foraging choices in urban habitat and their consequences for fitness. .</t>
  </si>
  <si>
    <t>Julia.Mackenzie@anglia.ac.uk</t>
  </si>
  <si>
    <t>Cambridge</t>
  </si>
  <si>
    <t>"The CUBG is surrounded by a mixture of residential housing, shops and offices, and busy roads. The CUBG contains many plant species with a wide variety of origins (Hinsley et al. 2009, Mackenzie 2010). It is consequently an ideal study site in which to examine the responses of native birds to exotic flora in the fragmented habitat typical of urban environments."</t>
  </si>
  <si>
    <t>52° 12’ N</t>
  </si>
  <si>
    <t>0° 08’E</t>
  </si>
  <si>
    <t>Canopy Cover, Land use type, Composition</t>
  </si>
  <si>
    <t>"Presence and absence of flora across a fine-scale grid was used to establish structure (e.g. tree/shrub/gap) and composition (e.g. native/non-native) of the vegetation; this was the basis of the calculation of availability of different habitat types."</t>
  </si>
  <si>
    <t>many</t>
  </si>
  <si>
    <t>Blue Tits, Great Tits</t>
  </si>
  <si>
    <t>Cyanistes caeruleus, Parus major</t>
  </si>
  <si>
    <t>Breeding, Behaviour, Survival</t>
  </si>
  <si>
    <t>Nesting survival, Foraging/Movement, Meso breeding</t>
  </si>
  <si>
    <t>"Blue Tits foraged significantly more in native than non-native deciduous trees during incubation and when feeding fledglings, and significantly more in deciduous than in evergreen plants throughout the breeding season. Great Tits used deciduous trees more than expected by chance when feeding nestlings, and a positive relationship was found between availability of deciduous trees and mean nestling mass. Overall, the breeding performance of both species was poor and highly variable. Positive relationships were found between mean nestling mass and the abundance of Quercus for Great Tits, but not for Blue Tits."
"It is noteworthy that the mean nestling mass of both species in the CUBG was low (14.5 g and 9.0 g for Great and Blue Tits respectively compared with 17.5 g and 10.6 g for nestlings of the same age in woodland habitats) (Hinsley et al. 2009). The birds produced not only lighter but fewer nestlings with only approximately half of the eggs laid in the CUBG producing fledglings (54.3% for Great Tits and 50.7% for Blue Tits) compared to about 80-90% in woodland habitat (Hinsley et al. 2009)."</t>
  </si>
  <si>
    <t>"Overall, foraging success in urban environments is likely to be poor compared with natural habitats, and thus may contribute to lower breeding success (Cowie &amp; Hinsley 1987, Riddington &amp; Gosler 1995). The current study highlights the need for greater consideration of foraging preferences of urban birds when designing floral landscapes."</t>
  </si>
  <si>
    <t>tree species composition, tree layer, vertical layer assessment, shrub layer, plant functional types, ground layer, shrub species composition, total height</t>
  </si>
  <si>
    <t>Total height as a threshold.
Vertical assessment = assigning numbers (# of layers) to grid cells to calculate proportion of habitat types</t>
  </si>
  <si>
    <t>A195</t>
  </si>
  <si>
    <t>Le Roux et al. (2015)</t>
  </si>
  <si>
    <t>Le Roux DS, Ikin K, Lindenmayer DB, Manning AD, Gibbons P.</t>
  </si>
  <si>
    <t>Austrailia</t>
  </si>
  <si>
    <t>Single large or several small? Applying biogeographic principles to tree-level conservation and biodiversity offsets.</t>
  </si>
  <si>
    <t>darren_lrx@yahoo.com</t>
  </si>
  <si>
    <t>"Canberra is situated in a highly fragmented landscape comprising: urban areas supporting 375,000 people; agricultural land for livestock grazing; and 34 nature reserves managed for conservation (ACT Government, 2011). Native Eucalyptus box-gum grassy woodlands once dominated the region but now persist mostly in reserves or as scattered paddock and urban trees (Department of the Environment, 2015)."</t>
  </si>
  <si>
    <t>35°17ʹ35.64ʺ S</t>
  </si>
  <si>
    <t>149°07ʹ27.36ʺ E</t>
  </si>
  <si>
    <t>"We stratified our study region into four dominant landscape contexts representing varying degrees of modification: (1) reserves (semi-natural conservation areas); (2) pasture (grazed agricultural land); (3) urban parklands (public greenspace ≥ 0.2 ha); and (4) urban built-up areas (public greenspace ≤ 0.2 ha in residential areas (e.g. roadside margins)). Ineachlandscapecontext,werandomly selected six trees from three tree size categories: small (20–50 cm diameter at breast height (DBH)); medium (51–80 cm DBH); and large (≥ 80 cm DBH)."
"We restricted sampling to native Eucalyptus species."</t>
  </si>
  <si>
    <t>"We found: (1) significant positive relationships between tree basal area and bird abundance and species richness, which was consistent with our first hypothesis and the predicted species–area relationship; (2) isolated trees located in modified landscape contexts (pasture, urban parklands and urban built-up areas) supported greater bird abundance and a similar or greater species richness than trees located in a semi-natural landscape context (reserves), which was inconsistent with our second hypothesis and the predicted habitat–isolation relationship; and (3) many smaller trees accumulated the same or more species as a few large trees in some landscape contexts (reserves and urban built-up areas), but not in others (pasture and urban parklands), which was only partially consistent with our third hypothesis."</t>
  </si>
  <si>
    <t>"Our results underscore the important biodiversity value of scattered trees."
"Ultimately, complementary approaches to tree management and biodiversity offsets are needed that balance large tree preservation (single large) and revegetation (several small)."
"Practitioners need to establish replacement trees well in advance of scheduled impacts so that gains are functionally equivalent to the large tree losses incurred (Hilderbrand et al., 2005; Gibbons and Lindenmayer, 2007)."</t>
  </si>
  <si>
    <t>crown width/area, diameter, total height, stem density</t>
  </si>
  <si>
    <t>Only on Eucalyptus species (but not used as a metric of comparison).
Stem density = tree basal area</t>
  </si>
  <si>
    <t>A196</t>
  </si>
  <si>
    <t>Morrison and Chapman (2005)</t>
  </si>
  <si>
    <t>Morrison JL, Chapman WC.</t>
  </si>
  <si>
    <t>Can Urban Parks Provide Habitat For Woodpeckers? nena.</t>
  </si>
  <si>
    <t>Northeastern Naturalist</t>
  </si>
  <si>
    <t>joan.morrison@trincoll.edu.</t>
  </si>
  <si>
    <t>Hartford</t>
  </si>
  <si>
    <t>"Since their establishment in the mid-1800s as islands of nature in the urban environment (Alexopoulos 1983), Hartford's parks have incurred various intensities of management, landscaping, and habitat alteration. Despite these human in? fluences, some parks still contain habitats characteristic of less disturbed sites and a variety of native plant species. All of the parks include some wooded areas; some also include areas of shrubland and open, grassy fields that are subject to regular mowing."</t>
  </si>
  <si>
    <t>"First, we estimated mean tree density in four 20-m x 20-m quadrats (James and Shugart 1970) located in each park's wooded areas, then we collected data on additional variables at 20 points separated by at least 50 m and randomly located throughout the wooded areas. At each point, we estimated basal area using plotless sampling and a basal area factor-10 prism. Within a 20-m radius of each point, we counted the number of snags and the number of trees that appeared to be &gt; 50% dead (had obvious dead trunks and branches). To assess tree age within the wooded areas, we cored the largest tree closest to each sample point, assuming that the largest trees were the oldest. We also recorded diameter at breast height (dbh, cm) of the cored trees."</t>
  </si>
  <si>
    <t>Woodpecker</t>
  </si>
  <si>
    <t>Picoides pubescens Linnaeus, Melanerpes carolinus Linnaeus, Colaptes auratus Linnaeus, P. villosus Linnaeus, M. erythrocephalus Linnaeus, Dryocopus pileatus Linnaeus</t>
  </si>
  <si>
    <t>"Overall, more woodpecker species occurred in the larger parks, but not necessarily in parks with more total wooded area, perhaps because in many parks, individual wooded patches are relatively small."
"Although our study was limited to only a few parks in one city, the results suggest that urban parks, particularly those with large areas of wooded habitat, can contain habitat suitable for primary cavity nesters. Although conservation biologists have typically recognized that larger reserves are better than smaller ones, even small areas such as urban parks can have some value for regional conservation of biodiversity (Falkner and Stohlgren 1997, Schwartz and van Mantgem 1997)."</t>
  </si>
  <si>
    <t>"The positive correlation between woodpecker density and the number of trees &gt; 50% dead in our study suggests that conservation of cavity- and deadwood-dependent avian species in Hartford's urban parks will require retention of at least some dead and dying trees."
"Recommendations for enhancing the value of urban parks for woodpeckers and other species dependent upon dead and dying trees include identifying park areas where these resources can be maintained, yet where the safety of park visitors is not compromised."</t>
  </si>
  <si>
    <t>stem density, standing dead trees, diameter, tree condition, age</t>
  </si>
  <si>
    <t>Tree condition = trees 50% dead</t>
  </si>
  <si>
    <t>A197</t>
  </si>
  <si>
    <t>Imai and Nakashizuha (2010)</t>
  </si>
  <si>
    <t>Imai H, Nakashizuka T.</t>
  </si>
  <si>
    <t>Environmental factors affecting the composition and diversity of avian community in mid- to late breeding season in urban parks and green spaces.</t>
  </si>
  <si>
    <t>haruka@mail.tains.tohoku.ac.jp</t>
  </si>
  <si>
    <t>Sendai</t>
  </si>
  <si>
    <t>"The city comprises 20.1% urban or developed land, 17.0% agricultural land, 2.2% secondary grassland, 13.5% woodlot, 30.7% secondary forest, 16.5% natural forest, and 1.0% open water (Ministry of the Environment, 1999; Sendai City Construction Bureau, 2009). Thus, natural or semi-natural environments remain respectively abundant, and the proportion of green coverage within Sendai is 78.6%."</t>
  </si>
  <si>
    <t>38◦2′N</t>
  </si>
  <si>
    <t>140◦5′E</t>
  </si>
  <si>
    <t>"we first measured the continuous area of the park or green areas (Area) and identified the vegetation type at the point of the census. The vegetation was determined using a vegetation map published by the City of Sendai (1997). This vegetation map was created by Sendai city based on the surveys. They categorized the land use into 40 vegetation types and showed on a map with a scale of 1 to 25,000. All census points were categorized into five types: (1) Urban structure (roads, houses, etc.), (2) Broadleaf (dominated by deciduous trees such as Castanea crenata and Q. serrata), (3) Conifers (plantations of evergreen conifers such as Cryptomeria japonica and Chamaecyparis obtuse), (4) Pine (plantations of Pinus densiflora or evergreen forest receiving more light than in Cryptomeria japonica plantations), and (5) Salix (Salix forests, which were dominant in flood plains along rivers)."</t>
  </si>
  <si>
    <t>Foraging/Movement, Biodiversity metric</t>
  </si>
  <si>
    <t>"The avian community in urbanized parks or green spaces tended to be dominated by a few species and lower numbers of uncommon species. The overall species richness decreased in areas categorizes as urban vegetation, those surrounded by urban areas, and at the sites with many artificial structures."
". The overall species number decreased in highly urbanized area, while diversity index (H′) increased, probably because the species with low frequency did not occur in urban environment and increased equitability of the community."</t>
  </si>
  <si>
    <t>"These findings suggested that increased shrub in stand level was effective to increase the overall species number, and to be considered future design of the city parks."</t>
  </si>
  <si>
    <t>weak recommendations</t>
  </si>
  <si>
    <t>tree species composition, plant functional types, shrub layer, ground layer, tree layer, total height</t>
  </si>
  <si>
    <t>Vertical layer not included because no discussion of layers (or situations describing situations of multiple layers, i.e., shrub-tree layer).</t>
  </si>
  <si>
    <t>A198</t>
  </si>
  <si>
    <t>Bird community composition patterns in urban parks of Madrid: The role of age, size and isolation.</t>
  </si>
  <si>
    <t>Ecological Research</t>
  </si>
  <si>
    <t>"This work was carried out in the city of Madrid (Spain) during the spring of 1998 (May to July)."</t>
  </si>
  <si>
    <t>"Park age was used as an indicator of habitat complexity in urban parks of Madrid. Several vegetation traits were measured in 25 m radius circular plots distributed at 30 m intervals along transects in parks &gt; 2 ha, and randomly in parks &lt; 2 ha."</t>
  </si>
  <si>
    <t xml:space="preserve">"Park age and area correlated significantly with the order of the nested matrix (Spearman’s rank correlation: park area, r = 0.68, P &lt; 0.001; park age, r = 0.62, P &lt; 0.001), such that species appeared to accumulate in an orderly fashion in increasingly older and larger urban parks."
"This study supports new evidence for (i) a nested distribution of urban birds explained by park age and size, and (ii) the influence of local rather than regional factors in the distribution of species in mature and old urban parks."
"The two measures of isolation from the regional species pool do not appear to exert any significant influence on species richness or on community assembly."
</t>
  </si>
  <si>
    <t>"Taking into account that this urban community is highly shaped by local factors, it can be considered to be a reservoir of native bird species, making it a relevant spot for conservation. Its nested structure, influenced by park age and size, underscores the order of appearance and disappearance of species. It follows that not only larger but also older parks deserve conservation priority, to ensure the persistence of rare species."
"A conclusion that emerges from this study is that conservation efforts within fragmented landscapes need to include a temporal perspective (particularly in secondary successional habitats) that considers the role of local and regional factors on the functioning of fragments of different ages."</t>
  </si>
  <si>
    <t>total height, plant functional types, shrub layer, diameter, shrub species composition, ground layer, tree species composition, tree layer</t>
  </si>
  <si>
    <t>Age of parks (not stands) (but it was estimated by habitat complexity)</t>
  </si>
  <si>
    <t>A199</t>
  </si>
  <si>
    <t>Chamberlain et al. (2007)</t>
  </si>
  <si>
    <t>Chamberlain DE, Gough S, Vaughan H, Vickery JA, Appleton GF.</t>
  </si>
  <si>
    <t>Determinants of bird species richness in public green spaces.</t>
  </si>
  <si>
    <t>dan.chamberlain@bto.org</t>
  </si>
  <si>
    <t>London</t>
  </si>
  <si>
    <t>"The sites used in the survey were all free public access sites within the Greater London area (Fig. 1), including woods, cemeteries, formal gardens and town squares."</t>
  </si>
  <si>
    <t>Canopy Cover, Forested area, Connectivity, Composition</t>
  </si>
  <si>
    <t>"Bushes, cover of coniferous trees, cover of broadleaved trees, private garden adjacent to boundary, hedge at boundary, managed (short) turf, sports pitches, rough grass/weeds/nettles, total tree over, waterbody (Table 1)."</t>
  </si>
  <si>
    <t>"In summer, species richness increased with an increase in site area, and an increase in the proportion of boundary adjacent to gardens. Furthermore, species richness was significantly higher on sites where rough grass and waterbodies were present. In winter, there were similar effects of site area, adjacent gardens, rough grass and waterbodies. Species richness was most strongly correlated with site area. In both summer and winter, species richness increased with site area (Fig. 2)."
"For all species, farmland cover had additive positive effects to the site-level model in the summer, i.e. its addition did not affect the significance of other model variables (Poisson model: F1,264 = 12.58, P &lt; 0.001)."
"It was clear that adjacent habitat and local habitat (within 3 km) influenced species richness. In particular, species richness increased with increasing proportion of adjacent private gardens, but only in the smallest sites (&lt;1 ha)."
"Local woodland and farmland also positively influenced the bird community, especially in summer. The lack of significant associations in the winter is likely to be indicative of the greater dispersal of many species at this time."</t>
  </si>
  <si>
    <t>"Site area was the most consistent and significant predictor of bird species richness across the whole range of sites, and we therefore recommend that newly planned sites should be as large as possible, preferably &gt;10 ha, to maximize species richness. Increasing the area of existing sites may be difficult to achieve within an urban context, but these associations show that even a relatively small increase in area can have positive effects on species richness. Increasing site area could allow a greater diversity of habitats and possibly greater flexibility for management initiatives to enhance bird species richness. Provision of areas of rough grass, nettles and weedy patches is likely to increase both summer and winter food resources for birds and therefore increase species richness. Leaving areas unmanaged for relatively long periods is likely to promote bird diversity in parks. A regime similar to hay cutting (one cut in late summer) would have wider benefits to flowering plants and invertebrates. Cutting every three to four years would control scrub development, but would also enable the development of rank tussocky grass, important over-wintering habitat for many invertebrates (Baines 1995). These recommendations may be used to enhance biodiversity in existing sites, but these findings can also inform the design and creation of green spaces within new housing developments."</t>
  </si>
  <si>
    <t>shrub layer, plant functional types, ground layer, tree layer</t>
  </si>
  <si>
    <t>A200</t>
  </si>
  <si>
    <t>Droz et al. (2019)</t>
  </si>
  <si>
    <t>Droz B, Arnoux R, Bohnenstengel T, Laesser J, Spaar R, Ayé R, et al.</t>
  </si>
  <si>
    <t>Switzerland</t>
  </si>
  <si>
    <t>Moderately urbanized areas as a conservation opportunity for an endangered songbird.</t>
  </si>
  <si>
    <t>bodroz@bluewin.ch</t>
  </si>
  <si>
    <t>La-Chaux-de-Fonds</t>
  </si>
  <si>
    <t>"Data collection was restricted to the city of La Chaux-de-Fonds (Switzerland; 47°06′N, 6°47′E; Fig. 2a) within a sampling area of 5.4 km2 (dashed black line; Fig. 2b)."</t>
  </si>
  <si>
    <t>47°06</t>
  </si>
  <si>
    <t>6°47′</t>
  </si>
  <si>
    <t>"Tree canopy coverage, high herbaceous vegetation (Table 1)."</t>
  </si>
  <si>
    <t>Common Redstart</t>
  </si>
  <si>
    <t>Phoenicurus phoenicurus</t>
  </si>
  <si>
    <t xml:space="preserve">"Tree canopy coverage was the most important variable at the territory scale when modeling potential suitable habitats of the Common Redstart in a moderately urbanized environment where the requirement for short-cut lawn was largely satisfied (Droz et al., 2015)."
"Additionally, our field observations also confirmed that territories containing large mature trees are favored by Common Redstarts. This strengthens our idea that the Common Redstart acts as an umbrella species."
</t>
  </si>
  <si>
    <t>"Our study shows that there is potential to promote the habitat of the Common Redstart by enhancing the density of trees and promoting large and mature indigenous trees. However, due to slow tree growth, efforts might only become effective several decades after planting (Loram, Warren, &amp; Gaston, 2008), therefore tree management is very important to promote habitat management."
"To promote habitats for the Common Redstart under a conservation scenario in moderately urbanized area, we propose several management recommendations. First, we recommend increasing tree canopy coverage to 20% in areas where the proportion of impervious surface is below 35%. In addition, we recommend maintaining an appropriate combination of land-cover types such as the combination defined in our study (see Table 1) to ensure optimum habitat on the territory-scale. We also recommend maintaining connectivity between optimum habitats to satisfy a territory size as well as ensure a stable population dynamic at the city-scale."</t>
  </si>
  <si>
    <t>ground layer, tree layer</t>
  </si>
  <si>
    <t>"High" herbaceous vegetation (no height measure mentionned)</t>
  </si>
  <si>
    <t>A201</t>
  </si>
  <si>
    <t>Liordos et al. (2021)</t>
  </si>
  <si>
    <t>Liordos V, Jokimäki J, Kaisanlahti-Jokimäki M-L, Valsamidis E, Kontsiotis VJ.</t>
  </si>
  <si>
    <t>Greece</t>
  </si>
  <si>
    <t>Patch, matrix and disturbance variables negatively influence bird community structure in small-sized managed green spaces located in urban core areas.</t>
  </si>
  <si>
    <t>Science of the Total Environment</t>
  </si>
  <si>
    <t>liordos@for.ihu.gr</t>
  </si>
  <si>
    <t>Multiple (Greece, Finland)</t>
  </si>
  <si>
    <t>Kavala, Rovaniemi</t>
  </si>
  <si>
    <t>"The study was carried out in Kavala, Greece (40°56 ́Ν,24°24 ́Ε), located in southern Europe (Mediterranean forests vegetation zone), and Rovaniemi, Finland (66°30′N, 25°44′E), located in northern Europe (Boreal coniferous forests vegetation zone), in their most urbanized core areas (Fig. 1)."</t>
  </si>
  <si>
    <t>40°56 ́; 66°30′</t>
  </si>
  <si>
    <t>24°24 ́; 25°44</t>
  </si>
  <si>
    <t>Composition, Canopy Cover, Forested area</t>
  </si>
  <si>
    <t>"Sixteen environmental variables were measured in both cities, using the same techniques, to test their effect on bird abundance and diversity, including patch (green space size and perimeter, relative edge length, tree, shrub, grass/ground, gray, deciduous/coniferous tree cover), matrix (distance from the city edge and center, building height of the matrix) and disturbance (morning and midday noise level, car and pedestrian traffic) variables (Table 1). Land cover was measured as the percentage of tree, shrub, grass (natural grassland, managed lawns, open ground) and impervious (gray cover) surface within a radius of 50 m of every survey station."</t>
  </si>
  <si>
    <t>May;June</t>
  </si>
  <si>
    <t xml:space="preserve">"The abundance of birds did not respond in a general way to the same variables in the two cities. Shrub cover and distance from the city center were negatively, and noise during busy hours and grass cover were positively related to bird abundance in Kavala. However, in Rovaniemi bird abundance increased with increasing distance from the city center and decreased with car traffic volume and midday noise levels."
"Few green space habitat attributes were important predictors of bird diversity in both cities. Deciduous tree cover negatively influenced diversity in Kavala, while coniferous tree and shrub cover positively influenced diversity in Rovaniemi."
"Bird richness and diversity increased with increasing green space size in Kavala. Large green spaces have greater interior habitat and tend to provide a higher diversity of habitats and microhabitat heterogeneity, thus hosting several species with different habitat requirements and increasing local and overall urban bird richness (Fernández-Juricic and Jokimäki, 2001; Beck, 2013)."
</t>
  </si>
  <si>
    <t xml:space="preserve">"We propose management measures aiming at reducing the negative effects of variables such as gray cover, noise, car traffic and distance from the city center, thereby protecting and enhancing urban bird communities. Urban managers and planners should incorporate such measures in urban design and management."
"Our results indicated that increasing the size of urban green spaces would increase bird richness and diversity in Kavala. The lack of size effects in Rovaniemi could be attributed to small variation, therefore future research including larger green spaces would possibly reveal such effects. The expansion, creation and maintenance of large green spaces with heterogenous habitats would help increase local bird diversity."
</t>
  </si>
  <si>
    <t>plant functional types, ground layer, tree layer, shrub layer</t>
  </si>
  <si>
    <t>A202</t>
  </si>
  <si>
    <t>Morelli et al. (2017)</t>
  </si>
  <si>
    <t>Morelli F, Benedetti Y, Su T, Zhou B, Moravec D, Šímová P, et al.</t>
  </si>
  <si>
    <t>Taxonomic diversity, functional diversity and evolutionary uniqueness in bird communities of Beijing’s urban parks: Effects of land use and vegetation structure.</t>
  </si>
  <si>
    <t>fmorellius@gmail.com</t>
  </si>
  <si>
    <t>Bejing</t>
  </si>
  <si>
    <t>"The study was carried out in ten urban parks of the city of Beijing, the capital of the People’s Republic of China and third most populous city in the world, with more than 21.7 millions people (http:// www.stats.gov.cn) in 2670.83 ± 103.62 km2 of urban area (Li et al., 2015)."</t>
  </si>
  <si>
    <t>"To characterize the vegetation in Beijing’s urban parks we described eight vegetation structural attributes (VGS) around each sampling site (100 m radius area). The measures were estimated based on ground level and tree level. Each stratum was assessed independently of the other. The structural variables of VGS at ground level were visually estimated percentage cover of bare soil, grass and leaf litter. For VGS at tree level, we estimated visually the percentages of tree layout (rows, scattered, patches), leaf typology (perennial, deciduous), bark typology (wrinkled, smooth), estimated height (above and below 30 m) and crown width (above and below 5 m)."</t>
  </si>
  <si>
    <t>". Land use composition was the main predictor of bird community composition, followed by vegetation structure at ground level and the intersection between land use and vegetation structure at tree level. Water surface was associated with an increase in bird species richness, while the percentage of shrubs, was surprisingly only slightly negatively correlated with the number of bird species in communities. However, examining the data collected, we hypothesize that this was a statistical artifact due to a strong correlation between built areas and shrub features in the surveyed parks."
"At the ground level of vegetation structure, the balance between availability of bare soil and coverage of grass, can be important for the foraging strategies of insectivorous birds, as demonstrated in other studies in Europe (Fonderflick et al., 2010; Morelli, 2013, 2012)."
"The results of mixed model approach highlighted how the percentage of large trees can increase bird functional richness in urban parks. In fact, our findings support the theory that large and old trees (represented by trees with crown width &gt;5 m in this study) are key-stones for biodiversity conservation, providing refuge and required resources for many species (Le Roux et al., 2014; Stagoll et al., 2012)."
"Water surface can increase bird species richness and large trees can enhance both species richness and functional diversity of bird communities in the ecosystem. Finally, increasing the surface of patches of deciduous trees in green spaces, it is possible to attract bird species characterized by evolutionary uniqueness, supporting more evolutionary history in bird assemblages. Each biodiversity component needs to be considered, in order to establish better ecological planning, and future biodiversity conservation in urban parks."</t>
  </si>
  <si>
    <t>leaf litter layer, tree layer, shrub layer, ground layer, total height, plant functional types, crown width/area</t>
  </si>
  <si>
    <r>
      <rPr>
        <rFont val="Times New Roman"/>
        <color theme="1"/>
        <sz val="11.0"/>
      </rPr>
      <t xml:space="preserve">"at tree level, we estimated visually the percentages of tree layout (rows, scattered, patches)"
</t>
    </r>
    <r>
      <rPr>
        <rFont val="Times New Roman"/>
        <b/>
        <color theme="1"/>
        <sz val="11.0"/>
      </rPr>
      <t xml:space="preserve">Ask Corey if this is planting arrangement (though they never mention this again in the results)
</t>
    </r>
    <r>
      <rPr>
        <rFont val="Times New Roman"/>
        <color theme="1"/>
        <sz val="11.0"/>
      </rPr>
      <t>No vertical layer assessment bc they only look at 2 stratum "tree-level" and "ground-level"</t>
    </r>
  </si>
  <si>
    <t>A203</t>
  </si>
  <si>
    <t>La Sorte et al. (2020)</t>
  </si>
  <si>
    <t>La Sorte FA, Aronson MFJ, Lepczyk CA, Horton KG.</t>
  </si>
  <si>
    <t>Area is the primary correlate of annual and seasonal patterns of avian species richness in urban green spaces.</t>
  </si>
  <si>
    <t>fal42@cornell.edu</t>
  </si>
  <si>
    <t>New York City</t>
  </si>
  <si>
    <t>"We acquired a polygon coverage of New York City green spaces from the NYC Planimetrics database through the NYC Department of Information Technology &amp; Telecommunications (DoITT)."</t>
  </si>
  <si>
    <t>"The landcover dataset contains seven classes: (1) tree canopy, (2) grass/shrub, (3) bare earth, (4) water, (5) buildings, (6) roads, and (7) other paved surfaces. The dataset was created using a top down mapping perspective where the tree canopy class was given precedence over other landcover classes. We calculated the proportion of total surface area containing tree canopy cover for each NYC green space."</t>
  </si>
  <si>
    <t>"Using bird occurrence information compiled by citizen scientists across a large number of well-surveyed NYC green spaces, our analysis identified UGS area as the strongest correlate of annual and seasonal species richness, and the species richness of nocturnally migrating passerines and non-passerines in the spring and autumn."
"Shape and isolation presented little evidence for significant relationships with annual or seasonal species richness or the species richness of nocturnally migrating species. Tree canopy cover did present a weak positive relationship with annual species richness and strong positive relationship with the richness of nocturnally migrating passerines in the spring. Our findings for shape did not follow our expectations, suggesting circular UGS do not support greater numbers of bird species annually, seasonally, or during migration. Our findings for isolation largely followed our expectations, supporting the conclusion that bird occurrence in UGS, including during migration, is not effected by UGS isolation (LaPoint, Balkenhol, Hale, Sadler, &amp; van der Ree, 2015)."
"Our analysis identified tree canopy cover as an important predictor of the occurrence of nocturnally migrating passerines in the spring. The majority of the nocturnal migratory passerines that occur in the NYC region are forest insectivores."</t>
  </si>
  <si>
    <t>"To support urban bird populations, our findings highlight the broad importance of area, the importance of tree canopy cover, especially during spring migration, and the limited relevance of shape and isolation. Increasing area and tree canopy cover will therefore support the occurrence of more resident and migratory bird species, which will likely benefit other area-sensitive forest taxa that occur in UGS (Beninde, Veith, &amp; Hochkirch, 2015)."</t>
  </si>
  <si>
    <t>Used eBird
Looked at area, shape, isolation, &amp; tree canopy cover</t>
  </si>
  <si>
    <t>A204</t>
  </si>
  <si>
    <t>Hudson and Bird (2009)</t>
  </si>
  <si>
    <t>Hudson M-AR, Bird DM.</t>
  </si>
  <si>
    <t>Recommendations for design and management of golf courses and green spaces based on surveys of breeding bird communities in Montreal.</t>
  </si>
  <si>
    <t>marie-anne.hudson@mail.mcgill.ca</t>
  </si>
  <si>
    <t>Montreal</t>
  </si>
  <si>
    <t>"Twelve study sites (six golf courses and six green spaces) were studied in the greater Montreal area of Quebec, Canada (45◦ 27′N, 73◦51′W; Fig. 1). Each site is briefly described in Table 1, and land cover variables are listed in Table 6."</t>
  </si>
  <si>
    <t>"All sites are representative of the St. Lawrence Lowland vegetation community (i.e., dominated by broadleaf forest and fertile agricultural soils), though broadleaf forests were largely restricted to unmanaged areas on golf courses. Sites were selected based on size and location to ensure comparable dominant vegetation types. Both site types include small (&lt;100 ha) and large (&gt;100 ha) sites. We selected green spaces with roughly 50% tree and &lt;10% grass cover, and each site is known as a good birding spot by local birdwatchers."</t>
  </si>
  <si>
    <t>Biodiversity metric, Meso breeding</t>
  </si>
  <si>
    <t>"Avian communities on golf courses differed from those on green spaces (Fig. 2; represents 93.5% of the variation in the data, stress = 5.091), which is supported by MMRP (p = 0.01), and Monte Carlo tests (50 runs, p = 0.02). Golf courses were more tightly clustered than green spaces, reflecting their homogeneity."
"Golf courses house more urban-breeding species and less wetland- and woodland-breeding species than other more natural urban green spaces. This is likely because green spaces generally offer more high-quality wetlands (increased vegetation resulting in increased aquatic invertebrate production; Krull, 1970), larger tracts of forests, fewer highly modified areas, and fewer conifers than golf courses. Thus, golf courses may be a source of dispersing suburban-adaptable bird species that may outcompete native species (LeClerc and Cristol, 2005)."</t>
  </si>
  <si>
    <t>Management, Restoration</t>
  </si>
  <si>
    <t>"Management strategies can be implemented to create and manage golf courses in the image of high-quality green spaces, as well as to restore degraded green spaces. We specify quality green spaces because of the large disparity between study sites. IB, with its exceptional aquatic habitat, contributed nine species to the green spaces’ cumulative total of 66."
"Site management in southern Quebec should involve increasing deciduous and coniferous tree cover, converting non-vegetated water bodies to vegetated water bodies, and reducing the amount of highly managed grass area to the minimal amount required for play."</t>
  </si>
  <si>
    <t>ground layer, tree layer, shrub layer, plant functional types</t>
  </si>
  <si>
    <t>A205</t>
  </si>
  <si>
    <t>Threlfall et al. (2017)</t>
  </si>
  <si>
    <t>Threlfall CG, Mata L, Mackie JA, Hahs AK, Stork NE, Williams NSG, et al.</t>
  </si>
  <si>
    <t>Increasing biodiversity in urban green spaces through simple vegetation interventions.</t>
  </si>
  <si>
    <t>Journal of Applied Ecology</t>
  </si>
  <si>
    <t>"The study was conducted in Melbourne, Australia’s second most populous city (4 million people). A large proportion of metropolitan Melbourne is covered in low density single storey detached houses. It also has a relatively high density of public parks and nearly 50 km2 of golf courses."</t>
  </si>
  <si>
    <t>Canopy Cover, Forested area, Land use type, Composition</t>
  </si>
  <si>
    <t>"Within our 39 green spaces, we randomly established 247 plots to measure vegetation variables: 104 in golf courses, 104 in residential neighbourhoods and 39 in small urban parks."
"To characterise the effect of management practices on vegetation within each green space plot, we measured: (i) the density of all trees; (ii) volume of ground- and mid-storey vegetation, hereafter referred to as understorey vegetation and (iii) vegetation composition (native and exotic). Vegetation at the plot level was used to calculate the average for that green space site via averaging the values recorded for plots within each green space (n = 39)."</t>
  </si>
  <si>
    <t>"Thedensityoflargenativetrees(&gt;81 cm DBH) had a mean negative effect on exotic birds and beetles, and no overall effect upon all other taxa, as their associated 95% credible interval (CI) contained zero (Table 2). Understorey volume had a mean positive effect on bats, native birds, beetles and bugs (Table 2)."
"There was a 30–120% increase in occupancy of bats, native birds, beetles and bugs with increasing understorey volume from 10% to 30% (Fig. 2b, Table 3), after which the effect diminished. Similarly, there was a 10–140% increase in occupancy of bats, native birds, bees, beetles and bugs as the proportion of native vegetation increased from 0% to 30% (Fig. 2c, Table 3). Conversely, exotic bird occupancy declined in sites with a high proportion of native vegetation."</t>
  </si>
  <si>
    <t>"In general, top–down policies that promote green space management practices that increase planting of native vegetation and maintenance of a complex understorey will have strong, positive impacts on most fauna species we examined, ranging from sedentary invertebrates to highly mobile vertebrate species. Our results concur with other recent studies (Shwartz et al. 2013) that suggest these management practices can have a positive impact at the site scale (e.g. individual park, garden or golf course). Such actions may be easier to implement in green spaces planned for new urban subdivisions, rather than in existing green spaces, although opportunities to reinstate these features into existing landscapes should still be sought."</t>
  </si>
  <si>
    <t>diameter, ground layer, shrub layer, total height, stem density</t>
  </si>
  <si>
    <t>Understory volume = shrub + ground layer
Total height = threshold height for understory vegetation</t>
  </si>
  <si>
    <t>A210</t>
  </si>
  <si>
    <t>Stratford &amp; Robinson (2005)</t>
  </si>
  <si>
    <t>Stratford JA, Robinson WD.</t>
  </si>
  <si>
    <t>Distribution of neotropical migratory bird species across an urbanizing landscape</t>
  </si>
  <si>
    <t>stratja@auburn.edu</t>
  </si>
  <si>
    <t>Columbus, Georgia, 
U.S.A.</t>
  </si>
  <si>
    <t>We conducted our study over a three county area of the Georgia Piedmont in central west Georgia including Muscogee, Harris and Meriwether counties . The urban-rural gradient created by population densities and land-use associated with Columbus, Georgia, U.S.A., and its surrounding area offers an excellent opportunity to study the effects of urbanization on species distributions</t>
  </si>
  <si>
    <t>Diversity metric, Land use type, Composition</t>
  </si>
  <si>
    <t>Point count locations were geo-referenced using a Magellan 315 (15 m resolution) handheld GPS unit. Circular buffers of 100-, 200- and 1000 m around each point were clipped from a 30-m resolution Landsat 7 TM image taken March 2002. Land classifications were water, urban, barren, evergreen, mixed-hardwood, transitional (shrubland), and grassland (pasture).Composition parameters, as proportions of each cover type, was estimated for all buffers.</t>
  </si>
  <si>
    <t>In 2002, the best model was composed of large-scale urban cover (negative effect) and mid-scale mixed hardwoods (negative and positive effect) and transitional cover (negative and positive effect) as well as the interaction between the latter two terms (positive effect). In 2003, the best model was composed of weighted edge density (negative effect), mid-scale mixed hardwood cover (negative and positive effect) and large scale transitional cover (positive effect) and the interaction between mixed hardwoods and weighted edge density (positive effect). Our results indicate that large scale habitat attributes influence the local species richness of migrant birds more than smaller scales. These results also indicate that urbanization, through increased urban cover or increasing edge contrast, has strong negative effects on species richness.</t>
  </si>
  <si>
    <t>Our findings support the contention that the conservation value of small woodlots in urban settings may be minimal and suggest that conservation of migratory birds will be best achieved by giving higher priority to sites where urban cover is still low and by preserving large areas of “green space” in urbanizing landscapes. The negative influence of urban cover combined with relatively minor effects of non-urban habitats on distributions of neotropical migratory birds indicates that continued urbanization of landscapes is a serious concern for conservation efforts.</t>
  </si>
  <si>
    <t>tree layer, plant functional types, ground layer, shrub layer</t>
  </si>
  <si>
    <t>% grassland = ground layer
shrubland = shurb layer</t>
  </si>
  <si>
    <t>A212</t>
  </si>
  <si>
    <t>Yang et al. (2015)</t>
  </si>
  <si>
    <t>Yang G, Xu J, Wang Y, Wang X, Pei E, Yuan X, et al.</t>
  </si>
  <si>
    <t>Evaluation of microhabitats for wild birds in a Shanghai urban area park.</t>
  </si>
  <si>
    <t>zhwang@bio.ecnu.edu.cn</t>
  </si>
  <si>
    <t>Shanghai</t>
  </si>
  <si>
    <t>"This research was performed in Binjiang Forest Park (BFP, Fig. 1), Shanghai (31◦14′N, 121◦29′E), China. BFP is located on the right bank of the estuaries of Huangpu River and Yangtze River."</t>
  </si>
  <si>
    <t>31◦14′N</t>
  </si>
  <si>
    <t>121◦29′E</t>
  </si>
  <si>
    <t>"(1) Horizontal coverage of the tree layer (HCt): the average coverage of the tree layer vegetation in each sampling square calculated from all of the photographs taken at the horizontal photography points in that sampling square. (2) Horizontal coverage of the shrub layer (HCs): the coverage of woody plants with heights between 0.5 and 2.5 m, which were calculated from photographs taken by horizontal photography. (3) Horizontal coverage of the ground cover layer (HCg): the average coverage of the ground cover vegetation, which was calculated in a similar way to HCt and HCs. (4) Vertical coverage of the tree layer (VCt): the average percentage of the sky obscured by the tree layer vegetation in each sampling square, which was calculated from all the photographs taken at vertical photography points in that sampling square. (5) Vertical coverage of the shrub layer (VCs): the average percentage of shrub sampling points covered by the shrub layer vegetation in each sampling square. (6) Vertical coverage of the ground cover layer (VCg): the average percentage of ground cover sampling points covered by the ground cover layer vegetation in each sampling square. (7) Diversity index of the tree layer (DIVt): the Shannon–Wiener diversity index of the tree layer vegetation in each sampling square. (8) Diversity index of the shrub layer (DIVs): the Shannon–Wiener diversity index of the shrub layer vegetation in each sampling square. (9) Species richness of trees (RICt): the species number in the tree layer vegetation in each sampling square. (10) Species richness of shrubs (RICs): the species number in the shrub layer vegetation in each sampling square. (11) Species richness of ground cover (RICg): the species number in the ground cover layer vegetation in each sampling square. (12) Density of trees (DENt): the individual trees per square meter (individuals/m2) of the sampling square. (13) Density of shrubs (DENs): the individual shrubs per unit area. (14) Height of the highest tree (HEIt): height of the highest tree in each sampling square. (15) Height of the highest shrub (HEIs): height of the highest shrub in each sample square. We measured HEIt and HEIs by triangulation. (16) Average DBH (diameter at breast height) of the trees (DBHt) in each sampling site. (17) Water distance (DISw): the distance from the nearest permanent water body (i.e., streams or ponds) to the sampling site being measured."</t>
  </si>
  <si>
    <t>"The park was rebuilt on a 28-year sapling nursery and has been open to public since 2007. It has an area of 120 ha and tourist numbers of 189,187 visitors per year (data from BFP, 2009–2010). There are three habitat types in the park, as follows."</t>
  </si>
  <si>
    <t>"Both the vegetation complexity and the structure had significant effects on the bird community composition in BFP. The woody species richness and diversity were significant vegetation variables for all three bird community indices (i.e., bird species richness, bird abundance, and bird diversity), while the vegetation horizontal coverage, particularly the horizontal coverage of shrubs, had significant effects on the bird community composition. The fact that the horizontal coverage rather than the vertical coverage of vegetation affected the bird community explains the significance of the horizontal shielding function of vegetation, which facilitates the survival of birds in areas with high levels of human disturbance. In addition, water bodies had significant positive effects on all three bird community indices, thereby suggesting that the benefits of wetlands in urban green spaces for bird conservation require further study."</t>
  </si>
  <si>
    <t>"(1) Vegetation species composition: a diversified woody plant composition supports a greater diversity of bird communities. For example, planting coniferous trees has always been recommended to maximize the bird species richness (Fontana et al., 2011). Coniferous trees were the most abundant tree species in BFP. The fruiting seasons of these tree species were from November to January when most of the feeding behaviors were observed, i.e., pecking coniferous tree seeds. Moreover, Chace and Walsh (2006) suggested that native vegetation should be beneficial for retaining the native bird community. The woody plant communities of the parks in Shanghai City have been designed largely for human recreational needs. Therefore, different ways of improving the composition of woody plant species to enhance bird communities is an important area for future research. (2) Habitat structure: woodland with a well-developed understory was the best habitat for urban birds, according to the analysis of the bird species richness. However, some birds had specific habitat requirements, e.g., Motacilla flava and M. cinerea were observed only in open short vegetated areas, while nine water bird species were only present near water bodies in BFP (Table S2). Therefore, enhancing the overall urban bird diversity requires various types of habitats in urban green spaces. (3) Horizontal coverage: in areas with high levels of human disturbance, the horizontal shielding function of shrub cover is an important habitat component that affects the observation of human activities and bird survival. Heyman (2010) confirmed that 50% removal of shrubs did not affect the local bird diversity, which is useful information for the design of management plans in urban green spaces. However, BFP is a park with a moderate density of visitors per year for Shanghai City. The shielding function of shrubs for bird survival should be evaluated in urban parks with much higher densities of visitors. Moreover, the bird communities in urban green spaces could be affected greatly by the extent of urbanization (Clergeau et al., 2006) and different bird species should have distinctive functional landscape heterogeneity levels in the same urban landscape context (Fahrig et al., 2011). Consequently, to test the outcomes of this research, we recommend that further studies examine the relationships between the bird community and urban green vegetation in Shanghai City in more parks with different densities of visitors, which should also consider the urban landscape contexts of these parks."</t>
  </si>
  <si>
    <t>Strong and specific recommendations!!!</t>
  </si>
  <si>
    <t>stem density, ground layer, total height, shrub layer, diameter, tree layer, tree species composition, shrub species composition, vertical layer assessment</t>
  </si>
  <si>
    <t>Vertical assessment = horizontal coverage
Looked at bird behaviours</t>
  </si>
  <si>
    <t>A213</t>
  </si>
  <si>
    <t>Sanesi et al. (2009)</t>
  </si>
  <si>
    <t>Sanesi G, Padoa-Schioppa E, Lorusso L, Bottoni L, Lafortezza R</t>
  </si>
  <si>
    <t>Avian ecological diversity as an indicator of urban forest functionality. Results from two case studies in Northern and southern Italy.</t>
  </si>
  <si>
    <t>Journal of Arboriculture</t>
  </si>
  <si>
    <t>emilio.padoaschioppa@unimib.it</t>
  </si>
  <si>
    <t>Milan and Bari</t>
  </si>
  <si>
    <t>This study was conducted on sixteen greenspaces located in two main urban environments: Milan, northern Italy (N. 13) and Bari, southern Italy</t>
  </si>
  <si>
    <t>45°53’71’’, 41°7’3”</t>
  </si>
  <si>
    <t>9°20’97’’, 8°32’55”</t>
  </si>
  <si>
    <t>structural and spatial characteristics of the sixteen urban greenspaces, such as: dimension in hectares, percentage of vegetation cover, and distance 
from the core center of the city. DBH</t>
  </si>
  <si>
    <t>we provided evidence on the response of bird 
species to certain structural attributes of greenspaces, such 
as the presence of mature and heterogeneous forest stands 
(high level of DBH). Among the analyzed greenspaces, Parco Nord (Milan) provided the most encouraging results in terms of species richness. Such results could be explained 
by: the large extension covered by this greenspace (approximately 600 ha), the high percentage of mature forest trees, and the relevant distance to city center. Besides these characteristics, it is important to consider the spatial connectivity of greenspaces with the surrounding landscape components, especially forest patches, open spaces, grasslands and mixed-croplands with presence of hedgerows (Sodhi et al. 1999; Farina 2006). For example, Giardino di via Pallavicino, Parco Solari and Giardino di via Ravizza in Milan although having approximately the same extension (16 ha) revealed a contrasting patterns in terms of species richness. This could be explained by the fact that Giardino di via Pallavicino and Parco Solari belong to a system of parks and other greenspaces (public and private lands) which constitutes a kind of ecological network supporting bird species dispersal. In the case of the “great tit,” DBHmax was the only interval providing 
significant results. The resulting regression curve for the “great tit” revealed a positive correlation between DBH and species abundance: the higher the tree diameter the higher the abundance 
of the species. This could be explained by the habitat preference of the great tit for large trees (Cowie and Hinsley 1988). T</t>
  </si>
  <si>
    <t>1) The dimension of greenspaces and the amount of tree cover are critical factors supporting avian ecological diversity in urban environments. As a consequence, urban forest planners and managers should promote the planning and design of large greenspaces within cities and the connection
of greenspaces with the surrounding landscape elements.
2) The structural heterogeneity of forest trees within greenspaces (explained by the DBH analysis) is a fundamental aspect supporting high level of species abundance of birds.
3) The conservation of species diversity in urban areas should be based on the knowledge on one or more indicators species having different habitat requirements in terms of vegetation
and trees’ structure (as explained by Ficetola et al. 2007).
The results of our work suggests that following the approach
of ecosystem services and the “Biophilia hypothesis” (Costanza
et al. 1997; Wilson 1984) a greenspace in urban areas should
be managed for both social needs and conservation purposes.</t>
  </si>
  <si>
    <t>tree layer, diameter</t>
  </si>
  <si>
    <t>DBH used as a proxy for maturity of forest</t>
  </si>
  <si>
    <t>A216</t>
  </si>
  <si>
    <t>Mohring et al. (2020)</t>
  </si>
  <si>
    <t>Mohring B, Henry P-Y, Jiguet F, Malher F, Angelier F.</t>
  </si>
  <si>
    <t>Investigating temporal and spatial correlates of the sharp decline of an urban exploiter bird in a large European city.</t>
  </si>
  <si>
    <t>bertille.mohring@abo.fi</t>
  </si>
  <si>
    <t>"From 2003 to 2017, a large House Sparrow census by point counts has been carried out by 127 volunteers and coordinated by the Ligue pour la Protection des Oiseaux (LPO) Ile-deFrance at 196 sites in the inner Paris (excluding the two surrounding woods)."</t>
  </si>
  <si>
    <t xml:space="preserve">"Therefore, we focused specifically on (1) vegetation because of its expected importance in terms of sheltering sites and source of seeds and invertebrate preys, (2) built-up areas because of their expected importance in terms of sheltering and nesting sites..."
</t>
  </si>
  <si>
    <t>"By studying fine-scale habitat characteristics, we highlighted that although House Sparrows were more numerous in sites characterised by large green space areas and relatively new buildings, they declined at all sites independently of habitat characteristics."</t>
  </si>
  <si>
    <t>ground layer, shrub layer, overall canopy cover, tree layer</t>
  </si>
  <si>
    <t>A217</t>
  </si>
  <si>
    <t>Ferenc et al. (2014)</t>
  </si>
  <si>
    <t>Ferenc M, Sedláček O, Fuchs R.</t>
  </si>
  <si>
    <t>How to improve urban greenspace for woodland birds: site and local-scale determinants of bird species richness.</t>
  </si>
  <si>
    <t>zbrd@email.cz</t>
  </si>
  <si>
    <t>"The study took place in Prague, city (1 270 000 inhabitants) located in a continental temperate climate of central Europe (centre 50.04 N, 14.25 E, altitude range 170400 m a.s.l., Czech Republic)."</t>
  </si>
  <si>
    <t>"First, we estimated the absolute area covered by urban greenery within each sampling site (hereafter “surveyed area”) using aerial photographs (www.mapy.cz). This variable (surveyed area) has been used as a covariate in further analyses to account for total amount of focal habitat sampled at particular sites. Further, we estimated the relative cover of sparse and dense herbaceous vegetation, sparse and dense shrubs and different age cohorts of trees (according to the diameter at breast height (DBH): (i)&lt;30 cm, (ii) 31–50 cm and (iii) above 50 cm) within the surveyed area. We recorded the number of tree species that covered at least 5 % of the surveyed area and the ratio of deciduous and coniferous trees. The presence of water body (streams, ponds) at sampling sites has also been recorded."</t>
  </si>
  <si>
    <t>"We found that the tree species richness, proportion of older tree stands and presence of water bodies represent the most important habitat variables at the site scale (100 m radius plots). The diversity of woodland bird communities at a particular site was further positively influenced by both the amount of continuous tree cover (e.g. parks, urban woodlands), or scattered trees of residential areas around the sampling sites."
"We found that the overall richness of bird communities was supported by higher proportion of total tree cover surrounding our sampling sites in urban green and declined towards more urbanized areas with higher housing density and cover of pavements (l-PC1 axis). More specifically, we identified that bird communities were enriched by about two species, if more than half of the 500 m surroundings (corresponding to about 40 ha in total) were covered by trees. This implies that not only habitat patch size (Husté et al. 2006; Evans et al. 2009) but also total amount of tree cover scattered in an urbanized area (Pellissier et al. 2012) is important for species richness of woodland bird communities."</t>
  </si>
  <si>
    <t>"These results show that at least part of the woodland species does not distinguish between the habitat patches of continuous tree cover and the scattered greenery of residential areas. Management at the level of particular administrative units of a city should therefore focus on maintenance and promoting of the total amount of greenery, including smaller areas of public spaces (e.g. squares), wooded streets and private gardens."</t>
  </si>
  <si>
    <t>stem density, diameter, shrub layer, plant functional types, overall canopy cover, ground layer, tree layer, tree species composition</t>
  </si>
  <si>
    <t xml:space="preserve">Estimate tree age according to DBH
Stem density = recorded the cover of "scattered" and "dense" shrubs (density categories)
overall canopy layer = absolute area covered by urban greenery </t>
  </si>
  <si>
    <t>A218</t>
  </si>
  <si>
    <t>Curzel et al. (2021)</t>
  </si>
  <si>
    <t>Curzel FE, Bellocq MI, Leveau LM.</t>
  </si>
  <si>
    <t>Argentina</t>
  </si>
  <si>
    <t>Local and landscape features of wooded streets influenced bird taxonomic and functional diversity.</t>
  </si>
  <si>
    <t>curzel@ege.fcen.uba.ar</t>
  </si>
  <si>
    <t>Buenos Aires</t>
  </si>
  <si>
    <t>"Buenos Aires city is located in the Rolling Pampas, the native landscape that was dominated by grasslands and xerophytic forest formations (Morello et al., 2012; Oyarzabal et al., 2018). At present, this region is primarily composed of agroecosystems and some exotic tree plantations (Morello et al., 2012)."</t>
  </si>
  <si>
    <t>34 36' 14' S</t>
  </si>
  <si>
    <t>58 22' 54' W</t>
  </si>
  <si>
    <t>Canopy Cover, Land use type, Composition, Forested area</t>
  </si>
  <si>
    <t>"Environmental variables were established at two different scales. At a landscape scale, we analyzed the isolation to green areas, the distance to the nearest green area, and green area coverage within a 200 m radius from the transect."
"At the transect scale, we measured the following environmental variables: tree coverage, tree species richness, tree composition, average diameter at breast height (DBH) and standard deviation of diameter at breast height (sdDBH), building coverage, motorized vehicle traffic, and pedestrian traffic."</t>
  </si>
  <si>
    <t>"Total species richness was negatively related to tree coverage and motorized vehicle traffic on the streets, whereas total species richness was positively associated with the standard deviation of diameter breast height (Table S2, Fig. 3a–c). Native species richness was negatively related to motorized vehicle traffic (Table S2, Fig. 3d). Total species evenness was negatively related to tree coverage, pedestrian traffic, and distance to green areas (Table S2, Fig. 4a–c). Native species evenness was negatively associated with tree coverage, pedestrian traffic, and distance to green areas (Table S2, Fig. 4d, g, h).In addition, native species evenness increased with the coverage of low buildings and no building coverage (Table S2, Fig. 4e, f). Total species Shannon diversity and native species Shannon diversity were negatively related to tree coverage and motorized vehicle traffic and were positively related to standard deviation of diameter of breast height (Table S2, Fig. 5a–e, g). Native species Shannon diversity decreased with the coverage of high buildings and distance to green areas (Table S2, Fig. 5f, h)."</t>
  </si>
  <si>
    <t>"Some actions could be implemented to decrease the negative effects of human disturbance. One possible option is traffic calming, which is a setof strategies created to make the streets safer, for example by reducing speed or redistributing traffic in the city (Bunn et al., 2003); traffic calming could be used to improve bird diversity"
"In addition, the improvement of public transport services, such as subways and trains, could reduce car, motorbike and pedestrian traffic. Another alternative is to distribute throughout the city public and governmental buildings, banks and offices to disseminate the motorized vehicles and pedestrian traffic throughout the city."
"Parks in the urban landscape represent bird diversity hotspots due to their complexity and availability of resources for birds (de Castro Pena et al., 2017; Fern ́andez-Juricic, 2000a; Strohbach et al., 2013). Maintenance of these areas is essential to conserve bird communities."</t>
  </si>
  <si>
    <t>Good recommendation</t>
  </si>
  <si>
    <t>tree species composition, overall canopy cover, tree layer, diameter</t>
  </si>
  <si>
    <t xml:space="preserve">Overall canopy cover = green area coverage
DBH used as a proxy for tree height </t>
  </si>
  <si>
    <t>A219</t>
  </si>
  <si>
    <t>Ikin et al. (2012)</t>
  </si>
  <si>
    <t>Ikin K, Knight E, Lindenmayer DB, Fischer J, Manning AD.</t>
  </si>
  <si>
    <t>Linking bird species traits to vegetation characteristics in a future urban development zone: implications for urban planning.</t>
  </si>
  <si>
    <t>karen.ikin@anu.edu.au</t>
  </si>
  <si>
    <t>"Our study was located within the lower Molonglo Valley in Canberra, the Australian Capital Territory (ACT), Australia (Fig. 1; also see Stagoll et al. 2010)."</t>
  </si>
  <si>
    <t>Individual tree management, Composition, Exotic/invasive species, Land use type</t>
  </si>
  <si>
    <t>"We recorded seven variables to reflect the patch-scale vegetation characteristics of each site: (1) dominant bark type; (2) tree stem density; (3) presence of tree hollows (cavities); (4) presence of tree regeneration; (5) percent cover of shrubs; (6) presence of the exotic weed blackberry (Rubus fruticosus aggregate); and (7) percent cover of grass (Table 4)."</t>
  </si>
  <si>
    <t xml:space="preserve">"Community composition was influenced by landscape vegetation attributes, and species traits were clearly and directly related to vegetation characteristics."
"Intuitive examples included: (1) the association of arboreal nesters and foragers with high numbers of trees, and the converse relationship between ground nesters and treeless land; (2) the occurrence of shrub insectivores and understory nesters where shrub cover was high; and (3) the relationship between aerial insectivores and more open grassy conditions. Individual bird species are known to respond to vegetation characteristics (MacArthur 1964; McElhinny et al. 2006) and land-use history (Glennon and Porter 2005; Gustavsson et al. 2007), and our findings confirm that these responses are a function of their ecological and biological traits."
</t>
  </si>
  <si>
    <t>"Based on the relationships between species traits and vegetation characteristics, four plausible high-priority actions to maintain the current bird community within the Molonglo Valley development zone would be: (1) river restoration; (2) maintenance of a shrub understory (possibly around stands of remnant trees); (3) preservation of grassland areas (e.g. within public open spaces); and (4) promotion of vegetation heterogeneity across the urban landscape."</t>
  </si>
  <si>
    <t>cavity metrics, tree species composition, ground layer, tree layer, stem density, shrub layer</t>
  </si>
  <si>
    <t>A220</t>
  </si>
  <si>
    <t>Matsuba et al. (2016)</t>
  </si>
  <si>
    <t>Matsuba M, Nishijima S, Katoh K.</t>
  </si>
  <si>
    <t>Effectiveness of corridor vegetation depends on urbanization tolerance of forest birds in central Tokyo, Japan.</t>
  </si>
  <si>
    <t>misakomatsuba@hotmail.com</t>
  </si>
  <si>
    <t>Tokyo</t>
  </si>
  <si>
    <t>"The study area was located in the center of Tokyo, Japan (Fig. 1). A suburban mosaic of residential and commercial land uses dominates central Tokyo, with certain areas utilized for agricultural purposes."</t>
  </si>
  <si>
    <t>Composition, Forested area, Connectivity</t>
  </si>
  <si>
    <t>"In the study area, three extensive corridors that stretch from the east to the west are characterized by their vegetation structures."
"To estimate the vegetation coverage, we conducted visual vegetation structure surveys at each bird sampling points in the wooded patches from November to December 2010. Coverage was recorded for the following layers: ground (0–0.5 m), shrub (0.6–2 m), subtree (2.1–8 m), and tree (&gt;8 m) by seven ranks [0, 0.5, 1 (1–10%), 2 (11–25%), 3 (26–50%), 4 (51–75%), and 5 (75–100%)]."
"We investigated the effects of the urban landscape surrounding a patch using the normalized difference vegetation index (NDVI)."</t>
  </si>
  <si>
    <t xml:space="preserve">"The species richness and total abundance of the urban avoider group during winter were higher in the patches near CorridorTU, which comprised planted mature broadleaf woodland and dense understory vegetation (Table 1). This highlights the importance of vegetation structures on bird species in nearby small wooded patches, although additional surveys using a larger number of corridors are required to confirm the generality of the current results."
"Importantly, the effectiveness of corridor vegetation appears higher in areas containing many scattered greenspaces (i.e., higher NDVI), particularly for abundance during winter (Figs. 3 and 4)."
"The corridor type was not influential in top five models for the suburban adapter group (Table 2), suggesting that their distribution is independent of the vegetation types in corridors. This pattern might occur because of the higher capability of suburban adapters to exploit the matrix compared with that of the urban avoiders."
</t>
  </si>
  <si>
    <t xml:space="preserve">"From the view of management of greenspaces, the maintenance of shrub or understory vegetation is encouraged not only in patches but also in corridors. However, this may be in conflict with safety and aesthetic values of the environments for humans in urban landscapes (Heyman, 2010)."
"One possible strategic approach is to differentially select and manage corridors for forestdwelling bird species, particularly for urban avoiders. On the basis of our results (Fig. 3b), we suggest that the management practice of increasing vegetation in corridors will be better implemented in a landscape with numerous scattered greenspaces (as in Fig. 4a) or that neighbor larger patches (Fig. 3a), whereas management for humans should be prioritized in a landscape with more artificial land use (as in Fig. 4b)."
</t>
  </si>
  <si>
    <t>ground layer, total height, tree layer, shrub layer</t>
  </si>
  <si>
    <t>A221</t>
  </si>
  <si>
    <t>van Heezik et al. (2013)</t>
  </si>
  <si>
    <t>van Heezik Y, Freeman C, Porter S, Dickinson KJM.</t>
  </si>
  <si>
    <t>Garden Size, Householder Knowledge, and Socio-Economic Status Influence Plant and Bird Diversity at the Scale of Individual Gardens.</t>
  </si>
  <si>
    <t>Ecosystems</t>
  </si>
  <si>
    <t>Yolanda.vanheezik@otago.ac.nz</t>
  </si>
  <si>
    <t>Dunedin</t>
  </si>
  <si>
    <t>"The study took place in Dunedin (population 120,000), South Island, New Zealand (see Freeman and others 2012)."</t>
  </si>
  <si>
    <t>Native species, Composition, Forested area</t>
  </si>
  <si>
    <t xml:space="preserve">"The vegetated area was calculated from aerial photographs and expressed as both the proportion of the total property, and the area (m2)."
"All woody plants taller than 0.5 m were recorded, identified as native or exotic, and to species level where possible. Vegetation structure was recorded in height tiers: shrub (0.5–2 m.); multi-stemmed tree (0.5–&lt;2 m.); multi-stemmed tree (2–&lt; 5m; diameter at breast height d.b.h. &lt;10 cm.); short tree (2–5 m., d.b.h ‡10 cm.); and tree (‡5 m)."
</t>
  </si>
  <si>
    <t>"Just over half of the variation in overall woody plant species richness among properties was explained mainly by three variables; the vegetated area of the garden, the capital value of the property and the ability of the householder to discriminate between native and exotic plant and animal species (ID native; Table 2; Figure 1)."
"Although the attitudes and knowledge of householders contributed to an extent in explaining variation in plant and bird richness and diversity among gardens, the overwhelmingly important garden characteristic was the size of the vegetated area or the proportion of the property vegetated. All models in all sets included either one of these as the most important variable."
"Over all gardens we found 83% of woody species were exotic, although within individual gardens there were generally about twice as many exotic woody species and individual plants as there were native."
"Bird species richness in individual gardens was positively associated with the area covered by beds and hedges within the gardens, although the vegetated area of the property was twice as important as any of the other variables. Local habitat variables measured at small scales are important in explaining bird communities, with even small numbers of native trees and shrubs acting to attract birds (Daniels and Kirkpatrick 2006; Goddard and others 2009; Lerman and Warren 2011; Luck and others 2012)."</t>
  </si>
  <si>
    <t>"To maintain and enhance these roles requires that those characteristics found in larger vegetated properties be supported and encouraged. Town planners should consider biodiversity when formulating strategies and regulations concerning property size, garden size, and the proportion of the garden that remains vegetated."</t>
  </si>
  <si>
    <t>tree species composition, shrub species composition, shrub layer, total height, ground layer, overall canopy cover, diameter, stem density, vertical layer assessment</t>
  </si>
  <si>
    <t>Overall canopy cover = vegatated area
Shrub layer = hedge
Ground layer = lawn</t>
  </si>
  <si>
    <t>A225</t>
  </si>
  <si>
    <t>Ikin et al. (2013)</t>
  </si>
  <si>
    <t>Ikin K, Beaty RM, Lindenmayer DB, Knight E, Fischer J, Manning AD.</t>
  </si>
  <si>
    <t>Pocket parks in a compact city: how do birds respond to increasing residential density?</t>
  </si>
  <si>
    <t>"Our study was located in southeastern Australia, in Canberra, Australian Capital Territory (ACT). Canberra is the capital city of Australia, and with a population of 362 000 people and covering 814 km2,it is the country’s largest inland city (ABS 2010)."</t>
  </si>
  <si>
    <t xml:space="preserve">"Thus, to quantify park composition, we measured the tree cover within the park boundary of each site. We recorded the total number of trees per ha (of all species) and the total number of large eucalypts per ha."
"We then quantified the percent tree and shrub cover within each park neighbourhood to represent land cover composition. Tree and shrub cover was negatively correlated with herbaceous vegetation and grass (rs =-0.74), bare ground (rs =-0.71), paved surfaces (rs =-0.72), and building cover (rs =-0.48)."
</t>
  </si>
  <si>
    <t>"We found that all bird metrics were positively related to percent greenspace land use (Table 2, Fig. 2). Greenspace was negatively correlated with residential land use, indicating that the bird metrics would also be negatively correlated. Woodland species richness was positively related to tree and shrub land cover. Total species and woodland species richness was negatively related to the number of neighbourhood residential blocks, and species richness was negatively related to average residential block size. Total species and insectivore richness was negatively related to the number of park trees, but abundance and woodland species and hollow-nester richness was positively related to the number of large trees."</t>
  </si>
  <si>
    <t>"1. Increase greenspace cover in residential neighbourhoods. These greenspaces can range in size and management intensity from pedestrian parkland to laneways, informal-use sporting fields, managed town parks, road verges or squares. Over small scales (i.e. \0.2 km2), connectivity and configuration are less important than accumulative greenspace area. Moreover, not only will increasing greenspace cover improve bird diversity values within individual greenspace patches, but recent research demonstrates that greenspaces also provide substantial values to the humans that use them. For example, Luck et al. (2011) found that the proportion of neighbourhood vegetation cover was positively correlated with the personal wellbeing of residents in 36 Australian neighbourhoods.
2. Increase vegetation structure in greenspaces. Parks with high numbers of large (DBH C 50 cm) eucalypts supported more individual birds and more woodland and hollow-nesting species. Recent findings show that as the size of these eucalypts increase, their positive effect on bird diversity also increases (Stagoll et al. 2012). Furthermore, several studies demonstrate that maintaining and improving vegetation structure within urban parks can achieve tangible biodiversity outcomes (Shwartz et al. 2008; Fontana et al. 2011).
3. Encourage homeowners to plant trees and shrubs. Increases in tree cover within the neighbourhood will strengthen the capacity of parks to support woodland-dependent species, of which many in our study area are regionally or nationally declining (see Table S2 in the Supporting Materials). Goddard et al. (2010) suggest that the best results are achieved when homeowners work cooperatively with each other, but also when planners structure new developments so that gardens are clustered together. In this way, the individual constraints imposed by small residential blocks can begin to be overcome."</t>
  </si>
  <si>
    <t>Strong specific recommendations</t>
  </si>
  <si>
    <t>overall canopy cover, ground layer, shrub layer, tree layer, stem density, diameter</t>
  </si>
  <si>
    <t>Overall canopy cover = Green area
Eucalypts</t>
  </si>
  <si>
    <t>A226</t>
  </si>
  <si>
    <t>The influence of native versus exotic streetscape vegetation on the spatial distribution of birds in suburbs and reserves.</t>
  </si>
  <si>
    <t>"Our study was located in Canberra, Australian Capital Territory (ACT), in south-eastern Australia (Fig. 1)."</t>
  </si>
  <si>
    <t>Native species, Exotic/invasive species, Composition</t>
  </si>
  <si>
    <t>"At each site, we measured the per cent cover of the canopy, large and small shrubs, grass, leaf litter and impervious surfaces. We scored the per cent cover of each of these components and summed the six scores to achieve a habitat complexity score (HCS) for each site (Table 1)."
"We then ground-truthed these data to estimate an average per cent suburban Eucalyptus tree cover for each group of sites. We classified the suburb as either native ( _x0015_ 30% mature Eucalyptus species tree cover) or exotic (&lt;30%) in provenance."</t>
  </si>
  <si>
    <t>"We found that suburbs with _x0015_ 30% native (Eucalyptus) street trees and reserves adjacent to these suburbs had significantly higher richness of all species and of native urban-adapted species, and higher probability of reporting exotic urbanadapted species, than those with exotic trees, even at the reserve core where no effect was expected. Street tree provenance, however, did not affect the probability of reporting native urban avoiders. Only native adapters responded to boundary design, with higher species richness when the boundary type was a local or unsealed road."
"The probability of reporting exotic urban-adapted bird species increased at all site locations when street trees were native. This result was unexpected, given that several Australian studies have found either a negative relationship or no relationship between exotic bird species and native streetscapes (Green, 1984; Catterall et al., 1989; White et al., 2005, 2009)."</t>
  </si>
  <si>
    <t>"Birds present, no matter which species or how many species ‘Any and all’ --&gt; Urban-adapted native and exotic species Native-provenance street trees Pockets of urban reserves to increase bird numbers in suburbs 
High numbers of native bird species, regardless of species diversity or formal conservation status ‘Native favourites’ Urban-adapted native species Native-provenance street trees --&gt; Low-traffic intensity boundaries between suburbs and reserves Pockets of urban reserves to increase bird numbers in suburbs 
High diversity of native birds, possibly but not necessarily including those with formal conservation status --&gt; ‘Native highlights’ Urban-avoiding native species Greater focus on private gardens and habitat-enhanced open space (e.g. parks with a high habitat complexity) – more research needed Combination of urban reserves to increase bird numbers in suburbs and areas of undisturbed reserves to increase bird numbers in reserves 
Increased numbers of birds with formal conservation status, e.g. endangered, threatened or vulnerable ‘Conservation concern’ Native ‘listed’ species --&gt; Greater focus on private gardens and habitat-enhanced open space (e.g. parks with a high habitat complexity) – more research needed Large, undisturbed areas of reserves away from suburbs"</t>
  </si>
  <si>
    <t>ground layer, leaf litter layer, shrub layer, vertical layer assessment, tree layer</t>
  </si>
  <si>
    <t>Habitat complexity score from the layer metrics
Eucalypts
Vertical layer assessment = habitat complexity score</t>
  </si>
  <si>
    <t>A227</t>
  </si>
  <si>
    <t>Luther et al. (2008)</t>
  </si>
  <si>
    <t>Luther D, Hilty J, Weiss J, Cornwall C, Wipf M, Ballard G.</t>
  </si>
  <si>
    <t>Assessing the impact of local habitat variables and landscape context on riparian birds in agricultural, urbanized, and native landscapes.</t>
  </si>
  <si>
    <t>dluther@unc.edu</t>
  </si>
  <si>
    <t>Sonoma County</t>
  </si>
  <si>
    <t>"This project was conducted on private and public properties in Sonoma County, California, in the Sonoma Creek watershed. The Sonoma Creek watershed is located north of San Francisco in the California Coastal Range between the Mayacamas Mountains and Sonoma Mountain (Fig. 1)."</t>
  </si>
  <si>
    <t>"General vegetation characteristics recorded included: percent of bare ground, running water, standing water, slope, aspect, riparian width, percent cover, and height of each vegetation layer (tree, shrub, and herb). Dominant species and their relative percent cover within each point were also recorded. Based on results from a preliminary analysis of the data (PRBO 2002), we identiWed the vegetation variables shrub species richness, tree species richness, percent of shrub cover, and percent of tree cover as important variables to be included in our analyses."</t>
  </si>
  <si>
    <t>"The best model for predicting both avian species abundance and riparian-preferring avian species abundance included the variables percent of tree cover, shrub species richness, and landscape context (Table 1). The best model for predicting avian species richness included the variables shrub species richness and percent of tree cover. Meanwhile the best model for riparian-preferring avian species richness only included shrub species richness."</t>
  </si>
  <si>
    <t>"Our results indicate that conserving habitat could be insuYcient for maintaining native biodiversity. Large-scale conservation eVorts such as habitat protection and easement acquisition might not be enough to eVectively conserve target species if the habitat structure that they require is highly degraded. We also need to focus on site level restoration to improve degraded habitat that can be essential for the survival of many species."
"A policy tool that can provide incentive for private land managers to retain or even actively manage for healthy riparian zones is riparian buVer and setback policy. Wider riparian corridors generally correlate with more vegetative structure (Hilty and Merenlender 2004) and, at least in some cases, more birds (Heath and Ballard 2003)."</t>
  </si>
  <si>
    <t>overall canopy cover, shrub species composition, tree layer, tree species composition, shrub layer, total height, ground layer</t>
  </si>
  <si>
    <t>CB</t>
  </si>
  <si>
    <t>A228</t>
  </si>
  <si>
    <t>Trammell and Bassett (2012)</t>
  </si>
  <si>
    <t>Trammell EJ, Bassett S.</t>
  </si>
  <si>
    <t>Impact of urban structure on avian diversity along the Truckee River, USA.</t>
  </si>
  <si>
    <t>ejtrammell@gmail.com</t>
  </si>
  <si>
    <t>Reno, Sparks</t>
  </si>
  <si>
    <t>"The Truckee Meadows is located on the western edge of the Great Basin at the foothills of the Sierra Nevada, in the western USA (39° 31′ N, 119° 48′ W, Fig. 1). The cities of Reno and Sparks represent the two primary urban environments, with a total estimated population of 309,380 in 2009"</t>
  </si>
  <si>
    <t>39° 31′ N</t>
  </si>
  <si>
    <t>119° 48′ W</t>
  </si>
  <si>
    <t xml:space="preserve">"Vegetation variables focused on tree canopy, composition and density, as vertical structure is thought to be of primary importance for urban bird habitat (Emlen 1974; Green and Baker 2003)."
</t>
  </si>
  <si>
    <t>"Mean tree cover was used in four of the final models: overall avian abundance, single brood species abundance, multiple brood species richness, and low nesting species richness. In all four models, species richness and abundance was negatively correlated to increases in tree cover. Increased abundance of exotic trees was positively correlated to exotic species richness, and negatively correlated to abundance of low-nesting species. Taller trees (maximum tree height) had a positive relationship to both overall and native species abundance."
"Our models suggest most species guilds prefer lower tree cover, which speaks to the semi-arid environment that surrounds the Truckee Meadows. Riparian birds in the Great Basin tend to prefer open canopy riparian forests (lower tree cover) with tall, mature cottonwood trees (Lynn et al. 1998; Warkentin and Reed 1999)."</t>
  </si>
  <si>
    <t>"This study suggests that major roads and the cleared lands associated with undesignated zoning need to be kept away from riparian habitat, not only to protect habitat but also to discourage exotic species. This is particularly important when considering urban reserves for species of concern"</t>
  </si>
  <si>
    <t>stem density, overall canopy cover, standing dead trees, tree species composition, plant functional types, total height</t>
  </si>
  <si>
    <t>A229</t>
  </si>
  <si>
    <t>Wood &amp; Esaian (2020)</t>
  </si>
  <si>
    <t>Wood EM, Esaian S.</t>
  </si>
  <si>
    <t>The importance of street trees to urban avifauna.</t>
  </si>
  <si>
    <t>ericmwood@calstatela.edu</t>
  </si>
  <si>
    <t>Los Angeles</t>
  </si>
  <si>
    <t>"We collected data on street-tree diversity, density, size, and avian foraging behavior across a socioeconomic gradient in 36 residential communities throughout LA (Fig. 2a)."</t>
  </si>
  <si>
    <t>Native species, Composition</t>
  </si>
  <si>
    <t>"We measured diameter-at-breast-height (DBH) and recorded the tree species for each street tree along a walking route. To quantify street-tree species availability as foraging substrates for birds, we calculated density, dominance, and the importance value of each tree species (Holmes and Robinson 1981, Gabbe et al. 2002, Wood et al. 2012)."</t>
  </si>
  <si>
    <t>"Our results provide strong support that street trees have clear and positive value as foraging habitat to birds and thus are a critical resource for promoting urban avifauna. We found that across a socioeconomic gradient throughout LA, feeding bird density was positively associated with increases in density and size of street trees, especially in low- and medium-income communities. Further, our study provided clear evidence for the positive benefit of two commonly planted native street-tree species and a few nonnative tree species as foraging substrates for feeding birds."
"Our findings indicate that planting and maintaining street trees within the boundaries of the metropolis will likely provide a substantial benefit to feeding birds."
"The abundance of vegetation in private yards may have provided additional habitat that attracted feeding birds from street trees (Lerman and Warren 2011, Belaire et al. 2014). Nevertheless, our findings underscore the critical importance to birds of planting and maintaining street trees in sections of the city that are lacking."
"Oak trees of our study, one native and two nonnatives,– were nearly unparalleled in their use by feeding birds."
"Other important tree species of our study for feeding birds included a sycamore (genus: Platanus), an elm (genus: Ulmus), and ash (genus: Fraxinus)."</t>
  </si>
  <si>
    <t>"(1) Plantings: cities must identify critical zones that are lacking in street-tree density. While numerous factors may contribute to a lack of street-tree density, our results, and those of others, suggest this will likely occur in lower-income communities (Landry and Chakraborty 2009, Schroeter 2017). (2) Incentivize maintenance: once cities identify zones that are lacking in street-tree density, promoting, planting, and maintaining street trees should be a goal. Many municipalities are already well-aware of #1 and working to address #2 (e.g., Pincetl 2010). However, this is a difficult task since many units in lower-income communities are often not owner-occupied. Thus, there may be less of an incentive to encourage the growth of a street tree in front of the property (Landry and Chakraborty 2009). In these cases, cities should work to incentivize street-tree care to the property owners or renters or provide public resources to promote the longevity of planted street trees. (3) Street-tree density targets: If cities plant and maintain trees, our results suggest a target of approximately 40–120 street trees/1 km of street will likely attract feeding birds. We note that, in our system, there were few residential study areas with &lt;40 trees/ 1 km. Thus, our confidence in estimates at these ranges is low. The 40–120 numbers refer to trees on both sides of a street and can likely be halved if only considering one side of a street. Some municipalities may have zones where this is not feasible. If so, our study suggests that even modest increases in streettree density – coupled with careful consideration of tree species - will likely provide valuable habitat to feeding birds. (4) Long-term maintenance: long-term maintenance of street trees and the encouragement of their growth is imperative to maximize the benefit to urban avifauna. Our results suggest that targeting up to approximately 125 m2 of the area covered by street trees per 1 km will likely attract feeding birds. (5) Inventory: many municipalities have inventories in place detailing information such as the location, size, date planted, health, and species of tree, for all street trees within city boundaries. Having a detailed street-tree inventory is a critical step for municipalities to understand how to manage street trees based on a city’s needs, including providing assessments (the current study) and services to aid biodiversity (Dudek 2018). Further, detailed inventories allow for appropriate planning of diversity targets for street trees (Santamour 1990, McPherson et al. 2016). (6) Native and nonnative trees: our study indicates that the common native trees of our region, along with a handful of nonnative street trees can be beneficial to feeding birds. We do stress that the vast majority of nonnative trees in LA appear to provide little apparent benefit to the feeding birds of our study. Thus, our work suggests that careful consideration is required to determine the best street trees to plant and maintain if providing habitat for birds is a goal. If possible, municipalities should use available information (e.g., National Audubon Society 2019) coupled with careful study to identify which trees will provide essential services to both humans and birds. (7) Value of studying feeding birds: while there are numerous taxa of wildlife found in cities that likely utilize street trees (e.g., insects, birds, mammals), we suggest focusing attention on feeding birds. Birds are one of the most abundant and diverse wildlife taxa in most cities throughout the world (Lepczyk et al. 2017b). Further, they are relatively easy to study compared with other abundant taxa (e.g., insects; Bhullar and Majer 2000). A bird feeding on a tree substrate is an intricate and detailed ecological process that yields great information about which trees are beneficial to birds, and possibly other wildlife (Holmes and Robinson 1981, Gabbe et al. 2002, Wood et al. 2012). If municipalities already have tree inventories in place (see #5), a study needs to only focus on observing feeding birds on street trees in a given area over a given period, which can then be compared with the detailed street-tree data similarly as this study. A unique component of LA’s avifauna are wintering migratory birds. In different urbanized locations of the world, a study such as ours could consider en-route migratory birds (e.g., urban stopover locations, Amaya-Espinel and Hostetler 2019) or breeding species (DeGraaf and Wentworth 1986). City personnel, arborists, students, volunteers, or citizen-science initiatives can accomplish a study detailing the behavior of feeding birds on street trees."</t>
  </si>
  <si>
    <t>Detailed management recommendations!!</t>
  </si>
  <si>
    <t>diameter, stem density, tree species composition</t>
  </si>
  <si>
    <t>A230</t>
  </si>
  <si>
    <t>Fontana et al. (2011)</t>
  </si>
  <si>
    <t>Fontana S, Sattler T, Bontadina F, Moretti M.</t>
  </si>
  <si>
    <t>How to manage the urban green to improve bird diversity and community structure.</t>
  </si>
  <si>
    <t>simone.fontana@wsl.ch</t>
  </si>
  <si>
    <t>Zurich, Lucerne, Lugano</t>
  </si>
  <si>
    <t>"We chose the three Swiss cities of Zurich, Lucerne (both North of the Alps) and Lugano (South of the Alps) as study areas (further details in Appendix S1a). With &gt;73% of the population living in cities (Schuler et al., 2004), Switzerland provides plentiful opportunities to study the effect of small to medium sized cities in central Europe on avian biodiversity."</t>
  </si>
  <si>
    <t>Diversity metric, Native species, Exotic/invasive species, Composition</t>
  </si>
  <si>
    <t>"Coniferous, deciduous, exotic, native, woody species richness, tree, bush, grass (Table 1)"</t>
  </si>
  <si>
    <t>"Our results suggest that the amount of trees is the most important habitat variable enhancing bird species richness and diversity in cities, confirming previous studies (Goldstein et al., 1986; Clergeau et al., 1998; Palomino and Carrascal, 2006; Sandström et al., 2006; Evans et al., 2009). We predict an increase from 13 bird species in the absence of trees to 20 species with 46% tree cover (+54%), keeping other model variables constant."
"We found that woody plant composition is important for bird richness reaching the maximum number of species with equal representation of coniferous and deciduous plants. At a ratio of 1:1 we predict the occurrence of 20 species although Fig. 2 suggests that more coniferous woody plants could enhance bird species richness even more (note increased SD, however). These results are confirmed by the community analysis, which shows that most species correlate with both coniferous and broadleaf woody plants indicating that the presence of both type of vegetation is favorable to many urban birds."
"The lack of relationship between any of the woody plant characteristics and species diversity suggests that in areas with high tree fraction no single bird species reaches dominance and thereby greatly impacts Simpson index."</t>
  </si>
  <si>
    <t>"(1) The conservation or re-planting of trees and large bushes optimizes vertical vegetation structure and is regarded as the most effective long-term measure to enhance both bird species richness and diversity. Our models predict a 54% increase from 13 bird species in the absence of trees to 20 species with 46% tree cover. (2) A well-balanced mixture of coniferous and deciduous woody plants maximizes bird species richness. Our models predict a 43% increase from 14 bird species at places with the presence of only deciduous woody plants to 20 species at places with equal representation of coniferous and deciduous plants."</t>
  </si>
  <si>
    <t>shrub species composition, total height, plant functional types, tree layer, shrub layer, tree species composition, stem density</t>
  </si>
  <si>
    <t>A232</t>
  </si>
  <si>
    <t>Rush et al. (2014)</t>
  </si>
  <si>
    <t>Rush SA, Romito T, Robison TL.</t>
  </si>
  <si>
    <t>Avian diversity in a suburban park system: current conditions and strategies for dealing with anticipated change.</t>
  </si>
  <si>
    <t>srush@cfr.msstate.edu</t>
  </si>
  <si>
    <t>Cleveland</t>
  </si>
  <si>
    <t>"Study sites were located in Cleveland Metroparks, a system of 16 reservations in the metropolitan region of Cleveland, Ohio covering more than 8900 ha. Within this region, study sites were located within Rocky River (1045 ha), Hinckley (1070 ha), and Mill Stream Run (1350 ha) reservations, which lie within Cuyahoga and Medina Counties."</t>
  </si>
  <si>
    <t>"The proportion of the landscape with tree cover and the length of forest edge were measured within 500 m of point count locations using aerial imagery collected during 2009 and obtained through National Agricultural Imagery Program (Digital Orthographs, 1 m true color)."
"At each point understory tree species (those≤1.4 m high or 12 cm dbh) and dominant canopy trees were classified as shade tolerant, intermediately shade tolerant, or shade intolerant species (Burns and Honkala 1990). Shrub density and canopy cover estimates were averaged across the five subplots."</t>
  </si>
  <si>
    <t>"The regression model fitted to these data indicated that species richness was low in areas with the least canopy cover, increased as the canopy cover gradient increased, and peaked in areas characterized with 60–70 % forest cover. At the survey point, species richness related negatively with canopy cover but positively with understory density (Table 3). Species evenness showed a positive response to understory density (Table 3). Hierarchical partitioning of the explained variance indicated that the independent effect of density of vegetation &lt;2 m tall is the most important factor in determining avian diversity. Overall, the explanatory power of landscape tree cover and localized canopy cover were low (Fig. 2). The influence of the density of understory vegetation on species richness was 2.5 times higher than that of local canopy cover (Table 3), indicating that this characteristic significantly adds to the importance of the forests in determining the diversity of the avian community."</t>
  </si>
  <si>
    <t>"1. Conserve forested landscapes but focus restoration efforts on localized habitat management: Avian conservation strategies reflect tradeoffs in supporting generalist and specialist species, often requiring the balance of landscape conservation (which can often extend beyond park boundaries) and implementing smaller scale habitat management. Within our study area, species diversity was most influenced by understory structure measured at the local scale. Although landscapes with moderate forest cover should be conserved whenever possible, focus should be given to conserving and restoring local habitat components such as understory structure when resources for management are limited. Understory structure will benefit from supplemental plantings, deer population management, and the formation of canopy gaps. 2. Allow for the formation of canopy gaps: temper management strategies aimed at providing uniform habitat, including canopy cover and reduced landscape heterogeneity. Allowing for natural disturbance such as the formation of canopy gaps can have a critical positive impact on biodiversity. 2. Ecosystem monitoring and management: Monitoring a suite of metrics including understory structure, canopy cover and deer populations will provide valuable information for conserving communities. However, incorporating a broader monitoring scheme that includes the collection of information on rates of change of some system state variables, such as demographics and species gains or losses can provide information invaluable to ecosystem management."</t>
  </si>
  <si>
    <t>shrub layer, plant functional types, overall canopy cover, stem density, total height, tree layer, tree species composition</t>
  </si>
  <si>
    <t>A233</t>
  </si>
  <si>
    <t>Lerman &amp; Warren (2011)</t>
  </si>
  <si>
    <t>Lerman SB, Warren PS.</t>
  </si>
  <si>
    <t>The conservation value of residential yards: linking birds and people.</t>
  </si>
  <si>
    <t>slerman@cns.umass.edu</t>
  </si>
  <si>
    <t>Phoenix</t>
  </si>
  <si>
    <t>"The Phoenix, Arizona, greater metropolitan area is located in the Salt River Valley, within the northern limits of the Sonoran Desert in the southwestern USA. Perennial vegetation is dominated by Ambrosia deltoidea (bursage), Encelia farinosa (brittle bush), Larrea tridentata (creosote bush), Olneya tesota (desert ironwood), Parkinsonia florida (blue palo verde), and Prosopis juliflora (mesquite) (Martin et al. 2004)."</t>
  </si>
  <si>
    <t>"We measured vegetation along transects parallel to the road and quantified ground cover, trees, shrubs, and cacti in front yards using observational measurements to avoid trespassing."</t>
  </si>
  <si>
    <t>"Our linear models demonstrated that about half of the desert bird community was detected when a 100-m transect contained at least 10 desert trees and approximately 20 shrubs (Fig. 5). This implies that even a small number of native plants can attract desert birds. Interestingly, the mean number of desert trees (8.9) and shrubs (27.6) per transect for xeric yards was very close to this predicted minimum. These recommendations can assist landscape designers and urban planners working in new neighborhood developments and working to retrofit existing neighborhoods to improve conditions for desert birds."</t>
  </si>
  <si>
    <t>ground layer, total height, plant functional types, shrub layer, tree layer, stem density</t>
  </si>
  <si>
    <t>A234</t>
  </si>
  <si>
    <t>Palmer et al. (2008)</t>
  </si>
  <si>
    <t>Palmer GC, Fitzsimons JA, Antos MJ, White JG.</t>
  </si>
  <si>
    <t>Determinants of native avian richness in suburban remnant vegetation: Implications for conservation planning.</t>
  </si>
  <si>
    <t>g.palmer@ballarat.edu.au</t>
  </si>
  <si>
    <t>"Research was conducted within the metropolitan region of Melbourne, Australia (37°500S, 44°580E), which has a human population of around 3.5 million."</t>
  </si>
  <si>
    <t>37°500</t>
  </si>
  <si>
    <t>44°580</t>
  </si>
  <si>
    <t>"The results across all quadrats within a particular remnant were averaged. Measures were taken of canopy cover and also different ground cover attri butes, including the number of logs and the % cover of leaf lit ter, bare ground, native grasses and herbs within each quadrat."</t>
  </si>
  <si>
    <t>"All of the ecological groups of native bird species that we examined, except matrix tolerant species (i.e. generalist spe cies), showed a strong and consistent positive association with remnant area (Table 5). The benefits of larger remnants to birds within the urban matrix are likely to be similar to those that have been proposed for agricultural systems."
"As well as remnant size, another variable which made a positive contribution to explanatory models for most ecolog ical groups of native bird species was the increasing propor tion of riparian habitat (Table 5)."
"Group specific variations were evident and patch level characteristics were important for some ecological groups. For example, out of all foraging guilds, shrub foraging birds were least influenced by patch size alone and more influ enced by site characteristics (e.g. remnant area + canopy/ shrub complexity)."</t>
  </si>
  <si>
    <t>"First, conservation efforts should preferentially focus on the retention of larger remnants of native vegetation, given that remnant area had such an overriding influence on spe cies richness. A focus should also be placed on increasing the size of existing remnant vegetation where possible. This may include strategic revegetation to increase existing rem nant size and/or connectivity with nearby remnants where practical. While this may be a difficult task in many older cit ies where space is limited (e.g. Ferna ́ ndez Juricic and Jok ima ̈ ki, 2001), it can be a valid approach within newer cities, such as those in Australia, or within recently developed peri urban areas. Second, where possible, riparian vegetation should be in cluded within reserves or, where it is already present, should be protected from further degradation and managed for con servation purposes to ensure its integrity. Riparian zones are an effective location to focus revegetation, restoration and conservation efforts in urban landscapes. Due to develop ment restrictions along waterways (e.g. flood zones etc.) and their attractiveness for recreational activities, networks of riparian zones are often retained in urban landscapes and, if managed appropriately, are likely to have a critical role in forming habitat networks for wildlife. Third, efforts should be focused at maintaining levels of vegetation structure and complexity that will cater for a wide range of different bird species (e.g. shrub complexity for shrub foraging species) although our results indicate that focusing efforts on improving vegetation structure may not be an optimal allocation of resources if the remnant is small and isolated. Resources may be better spent in increasing the size and connectivity of remnants within the urban matrix."</t>
  </si>
  <si>
    <t>vertical layer assessment, coarse woody debris layer, overall canopy cover, shrub layer, tree layer, leaf litter layer, ground layer</t>
  </si>
  <si>
    <t>A237</t>
  </si>
  <si>
    <t>Kohut et al. (2009)</t>
  </si>
  <si>
    <t>Kohut SM, Hess GR, Moorman CE</t>
  </si>
  <si>
    <t>Avian use of suburban greenways as stopover habitat.</t>
  </si>
  <si>
    <t>george_hess@ncsu.edu</t>
  </si>
  <si>
    <t>City of Raleigh and Town of Cary</t>
  </si>
  <si>
    <t>City of Raleigh and Town of Cary, Wake County, North Carolina, USA, located in the Central Appalachian Piedmont.</t>
  </si>
  <si>
    <t>Land use type, Canopy Cover, Composition</t>
  </si>
  <si>
    <t>47 forested segments of public greenway (Fig. 1). The 200-m long greenway segments followed streams and were chosen to represent a range of greenway forested corridor widths and adjacent land uses. We estimated the percentage of each land cover category: canopy, pavement, building, lawn, water, and bare earth. Points that fell within a deciduous tree canopy were considered canopy. We estimated shrub density, canopy cover, canopy height, and percentage of pine and hardwood trees, and averaged the values for each of these variables across the four survey points for each transect.</t>
  </si>
  <si>
    <t>Generally, migrating birds were more abundant in wider forest corridors during spring and fall migration. During the spring, migrants were detected more commonly in greenways with taller trees and a higher percentage of hardwood trees. In the fall, migrant richness and abundance was highest in greenways with lower canopy cover, possibly because of the increased vertical complexity of the vegetation at these sites. Forest-interior migrant richness was not correlated with corridor width in either season, but these species were more abundant in greenways bordered by less bare earth and pavement cover in the spring. No other bird groupings were correlated with adjacent land cover measures.</t>
  </si>
  <si>
    <t>Conservation, Restoration</t>
  </si>
  <si>
    <t>Although migrants used greenways of all widths, forested corridors wider than 150 m should be conserved whenever possible to provide stopover habitat for forest-interior migrants. Shrub cover should be retained to maintain vegetative complexity. Habitat for the greatest diversity of migrants can be provided by constructing greenways in areas of lower development intensity and encouraging residents to retain shrubs and trees on properties bordering greenways.</t>
  </si>
  <si>
    <t>overall canopy cover, total height, stem density, plant functional types</t>
  </si>
  <si>
    <t>A238</t>
  </si>
  <si>
    <t>Lambert &amp; Ford (2016)</t>
  </si>
  <si>
    <t>Lambert KT, Ford H</t>
  </si>
  <si>
    <t>Habitat use by grey-crowned babbler, Pomatostomus temporalis, in urban and peri-urban environments.</t>
  </si>
  <si>
    <t>Pacific Conservation Biology</t>
  </si>
  <si>
    <t>kathryn.ta.lambert@gmail.com</t>
  </si>
  <si>
    <t>Dubbo</t>
  </si>
  <si>
    <t>City of Dubbo in central New South
Wales, Australia</t>
  </si>
  <si>
    <t>32 15' 00"</t>
  </si>
  <si>
    <t>148 44' 00"</t>
  </si>
  <si>
    <t>Babbler groups were found in native vegetation in Beni State Conservation Area, in remnant vegetation on private, mostly cleared land outside the city (peri-urban), in an urban housing estate, and in parks, gardens and sporting grounds in the city (urban).The percentage of bare ground, vegetation and leaf litter was estimated (June 2009) in 30 1 m 1 m quadrats at the three sites where each group foraged most (determined during observations).</t>
  </si>
  <si>
    <t>grey-crowned babbler</t>
  </si>
  <si>
    <t>Pomatostomus 
temporalis</t>
  </si>
  <si>
    <t>Intra-specific competition, Inter-specific competition, Foraging/Movement</t>
  </si>
  <si>
    <t>Babblers in Dubbo occupied sites with proportions of ground cover (44%) and leaf litter (37%) similar to those in northern Victoria (45% ground cover, 46% leaf litter, Robinson et al. 2002). Our urban sites had less leaf litter but more ground cover.Grey-crowned babblers in and around Dubbo built roost nests in native plants such as Callitris, eucalypts and acacias, as they do in natural habitats (Counsilman 1977). The Coreena Road group had the fewest trees in their home range (,30 trees); however, babblers were still observed roosting in them, suggesting that grey-crowned babbler groups may need at least this many trees to survive in an urban area.</t>
  </si>
  <si>
    <t>The loss of key features, such as native roost trees, and trees that provide foraging substrate in Dubbo could have a negative impact on the local population of babblers. It is important that these trees are retained if the city is to sustain this threatened woodland bird. However, further examination of the number of trees required within a home range is required for future native-tree management within these areas.</t>
  </si>
  <si>
    <t>NEED PDF</t>
  </si>
  <si>
    <t>A239</t>
  </si>
  <si>
    <t>Kath et al. (2009)</t>
  </si>
  <si>
    <t>Kath J, Maron M, Dunn PK.</t>
  </si>
  <si>
    <t>Interspecific competition and small bird diversity in an urbanizing landscape.</t>
  </si>
  <si>
    <t>kathj@usq.edu.au</t>
  </si>
  <si>
    <t>"Study sites were located in a 277 km2 area of Crows Nest Shire, situated at the junction of the Brigalow Belt and South East Queensland Bioregions, southern Queensland, Australia (27◦15′S, 151◦26′E) (Sattler and Williams, 1999)."</t>
  </si>
  <si>
    <t>27◦15′S</t>
  </si>
  <si>
    <t>151◦26′E</t>
  </si>
  <si>
    <t>"Grass cover, vegetation cover at 1km, Log cover, patch area. shrub density, trees &lt; 30cm and trees &lt;30 cm"</t>
  </si>
  <si>
    <t>"There was weak evidence for negative effects of patch area on total bird abundance and for a positive effect of shrub density on total species richness (Table 2). However, the explanatory ability of models was fairly poor, with the R2 of the best five models &lt;0.27 for both response variables and posterior probabilities of &gt;10% associated with the intercept-only models."
"The results of this study suggest that small passerines utilise remnants of native vegetation that are small and isolated to a similar degree as they do larger remnants with more surrounding vegetation cover, as long as the local habitat conditions are suitable. This has significant implications for current restoration and revegetation planning approaches that are often exclusively based on the spatial arrangement of new and remnant vegetation (Vesk et al., 2008)."</t>
  </si>
  <si>
    <t>Restoration</t>
  </si>
  <si>
    <t>"Planning revegetation and restoration on the basis of spatial factors alone would in this case be unlikely to achieve optimal conservation outcomes for declining passerines. Rather, more attention should be given to the structural aspects of restored vegetation, which have the greatest relative influence on the distribution of many species of conservation interest. Furthermore, given the difficulty of successfully revegetating substantial areas and the time-lag between revegetation actions and when resources become available for species, it is important to maximize the value of areas where habitat resources are available and are being utilised by species at the present time (Vesk et al., 2008). The overriding importance of local-scale habitat factors and interspecific competition identified in this study indicate that in the short term, a focus on site-level management would achieve a greater conservation gain than focusing on the configuration of vegetation in the landscape."</t>
  </si>
  <si>
    <t>shrub layer, stem density, tree species composition, overall canopy cover, coarse woody debris layer, diameter, tree layer, ground layer, shrub species composition</t>
  </si>
  <si>
    <t>A240</t>
  </si>
  <si>
    <t>Shwartz et al. (2013)</t>
  </si>
  <si>
    <t>Shwartz A, Muratet A, Simon L, Julliard R.</t>
  </si>
  <si>
    <t>Local and management variables outweigh landscape effects in enhancing the diversity of different taxa in a big metropolis.</t>
  </si>
  <si>
    <t>shwar.a@mail.huji.ac.il</t>
  </si>
  <si>
    <t>"The study was carried out in Paris (France), one of the most densely-populated metropolises in Europe. Paris has a green infrastructure consisting of two large parks (_x0018_1000 ha) at the periphery of the city, 17 medium-size parks (5–15 ha), over 400 small public gardens (0.1–5.0 ha), and an additional 800 ha of private greenspace (APUR, 2010)."</t>
  </si>
  <si>
    <t>Composition, Forested area, Canopy Cover, Diversity metric</t>
  </si>
  <si>
    <t>"Area, tree cover, bush cover, lawn cover, diversity of habitats (Table 1)."</t>
  </si>
  <si>
    <t xml:space="preserve">"Our results showed that even small public gardens in the heart of Europe’s second largest metropolis (_x0018_12 million inhabitants) can host a significant diversity of species from different taxa."
"The absence of landscape effect for birds appears to be consistent with other studies focused mostly on large greenspaces (Evans et al., 2009), but is less consistent with recent work that investigated the effect of landscape variables on small green patches in large cities (Shanahan et al., 2011). Our results imply that adequate planning and management of small public gardens could suffice to increase species diversity (of some taxa) irrespective of the green context these gardens are located in."
"Accordingly, we found that public gardens with a large proportion of tree cover supported more bird species, but also a lower proportion of urbanophobe plants and butterflies. Trees are essential for protection, nesting and feeding of many urban breeding birds (Fontana et al., 2011)."
"We found that pesticides only had a negative influence on bird richness."
"Birds, which are particularly well studied in cities and located high in the food chain (Evans et al., 2009), could therefore serve as reasonable surrogates for pollinators and together with wild plants could serve as useful indices for monitoring biodiversity patterns in small public gardens."
</t>
  </si>
  <si>
    <t xml:space="preserve">"Improving the quality of public gardens (i.e., mulch, peat, zero pesticide and mowing practices) and introducing a diversity of sub-habitats (ponds, flower meadows, unmanaged patches) can have an important influence on biodiversity, regardless of the landscape context in which the public gardens are located."
"Nevertheless, our results also demonstrate the importance of setting specific goals for conservation programs and of validating those goals (Ferraro and Pattanayak, 2006), since the efficiency of some practices could vary among taxa and locations. Therefore, studying several taxa and locations is crucial if we are to understand urban biodiversity (Jarošik et al., 2011)."
</t>
  </si>
  <si>
    <t>vertical layer assessment, ground layer, coarse woody debris layer, tree layer, shrub layer, total height</t>
  </si>
  <si>
    <t>A241</t>
  </si>
  <si>
    <t>Mayorga et al. (2020)</t>
  </si>
  <si>
    <t>Mayorga I, Bichier P, Philpott SM.</t>
  </si>
  <si>
    <t>Local and landscape drivers of bird abundance, species richness, and trait composition in urban agroecosystems.</t>
  </si>
  <si>
    <t>sphilpot@ucsc.edu</t>
  </si>
  <si>
    <t>San Jose</t>
  </si>
  <si>
    <t>"We studied bird communities in urban gardens in the California central coast region between May and September 2015. We chose 19 gardens in Monterey (N = 6), Santa Cruz (N = 7), and Santa Clara (N = 6) Counties (Fig. 1)."</t>
  </si>
  <si>
    <t>Composition, Land use type, Forested area</t>
  </si>
  <si>
    <t>"We measured the height of the tallest herbaceous vegetation, and estimated the percent ground cover from a) bare ground, b) grass, c) herbaceous plants, d) leaf litter, and e) mulch or wood chips. We measured the size of each garden and noted the ecoregion and number of years during which cultivation had taken place. Values for all variables were averaged across sample periods except herbaceous plant richness which was cumulative over the summer. Overall, we took data on 14 local vegetation and ground cover variables in each garden."</t>
  </si>
  <si>
    <t>"Of all local and landscape features examined, we found that grass cover, garden size, and ecoregion influenced bird abundance and garden size influenced bird species richness.""Our landscape factor—urban cover—influenced both species and trait composition of birds in the gardens while grass cover and ecoregion together affected trait composition. Urban cover around gardens shaped bird species composition by lowering the abundance of insectivores, ground- nesters, and forestassociated birds and by bolstering the abundance of urbanassociated birds and birds with higher nesting heights."
"Our study provides some evidence that more ‘messy’ gardens (with higher grass cover) may support higher bird abundance."
"We also found some evidence that gardens in ecoregions with less developed areas contained gardens with more woody plants and supported more birds."</t>
  </si>
  <si>
    <t>"Based on our results, we would recommend planting larger gardens with more scattered grass cover in order to increase microhabitat heterogeneity and support bird abundance and richness, especially for insectivores and groundnesting birds in urban areas. Because of the detrimental effects of urban cover increases, developed areas devoid of preexisting habitat should be prioritized to achieve maximal benefits to biodiversity."</t>
  </si>
  <si>
    <t>shrub layer, coarse woody debris layer, shrub species composition, stem density, overall canopy cover, tree species composition, fruit metrics, tree layer, ground layer, total height, leaf litter layer</t>
  </si>
  <si>
    <t>A244</t>
  </si>
  <si>
    <t>White et al. (2005)</t>
  </si>
  <si>
    <t>White JG, Antos MJ, Fitzsimons JA, Palmer GC.</t>
  </si>
  <si>
    <t>Non-uniform bird assemblages in urban environments: the influence of streetscape vegetation.</t>
  </si>
  <si>
    <t>jwhite@deakin.edu.au</t>
  </si>
  <si>
    <t>"Research was conducted in Melbourne, Victoria, Australia (37◦50′S, 44◦58′E), which has a human population of almost 3.5 million."</t>
  </si>
  <si>
    <t>Exotic/invasive species, Land use type, Composition</t>
  </si>
  <si>
    <t xml:space="preserve">"Urban parks were chosen to represent units of least modification. Recently developed streetscapes Fig. 1. Representative examples of the broad habitat types. (a) Urban remnant park, (b) native streetscapes, (c) exotic streetscapes, and (d) recently developed streetscape (photos by G.C. Palmer). were chosen to represent the highest level of modification (Fig. 1)." 
"Habitat assessments were conducted along each transect. The number of individual trees was recorded for native eucalypts, native non-eucalypts and exotic trees and assigned to one of three size classes: large (&gt;50 cm diameter at breast height (dbh)), medium (20–50 cm dbh), small (&lt;20 cm dbh). Percentages of canopy and shrub cover (native and exotic) above and below 2 m were estimated. The percentage surface cover of unmanaged understorey (long grass/weeds), lawn, leaf litter, bare ground, paved surfaces (concrete and asphalt) and buildings was also estimated."
</t>
  </si>
  <si>
    <t>"The lower bird species richness and abundance within exotic streetscapes, is in part, a reflection of the fact that many exotic tree species in urban Melbourne are not renowned for prolific flowering and thus do not provide a consistent nectar resource."
"One of the most notable changes in assemblage composition was the loss of insectivorous guilds with the transition from native streetscapes to exotic streetscapes and recently developed streetscapes."
"Overall, the bird communities of urban environments appear highly dependant on the type and structure of the vegetation."
"Urban streetscapes have the potential to support diverse bird communities that tend towards those of remnant patches of indigenous vegetation. Conversely, urban environments may also support highly simplified bird communities dominated by introduced species if streetscape design and management promotes the planting of exotic vegetation."</t>
  </si>
  <si>
    <t>tree layer, plant functional types, leaf litter layer, diameter, shrub layer, ground layer</t>
  </si>
  <si>
    <t>A245</t>
  </si>
  <si>
    <t>Katoh &amp; Matsuba (2021)</t>
  </si>
  <si>
    <t>Katoh K, Matsuba M.</t>
  </si>
  <si>
    <t>Effectiveness of nature reserves for bird conservation in urban parks in Tokyo.</t>
  </si>
  <si>
    <t>Journal of Forestry Research</t>
  </si>
  <si>
    <t>aster@ouj.ac.jp</t>
  </si>
  <si>
    <t>"In Tokyo, bird sanctuaries have been maintained in several urban parks. Among these, three parks with more than 5 ha of woodland area were selected as the study sites (Hikarigaoka Park, Yoyogi Park, and Kinuta Park)."</t>
  </si>
  <si>
    <t>"Number of tree individuals, higher vegetative coverage, lower vegetative coverage, leaf litter coverage, wooded patch area, tree coverage within 10m range (Table 2)."</t>
  </si>
  <si>
    <t>"In the sanctuary plots, vegetation cover was more developed and human presence was lesser than in the other plots. Tree density and tree species composition (Tree DCA Axis 1) seemed to be different between them; native trees and planted trees tended to be dominant in the sanctuary plots and in the other plots, respectively (Table 5)."
"Based on the results, we suggest that sanctuaries (or, in general, urban protected areas) can contribute to maintaining biodiversity not only within themselves but also in the surrounding wooded areas."
"The RDA results suggest that leaf litter on the ground could influence bird species composition. Leaf litter on the ground tends to be removed in most urban parks, although it is an important material providing food resources for invertebrates and indirectly the ground foraging birds (Aronson et al. 2017)."
"Tree coverage around the plot was also detected as a factor influencing avian species composition. A larger tree coverage indicated a more continuous woody habitat around the plot (within 100 m in this study) without encroachment of buildings or open lands such as lawns and pavements. Woodland species tend to avoid buildings and artificially sealed open lands (Fontana et al. 2011)."</t>
  </si>
  <si>
    <t>tree layer, overall canopy cover, stem density, shrub layer, vertical layer assessment, fruit metrics, leaf litter layer, ground layer, tree species composition</t>
  </si>
  <si>
    <t>A246</t>
  </si>
  <si>
    <t>Smith &amp; Minor (2019)</t>
  </si>
  <si>
    <t>Smith AD, Minor E.</t>
  </si>
  <si>
    <t>Chicago’s Urban Cemeteries as Habitat for Cavity-Nesting Birds.</t>
  </si>
  <si>
    <t>Sustainability</t>
  </si>
  <si>
    <t>asmit58@uic.edu</t>
  </si>
  <si>
    <t>"In this study, we surveyed cavity-nesting birds and their habitat in urban cemeteries in Chicago, Illinois (USA). Our goal was to better understand the capacity of urban cemeteries to support cavity-nesting birds."</t>
  </si>
  <si>
    <t>41.8781◦ N</t>
  </si>
  <si>
    <t>87.6298◦ W</t>
  </si>
  <si>
    <t>"In ArcGIS (version 10.5) [26] we calculated the distance from each sample point to a primary (1◦) or secondary (2◦) road (using TIGER/Line shapefile data, [27]), the distance from each point to a body of water (including streams, rivers, ponds, and lakes, [28]), and the percentage of canopy cover within 1 km of each point (based on 0.6 m QuickBird satellite imagery, [29])."</t>
  </si>
  <si>
    <t>"Landscape-scale features are generally beyond the control of cemetery land managers, especially in the case of older, established cemeteries. However, they might inform decisions about where to establish new cemeteries. Establishing a conservation burial ground in an area with high canopy cover, close to a body of water, and far from a major road would support greater species richness and may influence habitat selection by species such as house wrens and northern flickers."
"For example, we never detected downy woodpeckers at sampled points with a snag basal area less than 0.06 m2/ha. This is a relatively low threshold value, which can be met by a single, modestly-sized (~28 cm DBH) snag per hectare."
"Eastern bluebirds selected habitat where headstones and other monuments provided sufficient perches for foraging by hawking. It is likely these perches would benefit other hawking species, and other species (such as the house wren) could use the perches for vocalizing."
"We only found weak evidence that primary cavity excavators selected specific tree species for cavity excavation, although they seemed to avoid Norway spruce."</t>
  </si>
  <si>
    <t>cavity metrics, diameter, tree condition, standing dead trees, stem density, tree species composition</t>
  </si>
  <si>
    <t>A247</t>
  </si>
  <si>
    <t>Asik &amp; Kara (2021)</t>
  </si>
  <si>
    <t>ASIK Y, KARA B.</t>
  </si>
  <si>
    <t>Turkey</t>
  </si>
  <si>
    <t>VARIATION IN AVIAN DIVERSITY IN RELATION TO PLANT SPECIES IN URBAN PARKS OF AYDIN, TURKEY.</t>
  </si>
  <si>
    <t>Applied Ecology and Environmental Research</t>
  </si>
  <si>
    <t>yasik@mehmetakif.edu.</t>
  </si>
  <si>
    <t>Aydin</t>
  </si>
  <si>
    <t>"The study area was the Pinarbasi Recreation Area, Aytepe Recreation Area, Nevzat BICER Park, and Ismet SEZGIN Park in Aydın city (Figure 1)."</t>
  </si>
  <si>
    <t>"The Pinarbasi Recreation Area is 32,195.63 m2, the Aytepe Recreation Area is 15,828.97 m2, Nevzat BICER Park is 14,663.16 m2, and Ismet SEZGIN Park is 8,043.85 m2. The Pinarbasi Recreation Area and Aytepe Recreation Area are on the urban fringe, and Nevzat BICER Park and Ismet SEZGIN Park are in the city center."</t>
  </si>
  <si>
    <t xml:space="preserve">"The ratio of granivores in the bird community reaches a maximum in the city center (23%), and the ratio of the species in this group decreased towards natural regions and reached 8% (McCurdy, 2016). In this study, only one granivore species (Eurasian Collared-Dove) was identified. The number of insectivorous species with the highest ratio (56.25%) in the bird population increased towards natural areas."
"The heterogeneity of native vegetation makes up the best starting point for the conservation of native bird species diversity in urban environments and the minimization of urban exploiter and exotic species (Chace and Walsh, 2006; Palmer et al., 2008; Shwartz et al., 2008)."
</t>
  </si>
  <si>
    <t>"Rather than exotic woody species, different native plant species should be mainly used in urban parks because of their low water requirements and their compatibility with the soil structure and climate of the region (Livingston et al., 2003; Chace and Walsh, 2006; Daniels and Kirkpatrick, 2006; Burghardt et al., 2009). Native trees, shrubs, and groundcovers are very important since they are sources of food and nectar and attract many insects that birds feed on."
"The ratio of shrubs and trees of different sizes should be increased in urban parks of Aydin to increase bird diversity. Native plant species that attract native bird species should be used in the planting design studies of the parks to be built in Aydin and other cities in Turkey and the world (Table 9)."
"While the White Mulberry and Turkish Pine should be used if the Eurasian Jay is desired to be invited to parks, the Italian Cypress (Horizontal form), Turkish Pine, and Oriental Plane Tree should be used if the Eurasian Magpie is desired to be invited, the Turkish Pine should be used if the Common Chaffinch is desired, the Stone Pine should be used if the Red-Breasted Flycatcher (Ficedula parva Bechstein) is desired to be invited, the Cedar of Lebanon, Turkish Pine, and Stone Pine should be used if the Spotted Flycatcher is desired, the Turkish Pine should be used if the Eurasian Blue Tit is desired to be invited, the White Mulberry, Turkish Pine, and Oriental Plane Tree should be used if the great tit is desired to be invited, the Turkish Pine and Oriental Plane Tree should be used if the Syrian Woodpecker is desired, and the Turkish Pine and Stone Pine should be used if the Eurasian Nuthatch is desired to be invited."</t>
  </si>
  <si>
    <t>tree species composition, total height, shrub species composition</t>
  </si>
  <si>
    <t>A248</t>
  </si>
  <si>
    <t>Wood &amp; Quinn (2016)</t>
  </si>
  <si>
    <t>Wood JM, Quinn JE.</t>
  </si>
  <si>
    <t>Local and landscape metrics identify opportunities for conserving cavity-nesting birds in a rapidly urbanizing ecoregion.</t>
  </si>
  <si>
    <t>Journal of Ecology</t>
  </si>
  <si>
    <t>john.quinn@furman.edu.</t>
  </si>
  <si>
    <t>Greenville</t>
  </si>
  <si>
    <t>"The Upstate region of South Carolina, USA falls within the center of the rapidly developing Southern Megalopolis (Terando et al. 2014) where the human population is expected to increase by over 100%, resulting in greater urban development."</t>
  </si>
  <si>
    <t>Land use type, Forested area, Composition, Canopy Cover</t>
  </si>
  <si>
    <t>"Patch area, snag count, canopy cover, canopy height, tree density, pine density, land use ype (Table 1)"</t>
  </si>
  <si>
    <t>"Our analysis makes clear that variables at both the local- and landscape-level influence species abundance and that complex multi-scale interactions likely underlie the distribution of species across an urbanizing landscape."
"That species were detected, and indeed more abundant, in pine patches embedded in urban and rural systems rather than those in the more undeveloped forested systems is encouraging for the future of cavity-nesting species conservation in increasingly human-dominated landscapes. These data suggest that Brown-headed Nuthatch can thrive in urban residential landscapes with large and patchy pine forest cover. Given the expected increase in urban residential landscapes across the southern Piedmont, management for Brown-headed Nuthatch would benefit from additional focus on urban systems and the pine patches associated with this change. Additionally, by studying similar species, including both specialists and generalists, we can also come closer to identifying potential indicator species for future monitoring, whose habitat requirements meet those of other species too."</t>
  </si>
  <si>
    <t>total height, overall canopy cover, standing dead trees, stem density</t>
  </si>
  <si>
    <t>A250</t>
  </si>
  <si>
    <t>Canedoli et al. (2017)</t>
  </si>
  <si>
    <t>Canedoli C, Orioli V, Padoa-Schioppa E, Bani L, Dondina O. T</t>
  </si>
  <si>
    <t>Temporal Variation of Ecological Factors Affecting Bird Species Richness in Urban and Peri-Urban Forests in a Changing Environment: A Case Study from Milan (Northern Italy).</t>
  </si>
  <si>
    <t>c.canedoli@campus.unimib.it</t>
  </si>
  <si>
    <t>"In this study, we focus on UPUFs within the urban region of Milan, an area of 8090 km2 in northern Italy (Figure 1). The urban region is defined as a widespread geographical area associated with a major city with surrounding lands and it comprises urban, peri-urban rural and natural lands within its boundaries [21]."</t>
  </si>
  <si>
    <t>"In particular, we take into account all patches belonging to one of the following categories of land cover: green urban areas (DUSAF class: 141), tree plantations (224), broadleaved forests (311), coniferous forests (312), mixed forests (313), broadleaved reforestations (i.e., temporary arboreal plantations) (314) and shrublands (324)."</t>
  </si>
  <si>
    <t>"Our study supports previous findings associated with species–area relationships [44] in urban and in peri-urban landscapes. The higher bird richness observed in large urban and peri-urban forests was likely a result of the fact that urban-avoider species (such as forest interior specialist) may be present in addition to typically urban-tolerant species [45,46]."
"The analyses based on the entire set of UPUFs suggested an important role of multiple forest patches within the matrix. These surrounding forest patches likely represent stepping stone habitats that may increase the permeability of the urban matrix [50] by decreasing the density of the surrounding infrastructure, facilitating colonization from and to adjacent forest patches."
"When disentangling the effect of environmental variables on UPUFs in Milan, it appears that although there are no differences in factors affecting birds in peri-urban forests between 2000 and 2012, the importance of inclusion in a protected area and the density of the surrounding urban matrix were important predictors of species richness for birds found in urban forests. It is interesting that in the first period the only factor explaining variation in bird species richness in urban forests was patch size."</t>
  </si>
  <si>
    <t>plant functional types</t>
  </si>
  <si>
    <t>A253</t>
  </si>
  <si>
    <t>Smith &amp; Wachob (2006)</t>
  </si>
  <si>
    <t>Smith CM, Wachob DG.</t>
  </si>
  <si>
    <t>Trends associated with residential development in riparian breeding bird habitat along the Snake River in Jackson Hole, WY, USA: Implications for conservation planning. Biological Conservation.</t>
  </si>
  <si>
    <t>court.smith@tetonscience.org</t>
  </si>
  <si>
    <t>Jackson Hole</t>
  </si>
  <si>
    <t>"Bird, vegetation, and landscape data were collected in riparian forest patches along the Snake River in Jackson Hole, WY, USA."</t>
  </si>
  <si>
    <t>"Circular plots (0.04 ha) were constructed around the point count location and at random points within the forest patch up to 50 m from the point count plot center. Small, medium, and large patches were sampled using one, two, or three plots, respectively, to standardize sampling effort. Forest structural components measured were canopy and ground cover, understory density, shrub and ground cover dispersion, diameter at breast height (dbh) of all trees &gt;3 cm, representative tree height (five trees/plot), shrub and stem density of coniferous and deciduous shrubs (stem diameter 63 cm), number of snags, and dominant shrub species (Table 1)."</t>
  </si>
  <si>
    <t xml:space="preserve">"Landscape-scale variables were the most common and best predictor of avian community metrics (species richness, abundance, and diversity), guild representation, and individual species distributions. Considerably less variation was explained by macro- and microhabitat variables."
"The dominant determinant of avian community characteristics was landscape-level effects associated along with high levels of residential development. This indicates that the bird communities were highly sensitive to fragmentation associated with human development and alteration of the landscape matrix."
"The results of our study indicate that preserving forest structure may conserve certain species but will not likely provide adequate breeding habitat for Neotropical migrant species if patches do not remain ecologically connected within the landscape matrix (see also Miller et al., 2003). Furthermore, reducing both primary (i.e., disturbance levels) and secondary human impacts (e.g., road and housing densities) may also contribute to conservation efforts."
</t>
  </si>
  <si>
    <t>coarse woody debris layer, stem density, tree layer, diameter, leaf litter layer, plant functional types, overall canopy cover, standing dead trees, total height, ground layer, shrub layer</t>
  </si>
  <si>
    <t>A256</t>
  </si>
  <si>
    <t>Farr et al. (2017)</t>
  </si>
  <si>
    <t>Farr CM, Pejchar L, Reed SE.</t>
  </si>
  <si>
    <t>Subdivision design and stewardship affect bird and mammal use of conservation developments.</t>
  </si>
  <si>
    <t>cooperfarr@gmail.com</t>
  </si>
  <si>
    <t>Boulder</t>
  </si>
  <si>
    <t>"This study took place in eastern Boulder and Larimer counties, in northern Colorado, USA (Appendix S1)."</t>
  </si>
  <si>
    <t>Native species, Forested area, Composition, Land use type</t>
  </si>
  <si>
    <t>"We measured the land cover and housing density of each sampling site using ArcGIS 10.2 (Lavender et al. 2011, ESRI 2013). We used the aerial World Imagery Basemap with 1-m resolution (ESRI 2014) as a reference and manually digitized houses in ArcGIS to calculate housing densities at multiple spatial extents (or multiple buffer distances) surrounding the sampling points"</t>
  </si>
  <si>
    <t>Landscape context was equally or more important in determining the occurrence and composition of birds than the total area or proportion of the CD preserved as open space (Figs. 1 and 4). Habitat use for many bird species varied depending on the placement of the CD within a larger landscape of natural land cover or anthropogenic land uses.
The total area and proportion of the CD preserved as open space also influenced habitat use by a variety of bird species, but these factors did not exert as strong of an influence on the composition of bird communities (Fig. 1).
Housing density was the primary factor influencing the representation of human-sensitive and human-adapted species in the bird community (Fig. 4).
American Goldfinches, Barn Swallows, Lark Sparrows, and Western Kingbirds were all influenced by the local land cover quality and composition of the open space (Fig. 1). This finding indicates the importance of the quality and availability of certain vegetation within CD open space to support these species.</t>
  </si>
  <si>
    <t>We recommend the following actions to improve CD as a strategy for private land conservation (Table 2). To ensure that CDs preserve sufficiently large areas of open space or are adjacent to other natural space or protected areas, local planning agencies should consider adding guidelines to CD ordinances that stipulate minimum area requirements, minimum proportion of the subdivision to be preserved as open space, and encourage adjacency of the open space to other protected lands. A majority (67%) of the birds and mammals we found to be influenced by open space area were more likely to use CDs with at least 150 ha of open space, and this size could be used as a threshold for a minimum area requirement. Another strategy would be to develop regional conservation plans to identify important areas for conservation at a larger scale. CDs could then be placed strategically in high-priority areas that are connected to a larger reserve network.</t>
  </si>
  <si>
    <t>overall canopy cover, tree layer, shrub layer, ground layer</t>
  </si>
  <si>
    <t>A258</t>
  </si>
  <si>
    <t>Belaire et al. (2014)</t>
  </si>
  <si>
    <t>Belaire JA, Whelan CJ, Minor ES.</t>
  </si>
  <si>
    <t>Having our yards and sharing them too: the collective effects of yards on native bird species in an urban landscape.</t>
  </si>
  <si>
    <t>jbelaire@stedwards.edu</t>
  </si>
  <si>
    <t>"Cook County, Illinois is home to Chicago, the third most populous city in the USA, and almost 70 000 acres of forest preserves. Many of the forest preserves in Cook County are riparian corridors adjacent to major rivers (Fig. 1)."</t>
  </si>
  <si>
    <t>Land use type, Native species, Composition</t>
  </si>
  <si>
    <t>"Wildlife resources, deciduous trees, evergreen trees, shrubs and bushes, plants with fruit or berries, flowers, vegetables, plants or trees native to Midwest, birdfeeder, birdhouse or other nesting structures, water feature, brush pile or open compost area, cat outdoors, dog outsdoors, insecticide use (Box 1)."</t>
  </si>
  <si>
    <t>"Management efforts to improve the wildlife-friendliness of yards could reduce the effective isolation of patches (Ricketts 2001, Rudd et al. 2002) and even provide additional habitat for some bird species in cities by ‘‘expanding’’ the total area of habitats in parks and preserves (Chamberlain et al. 2007)."
"First, we found that more yards with trees, especially a more balanced mix of evergreens and deciduous trees, support greater native bird diversity (Fig. 3) and numbers of migratory birds (Fig. 4)."
"Second, we found that the percent of yards with plants containing fruit or berries had a strong positive effect on native bird richness. In contrast, the number of birdfeeders along a transect was not an important variable in any of the best-supported models (DAICc , 2) for native bird species richness."
"Third, we found that the number of outdoor cats on a transect was negatively linked with native species richness (Fig. 3). Furthermore, nonnative bird species, on average, were observed on transects with above-average numbers of outdoor cats (Fig. 4)."</t>
  </si>
  <si>
    <t>"Formal institutions, like homeowners associations, may also provide a means for organizing the landscaping and management practices of many yards simultaneously, thereby increasing the bird and plant diversity of residential areas (Lerman et al. 2012). Moreover, municipal programs could provide incentives for residents to design and manage their yards in wildlife-friendly ways. For example, the City of Chicago’s Sustainable Backyard Program currently offers rebates to city residents for elements such as native plants and trees purchased for yards. This program could also highlight elements shown to be important in Chicago-area neighborhoods (e.g., evergreen trees, plants that provide fruit/berries) to help promote wildlife-friendly elements as part of a Sustainable Backyard."
"Our results suggest that urban conservation agendas would benefit from ‘‘thinking outside the park’’ (Marzluff and Rodewald 2008) and highlighting to residents the positive collective effects of minor yard enhancements."</t>
  </si>
  <si>
    <t>tree layer, shrub layer, overall canopy cover, fruit metrics, ground layer, coarse woody debris layer, plant functional types</t>
  </si>
  <si>
    <t>A259</t>
  </si>
  <si>
    <t>Biaduń &amp; Żmihorski (2011)</t>
  </si>
  <si>
    <t>Biaduń W, Żmihorski M.</t>
  </si>
  <si>
    <t>Factors shaping a breeding bird community along an urbanization gradient: 26-year study in medium size city (Lublin, SE Poland).</t>
  </si>
  <si>
    <t>wbiadun@op.pl</t>
  </si>
  <si>
    <t>Lublin</t>
  </si>
  <si>
    <t>"Lublin city occupies an area between 5108 and 5118 NL and between 2227 and 2241 EL. The city extends 17.7 km north to south and 15.5 km west to east. Since 1989, the city has occupied an area of 147.55 km2, with almost 460,000 inhabitants."</t>
  </si>
  <si>
    <t>51 08'</t>
  </si>
  <si>
    <t>22 27'</t>
  </si>
  <si>
    <t>Forested area, Native species, Composition</t>
  </si>
  <si>
    <t>"We collected several environmental variables for every site, which were used as potential predictors to explain the variability of the breeding bird community. For each site we assessed (1) age of the tree stand (4 classes: up to 30 years old, 30–50 years, 50–70 years, over 70 years old), (2) understorey coverage (3 classes: up to 5%, 5–10%, over 10%), (3) coverage of ‘dead area’, i.e. biologically inactive surfaces such as paths, squares, grave sites and others (4 categories: up to 5%, 5–25%, 25–50%, over 50%), (4) distance to the city centre as a measure of landscape context of a habitat patch and (5) area."</t>
  </si>
  <si>
    <t>"The variability of bird species numbers increased with increasing stand age, understorey cover and distance to the city centre, while it decreased with increasing dead area (Table 2)."
"The number of individuals increased with increasing stand age. However, the effect of understorey cover was different compared to the two preceding models, because abundance decreased as understorey cover exceeded 10%. Moreover, contrary to the two preceding models, density decreased with increasing distance to the city centre. The variability of all three characteristics of the breeding bird community was positively affected by park area (Table 2, Fig. 2)."
"Long term negative trends of the three studied diversity indices were recorded and this is potentially the most important result of our study in the context of biodiversity conservation. This result was not expected, since many bird species were reported to have expanded to urban habitats during recent decades (Kon s t a nt i n ov et al. 1996, Lu n i a k et al. 2001, B i a du ń 2004, Ev a n s et al. 2010, Rutkowski et al. 2010). Our results suggest that despite the urbanization process of many species in central Europe, the overall diversity of urban fauna can definitely decrease."</t>
  </si>
  <si>
    <t>shrub layer, age</t>
  </si>
  <si>
    <t>interestingly they only looked at understory cover and tree stand age, no other variables for tree layer.</t>
  </si>
  <si>
    <t>A260</t>
  </si>
  <si>
    <t>Shanahan DF, Miller C, Possingham HP, Fuller RA.</t>
  </si>
  <si>
    <t>The influence of patch area and connectivity on avian communities in urban revegetation.</t>
  </si>
  <si>
    <t>"The city of Brisbane, Australia, has an estimated human population of 1.04 million (Queensland Government, 2009). Revegetation projects have been carried out for at least 25 years within the region by local government and community groups as part of a waterways and greening plan"</t>
  </si>
  <si>
    <t>Forested area, Canopy Cover, Composition, Connectivity</t>
  </si>
  <si>
    <t>"To characterise these variables, we placed a 50 m transect within each patch and surveyed to 3 m both sides of this line, giving a total survey area of 300 m2. Within this transect we noted the identity of every woody stemmed plant species, as well as the diameter at breast height of each stem. We also recorded the species and height of all ground, shrub, and canopy cover plants whose foliage intersected the 50 m transect line at 2 m intervals, and converted this to vegetation percentage cover estimates."</t>
  </si>
  <si>
    <t>"Revegetation projects have been carried out for at least 25 years within the region by local government and community groups as part of a waterways and greening plan (Brisbane City Council, 2008). We identified 20 revegetation sites between 1.5 and 2.5 ha in size, and estimated the age of each stand through personal communication with people involved in the programs; the stand ages range between 7 and 25 years. The revegetation was mixed canopy species woodland with shrubby understory."</t>
  </si>
  <si>
    <t>"In this study landscape connectivity had a greater influence than patch area on bird species richness within urban revegetation, while patch area in combination with connectivity was important for enhanced bird abundance."
"These results highlight that when planning revegetation programs in urban landscapes the goal of the program must be clearly defined: is the goal to maximise species richness or maximise population persistence over time? To maximise species richness in the shortterm, using revegetation to reduce the gaps that potential colonists must cross may be the most effective approach (i.e. enhancing connectivity)."</t>
  </si>
  <si>
    <t>"However, we have shown that where one objective is to enhance bird biodiversity, promoting connectivity and reducing the gaps between existing vegetation may achieve this locally and in the short-term. For long-term persistence of species, increasing the total available habitat area (and for some species this needs to be considered as area with no discernable gaps) may be the best strategy."</t>
  </si>
  <si>
    <t>tree species composition, ground layer, stem density, shrub layer, vertical layer assessment, diameter, tree layer</t>
  </si>
  <si>
    <t>A261</t>
  </si>
  <si>
    <t>Canedoli et al. (2018)</t>
  </si>
  <si>
    <t>Canedoli C, Manenti R, Padoa-Schioppa E.</t>
  </si>
  <si>
    <t>Birds biodiversity in urban and periurban forests: environmental determinants at local and landscape scales.</t>
  </si>
  <si>
    <t>claudia.canedoli@unimib.it</t>
  </si>
  <si>
    <t>"The study area comprises the metropolitan area of Milan and surrounding municipalities. The city of Milan has a population of 1,345,851 (ISTAT, 2015) with a surrounding province of 3,208,509 (ISTAT, 2015)."</t>
  </si>
  <si>
    <t>Canopy Cover, Composition, Forested area</t>
  </si>
  <si>
    <t>"surface covered by trees (% of the total area), surface covered by grassland (% of the total area), other type of land covers (paving or buildings) (% of the total area), presence of water bodies, distance from the nearest park border (m). To account for vegetation structure, we recorded the trees Diameter at Breast Height (DBH - taken at 1.3 m above the ground) in each point count"</t>
  </si>
  <si>
    <t>"Results showed that a mixture of land covers and the presence of water bodies inside urban parks favoured species occurrence and abundance at landscape scale, but a surrounding dense urban matrix deflated biodiversity. At local scale, woodland cover and presence of water bodies were key determinants in ensuring overall high biodiversity but local-specific vegetation management produced an unusual pattern for forests species. In particular, the maintenance of large trees may not result in biodiversity support for forest bird species if large trees are not located in woodland areas with a significant tree density."</t>
  </si>
  <si>
    <t>tree layer, ground layer, diameter, stem density</t>
  </si>
  <si>
    <t>A263</t>
  </si>
  <si>
    <t>Wang et al. (2013)</t>
  </si>
  <si>
    <t>Wang Y, Ding P, Chen S, Zheng G</t>
  </si>
  <si>
    <t>Nestedness of bird assemblages on urban woodlots: implications for conservation.</t>
  </si>
  <si>
    <t>wangyp214@gmail.com</t>
  </si>
  <si>
    <t>Hangzhou</t>
  </si>
  <si>
    <t>Hangzhou, a famous tourist city and the capital of Zhejiang 
province, is located in eastern China. The study area is 683 km2, 
among which 16.1% is urban habitats dominated by large apartment building complexes and industrial areas</t>
  </si>
  <si>
    <t>Twenty woodlots within Hangzhou urban matrix were selected as study sites. These woodlots were selected to represent a range of areas, degree of isolation and woodlot types</t>
  </si>
  <si>
    <t>Community changes, Abundance</t>
  </si>
  <si>
    <t>The community compositions of breeding birds and wintering species were all significantly nested. Habitat nestedness is the main driver of species nestedness for all the bird assemblages. Human disturbance played an important role in the development of species nestedness for breeding birds, but not for wintering species.</t>
  </si>
  <si>
    <t>In our system, habitat nestedness is the main driver of species nestedness for all the bird assemblages and anthropogenic noise pollution exerts different influences on breeding birds and wintering species. These results have several general and specific implications with regards to urban woodlot planning and conservation practices in the Hangzhou region. First, as habitat nestedness plays an important role in structuring community composition of bird assemblages, we should pay more attention to woodlots with diverse habitats. To maximize the number of species preserved in our system, creation of heterogeneity within and between woodlots is especially important. Second, as noise pollution exerts different influences on breeding birds and wintering species, we urge caution in using breeding birds and wintering species as surrogates for each other in developing conservation planning. Specifically, for breeding birds, we found that nestedness was significantly correlated with noise pollution. Therefore, to preserve breeding birds effectively, we should implement measures to reduce or control noise pollution to maintain more diverse avian communities (Gonzalez-Oreja et al., 2012). In contrast, wintering species were found not to correlate with noise pollution. Accordingly, for wintering species, it would be inefficient to allocate conservation resources on the basis of noise pollution.</t>
  </si>
  <si>
    <t>total height, plant functional types, tree layer, shrub layer</t>
  </si>
  <si>
    <t>A264</t>
  </si>
  <si>
    <t>Le Roux et al. (2018)</t>
  </si>
  <si>
    <t>Le Roux DS, Ikin K, Lindenmayer DB, Manning AD, Gibbons P</t>
  </si>
  <si>
    <t>The value of scattered trees for wildlife: Contrasting effects of landscape context and tree size</t>
  </si>
  <si>
    <t>Darren.LeRoux@act.gov.au</t>
  </si>
  <si>
    <t>Canberra, south-eastern Australia.</t>
  </si>
  <si>
    <t>35°17ʹ35.64ʺ</t>
  </si>
  <si>
    <t>149°07ʹ27.36ʺ</t>
  </si>
  <si>
    <t>Land use type, Individual tree management, Composition</t>
  </si>
  <si>
    <t>We stratified our study area into four dominant landscape contexts: (1) reserves (semi-natural conservation areas); (2) pasture (grazed agricultural land); (3) urban parklands (public greenspace ≥ 0.2 ha); and (4) urban built-up areas (public greenspace &lt; 0.2 ha located in residential areas (e.g., roadside margins; Figure 1)). In each landscape context, we randomly sampled six small trees (20–50 cm diameter at breast height (DBH)), six medium trees (51–80 cm DBH) and six large trees (&gt;80 cm DBH). We restricted sample trees to native Eucalyptus species grouped as “yellow box” (n = 24), “Blakely's red gum” (n = 24) and “other eucalypt species” (n = 24).</t>
  </si>
  <si>
    <t>We found a significant (p = .044) interaction between landscape context and tree size for bird abundance but not for bird richness. Large trees in modified landscapes supported the highest abundance of birds (Figure 2e and f). Tree size had a significant effect on bird richness (p &lt; .001; Table 1). More species were recorded at large trees compared with medium trees and small trees. We also recorded significantly (p &lt; .001) more individuals and species of small insectivores, hollow nesters and species of conservation concern at large trees (Table 2). Tree species had a significant effect on bird abundance (p = .004) and richness (p = .013). Overall, more individuals and species were recorded at Blakely's red gum and at “other eucalypt” species compared to yellow box.We found that tree size also had a significant effect (p &lt; .001) on bird community composition (Figure 3d). There were significant pairwise differences between bird communities recorded at large trees and medium trees (p = .026) and large trees and small trees (p &lt; .001). The bird community at large trees represented a diversity of functional guilds, including hollow nesters (e.g., galah (Cacatua roseicapilla)), nectarivores (e.g., yellow-faced honeyeater (Lichenostomus chysops)), aerial insectivores (e.g., willie wagtail (Rhipidura leucophrys)), habitat generalists (e.g., magpie lark (Grallina cyanoleuca)), urban-adapted native species (e.g., red wattlebird (Anthochaera carunculata) and exotic species (e.g., common myna (Acridotheres tristis)). Approximately a quarter (26.2%) of bird species (16 unique species) were recorded only at large trees compared to 11.5% (seven unique species) at medium trees and 3.3% (two unique species) at small trees. Some guilds were exclusively recorded at large trees, including raptors (e.g., brown falcon (Falco berigora)) and threatened species (e.g., superb parrot (Polytelis swainsonii); Table S5).</t>
  </si>
  <si>
    <t>Our results highlight the importance of large old trees for birds. Habitat resources associated with large trees, such as hollows, accrue only over centuries and once removed are irreplaceable in the short-term (Manning et al., 2012). However, the biodiversity value of smaller sized trees should not be discounted in tree management policies. Revegetation efforts and affording protection to a range of tree sizes in modified landscapes are crucial for the long-term perpetuation of large old trees (Gibbons et al., 2008; Le Roux, Ikin, Lindenmayer, Manning et al., 2014). Scattered trees support a diversity of wildlife. However, landscape context and tree size affected wildlife in contrasting ways. Land management strategies are needed to collectively account for responses exhibited by multiple taxa at varying spatial scales. We recommend that the retention and perpetuation of scattered trees in modified landscapes should be prioritized, hereby providing crucial habitat benefits to a multitude of taxa.</t>
  </si>
  <si>
    <t>tree species composition, planting arrangement, diameter</t>
  </si>
  <si>
    <t>A268</t>
  </si>
  <si>
    <t>Murialdo et al. (2015)</t>
  </si>
  <si>
    <t>Murialdo G, Kleisner K, Wolfenden J, Old J.</t>
  </si>
  <si>
    <t>Habitat preferences of an endangered species in developing landscapes: the Bush Stone-curlew on the central coast of New South Wales, Australia.</t>
  </si>
  <si>
    <t>Australian Zoologist</t>
  </si>
  <si>
    <t>j.old@uws.edu.au</t>
  </si>
  <si>
    <t>Gosford, Port Stephens</t>
  </si>
  <si>
    <t>This study was conducted in what was the HunterCentral Rivers Catchment Management Authority (HCR
CMA) in NSW, now the Local Land Services of Hunter
and Greater Sydney cover our study area. Within this
area, Gosford Local Government Authority (LGA) and
Port Stephens Local Government Authority (LGA) were
the central areas for field surveys. Gosford City is located
on the NSW Central Coast approximately 85 km north
of Sydney. Gosford LGA has a population of 158,000
people and, with an area of 1027 km2 is one of the largest
LGAs in NSW.</t>
  </si>
  <si>
    <t>Composition, Canopy Cover, Individual tree management, Land use type</t>
  </si>
  <si>
    <t>10 points along the transect were chosen 
and parameters including herbage cover (%), rocks &lt; 20 
cm in diameter (%) cover, litter (%) cover, bare ground (%), 
number of sticks &lt; 10 cm in diameter, main grass species 
and mean grass height in a 1 m² quadrat were measured to 
achieve a 100 % quadrat cover. The same random numbers 
were utilised as survey points along each transect. These 
parameters were chosen as they have previously been 
associated with habitat preferred by the bush stone-curlew 
(Marchant and Higgins 1993; Johnson and Baker-Gabb, 
1994). Grasses were identified using Gibbs and Gibbs 
(2001) and Rose (2006). Tree diameter at breast height 
(DBH) of trees ≥ 10 cm were measured and their species 
recorded based on Popescu and Wynne (2004). Canopy 
cover percentage was measured every 5 m along the 
transect based on the method of Korhonen et al. (2006).</t>
  </si>
  <si>
    <t>Bush stone-curlew</t>
  </si>
  <si>
    <t>Burhinus grallarius</t>
  </si>
  <si>
    <t>The habitat data and developed spatial models indicated that bush stonecurlew sightings are associated with trees dominated by Casuarina glauca and Syncarpia glomulifera. In terms of broad habitat classifications, bush stone-curlews are more likely to be sighted in wet sclerophyll forests (towards Gosford) and dry sclerophyll forests and saline wetlands (Port Stephens). Although habitat variables between ‘observed’ and ‘not observed’ sites at Gosford were not different (as expected), ‘observed’ sites comprised a greater amount of litter, taller grasses and a greater number of trees. In Port Stephens, ‘observed’ sites had more herbage and greater number of 
trees. Having a greater number of trees in ‘observed’ sites signifies a larger area of shade for ground cover species to grow as it maintains ground moisture and prevents desiccation (Wong and Wilson 1980), as well as increasing leaf litter and fallen branches (Jansen and Robertson 2001).</t>
  </si>
  <si>
    <t>leaf litter layer, diameter, stem density, overall canopy cover</t>
  </si>
  <si>
    <t>A269</t>
  </si>
  <si>
    <t>Schutz et al. (2017)</t>
  </si>
  <si>
    <t>Schütz C, Reckendorfer W, Schulze CH.</t>
  </si>
  <si>
    <t>Austria</t>
  </si>
  <si>
    <t>Local quality versus regional connectivity—habitat requirements of wintering woodpeckers in urban green spaces.</t>
  </si>
  <si>
    <t>claudia.schuetz@univie.ac.at</t>
  </si>
  <si>
    <t>Vienna</t>
  </si>
  <si>
    <t>"The study was conducted in Vienna, the largest city in Austria (48_x000e_130N, 16_x000e_220E), with a population of 1.8 million inhabitants and an area covering 415 km2 (Statistics Austria 2016). Whereas 21% of the city area are covered by densely built-up areas, around 45% are covered by green space such as forests, meadows, agricultural areas or city parks"</t>
  </si>
  <si>
    <t>48 13' 00" N</t>
  </si>
  <si>
    <t>16 22' 00" E</t>
  </si>
  <si>
    <t>Connectivity, Composition, Forested area</t>
  </si>
  <si>
    <t xml:space="preserve">"For analysis, we considered park area and the number of woody plant species as they have been shown to influence bird abundance and diversity in parks"
</t>
  </si>
  <si>
    <t>Great Spotted Woodpecker, Middle Spotted Woodpecker</t>
  </si>
  <si>
    <t>Dendrocopos major, Dendrocopos medius</t>
  </si>
  <si>
    <t>"Among local habitat variables park size was the only significant predictor for the occurrence of woodpecker species in our study."
"At a regional scale neither network connectivity assessed at three spatial scales, nor patch isolation, quantified as the distance to the nearest breeding site, had an effect on the presence of woodpeckers."</t>
  </si>
  <si>
    <t>"We thus recommend park areas &gt;4 ha to promote woodpecker habitats. This is in the range of threshold values reported to promote generalist bird species in cities (1_x0004_10 ha), but far below values recommended to promote area-sensitive species (20_x0004_140 ha) (Beninde et al. 2015)."</t>
  </si>
  <si>
    <t>overall canopy cover, diameter, tree species composition, stem density</t>
  </si>
  <si>
    <t>A271</t>
  </si>
  <si>
    <t>Murgui (2014)</t>
  </si>
  <si>
    <t>Murgui E.</t>
  </si>
  <si>
    <t>Population trends in breeding and wintering birds in urban parks: a 15-year study (1998-2013) in Valencia, Spain.</t>
  </si>
  <si>
    <t>Revista Catalana d'Ornitologia</t>
  </si>
  <si>
    <t>"The study was carried out in the city of Valencia, Spain (39°28’N 0°23’W), which includes four main types of habitats: buildings and impervious surfaces, private gardens, public urban parks and patches of wasteland (for a full description, see Murgui 2009)."</t>
  </si>
  <si>
    <t>39 28' 00" N</t>
  </si>
  <si>
    <t>0 23' 00" W</t>
  </si>
  <si>
    <t>"Habitat structure measurements (Table 1) included several characteristics of the vegetation (e.g. shrub cover) that influence bird populations via different mechanisms (see e.g. Heyman 2010)."</t>
  </si>
  <si>
    <t>Population changes, Abundance</t>
  </si>
  <si>
    <t>"The results of this study indicate that the populations of species most dependent on the tree and shrub layer (i.e. woodland species in a broad sense) have increased or have remained stable over the last fifteen years (e.g. Spotted Flycatcher, Blackbird Turdus merula and Blackcap). Furthermore, colonisation events by breeding species involved mostly woodland/shrubland birds (Long-tailed Tit and Sardinian Warbler)"</t>
  </si>
  <si>
    <t>"My results also give some support to the idea that population dynamics in urban settings are influenced by factors operating at different spatial scales (for a review, see Evans et al. 2009). Therefore, integrative management of urban areas that pays attention both to patch scale and large-scale processes (Hostetler 1999, Goddard et al. 2009) is likely to be the most judicious approach for implementing policies addressing the conservation of bird fauna in cities."</t>
  </si>
  <si>
    <t>Weak recommendation</t>
  </si>
  <si>
    <t>tree species composition, diameter, tree layer, ground layer, shrub layer, total height</t>
  </si>
  <si>
    <t>A273</t>
  </si>
  <si>
    <t>Dragos et al. (2018)</t>
  </si>
  <si>
    <t>Dragoș M, Petrescu A, Merciu GL, Posner C.</t>
  </si>
  <si>
    <t>Romania</t>
  </si>
  <si>
    <t>The role of native ornamental plants in ensuring the habitat needs of birds in urban ecosystems. Case study - Cismigiu Garden, Bucharest.</t>
  </si>
  <si>
    <t>Environmental Science</t>
  </si>
  <si>
    <t>mir.dragos25@gmail.com</t>
  </si>
  <si>
    <t>Bucharest</t>
  </si>
  <si>
    <t>"The Cismigiu Garden is an official special 
public amenity created by landscape architect 
Carl Friederich Wilhem Meyer (1814-1852), 
and the only public space in Bucharest that 
preserves the stylistic characteristics conceived 
by its creator (El-Shamali, 2010). "</t>
  </si>
  <si>
    <t>"This supposes 
the creation of a database containing 
information on vegetation such as: location, 
species identification, height, age class, vitality 
class etc. (RegVer). Subsequently, the 
information was processed and represented 
cartographically (tree density, location of tree 
species according to age etc.)."</t>
  </si>
  <si>
    <t>"At the beginning of the 20th century, the garden 
underwent many substantial changes, such as 
the relandscaping of the garden, proposed by 
the architect F. Rebhun (Panoiu, 2011). 
Now, the Cismigiu Garden has a total area of 
182,200 sqm, of which landscaped green areas 
are 98,400 sqm, the rest representing pedestrian 
alleys, playgrounds, public spaces, facilities"</t>
  </si>
  <si>
    <t>Biodiversity, Resources</t>
  </si>
  <si>
    <t>Biodiversity metric, Foraging/Movement</t>
  </si>
  <si>
    <t>"The vegetation in this ecosystem is of particular importance especially for the feeding of the 
avian community and for shelter, and less for nesting. Over a year there are 55 species of birds, whose life depend on 
the vegetation of the park, and which use over 47 main plant species (trees and shrubs) for food, nest, and shelter."
"The conditions offered by Cismigiu Garden as 
nesting territory, illustrated in Figure 5, show 
that birds prefer some niches, such as trees' 
canopy, bushes and shrubs, hollows and high 
buildings adjacent to the garden. This 
preference strengthens our belief that those 
areas are the ones that offer maximum safety 
for nesting and offspring. The grassy soil, the 
herbs and the tops of the canopies are occupied 
by few species. "</t>
  </si>
  <si>
    <t>"The maintenance and management of the green 
space network should take into account the 
species living in these areas, their life cycle, 
migration, and that many species coexist in an 
urban ecosystem. For example, birds, during 
reproduction, build their nest at branch 
bifurcation. "
"In line with the European 
legislative recommendations on the 
conservation/restoration rules of the cultural 
landscape, authorities must provide the public 
with new, modern recreational spaces in order 
to decongest or release from anthropic pressure 
and protect historic gardens."</t>
  </si>
  <si>
    <t>tree species composition, shrub species composition, ground layer, fruit metrics, stem density, cavity metrics, tree condition, total height, tree layer, perch/nest height, shrub layer</t>
  </si>
  <si>
    <t>A274</t>
  </si>
  <si>
    <t>Beissinger &amp; Osborne (1982)</t>
  </si>
  <si>
    <t>Beissinger SR, Osborne DR. Effects of urbanization on avian community organization. The Condor. 1982 Feb 1;84(1):75-83.</t>
  </si>
  <si>
    <t>United States</t>
  </si>
  <si>
    <t>Effects of urbanization on avian community organization</t>
  </si>
  <si>
    <t>Oxford, Ohio</t>
  </si>
  <si>
    <t>"Foliage profiles (MacArthur and MacArthur 1961) were developed for each study site. Percent vegetative cover was calculated as the percentage of points (n = 60) with vegetation present, and summed for a site total."</t>
  </si>
  <si>
    <t>In 1810 the tall trees covering the site were first cut in order to build cabins; however, early town planners left many large trees standing (McGinnis 1930:80). Tw</t>
  </si>
  <si>
    <t>Foraging guilds shifted from forest insectivores that were canopy foliage gleaners or bark 
drillers to urban ground gleaners. Analyses of habitat structure showed that al- 
though urban foliage height diversity was like that of the forest, the urban area 
contained only one-third of the total percent vegetative cover. As compared to 
the forest, urban vegetative cover was: (1) significantly less in all but the middle 
layer; (2) replaced by man-made structures, ground cover and ornamental vege- 
tation in the low and middle layers but dominated the high layer; and (3) highly 
discontinuous, existing as isolated strat</t>
  </si>
  <si>
    <t>"Our study suggests that vegetative cover in urban areas should be increased, not by isolated plantings of land-scape shrubs, but by recreating or preserving natural islands of complete habitat profiles consisting of vegetative cover in each layer. Human disturbance and predation from domestic animals may be mitigated by a series of interconnected islands. Increasing vegetative cover in urban areas may increase the number of bird species, support larger populations of insectivores, and perhaps create suitable habitat for some ground nesters."</t>
  </si>
  <si>
    <t>shrub layer, overall canopy cover, vertical layer assessment, tree layer, total height</t>
  </si>
  <si>
    <t>Rayyan ID</t>
  </si>
  <si>
    <t>Article ID (F_)</t>
  </si>
  <si>
    <t>In text citation</t>
  </si>
  <si>
    <t>Full citation</t>
  </si>
  <si>
    <t>Authors</t>
  </si>
  <si>
    <t>Country of First Author</t>
  </si>
  <si>
    <t>Publication Type*</t>
  </si>
  <si>
    <t>Corresponding author email address</t>
  </si>
  <si>
    <t>Study.Country</t>
  </si>
  <si>
    <t>Geographical_region (study area)</t>
  </si>
  <si>
    <t>Hemisphere</t>
  </si>
  <si>
    <t>Latitude (DDD° MM' SS.S")</t>
  </si>
  <si>
    <t>Longitude (DDD° MM' SS.S")</t>
  </si>
  <si>
    <t>Field History Described? (Y or N)</t>
  </si>
  <si>
    <t>Description of Field History (e.g. land legacies)</t>
  </si>
  <si>
    <t>Description of Forest Component</t>
  </si>
  <si>
    <t>Carbon.metric</t>
  </si>
  <si>
    <t>Description of carbon metric</t>
  </si>
  <si>
    <t>Year.start</t>
  </si>
  <si>
    <t>Year.end</t>
  </si>
  <si>
    <t>Scale of measurement (individual tree, patch, multi-patch)</t>
  </si>
  <si>
    <t>Main Result</t>
  </si>
  <si>
    <t>Rec.included</t>
  </si>
  <si>
    <t>Rec1</t>
  </si>
  <si>
    <t>Rec2</t>
  </si>
  <si>
    <t>Rec3</t>
  </si>
  <si>
    <t>Recommendations</t>
  </si>
  <si>
    <t>Reviewer Initial</t>
  </si>
  <si>
    <t>Composition metric</t>
  </si>
  <si>
    <t>F2</t>
  </si>
  <si>
    <t>Manolaki &amp; Vogiatzakis (2017)</t>
  </si>
  <si>
    <t>Manolaki P, Vogiatzakis IN. Ecosystem services in a peri-urban protected area in Cyprus: a rapid appraisal. NC. 2017;22:129–46.</t>
  </si>
  <si>
    <t>Manolaki P, Vogiatzakis IN.</t>
  </si>
  <si>
    <t>Cyprus</t>
  </si>
  <si>
    <t>Ecosystem services in a peri-urban protected area in Cyprus: a rapid appraisal</t>
  </si>
  <si>
    <t>Nature Conservation</t>
  </si>
  <si>
    <t>ioannis.vogiatzakis@ouc.ac.cy</t>
  </si>
  <si>
    <t>Larnaca</t>
  </si>
  <si>
    <t>Rizoelia National Forest Park, a peri-urban Natura 2000 site close to the city</t>
  </si>
  <si>
    <t>Suffered intense human related pressure over the years. Afforestation with non-native species, leisure activities and a dense road network which has led to a decrease in size of two priority habitats at the European level.</t>
  </si>
  <si>
    <t>Habitat types: needleleaf plantation, broadleaf plantation, Sarcopoterium spinosum phrygana, Aborescent matorrals with Ziziphus, Pseudo-steppe with grasses and annuals. Generally included temperate scrub/woodland and temperate grassland.</t>
  </si>
  <si>
    <t>Below-ground biomass, Above-ground biomass, Soil, Dead wood/organic matter</t>
  </si>
  <si>
    <t>Total carbon stock was calculated by adding the carbon stocks of each habitat at the site [Above-Ground Biomass (C_ABG), Below-Grounf Biomass (C_BGB), Soil (C_Soil) and Dead organic matter (C-dead)]</t>
  </si>
  <si>
    <t>The most important habitat types were temperate scurb/woodland and temperate grassland. The most ES delivered by the study area refer to aesthetic benefits/inspiration, recreation/tourism,biodiversity, global climate regulation and environmental education. Despite considered of low biodiversity value, (Needle-leaf plantation, temperature scrub/woodland) have the highest capacity (compared to the natural and semi-natural habitats of the site) to provide ES and have high regulating service capacity. Within a peri-urban park, green areas and tree plantations can function as carbon sinks, althuogh. urban vegetation only sequestrated a small part of annual CO2 emissions of a city.</t>
  </si>
  <si>
    <r>
      <rPr>
        <rFont val="Times New Roman"/>
        <color theme="1"/>
        <sz val="11.0"/>
      </rPr>
      <t xml:space="preserve">Authorities should manage the area in the future in a way that maximizes the provision of high capacity ES (like regulating) which is facilitated by the appraisal of the area's potential. What is equally important in terms of management is shifting from soley biodiversity delivery to ES delivery and the need to identify tradeoffs between ES. Study highlights the importance of </t>
    </r>
    <r>
      <rPr>
        <rFont val="Times New Roman"/>
        <b/>
        <color theme="1"/>
        <sz val="11.0"/>
      </rPr>
      <t xml:space="preserve">site-based </t>
    </r>
    <r>
      <rPr>
        <rFont val="Times New Roman"/>
        <color theme="1"/>
        <sz val="11.0"/>
      </rPr>
      <t>assessment for ecosystem services delivered in protected areas.</t>
    </r>
  </si>
  <si>
    <t>coarse woody debris layer, tree layer, ground layer, shrub layer, leaf litter layer</t>
  </si>
  <si>
    <t>F4</t>
  </si>
  <si>
    <t>Ferrari et al. (2017)</t>
  </si>
  <si>
    <t>Ferrari B., Mancini L.D., Salvati R., Barbati A., Corona P. Taking the pulse of forest plantations success in peri-urban environments through continuous inventory. New Forests. 2017;48:527–45.</t>
  </si>
  <si>
    <t>Ferrari B., Mancini L.D., Salvati R., Barbati A., Corona P.</t>
  </si>
  <si>
    <t>Taking the pulse of forest plantations success in peri-urban environments through continuous inventory</t>
  </si>
  <si>
    <t>New Forests</t>
  </si>
  <si>
    <t>barbati.sisfor@unitus.it</t>
  </si>
  <si>
    <t>Rome</t>
  </si>
  <si>
    <t>The Castel di Guido estate extends for 3673 ha along the Tyrrhenian coast of central Italy, within the Municipality of Rome</t>
  </si>
  <si>
    <t>Since the end of the tenth century, the estate of Castel di Guido has been an agricultural center with cultivations and livestock on the flat areas and natural vegetation on steeper slopes. Farmland still covers most of the Castel di Guido estate (61%). Patches of natural vegetation (17%), especially Mediterranean maquis, and forest plantations (6%) are spread within the agricultural matrix. Urban, industrial and rural infrastructures cover the remaining area (12%).</t>
  </si>
  <si>
    <t>Mainly characterized by thermophilous and mesophytic broadleaved tree species (Quercus cerris L., Quercus frainetto Ten., Quercus pubescens Willd, Quercus suber L., Carpinus orientalis Mill., Carpinus betulus L., Fraxinus angustifolia Vahl). The plantation design is arranged into three main tracts of reforested areas, which extend the small remnants of natural vegetation and link them together. The planting spacing ranges from 3 x 2 m to 4 x 4 m. Stand types: conifers, mixed species, evergreen oaks, deciduous oaks, other broadleaved</t>
  </si>
  <si>
    <t>Above-ground biomass, Below-ground biomass</t>
  </si>
  <si>
    <t>Ctot total carbon, above below biomass (t), V = tree volume (m3), WDB Wood Basic Density (t m-3), BEF Biomass Expansion Factor, R Root-to-Shoot Ratio, CF carbon fraction of the dry biomass (0.5).</t>
  </si>
  <si>
    <t>Plantation failures rate is, on average, lower in mixed broadleaved plots (6%) and in other broadleaved plots (10%). Carbon sequestration of Castel di Guido reforestation can be compared with data on urban forests carbon sequestration documented for other European cities. The average values of above-ground carbon storage at the inventory year 2013 can be estimated as follows: broadleaved plots 55.88 Mg C ha-1, in mixed forest 117.56 Mg C ha -1, coniferous forest is 88.30 Mg C ha-1. The average carbon uptake level of the Castel di Guido reforestation, at the year 2013, is estimated as high as 14 Mg CO2 ha-1 year-1. As a whole, Castel di Guido reforestation with a surface area of 289 ha (4125 Mg CO2 year-1) allows for offsetting the 0.04% of CO2 emissions of the city of Rome, as assessed at the year 2010 (10 008 879 Mg CO2, year-1. Mixed surveyed stands have given better results in terms of survival and wood productivity in comparison to pure stands.</t>
  </si>
  <si>
    <t>For this reason, establishing a mix of different species in forest plantations is highly recommended, also as a way to optimize carbon sequestration. Mixed species plantation is also useful to enhance the presence of native biodiversity: they increase the range of habitat types available for native species (Norton 1998; Hartley 2002) and, being more resistant and resilient to natural and human disturbances. Although, within a carbon balance perspective, the total CO2 emissions offsetting capacity of this peri-urban reforestation might today appear ‘a drop in the ocean’, the quantification of the CO2 uptake by the reforestation might offer scientific support to urban policies aimed at reducing CO2 emission by primarily limiting further land take on agricultural land.</t>
  </si>
  <si>
    <t>age, diameter, plant functional types, total height, stem density, planting arrangement, tree species composition</t>
  </si>
  <si>
    <t>F12</t>
  </si>
  <si>
    <t>Zhao &amp; Sander (2018)</t>
  </si>
  <si>
    <t>Zhao C, Sander HA. Assessing the sensitivity of urban ecosystem service maps to input spatial data resolution and method choice. Landscape and Urban Planning. 2018;175:11–22.</t>
  </si>
  <si>
    <t>Zhao C, Sander HA</t>
  </si>
  <si>
    <t>United States of America</t>
  </si>
  <si>
    <t>Assessing the sensitivity of urban ecosystem service maps to input spatial data resolution and method choice</t>
  </si>
  <si>
    <t>chang-zhao@uiowa.edu</t>
  </si>
  <si>
    <t>Iowa City</t>
  </si>
  <si>
    <t>This study focuses on Iowa City, Iowa, in the Midwestern US. Iowa City is representative of small American cities in its extent (65.47 km2), population (73,415 in 2014) and spatially-heterogeneous urban forest.</t>
  </si>
  <si>
    <t>Multi-Patch</t>
  </si>
  <si>
    <t>Composition, Canopy cover, Land use type</t>
  </si>
  <si>
    <t>We surveyed urban vegetation on sample sites arrayed across an urban-to-rural gradient. In total, there were 52 sampling plots arrayed as follows: urban core (12 plots); high- (15 plots), and medium- (11 plots) density developed; and recreational park (14 plots). We retrieved 34 LiDAR tiles from the GeoTREE Center at the University of Northern Iowa and used the LiDAR Analyst 5.0 extension of ArcGIS 10.3 to extract tree features. Method 1 identifies carbon storage based on the ecosystem components (urban vegetation) producing the service. Method 2 maps carbon storage as a function of LUC and evaluates the impact of input data resolution using LUC data at fine and coarse resolutions. We used a random sampling approach to assign LiDAR derived trees to taxa based upon the relative abundances of tree species on different LUC types estimated from field surveys in Iowa City. We repeated this process for each study area taxon, assigning all trees to one of ten taxa: soft maple/birch, aspeNAlder/ cottonwood/willow, hard maple/oak, other hardwood, cedar/larch, spruce, pine, true fir/ hemlock, Douglas fir, and woodland.</t>
  </si>
  <si>
    <t>Above-ground biomass</t>
  </si>
  <si>
    <t>In Method 1, we based our quantification of aboveground carbon storage on trees and lawns. We calculated carbon storage using biomass equations to estimate aboveground carbon based on dbh and taxon. Method 2 used LUC as a proxy for ecosystem components involved in producing carbon storage services. We used the InVEST carbon model to estimate aboveground biomass carbon storage. We validated all carbon storage maps against carbon storage estimates based on field survey data at the 50-m, survey plot level. Here, we identified what we consider to be actual carbon storage in trees and lawns within plots using allometric and lawn carbon models and field survey data. Our ecosystem component-based approach uses GIS, high-resolution Light Detection and Ranging (LiDAR) point-cloud data, and generalizable biomass equations for US trees to estimate tree carbon storage based on trees as service providers.</t>
  </si>
  <si>
    <t>The city-wide estimated lawn carbon storage in lawns was 2236.83 Mg C with mean pixel-wise lawn carbon storage of 6.14 * 10–5 Mg C/m2 (SD = 2.08 * 10–5 Mg C/m2). Correlations between observed and modeled carbon storage varied across sampling sites and urbanization levels. All models underestimated carbon storage. Carbon storage estimated by Method 1 most closely matched actual carbon storage for all sites and was not significantly different from them (p &gt; 0.1). The distribution of carbon values in both Method 2 maps differed significantly from actual estimates (p &lt; 0.001). We find that carbon storage ES mapping based on ecosystem components (i.e., trees, lawn) rather than LUC proxies provides estimates that closely match actual storage. Although both methods produced similar city-wide estimates of total carbon storage, estimates disagreed regarding the spatial distribution and magnitude of carbon storage at sub-municipal scales. Thus, while LUC-proxies may accurately estimate ES delivery in relatively homogeneous landscapes, they may be inappropriate in heterogeneous settings. Maps based on coarse resolution data showed less correspondence with actual carbon storage estimates at the aggregated landscape and pixel levels than maps based on finer-resolution LUC data. In our analyses, LUC proxies significantly underestimated ES provision in medium-density developed areas.</t>
  </si>
  <si>
    <t>Our results suggest that, where coarse, study-area wide ES estimates provide adequate support for municipal policy and decision making, LUC-proxy based methods should provide sufficient accuracy, although this will vary with the precision required for decision making. However, for management or policy decisions requiring fine-resolution ES distribution information or for target services that are strongly influenced by landscape configuration, LUC proxies are less appropriate. Our analysis demonstrates that local ES map accuracy is highly dependent on analytical scale and input data. These factors should be considered carefully in producing and using ES maps to support municipal decision making. Since ES supply is inherently scale-dependent and site-specific, ES mapping aimed at supporting local decision making should use high-resolution data as much as possible, particularly where landscapes are highly heterogeneous and decision making involves spatial prioritization.</t>
  </si>
  <si>
    <t>EC</t>
  </si>
  <si>
    <t>vertical layer assessment, diameter, total height, tree species composition, shrub layer, crown width/area, ground layer</t>
  </si>
  <si>
    <t>F13</t>
  </si>
  <si>
    <t>Lyu et al. (2022)</t>
  </si>
  <si>
    <t>Lyu R, Zhao W, Tian X, Zhang J. Non-linearity impacts of landscape pattern on ecosystem services and their trade-offs: A case study in the City Belt along the Yellow River in Ningxia, China. Ecological Indicators. 2022;136:108608.</t>
  </si>
  <si>
    <t>Lyu R, Zhao W, Tian X, Zhang J</t>
  </si>
  <si>
    <t>Non-linearity impacts of landscape pattern on ecosystem services and their trade-offs: A case study in the City Belt along the Yellow River in Ningxia, China</t>
  </si>
  <si>
    <t>Ecological Indicators</t>
  </si>
  <si>
    <t>lvrf@lzu.edu.cn</t>
  </si>
  <si>
    <t>The City Belt alongthe Yellow River in Ningxia (CBYN) covers a total area of nearly 22,000 km2. Yellow River flows through the CBYN from southwest to northeast.</t>
  </si>
  <si>
    <t>104◦17′5′’-106◦58′10′’ E</t>
  </si>
  <si>
    <t>36 ◦54′30′’-39◦23′22′’ N</t>
  </si>
  <si>
    <t>The CBYN has experienced rapid socioeconomic development, with annual population and GDP growth rate of 2.367% and 219.862% in 1989–2019, respectively. It has resulted in serious disturbance on regional landscape pattern and ecological security, contributing to the fragile ecosystem in the CBYN.</t>
  </si>
  <si>
    <t>Diversity metric, Land use type, Fragmentation, Composition</t>
  </si>
  <si>
    <t>Shannon’s diversity index (SHDI), Contagion (CONTAG), Euclidean nearest neighbor distance (ENN), Patch density (PD), Edge density (ED), Landscape shape index (LSI), Largest patch index (LPI), Aggregation index (AI), Shape index (SHAPE), Perimeter-area ratio distribution (PARA), Fractal dimension index (FRAC), Patch area distribution (AREA), Percentage of landscape (PLAND)</t>
  </si>
  <si>
    <t>Estimated using the Carnegie-Ames-Stanford Approach (CASA) model. Inputs are monthly meteorological data, land use/cover, and monthly NDVI.</t>
  </si>
  <si>
    <t>The results suggested that most of selected landscape pattern metrics significantly correlated with the five ESs, while RO had lower correlation with landscape pattern metrics than other ESs. AP, CS and NR had similar correlations with landscape pattern metrics, while sand fixation had nearly the opposite pattern in correlation direction. The strength and significance of correlations tended to firstly increase from 1.5 km to 3 km and then decrease with scale growth, especially for the area-related metrics. The results suggested that landscape pattern metrics could explain high variance of NR, moderate for AP, CS and RO, and relatively low for SF. For AP and CS, the first three metrics with the largest impacts from high to low were SHDI, CONTAG and LPI. NR also mostly impacted by CONTAG and SHDI, with the third factor of ED. For SF, the first three factors were CONTAG, FRACMN and SHDI, while RO was mostly impacted by CONTAG, SHDI and FRACMN. Overall, landscape level metrics of SHDI, CONTAG and FRACMN had higher impacts on the five ESs among these 14 metrics. The CBYN could be classified into 4 clusters based on the spatial similarities of topographic and climate factors.</t>
  </si>
  <si>
    <t>Land use management and policy-making should be focused on the whole configuration rather than the pattern of single land use type. 3 km was suggested as the most suitable scale to explore the impacts of landscape pattern metrics on ESs. Our results could provide scientific suggestions for land use management and decision makers to improve multiple ESs simultaneously without largely altering land use types and areas.</t>
  </si>
  <si>
    <t>Only considered landscape level metrics. Does not assess any of the above UF composition metrics in relation to either avian or carbon outcomes</t>
  </si>
  <si>
    <t>F19</t>
  </si>
  <si>
    <t>Martin-Fores et all. 2020</t>
  </si>
  <si>
    <t>Martín-Forés I, Magro S, Bravo-Oviedo A, Alfaro-Sánchez R, Espelta JM, Frei T, et al. Spontaneous forest regrowth in South-West Europe: Consequences for nature’s contributions to people. People and Nature. 2020;2:980–94.</t>
  </si>
  <si>
    <t>Martín-Forés I, Magro S, Bravo-Oviedo A, Alfaro-Sánchez R, Espelta JM, Frei T, et al.</t>
  </si>
  <si>
    <t>Spontaneous forest regrowth in South-West Europe: Consequences for nature's contributions to people</t>
  </si>
  <si>
    <t>People and Nature</t>
  </si>
  <si>
    <t>imfores@pdi.ucm.es</t>
  </si>
  <si>
    <t>Spain and France</t>
  </si>
  <si>
    <t>Barcelona and Bordeaux</t>
  </si>
  <si>
    <t>For the peri-urban landcapes, one is located in the Vallès lowland, surrounding the metropolitan area of Barcelona (636 km2; Barcelona province) in northeastern Spain; the other is between the city of Bordeaux and the Arcachon Basin (1,200 km2; Gironde province) in south-west France (Figure 1). Both areas are characterised by vigorous economic activity and intensive landscape management for diverse purposes</t>
  </si>
  <si>
    <t>Multi-City</t>
  </si>
  <si>
    <t>Each of the peri-urban landscapes (Q. ilex and Q. robur case studies) included 15 plots. Plots in the Q. ilex case are spontaneously regrowing on former croplands (Başnou et al., 2016) while in the Q. robur case they are embedded in maritime pine plantations.</t>
  </si>
  <si>
    <t>Climate regulation in terms of biological C storage and sequestration (NCP4) was estimated by the overall C stock contained in the trees of the study plots. Climate mitigation associated with forest establishment and densification has direct consequences on human health and well-being as far as it improves the air quality by filtering pollutants</t>
  </si>
  <si>
    <t>Forest expansion generally increased regulating NCP in both case studies, whereas higher provision rates were associated with older forest stages. Specifically, the C stock per individual tree for J. thurifera was significantly larger in long-existing forests than in intermediate and novel forests (M ± SE: 88.2 ± 4.18 kg vs. 45.3 ± 4.10 kg and 25.1 ± 4.60 kg respectively). Similarly, C stocks were greater in long-existing F. sylvatica forest stands than in novel ones. Forest densification was consistently related with an increase in the regulation of climate through C sequestration. Spontaneous forest regrowth, including both expansion and densification, offers an economically cost-effective opportunity to restore ecosystem functioning and to increase nature's contributions to people of diverse landscapes.</t>
  </si>
  <si>
    <t>total height, diameter, age, tree condition, tree species composition</t>
  </si>
  <si>
    <t>F20</t>
  </si>
  <si>
    <t>Hutyra et al. (2011)</t>
  </si>
  <si>
    <t>Hutyra Lr, Yoon B, Alberti M. Terrestrial carbon stocks across a gradient of urbanization: a study of the Seattle, WA region. Global Change Biology. 2011;17:783–97.</t>
  </si>
  <si>
    <t>Hutyra Lr, Yoon B, Alberti M.</t>
  </si>
  <si>
    <t>United State of America</t>
  </si>
  <si>
    <t>Terrestrial carbon stocks across a gradient of urbanization: a study of the Seattle, WA region.</t>
  </si>
  <si>
    <t>Global Change Biology</t>
  </si>
  <si>
    <t>lrhutyra@bu.edu</t>
  </si>
  <si>
    <t>The Seattle, WA area is bounded by the Puget Sound to the west and the Cascade Mountains to the east. The soils are dominated by loam and sandy loam, with over 30% of the area classified as ‘Alderwood gravelly sandy loam’ (NRCS, 2009). The vegetation is largely temperate, moist forest.</t>
  </si>
  <si>
    <t>We assessed aboveground carbon stocks and site characteristics within five different land cover classes: heavy urban, medium urban, low urban, mixed forest, and coniferous forest</t>
  </si>
  <si>
    <t>Dead wood/organic matter, Above-ground biomass, Infrastructure (timber buildings)</t>
  </si>
  <si>
    <t>Biomass of live trees was estimated using published allometric equations relating plant diameter to dry mass. CWD (coarse woody debris) wood density values were applied to calculated volumes to estimate biomass. Utility poles biomass volume was estimated based on the measured length, base diameter, and a visual estimate of the top diameter. Fences and other substantial wooden structures (excluding building) within sample plots were also included in the BWB estimates if they met minimum size criteria (1 m in length and a minimum area of 75 cm2).</t>
  </si>
  <si>
    <t>Larger trees (_x0015_ 20 cm DBH) accounted for the vast majority of the total biomass (95%), though smaller trees (_x0015_ 5 cm and o20 cm DBH) were much more common. The pixels classified as heavy urban showed the strongest correlation between canopy cover and biomass (R2 5 0.87), likely due to the narrow range in canopy cover (0–48%) and the influence of plots with no canopy or biomass present (n 5 15 of N 5 30 heavy urban plots). The aboveground live carbon stocks within vegetation were found to increase with decreasing intensity of urban development (conifer forest4mixed forest4low urban4medium urban4heavy urban land cover). We estimated that the mean aboveground live biomass across the Seattle urbanizing region was 89 _x0002_ 22 Mg C ha_x0003_1 in 2002 (including both urban and forest areas, Fig. 6), with an average of 140 _x0002_ 40 Mg C ha_x0003_1 stored within urbanizing area forests and 18 _x0002_ 13.7 Mg C ha_x0003_1 stored within urban land covers.</t>
  </si>
  <si>
    <t>As we move forward in our consideration of urban carbon dynamics, we must build from our current understanding of the terrestrial carbon cycle while proceeding with caution because we know that urban ecosystems have different biophysical structures and feedbacks. Empirical data that accurately take into account the diverse sources and sinks of carbon in urban regions are critical to gain a mechanistic understanding of the urban carbon cycle.</t>
  </si>
  <si>
    <t>diameter, overall canopy cover, plant functional types, total height, tree species composition, coarse woody debris layer, stem density, standing dead trees</t>
  </si>
  <si>
    <t>F21</t>
  </si>
  <si>
    <t>Ren et al. (2012)</t>
  </si>
  <si>
    <t>Ren Y, Yan J, Wei X, Wang Y, Yang Y, Hua L, et al. Effects of rapid urban sprawl on urban forest carbon stocks: Integrating remotely sensed, GIS and forest inventory data. Journal of Environmental Management. 2012;113:447–55.</t>
  </si>
  <si>
    <t>Ren Y, Yan J, Wei X, Wang Y, Yang Y, Hua L, et al.</t>
  </si>
  <si>
    <t>Effects of rapid urban sprawl on urban forest carbon stocks: Integrating remotely sensed, GIS and forest inventory data</t>
  </si>
  <si>
    <t>yren@iue.ac.cn</t>
  </si>
  <si>
    <t>Xiamen</t>
  </si>
  <si>
    <t>Xiamen a city located in southeastern China (Fig. 1)</t>
  </si>
  <si>
    <t>24 25' 000"</t>
  </si>
  <si>
    <t>117 53' 000"</t>
  </si>
  <si>
    <t>In the urban areas, the original vegetation was destroyed by human activities, and the existing forests are secondary forest and plantations. The diversity of species in the urban forest has been significantly enriched by the introduction of species.</t>
  </si>
  <si>
    <t>Data from a forest management planning inventory were obtained from sample plots in Xiamen forest resource inventories of 4 years: 1972, 1988, 1996 and 2006. The information included forest resource distribution maps, forest volume, tree species composition, tree age, and topographic maps of our study area with a scale of 1:10,000.</t>
  </si>
  <si>
    <t>To calculate vegetation carbon stock and carbon density, we assumed that carbon content was 50% of tree biomass.</t>
  </si>
  <si>
    <t>Over the period of 18 years, there was an increase of 4803.4 ha in construction land and decreases of 3310.7 ha in farmland and 1434.5 ha in forest land in the urban core. There was a tendency for carbon stock and carbon density to decrease in all four forest patch types over the study period in the urban core. The total carbon stock decreased from 79,904 Mg C in 1988 to 52,848 Mg C in 2006. During urbanization, there was an increase in broadleaved forest area and its carbon stock in the urban core and the suburb, while there was a decline in coniferous forest area and its carbon stock. In the earlier stage of urbanization (1988e1996), the most important forest patch type of all age classes was the patches connected to farmland. During the later stage of urbanization (1996e 2006), the most important forest patch type was the patches connected to construction land. The most important patch type among all age classes was the closed forest patches</t>
  </si>
  <si>
    <t>In the urban core and suburbs, long-lived, low maintenance, fast-growing broadleaved tree species, matched to site conditions, should be selected for plantation. In the exurbs, forest area should be continually expanded to include, as much as possible, many mature patch forests to reduce fragmentation caused by urban sprawl. First of all, it is essential to design and plan urban ecological landscapes through remote sensing technologies and forest resource inventory, and to use the forest carbon fixation function as an important planning index. Second, it is critical to adopt pertinent management measures depending on the conditions of different forest stand types. Broad-leaved tree species should be selected in forest stands that are connected with construction land, and forest area should be enlarged. Felling activities should be decreased in forest stands that are connected with farmland, and a certain number of living trees should be reserved in felling areas. A composite structure should be maintained, consisting of large numbers of broad-leaved trees and a small number of coniferous trees in forest stands that are connected with construction land and farmland. In closed forests, we should pay attention to relationships among forest cutting, road construction, forestation, greening and forest protection (forest fire prevention, disease and insect pest prevention and treatment).</t>
  </si>
  <si>
    <t>age, overall canopy cover, plant functional types, diameter, tree species composition</t>
  </si>
  <si>
    <t>F23</t>
  </si>
  <si>
    <t>Park et al. (2018)</t>
  </si>
  <si>
    <t>Park JH, Baek SG, Kwon MY, Je SM, Woo SY. Volumetric equation development and carbon storage estimation of urban forest in Daejeon, Korea. Forest Science and Technology. Taylor &amp; Francis; 2018;14:97–104.</t>
  </si>
  <si>
    <t>Park JH, Baek SG, Kwon MY, Je SM, Woo SY.</t>
  </si>
  <si>
    <t>Volumetric equation development and carbon storage estimation of urban forest in Daejeon, Korea</t>
  </si>
  <si>
    <t>Forest Science and Technology</t>
  </si>
  <si>
    <t>woosuyoung19@naver.com,</t>
  </si>
  <si>
    <t>Daejeon</t>
  </si>
  <si>
    <t>Daejeon is located in the mid-southern part of Korea and 167.3 km away from the capital city of Seoul.</t>
  </si>
  <si>
    <t>36 10' 50"</t>
  </si>
  <si>
    <t>127 14' 54"</t>
  </si>
  <si>
    <t>Five major tree species including Ginko biloba, Platanus occidentalis, Zelkova serrata, Chionanthus retusa, and Acer pseudo-sieboldianum were selected for this study and those comprise about 70% of street trees in Daejeon.</t>
  </si>
  <si>
    <t>Cubic foot volume of each tree was worked out with three equations. The base segment (from ground level to 0.2 m) was considered as a cylinder (Equation (1)), the highest portion of segment was considered as a cone (Equation (2)), and the rest was treated as a paraboloid frustum (Equation (3), which is Smalian’s fomula). The volumetric equations were used to calculate the volume of the tree.</t>
  </si>
  <si>
    <t>For the street tree species in Daejeon, overall, five species (Z. serrata, P. occidentalis, G. biloba, C. retusa, and A. pseudo-sieboldianum) stored 4290 tons of carbon. In terms of species, carbon storage of P. occidentalis was about 2457 tons in Daejeon and that of G. biloba was 1162 tons. Relatively, A. pseudo-sieboldianum stored only 123.7 tons of carbon. Calculation showed that potentially 216.31 tons of carbon could be sequestrated by the 82,408 street trees in Daejeon. P. occidentalis showed the biggest potential to sequestrate carbon among five species because P. occidentalis has the largest average DBH and stored large amount of carbon rather than other species. P. occidentalis and G. biloba comprised 76% of carbon sequestration and CO2 removal of street trees in Daejeon.</t>
  </si>
  <si>
    <t>tree species composition, crown width/area, diameter, total height</t>
  </si>
  <si>
    <t>F25</t>
  </si>
  <si>
    <t>Gu and Townsend (2017)</t>
  </si>
  <si>
    <t>Gu H, Townsend PA. Mapping forest structure and uncertainty in an urban area using leaf-off lidar data. Urban Ecosystems. 2017;20:497–509.</t>
  </si>
  <si>
    <t>Gu H, Townsend PA.</t>
  </si>
  <si>
    <t>Mapping forest structure and uncertainty in an urban area using leaf-off lidar data.</t>
  </si>
  <si>
    <t>hgu6@wisc.edu</t>
  </si>
  <si>
    <t>Madison</t>
  </si>
  <si>
    <t>The study was conducted in City of Madison and neighboring municipalities and suburban areas in southern central Wisconsin, USA. The study area comprises seven major municipalities, all with differing land use, land cover, development and management policies.</t>
  </si>
  <si>
    <t>Forest measurements were made for 60 plots covering the range of stand structure and species composition in the study area. Aboveground biomass per unit area at each subplot was estimated using a standard allometric approach based on a variable-sized plot design.</t>
  </si>
  <si>
    <t>We estimated total aboveground biomass and standard error by municipality from the forest structure maps by summation of aboveground biomass and associated standard error for all the forest pixels within each municipality boundary (Fig. 1b). We also approximated total biomass by applying root-to-shoot ratio of 0.26 to total aboveground biomass</t>
  </si>
  <si>
    <t>20 different tree species dominated composition in at least one of our 50 × 50 m plots, compared to a maximum of 9 dominant species reported in other studies using discrete-return lidar. Aside from percent forest cover, stem diameter distribution is another important factor influencing total carbon stock, with larger diameter trees storing more carbon. It is estimated that the study area stores 27 t C/ha.</t>
  </si>
  <si>
    <t>Though total carbon storage per hectare is the lowest in city of Verona, development and land management practices could potentially maximize carbon storage in urban forests. For example, 31 % of Verona is covered by pasture and cultivated crops, converting abandoned grassland and agriculture to forests is a feasible way to increase the carbon sink. Other active carbon management includes reducing deforestation for urban development, increasing forest productivity through fertilization at time of planting, insects and competition control, and selecting tree species favorable for storing carbon when planting new trees.</t>
  </si>
  <si>
    <t>total height, stem density, tree species composition, crown width/area, crown height, standing dead trees, diameter</t>
  </si>
  <si>
    <t>F26</t>
  </si>
  <si>
    <t>McPherson and Kendall (2014)</t>
  </si>
  <si>
    <t>McPherson EG, Kendall A. A life cycle carbon dioxide inventory of the Million Trees Los Angeles program. The International Journal of Life Cycle Assessment. 2014;19:1653–65.</t>
  </si>
  <si>
    <t>McPherson EG, Kendall A.</t>
  </si>
  <si>
    <t>A life cycle carbon dioxide inventory of the Million Trees Los Angeles program.</t>
  </si>
  <si>
    <t>The International Journal of Life Cycle Assessment</t>
  </si>
  <si>
    <t>gmcpherson@fs.fed.us</t>
  </si>
  <si>
    <t>The study area covers 1,022 km2 of urbanized land in the city of Los Angeles, CA. The city of Los Angeles (latitude 34° 06′ 36′′ N, longitude 118° 24′ 40′′ W) lies within one of the largest metropolitan areas in the USA (population is 3.8 million).</t>
  </si>
  <si>
    <t>34 06' 36"</t>
  </si>
  <si>
    <t>118 24' 40"</t>
  </si>
  <si>
    <t>We categorize MTLA plantings from 2006 through 2010 as street, park, or yard projects. Information on the numbers and species of street, park, and yard trees planted from 2006 through 2010 came from databases maintained by MTLA, RPD, and LACC (ESM Table S1).</t>
  </si>
  <si>
    <t>To calculate biomass and CO2 stored in each tree planted, climate zone, species name, and dbh were used with 26 species-specific equations for trees growing in open, urban conditions. Urban-based biomass equations were developed from street and park trees measured in California (Pillsbury et al. 1998) and Colorado cities (Lefsky and McHale 2008). Volume estimates were converted to green and dry weight estimates (Markwardt 1930) and were divided by 78 % to incorporate root biomass (Nowak 1994). Dry weight biomass was converted to carbon.</t>
  </si>
  <si>
    <t>Information from the MTLA databases indicated that 91,786 trees were planted from 2006 to 2010 and 87.5 % were planted in the inland climate zone. Street tree species were quite evenly distributed among the three mature size classes. However, 65.5 and 14.0 % of the park trees were large and medium stature, respectively. The opposite was found for yard trees, 45.7 % were small and only 14.2 % were large. Assuming that bCO2 stored in woody biomass and the soil at the end of the 40-year analysis remains in situ for over 100 years, the simulated MTLA tree planting is projected to be a net reducer of CO2 after 40 years (−98,053 t, −1,068.3 kg per tree). Yard trees were estimated to produce the greatest reduction per tree planted (−1,161.3 kg), while street trees produced the largest total net reduction (−61,467 t). This study found that the average annual emissions per tree planted averaged 22.7 kg.</t>
  </si>
  <si>
    <t>This potential is greatest for strategies that reduce decomposition, where values ranged from 78.7 (yard) to 770.4 kg per tree planted (street). Utilizing tree biomass as feedstock for biopower production proved to be the single most effective management practice simulated in this study. Delaying emissions by utilizing removed wood in products such as benches, picnic tables, and other building materials faces similar hurdles (Bratkovich 2001). CO2 emissions related to irrigation water ranged from 0 kg (park) to 104.3 kg per tree planted (Table 1). Planting trees in areas that already receive irrigation, such as turf, can reduce or eliminate the need for supplemental irrigation. Selecting native and drought-tolerant tree species that can grow without irrigation once established is another tactic. . Tree removal and stump grinding activities (57.2 kg per tree planted) offer considerable opportunity for emission reductions. Strategies aimed at reducing equipment emissions, the primary source, include reducing the horsepower of stump grinders and chippers to the minimum required for the size of material to be removed as well as limiting equipment idling and RT by working more efficiently. To maximize net CO2 reductions, MTLA mangers can increase yard tree plantings, which produced the greatest average net CO2 reduction per tree planted (−1,161.3 kg for 40 years). Potential reductions are greatest when trees are positioned to shade west-facing walls, especially in the hotter inland climates where air conditioning savings are greatest. Storage is increased by selecting trees that will grow as large as the space allows and long-lived species with dense wood.</t>
  </si>
  <si>
    <t>crown width/area, total height, coarse woody debris layer, tree species composition, standing dead trees, diameter, planting arrangement</t>
  </si>
  <si>
    <t>F27</t>
  </si>
  <si>
    <t>Nowak et al. (2016)</t>
  </si>
  <si>
    <t>Nowak DJ, Hoehn RE, Bodine AR, Greenfield EJ, O’Neil-Dunne J. Urban forest structure, ecosystem services and change in Syracuse, NY. Urban Ecosyst. 2016;19:1455–77.</t>
  </si>
  <si>
    <t>Nowak DJ, Hoehn RE, Bodine,AR, Greenfield EJ, O'Neil-Dunne J</t>
  </si>
  <si>
    <t>Urban forest structure, ecosystem services and change in Syracuse, NY</t>
  </si>
  <si>
    <t>dnowak@fs.fed.uz</t>
  </si>
  <si>
    <t>Syracuse</t>
  </si>
  <si>
    <t>Syracuse, NY (population=145,170; area=65 km2;U.S.Census2012) resides within Onondaga County in Central New York State, which has a fully humid snow climate with a forest potential natural vegetation type (Kottek et al. 2006; Kuchler 1966). This region is within the maple-beech-birch forest type group (USDA Forest Service 1993).</t>
  </si>
  <si>
    <t>Forested area, Native species, Land use type, Exotic/invasive species, Composition</t>
  </si>
  <si>
    <t>On each plot, woody vegetation with a minimum stem diameter at 1.37 m (dbh – diameter at breast height) of 2.54 cm was measured and recorded as a tree. For multi-stemmed trees, a tree dbh was calculated based on the basal area (cross-sectional area of stem at dbh) of the multiple stems. For each tree, species, dbh, total height, crown width, height to base of crown, percent crown missing, percent dieback and distance and direction to nearest 1–2 story space-conditioned building was recorded. These structural data are integrated with local environmental data within the i-Tree Eco model (www.itreetools.org) to estimate several functional attributes and values. Tree species found on the New York State invasive plant list (New York State Department of Environmental Conservation 2011) were classified as invasive and percent of the tree population, carbon storage, basal area and leaf area were calculated for the invasive species population in Syracuse.</t>
  </si>
  <si>
    <t>Carbon storage by trees is estimated based on allometric equations that estimate total tree biomass based on measured tree dbh and height (Nowak and Crane 2002; Nowak et al. 2002b,2008 ). Carbon storage is estimated as 50 % of dry weight biomass. Length of growing season, tree health and tree competition are used to estimate annual growth and consequently annual carbon sequestration. Carbon value is estimated at $78.5 t−1 based on the estimated social costs of carbon for 2010 with a 3 % discount rate (Interagency Working Group 2010).</t>
  </si>
  <si>
    <t>Syracuse’s urban forest stores approximately 165,900 metric tons of carbon ($13.0 million) and annually removes 5,300 metric tons of carbon ($417,000 yr−1) (Table 3). The forest removed approximately 101 metric tons of air pollution in 2009 ($852,000) (Table 4). The estimated annual savings in energy use from trees by residential buildings is $1.1 million yr−1 –- $636,000 yr−1 in reduced heating and $483,000 yr−1 in reduced cooling energy use. The total compensatory value of the urban forest is estimated at $615 million (Table 3). Carbon storage by Syracuse’s urban forest dropped slightly between 1999 (145,000 tC) and 2001 (144,100 tC), but increased to 165,900 tC in 2009. Annual carbon sequestration increased through the years increasing from 4,670 tC yr−1 in 1999 to 4,710 tC yr−1 in 2001 and 5,320 tC yr−1 in 2009.</t>
  </si>
  <si>
    <t>The future forest composition will be determined by a combination of natural (e.g., regeneration) and anthropogenic actions (e.g., tree planting and removal, development, mowing). City residents should determine what the desired future forest composition (and ecosystem services) should be and development plans to attain that goal. These plans can use natural regeneration, but also human actions to influence the future forest structure. Humans actions to remove invasive plants or protect trees from insects and diseases will affect forest structure and benefits, but at a cost. Thus, human actions or inaction in the context of natural forces for change in cities will shape the urban forest of the future. By understanding these potential changes, management actions can instituted to direct the future urban forest composition to a structure that is desirable and beneficial to the residents of the region.</t>
  </si>
  <si>
    <t>diameter, tree layer, total height, stem density, crown width/area, tree species composition, plant functional types, tree condition, crown height</t>
  </si>
  <si>
    <t>Plant functional traits (leaf type) is used to calculate "the amount of energy use and carbon avoided from power plants due to the presence of trees" (i.e., carbon emissions). Calculated tree density per ha.</t>
  </si>
  <si>
    <t>F28</t>
  </si>
  <si>
    <t>Wang et al. (2018)</t>
  </si>
  <si>
    <t>Wang X, Yao J, Yu S, Miao C, Chen W, He X. Street Trees in a Chinese Forest City: Structure, Benefits and Costs. Sustainability. Multidisciplinary Digital Publishing Institute; 2018;10:674.</t>
  </si>
  <si>
    <t>Wang X, Yao J, Yu S, Miao C, Chen W, He X</t>
  </si>
  <si>
    <t>Street trees in a Chinese forest city: Structure, benefits and costs</t>
  </si>
  <si>
    <t>Susainability</t>
  </si>
  <si>
    <t>15710591658@163.com</t>
  </si>
  <si>
    <t>Dalian</t>
  </si>
  <si>
    <t>This study was conducted in the main urban area (Zhongshan, Xigang, and Shahekou District) of Dalian (38◦43′–40◦10′ N, 120◦58′–123◦31′ E), which approximately covers 118 km2 with a population of 1.33 million. The study area experiences a warm temperate continental monsoon climate with maritime features [25]. The mean annual temperature is 11.3 ◦C, and ranges from −3.6 ◦C in January to 24.5 ◦C in August [26]. The mean annual precipitation is 580 mm, mostly falling in summer (China Meteorological Data Service Center (CMDC), 1981–2010).</t>
  </si>
  <si>
    <t>38 40' 000'' - 40 10' 000''</t>
  </si>
  <si>
    <t>120 58' 000'' - 123 31' 000''</t>
  </si>
  <si>
    <t>A field sample inventory was conducted to collect tree characteristics in the study area from June to September 2016. One hundred and twenty-one street segments were selected based on the statistical principles of random sampling, accounting for 4% of all street segments. All the trees along the selected segments were inventoried, a total of 3178 trees. Then the total tree number and information were calculated by analyzing the field data. Information regarding species, diameter at breast height (DBH), crown breadth, condition, maintenance recommendations and tasks, and other related attributes described in the i-Tree Streets Manual was recorded. Information was used to classify age structure.</t>
  </si>
  <si>
    <t>Carbon storage was calculated by using biomass equations for urban trees [42,43]. Annual carbon sequestration, the net increase of tree biomass, was calculated with tree species-specific growth curves and biomass equations</t>
  </si>
  <si>
    <t>Dalian’s street trees were estimated to store 29,873 t ($4,478,353) of CO2 that was accumulated in tree biomass (Table 3). P. acerifolia (34.6%), P. canadensis (14.9%), G. biloba (11.2%), S. japonica (7.7%), and R. pseudoacacia (7.6%) stored the most CO2. The annual amount of CO2 sequestered by street trees was 2317 t ($347,358) (Table 3). Meantime, the annual avoided CO2 emissions from energy savings totaled 4683 t ($702,073). On a per tree basis, the carbon reduction benefits were $16.2 on average. he age structure of street trees in Dalian was distributed somewhat unevenly, with 18% of young trees (0–15 cm), 56% of maturing trees (15–30 cm), 25% of mature trees (30–60 cm), and 1% of old trees (&gt;60 cm) (Figure 1). The management costs of Dalian’s street trees are approximately $1.5 million annually or $26.5/tree. Therefore, the annual net benefits were $3.4 million, at an average $58.7/tree (Table 7). City residents received $3.2 in benefits from every $1 invested in tree management, i.e., the benefit-cost ratio was 3.2:1.</t>
  </si>
  <si>
    <t>The importance values of the top 10 occurring species was 94.4, further indicating that Dalian’s street trees were much too dependent on these few species. Overreliance on G. biloba and P. acerifolia has generated a serious management concern and made street trees vulnerable to catastrophic losses caused by plant diseases, insect pests, or other stressors, highlighting the need to diversify street tree species composition. With regard to more old trees, the urban planner will face greater management costs in order to sustain the high and sustained flow of benefits. These results highlight the need to diversify the species composition through new tree plantings to reduce dependence on G. biloba and P. acerifolia and to protect against catastrophic losses. The municipality of Dalian needs to build an ideal age structure of street trees through new tree plantings to ensure a sustainable street tree structure.</t>
  </si>
  <si>
    <t>tree condition, tree species composition, diameter, age, crown width/area, tree layer</t>
  </si>
  <si>
    <t>Importance value (IV) of a street tree species is calculated using: mean % of total tree numbers, % total leaf area, % total canopy cover.
Total canopy cover of a tree species = tree layer (not overall canopy cover, since it's only trees)</t>
  </si>
  <si>
    <t>F30</t>
  </si>
  <si>
    <t>Tiwary et al. (2016)</t>
  </si>
  <si>
    <t>Tiwary A, Williams ID, Heidrich O, Namdeo A, Bandaru V, Calfapietra C. Development of multi-functional streetscape green infrastructure using a performance index approach. Environmental Pollution. 2016;208:209–20.</t>
  </si>
  <si>
    <t>Tiwary A, Williams ID, Heidrich O, Namdeo A, Bandaru V, Calfapietra C</t>
  </si>
  <si>
    <t>Development of multi-functional streetscape green infrastructure using a performance index approach</t>
  </si>
  <si>
    <t>Environmental Pollution</t>
  </si>
  <si>
    <t>a.tiwary@soton.ac.uk</t>
  </si>
  <si>
    <t>Newcastle-upon-Tyne</t>
  </si>
  <si>
    <t>The case study site was located on an area spanning 250m×200m adjacent to a busy road network, connecting the suburbs to Newcastle-upon-Tyne city center, UK (54.979°N, 1.6111°W). An initial visual assessment of species abundance, proximity to the road and suitability for assessment was carried out to draw a shortlist of fifteen species, comprising of a mix of deciduous and evergreen trees and shrubs (Table 1)</t>
  </si>
  <si>
    <t>54° 58' 44.3994"</t>
  </si>
  <si>
    <t>-1° 36' 39.9594"</t>
  </si>
  <si>
    <t>An initial visual assessment of species abundance, proximity to the road and suitability for assessment was carried out to draw a shortlist of fifteen species, comprising of a mix of deciduous and evergreen trees and shrubs (Table 1). Inclusion of shrubs and forbs has been particularly recommended in the literature for a better understanding of the full suite of multi-functionality of the urban ecosystems (Dobbs et al., 2011).The earmarked traits for the vegetation species were evaluated using a combination of experiments and literature survey for acquiring the underlying datasets, as described below and summarised in Table 2.</t>
  </si>
  <si>
    <t>Within the study area, all trees have been inventoried and structural data measured, i.e. diameter at breast height, height, crown depth, crown wideness, health status of the plant, and crown exposure to light. For each species, its CSP has been considered directly proportional to its AGB (using Eq. [2]), the latter expressed as a function of its stand height and the DBH using empirical biomass equation (based on Table 1)</t>
  </si>
  <si>
    <t>Our results indicate greater preference to small-to-medium size trees and evergreen shrubs over larger trees for streetscaping. The carbon sequestration and bioenergy provision (CSP, BEP respectively) capabilities seem closely related to each other with London Plane and Willow showing best suitability (Table 3). Overall, among trees Norway spruce (evergreen species) appears to be the most favorable for streetscapes, with high scores across most of the evaluated traits, except CSP and BEP. This is followed by Willow, Maple, Hazlenut, Hornbeam, Ash, London Plane, Lime and Horsechestunt</t>
  </si>
  <si>
    <t>a mix of small-to-medium size trees and evergreen shrubs is identified suitable for developing multi-functional streetscape vegetation. The premise of the PI approach is that the vegetation species must be well-suited to the specific growing conditions and resilient to threats from pests, drought, storms, etc., otherwise functional performance is moot.</t>
  </si>
  <si>
    <t>Weak recommendations</t>
  </si>
  <si>
    <t>shrub species composition, tree condition, diameter, plant functional types, age, total height, crown height, crown width/area, tree species composition</t>
  </si>
  <si>
    <t>F31</t>
  </si>
  <si>
    <t>Rötzer et al. (2021)</t>
  </si>
  <si>
    <t>Rötzer T, Moser-Reischl A, Rahman MA, Hartmann C, Paeth H, Pauleit S, et al. Urban tree growth and ecosystem services under extreme drought. Agricultural and Forest Meteorology. 2021;308–309.</t>
  </si>
  <si>
    <t>Rötzer T, Moser-Reischl A, Rahman MA, Hartmann C, Paeth H, Pauleit S, et al</t>
  </si>
  <si>
    <t>Urban tree growth and ecosystem services under extreme drought</t>
  </si>
  <si>
    <t>Agricultural and Forest Meteorology</t>
  </si>
  <si>
    <t>thomas.roetzer@tum.de</t>
  </si>
  <si>
    <t>Würzburg</t>
  </si>
  <si>
    <t>Würzburg lies in the center of Germany. It is a medium-sized and densely built Central European city with 128,000 inhabitants (Eurostat, 2020), located in a deep basincrossed by the Main river</t>
  </si>
  <si>
    <t>Within a radius of 5 km from the centerof the city to sub-urbanareas, five sites were selectedfor the study to represent a gradient from the inner city to the fringe. The selected sites include types of buildings and green spaces that are typical for Central European cities (Table 1).The chosen species T. cordata and R. pseudoacacia represent tree species with different physiological traits</t>
  </si>
  <si>
    <t>Using basic information of individual trees and their environmental conditions, the process-based model CityTree simulates the growth and structural change of urban trees. In the allocation module, the carbon obtained by the end of the year is partitioned into the individual compartments of the plant: increments of stem, branches, leaves and fine and coarse roots are determined. The trunk biomass is the product of trunk volume and wood density. The trunk volume within the crown is calculated as a cone with the trunk radius at the base of the crown and the crown length.</t>
  </si>
  <si>
    <t>Due to their dimensions but also due to their location in Würzburg, T. cordata trees at Ludwigkai provided the highest ecosystem services (CO2-fixation, transpiration and cooling by transpiration) in comparison to the other T. cordata tree sites: 35.4 kg CO 2-fixation per year. R. pseudoacacia trees had clearly higher annual CO2-fixation rates, but the water consumption and, thus, the cooling capacity by transpiration of the trees at the three sites (Ren nweg, Zu-Rhein-Straße, and Rottendorfer Straße) were markedly lower than for the T. cordata tree sites. The trees species and the tree size play a dominant role for the quantification of biomass, carbon content and annual carbon fixation (Davies et al., 2013; Nowak and Crane, 2002; R ̈ otzer et al., 2019). This was also found in our study in which the highest annual carbon fixation rates were found for old trees with clearly higher values for R. pseudoacacia compared to T. cordata (Table 5). Moser et al. (2015) showed that on average twice as much CO2 was stored by the species R. pseudoacacia compared to T. cordata. Tree growth, hence of carbon fixation through leaf transpiration, hence transpiration cooling is highly dependent on the climate and the environmental conditions of a site.</t>
  </si>
  <si>
    <t>Thus, the findings not only confirm the well-accepted need to prefer drought-adapted tree species over water demanding species at tough urban sites but also underpin this with quantitative information. For instance, the selection of R. pseudoacacia would result in twice as high rates of carbon sequestration under drought conditions compared to T. cordata.</t>
  </si>
  <si>
    <t>tree species composition, crown height, age, total height, tree condition, crown width/area, diameter</t>
  </si>
  <si>
    <t>Crown radius = crown width (since it was used to find crown area).
Suitable trees had to be planted in the same soil and not shaded by objects; I did not qualify this as planting arrangement as it was not compared between the species.</t>
  </si>
  <si>
    <t>F32</t>
  </si>
  <si>
    <t>Riikonen et al. (2017)</t>
  </si>
  <si>
    <t>Riikonen A, Pumpanen J, Mäki M, Nikinmaa E. High carbon losses from established growing sites delay the carbon sequestration benefits of street tree plantings – A case study in Helsinki, Finland. Urban Forestry &amp; Urban Greening. 2017;26:85–94.</t>
  </si>
  <si>
    <t>Riikonen A, Pumpanen J, Mäki M, Nikinmaa E.</t>
  </si>
  <si>
    <t>Helsinki</t>
  </si>
  <si>
    <t>High carbon losses from established growing sites delay the carbon sequestration benefits of street tree plantings – A case study in Helsinki, Finland.</t>
  </si>
  <si>
    <t>anu.riikonen@helsinki.fi</t>
  </si>
  <si>
    <t>We studied the tree biomass and soil C changes on two separate street sites, located 800 m apart from each other, in the Viikki suburb in Helsinki, Finland, (N60°15′, E25°03′) over 10 years after the establishment of the street.</t>
  </si>
  <si>
    <t>60 15' 000"</t>
  </si>
  <si>
    <t>25 03' 000"</t>
  </si>
  <si>
    <t>One street, 250 m in length, was planted with 15 common lime Tilia × vulgaris Hayne trees (Tilia site) and the other (200 m in length) with 22 black alder Alnus glutinosa (L.) Gaertn. f. pyramidalis Dippel ‘Sakari’ trees (Alnus site).</t>
  </si>
  <si>
    <t>Dead wood/organic matter, Above-ground biomass, Soil</t>
  </si>
  <si>
    <t>The development of tree aboveground woody biomass (ABW) at the study sites was calculated from measurements made of same 6–12 trees per species in August 2005, 2008 and 2011, and leaf biomass from measurements taken in all years from 2004 to 2011. The contribution of exported biomass fractions (tree litter C and pruned branches) to tree C sequestration was estimated with an exponential decay function (Olson, 1963), to account for these non-living compartments of tree sequestrated C at a given time. The change in soil C stock was calculated as LOI (loss in ignition) change between the sampling times and from the initial value for different soils and sites (2002–2011).</t>
  </si>
  <si>
    <t>The soil C stock at the time of establishment was approximately 400, 900 and 250 kg of C per tree in the 25 m3 of tree soil in soils 1, 2 and 3, respectively. The average loss of C in 2002–2011 across the soils was approximately 290 kg per 25 m3. Based on biomass measurements, an average Tilia tree showed approximately 25 kg of C in its WB in 2011 (Table 4) and sequestered approximately 18 kg C in total WB per tree in 2003–2011. The WB of an average Alnus tree had a stock of 37.5 kg of C in 2011. Including the C in the roots, C sequestration in the Alnus WB in 2003–2011 showed a total of 32 kg. Based on the estimates of soil C loss and tree C sequestration, the Alnus trees sequestered 10–15% of the mean soil C loss by 2011, while the Tilia trees achieved some 10% sequestration in comparison to the mean C losses from the tree soils, but the uncertainties in both soil C loss and tree C sequestration remain considerable.</t>
  </si>
  <si>
    <t>In considering the C sequestration capacity of street trees, the initial C losses from peat-containing soils after site establishment should not be overlooked. Due to the exponential nature of the increase in tree C stock over time, tree planting-related C expenses are best compensated for with a long tree life expectancy. This is best achieved with adequate consideration of tree growth requirements over their entire life cycle. Compensating for the smallest measured single tree soil C stock loss of 100 kg by C sequestration of the tree in this case study was predicted to require at least 30 years. Cutting the C expenses of the tree planting and focusing on the longevity of pruning and leaf litter C may aid in balancing tree-related C effects.</t>
  </si>
  <si>
    <t>tree species composition, age, diameter</t>
  </si>
  <si>
    <t>Soil structure analysis ≠ ground layer.
Measured branch basal area and leaf area.
Estimated C stocks in branch prunings and leaf litter by a function: does not count.
Age = planting year.</t>
  </si>
  <si>
    <t>F33</t>
  </si>
  <si>
    <t>Vaughn et al., (2014)</t>
  </si>
  <si>
    <t>Vaughn RM, Hostetler M, Escobedo FJ, Jones P. The influence of subdivision design and conservation of open space on carbon storage and sequestration. Landscape and Urban Planning. 2014;131:64–73.</t>
  </si>
  <si>
    <t>Vaughn RM, Hostetler M, Escobedo FJ, Jones P.</t>
  </si>
  <si>
    <t>The influence of subdivision design and conservation of open space on carbon storage and sequestration.</t>
  </si>
  <si>
    <t>ecokaidiver@hotmail.com</t>
  </si>
  <si>
    <t>Gainesville</t>
  </si>
  <si>
    <t>The location of this study area is north of Gainesville, Florida on State Route 121 (29◦ 43′ N, 82◦ 21′ W). Gainesville is located in North Central Florida, USA and has a population of 125,326 (United States Census Bureau, 2011). Gainesville’s climate is humid and subtropical with an average temperature of 12.5 ◦C in January and 26.2 ◦C in June.</t>
  </si>
  <si>
    <t>29 43' 000"</t>
  </si>
  <si>
    <t>82 29' 000"</t>
  </si>
  <si>
    <t>This study area, hereafter called the Gainesville 121 site, was chosen because it is in the initial stage of urban development and land owners are interested in determining how carbon storage and sequestration could be improved using different development designs. The development site is currently owned by Plum Creek and is comprised of 705 ha of planted pine, mixed hardwood forest, and wetlands. At the time field work was conducted, the site was approved for 1835 residential units.</t>
  </si>
  <si>
    <t>Analysis of land cover raster data generated by the Florida Fish and Wildlife Conservation Commission (Florida Fish &amp; Wildlife Conservation Commission, 2003) using ArcMap software revealed that the study area is comprised of 21 Land Use and Land Cover (LULC) types. Four of these LULC classifications, bare soil/clear-cut, urban residential, agriculture, and pasture/grassland/agriculture, (a total of 18 ha), were excluded. To better represent the major plant community types in the study area, the remaining seventeen LULC types were aggregated into three forest type classes (hydric, mesic–hydric, and xeric–mesic) based on soil moisture regimes and species composition.</t>
  </si>
  <si>
    <t>During subsequent analyses, individual trees on these one-quarter subplots were multiplied by a factor of four before analyzing in i-Tree. Field information was uploaded into the i-Tree Eco model (Nowak et al., 2008) to calculate total tree carbon sequestration and storage for the entire study area.</t>
  </si>
  <si>
    <t>A total of 26 different tree species were identified in the sample plots. The older tree stand age groups 19–29 and 30–61 yrs stored more carbon than the younger tree stand age categories 2–9 and 10–18 yrs consistent with previous research showing that stand age is an important variable in determining carbon storage (Timilsina et al., 2013; Wang et al., 2011). Healthy, large trees store several times more carbon than smaller trees, thus even small conservation areas can have significant impacts on a development’s overall carbon footprint. Carbon storage and sequestration did not differ among the three forest classes with the exception that the hydric forest type stored more carbon than mesic–hydric. Comparing different subdivision designs, we did find that the placement of built areas could significantly improve carbon storage and sequestration. Three of the top performing scenarios had the potential to conserve over 85% of carbon storage and over 76% of carbon sequestration. This is an increase of over 30% in total carbon benefit from the current permitted design scenario. Overall, compact designs, combined with sustainable construction practices, will minimize a site’s overall carbon footprint. Two compact designs (scenarios 5 &amp; 6) provided the best overall conservation of carbon storage and sequestration but negatively impacted designated conservation areas. The single compact design and the multiple compact design rank 3rd and 1st in carbon conservation respectfully. These two scenarios focused on conserving older tree groups 19–29 and 30–61 yrs without sacrificing compactness.</t>
  </si>
  <si>
    <t>The compact designs in this study not only maximizes storage and sequestration by conserving forested areas, it can save a developer or municipality money through reduced capital costs for paved roads. In this study, we assumed that all trees were cleared on buildable areas, but preserving trees on individual built lots can further reduce a development’s carbon footprint.</t>
  </si>
  <si>
    <t>stem density, standing dead trees, diameter, crown height, crown width/area, total height, age, tree condition, tree species composition</t>
  </si>
  <si>
    <t>Compared development scenarios and conservation plans with regards to carbon sequestration (not marked as planting arrangement).</t>
  </si>
  <si>
    <t>F34</t>
  </si>
  <si>
    <t>Peters and McFadden (2012)</t>
  </si>
  <si>
    <t>Peters EB, McFadden JP. Continuous measurements of net CO2 exchange by vegetation and soils in a suburban landscape. Journal of Geophysical Research: Biogeosciences. 2012;117: G03005</t>
  </si>
  <si>
    <t>Peters EB, McFadden JP.</t>
  </si>
  <si>
    <t>Continuous measurements of net CO2 exchange by vegetation and soils in a suburban landscape.</t>
  </si>
  <si>
    <t>Journal of Geophysical Research</t>
  </si>
  <si>
    <t>ebpeters@umn.edu</t>
  </si>
  <si>
    <t>Saint Paul</t>
  </si>
  <si>
    <t>Our study was conducted in a first-ring suburban neighborhood immediately outside the border of the city of Saint Paul, in east-central Minnesota, USA (44 59′N, 93 11′ W). The neighborhood had approximately 1000 inhabitants km^-2 and a housing density of 350 housing units km^-2. this 7 ha study area (Figure 1) has a cold temperate climate and is influenced by the urban heat island effect [Winkler et al., 1981; Todhunter, 1996; Sen Roy and Yuan, 2009]. The relatively flat terrain made this landscape suitable for eddy covariance measurements from the 150-m tall KUOM broadcast tower. The average tall tower flux footprint area had 82% vegetation cover, which consisted primarily of open turfgrass lawns, forested patches, and isolated trees with a mean tree height of 12 m (Table 1).</t>
  </si>
  <si>
    <t>44 59' 000''</t>
  </si>
  <si>
    <t>93 11' 000''</t>
  </si>
  <si>
    <t>The land-use types within the tower footprint included residential land use (single-family, detached housing) to the northwest and northeast, and recreational land use (a golf course) to the southwest (Figure 1). [8] We selected four stands of trees (CTC, Grove, Lauderdale, and Saint Paul sites) suitable for sap flux measurements within our study area (Figure 1), as described in Peters et al. [2010]. Briefly, these sites were selected to include tree species and sizes that were as representative as possible of an Urban Forest Inventory and Analysis [U.S. Forest Service, 2005] conducted in 2005–2006 in the study area. Trees were grown under park-like, or backyard conditions, with open, pruned canopies and turfgrass ground cover. Plant functional types included: evergreen needleleaf tree, deciduous broadleaf tree, coolseason turfgrass. The sampled trees included seven different genera (Fraxinus, Juglans, Picea, Pinus, Quercus, Tilia,andUlmus), representing two plant functional types (evergreen needleleaf and deciduous broadleaf)</t>
  </si>
  <si>
    <t>Above-ground biomass, Soil</t>
  </si>
  <si>
    <t>In a suburban area, FC(VegSoil) represents the sum of all CO2 fluxes from vegetation and soils, such that: FC (VegSoil )= FC(T) + FC(G). where FC(T) represents net CO2 fluxes from trees and FC(G) represents net CO2 fluxes from turfgrass lawns, including CO2 emissions from soil respiration. This represents a “bottom-up” approach to estimating landscape FC(VegSoil) in which continuous measurements of each major vegetation type are scaled up using a high-resolution land cover map. To obtain continuous estimates of FC(T) across the 2007 and 2008 growing seasons, we combined sap flow and leaf-level gas exchange measurements following Catovsky et al. [2002]. Finally, we estimated the net CO2 exchange of trees, FC(T), by multiplying AC by the ratio between net and gross primary production (NPP:GPP) for forests. In a review of carbon use efficiencies (NPP:GPP), DeLucia et al. [2007] found an average ratio of 0.53 for all forests, with a range from 0.23 to 0.83. Based on this, we converted daily sums of AC to FC(T) by multiplying by -0.5 and 30-min daytime AC fluxes by -0.75.</t>
  </si>
  <si>
    <t>Evergreen needleleaf genera (Picea and Pinus) had higher daily AC across the entire growing season than deciduous broadleaf genera (Fraxinus, Ulmus, Tilia and Juglans), reaching maximum AC rates of &gt;10 g C m^-2 day^-1 in May and June. Daily AC for three deciduous genera (Fraxinus, Ulmus,andJuglans) remained &lt;5 g C m^-2 day^-1 across the entire growing season. Tilia, however, had daily AC &gt;8 g C m^-2 day^-1,particularlyin early summer. Across the 2008 growing season (April to November), evergreen needleleaf trees (FC(Teg)) had greater uptake rates than all other vegetation types on a per cover area basis (Figure 5a). For perspective, we note that evergreen trees had the highest midsummer leaf area index (8.8 m2 m^-2), followed by deciduous trees (5.5 m2 m^-2) and the non-irrigated turfgrass lawn (1.7 m2 m^-2). Deciduous broadleaf trees (FC(Tdec)) showed a pronounced seasonal carbon uptake pattern due to spring leafout and fall senescence, showing maximum daily net CO2 uptake from June to September. Turfgrasses (both FC(Gnirr) and FC(Girr)) showed peaks in net CO2 uptake in May and October and a period of reduced growth during warm and dry conditions in midsummer, which is the characteristic seasonal pattern of cool-season C3 turfgrasses [Fry and Huang, 2004]. Throughout the growing season, FC(Teg), FC(Tdec),andFC(Girr) all represented net sinks of CO2, whereas FC(Gnirr) was a daily net source of CO2 to the atmosphere in July and August. Total growing season (April to November) FC(VegSoil) was lower on average (greater net CO2 uptake) in recreational land-use areas (_x0001_165 g C m_x0001_2) compared to residential land-use areas (_x0001_124 g C m_x0001_2) (Figure 8a).</t>
  </si>
  <si>
    <t>The significant magnitude and strong seasonality of FC(VegSoil) within this first-ring suburb suggests that municipal carbon budgets that do not account for FC(VegSoil) of urban vegetation and soils could overestimate the total CO2 emissions from urban areas. This is important because cities are increasingly interested in using urban tree planting and vegetation management to mitigate their greenhouse gas emissions and to generate offsets in carbon markets [McHale et al., 2007; Poudyal et al., 2010]. This will depend on quantifying FC(VegSoil) across the annual cycle, which our results suggest will require attention to the seasonality of different plant functional types and species, in addition to management practices. We note that in regional climates different from our study area (e.g., semi-arid cities) it will be important to quantitatively evaluate vegetation management in light of tradeoffs between ecosystem services, such as carbon sequestration, versus costs, such as water use [Pataki et al., 2011].</t>
  </si>
  <si>
    <t>tree species composition, plant functional types, tree layer, crown width/area, ground layer</t>
  </si>
  <si>
    <t>Calculated land cover of each vegetation type in study areas (≠ overall canopy cover).</t>
  </si>
  <si>
    <t>F35</t>
  </si>
  <si>
    <t>McPherson et al. (2013)</t>
  </si>
  <si>
    <t>McPherson EG, Xiao Q, Aguaron E. A new approach to quantify and map carbon stored, sequestered and emissions avoided by urban forests. Landscape and Urban Planning. 2013;120:70–84.</t>
  </si>
  <si>
    <t>McPherson EG, Xiao Q, Aguaron E.</t>
  </si>
  <si>
    <t>A new approach to quantify and map carbon stored, sequestered and emissions avoided by urban forests</t>
  </si>
  <si>
    <t>Los Angeles and Sacramento</t>
  </si>
  <si>
    <t>The two study areas cover 1022 km2 in the City of Los Angeles, CA and 1732 km2 in the Sacramento, CA metropolitan area (Fig. 1). The City of Los Angeles (latitude: 34◦06′36′′ N, longitude: 118◦24′40′′ W) lies within one of the largest metropolitan areas in the United States and has a land area of 1225 km2. The city’s population is 3.8 million and there are 15 council districts and 86 neighborhood councils. Topographic gradients are small in the coastal areas and inland valleys; however, within the city limits there are mountain ranges with steep slopes. Los Angeles has beach, wetland and mountain habitats. The coastal sage scrub is still evident in protected areas, and coastal live oak (Quercus agrifolia) occurs in riparian forest communities. The City of Sacramento (latitude: 38◦34′54′′ N, longitude: 121◦29′35′′ W) is the state capital of California and economic and cultural hub of the region. The Sacramento metropolitan study area included six counties and had a population of about 2.5 million. The study area excluded nonurban areas on the edge of development, such as parcels greater than 0.4 ha zoned for low density residential use. They are characterized by sparse to dense stands of blue oak (Quercus douglasii) with interior live oak (Quercus wislizenii) and foothill pine (Pinus sabiniana) interspersed. Riparian forests extend along river courses and associated bottom lands. The climates of both Los Angeles and Sacramento are Mediterranean, characterized by hot, dry summers and cool, rainy winters</t>
  </si>
  <si>
    <t>34 06' 36'' : 38 34' 54''</t>
  </si>
  <si>
    <t>118 24' 40'' : 121 29' 35''</t>
  </si>
  <si>
    <t>Land use type, Canopy cover, Composition</t>
  </si>
  <si>
    <t>Circular plots, each 0.04 ha in size, were randomly located and surveyed following UFORE protocols (Nowak et al., 2008). In Los Angeles, 370 plots were measured by a US Forest Service forester and UC Riverside graduate student during 2007 and 2008, with information recorded for 696 trees. Twenty-one of these plots were excluded from this analysis because they fell in non-urbanized areas. In Sacramento, 300 plots were measured by volunteers trained by the Sacramento Tree Foundation (STF) during 2007 and data recorded on 640 trees. Field data were obtained from STF and UC Riverside personnel after internal quality control was conducted. . All live trees with a diameter at breast height (dbh) that exceeded 2.54 cm were measured with a tape to the closest 0.1 cm. Tree height was measured with a clinometer to the closest 0.1 m. In Sacramento, ocular estimation and plot mapping were used to calculate the percentages of plot area in tree cover, shrub cover under tree cover and shrub cover extending beyond tree cover. In Los Angeles, the percentage of shrub cover extending beyond tree cover was not recorded directly. It was calculated as the difference between total shrub cover and shrub cover under tree cover.</t>
  </si>
  <si>
    <t>The two types of allometric biomass equations used in the CTCC yielded aboveground volume and dry weight of a tree. The methodology to convert green volume into biomass and eventually to stored C is well established (Jenkins, Chojnacky, Heath, &amp; Birdsey, 2003a; Jenkins, Chojnacky, Heath, &amp; Birdsey, 2003b; Markwardt &amp; Wilson, 1935; Simpson, 1993) and entailed calculating total dry weight biomass, then carbon (C) and stored C equivalents. Converting the fresh weight of green volume into dry weight required use of species specific dry weight density conversion factors. The amount of belowground biomass in roots of urban trees is not well researched. This study assumed that root biomass was 28 percent of total tree biomass (Cairns, Brown, Helmer, &amp; Baumgardner, 1997; Husch, Miller, &amp; Beers, 1982; Wenger, 1984). Wood volume (dry weight) was converted to C by multiplying by the constant 0.50 (Lieth, Lieth, &amp; Whittaker, 1975). The amount of C sequestered in year x was calculated as the amount stored in year x + 1 minus the amount stored in year x.</t>
  </si>
  <si>
    <t>Carbon density values varied by land use (Table 5). Storage densities ranged from 1.34 (CI) to 14.82 (LDR) t ha−1 in Los Angeles and 3.39 (CI) to 21.51 t ha−1 (LDR) in Sacramento. The overall average storage density in Sacramento (15.40 t ha−1) was about twice the amount in Los Angeles (8.15 t ha−1). The overall average annual sequestration density value was greater in Sacramento (0.90 t ha−1 yr−1) than Los Angeles (0.45 t ha−1 yr−1). Sequestration densities were lowest in CI land uses and relatively high in LDR uses. In Sacramento, the highest sequestration densities were in OS/PL and Agriculture. Los Angeles’ and Sacramento’s overall average annual avoided C emission densities were 0.38 and 0.50 t ha−1 yr−1, respectively. The primary contribution of this paper is methodological; the derivation and application of UTC-based transfer functions. When supported by ample field sampling and accurate UTC delineation, transfer functions improve C calculations by incorporating effects of age-related differences in species composition and stand structure among low density residential age classes and other land uses.</t>
  </si>
  <si>
    <t>Differences in species composition reflect each region’s distinctive climate and horticultural preferences. These differences influence C storage, which is a product of species-specific biomass equations and wood density values. Application of multiple transfer functions allows for mapping of C storage, sequestration and avoided emission rates at high spatial resolution. Future research that identifies relations between C and different land use/age classes across time will make it possible to model how baseline C storage is likely to change as different neighborhoods age.</t>
  </si>
  <si>
    <t>tree species composition, total height, ground layer, stem density, tree layer, shrub layer, diameter</t>
  </si>
  <si>
    <t>F36</t>
  </si>
  <si>
    <t>Akbari (2001)</t>
  </si>
  <si>
    <t>Akbari H, Ernest Orlando Lawrence Berkeley National Lab. C (US). Shade trees reduce building energy use and CO2 emissions from power plants. Environmental Pollution. 2001;116.</t>
  </si>
  <si>
    <t>Akbari, H.</t>
  </si>
  <si>
    <t>Shade trees reduce building energy use and CO2 emissions from power plants.</t>
  </si>
  <si>
    <t>h_akbari@lbl.gov</t>
  </si>
  <si>
    <t>Frelich, L.E., 1992. Predicting Dimensional Relationship for Twin Cities Shade Trees. Department of Forest Resources, University of Minnesota—Twin Cities, St. Paul, MN.</t>
  </si>
  <si>
    <t>Twin Cities</t>
  </si>
  <si>
    <t>Frelich provides data on the age, the dbh, crown area, and height for 12 species of trees around Twin Cities, MN. We used this data to estimate the rate of carbon sequestration.</t>
  </si>
  <si>
    <t>We estimated the volume of the wet biomass of the trunk by assuming a cone with a base area with the given diameter and height. Then we multiplied the trunk volume by 1.5 to account for the volume of main branches and roots. The weight of the biomass was estimated by multiplying the volume by a density of 900 kg/m3. The weight of the dry mass was estimated at 50% of the wet mass and the amount of carbon was estimated to be 50% of the dry mass.</t>
  </si>
  <si>
    <t>This calculation suggests that urban trees play a major role in sequestering CO2 and thereby delaying global warming. According to our calculations an average shade tree sequesters about 4.5–11 kg/year (as it would if growing in a forest). In that sense, one shade tree in Los Angeles is equivalent to 3–5 forest trees. Authors list the 12 species and their associated carbon sequestrtaion rates.</t>
  </si>
  <si>
    <t>diameter, total height, crown width/area, age, tree species composition</t>
  </si>
  <si>
    <t>F37</t>
  </si>
  <si>
    <t>Timilsina et al. (2014)</t>
  </si>
  <si>
    <t>Timilsina N, Staudhammer CL, Escobedo FJ, Lawrence A. Tree biomass, wood waste yield, and carbon storage changes in an urban forest. Landscape and Urban Planning. 2014;127:18–27.</t>
  </si>
  <si>
    <t>Timilsina N, Staudhammer CL, Escobedo FJ, Lawrence A.</t>
  </si>
  <si>
    <t>Tree biomass, wood waste yield, and carbon storage changes in an urban forest.</t>
  </si>
  <si>
    <t>ntimilsi@uwsp.edu</t>
  </si>
  <si>
    <t>The Gainesville, Florida study area is located at 29◦39′ N and 82◦20′ W in north-central Florida and covers an area of 12.2 km2. The climate is subtropical, warm, and humid and receives an average rainfall of 1370 mm per year; of which more than half is received during June through September. The study area has historically experienced low severity hurricanes, but damage has been much less than in other coastal urban forests in the region (Wyman, Escobedo, Stein, Northrop, &amp; Orfanedes, 2012). Soils are predominantly sandy siliceous Hyperthermic Aeric hapludods and Plinthic paleaquults; 95% of the soils in the area are sandy in texture.</t>
  </si>
  <si>
    <t>29 39' 000'</t>
  </si>
  <si>
    <t>82 20' 000'</t>
  </si>
  <si>
    <t>In 2009, 65 circular 0.04 ha plots originally established in 2005 and 2006 (hereafter referred to as 2006), were used to measure urban forest structure, surface covers, and land use/cover characteristics using established field measurement protocols. . We also measured percent shrub and tree cover in each plot. To facilitate analyses, land uses were assigned to 2006 urban land use/cover classes defined in Lawrence et al. (2012): commercial (n = 7), institutional (n = 15), residential (n = 27), and forest (n = 16). The following data were collected for all trees on plots: species, DBH (cm), total and crown base height (m), crown width in two directions (m), crown light exposure (CLE; 0–5, where zero denotes a crown completely blocked above and on all sides and five indicates that each side of the tree as well as the top of the tree is completely exposed to direct light), and percent missing and percent dieback of foliage (compared to a full crown) to determine tree condition.</t>
  </si>
  <si>
    <t>Using data from our 17 destructively sampled urban Quercus spp. trees, we fit a single composite equation for aboveground total tree fresh weight biomass in kg, B, including stem, branches and foliage. Several models commonly used in biomass estimation were evaluated. We selected a DBH (dbh)-based model (Eq. (1)), which, when compared to several other models, had the highest coefficient of determination (R2 = 0.96), lowest root mean square error (RMSE), and that met assumptions of normality and homoscedasticity: B = 0.3214dbh^2.321 . For each Quercus spp. measured biomass was predicted with this equation and bias-corrected using the correction factor, eRMSE2/2. Although an independent sample is preferred for model validation, our sample size was too small for such an evaluation. Thus, we assessed our locally developed urban tree equations by comparing them to that of the i-Tree ECO (Nowak et al., 2002, 2008) and tree carbon calculator (CTCC) models (UFPRP, 2008). We compared predictions of total tree biomass and total tree C storage, as well as the RMSEs for each of the 17 sampled Quercus trees using a rootto-shoot ratio of 0.26.</t>
  </si>
  <si>
    <t>Mean total C storage in our sampled urban Quercus spp. trees was 378 kg, while i-Tree ECO under predicted storage by 15% (276 kg C) with a RMSE of 37% (142 kg C). The CTCC over-predicted total C storage by 2% and had a RMSE of 40%. Average annual increase in biomass and gross C sequestration was 5.0 Mg ha−1 and 2.5 Mg C ha−1, respectively (Table 4). Pinus spp. and Quercus spp. are the most common Genera found in the study area. Overall, Pinus taeda sequestered the highest amount of net C (Mg C ha−1 year−1) followed by P. elliottii, and Quercus virginiana (Table 5), while Pinus palustris Mill. had negative C sequestration (emission) during the measurement period.</t>
  </si>
  <si>
    <t>This study’s allometric equation for urban Quercus spp. trees, methods, and findings can be applied to improve not only estimates of C sequestration and CO2 offset monitoring protocols (UFPRP, 2008), but the city-wide annual supply of tree wood waste from management, maintenance, and land clearing activities as well as post-hurricane tree debris that could be used for bioenergy production or other landscape products.</t>
  </si>
  <si>
    <t>crown height, diameter, total height, crown width/area, tree condition, ground layer, tree layer, shrub layer, tree species composition, standing dead trees</t>
  </si>
  <si>
    <t>F39</t>
  </si>
  <si>
    <t>Moser et al., (2015)</t>
  </si>
  <si>
    <t>Moser A, Rötzer T, Pauleit S, Pretzsch H. Structure and ecosystem services of small-leaved lime (Tilia cordata Mill.) and black locust (Robinia pseudoacacia L.) in urban environments. Urban Forestry &amp; Urban Greening. 2015;14:1110–21.</t>
  </si>
  <si>
    <t>Moser A, Rötzer T, Pauleit S, Pretzsch H</t>
  </si>
  <si>
    <t>Structure and ecosystem services of small-leaved lime (Tilia cordata Mill.) and black locust (Robinia pseudoacacia L.) in urban environments.</t>
  </si>
  <si>
    <t>astrid.moser@lrz.tum.de</t>
  </si>
  <si>
    <t>München and Würzburg</t>
  </si>
  <si>
    <t>They considerably differ in their climatic characteristics. The long-term annual precipitation means of München and Würzburg are 959 mm and 596 mm, respectively, whereas the mean annual temperature (1961–1990) in both cities is 9.1 ◦C (DWD, 2015). According to tree inventories, 750,000 trees have been planted in München and 40,000 in the municipal area of Würzburg.</t>
  </si>
  <si>
    <t>48 09' 00" and 49 48' 00"</t>
  </si>
  <si>
    <t>11 35' 00" and 9 56' 00"</t>
  </si>
  <si>
    <t>For this study, 225 T. cordata trees and 195 R. pseudoacacia trees were selected for measurement. We chose these two species because they markedly differ regarding their ecological features and are two of the more common tree species in the two cities and elsewhere. All the measured trees were classified as either park trees, trees in public places, or street trees.</t>
  </si>
  <si>
    <t>To evaluate the benefits of urban trees for the city climate, we estimated three ecosystem services as examples “carbon storage, shading, and transpiration by cooling”. To calculate the carbon storage of a tree, the biomass was multiplied with 0.5 following IPCC (2003) and Yoon et al. (2013).</t>
  </si>
  <si>
    <t>The carbon storage capacity of both tree species considerably differs (t = −8.12, p &lt; 0.001), with R. pseudoacacia storing more than twice as much carbon than T. cordata in average. Although the average carbon storage of a T. cordata tree at the age of 80 years can reach 1341 kg, R. pseudoacacia of the same age can store up to 2119 kg C. Street trees of R. pseudoacacia provided the least carbon storage (F = 9.9, p &lt; 0.001), shading (F = 16.8, p &lt; 0.001), and cooling ability (F = 17.4, p &lt; 0.001) of the measured sites, while park trees exhibited the highest ecosystem services compared to public places and street. T. cordata trees in public places had higher ecosystem services than did park and street trees, but all values were not significant (carbon storage: F = 1.8, p = 0.16, shading: F = 2.6, p = 0.07, cooling effect: F = 2.3, p = 0.10).</t>
  </si>
  <si>
    <t>crown height, age, tree condition, crown width/area, tree species composition, diameter, total height</t>
  </si>
  <si>
    <t>F40</t>
  </si>
  <si>
    <t>Nicese et al. (2021)</t>
  </si>
  <si>
    <t>Nicese FP, Colangelo G, Comolli R, Azzini L, Lucchetti S, Marziliano PA, et al. Estimating CO2 balance through the Life Cycle Assessment prism: A case – Study in an urban park. Urban Forestry &amp; Urban Greening. 2021;57:126869.</t>
  </si>
  <si>
    <t>Nicese FP, Colangelo G, Comolli R, Azzini L, Lucchetti S, Marziliano PA, Sanesi G.</t>
  </si>
  <si>
    <t>Estimating CO2 balance through the Life Cycle Assessment prism: A case – Study in an urban park.</t>
  </si>
  <si>
    <t>francesco.nicese@unifi.it</t>
  </si>
  <si>
    <t>The park covers more than 600 ha; about 100 ha are represented by afforested areas and the remaining part is covered by other green typologies (GTs), namely lawns (211 ha), social allotments (2.10 ha), hedges (0.84 ha), tree rows (14.40 ha), recreational facilities, small lakes, grey infrastructures (schools, hospital, private airport) and agricultural areas (Marziliano et al., 2013; Sanesi et al., 2007) (Fig. 1).</t>
  </si>
  <si>
    <t>The first important forestation interventions date back to 1983; other large afforestation occurred throughout the 1980s and ‘90 s. Forestry plantations continue with interventions of limited extension (Sanesi et al., 2007; Panno et al., 2017, 2020). PNM represents a specific type of NBS nd consists of reclaimed post-industrial or uncultivated lands (Panno et al., 2017; Sanesi et al., 2007).</t>
  </si>
  <si>
    <t>Native species, Land use type, Composition, Exotic/invasive species, Forested area</t>
  </si>
  <si>
    <t>The trees planted in PNM upon its establishment (1983) mainly reflect the Lombardy forest landscape of lowlands (i.e. Acer spp., Carpinus betulus, Fraxinus spp., Prunus avium, Quercus cerris, Quercus robur, Tilia spp., Ulmus spp.), but also some non-native species, commonly found in urban parks over the last two centuries, were introduced (e.g. Quercus rubra). Sambucus nigra, Crataegus monogyna, Cornus sanguinea, Viburnum lantana, and Corylus avellana were the most used shrub species. In 1983 (Sanesi et al., 2007) tree specieswere planted at a density of 1110 trees/ha; later, other trees and shrubs were planted using different plantation schemes, plantation densities (up to 3000 plants/ha), and vegetation types (i.e. shrubs were introduced). Over the years, the established trees were analyzed in terms of height growth, crown width, and vertical structural models (Marziliano et al., 2013).</t>
  </si>
  <si>
    <t>Soil, Above-ground biomass, Below-ground biomass</t>
  </si>
  <si>
    <t>C sink was estimated by calculating the CO2e stored both in plant above - belowground biomass and in soil as organic carbon, according with the mainstream research of LCA in urban forestry. For FA, field data collectionwas performed in nine plots, two of 40m × 30m and sevenof 40 m × 40 m for T, in the rows of trees present along the avenues of PNM. Within each plot and along avenues, all trees were classified according to age, stem diameter at breast height (DBH), and height (H). In total, about 1000 trees were sampled. In this study, to estimate the above-ground biomass, we used allometric relationships based on the diameter at breast height (DBH), and among these, the following power function (Eq 1) is certainly the most adopted (Niklas, 1994; Kaitaniemi, 2004). The estimate of belowground biomass (BGB) was carried out via the following equation (Eq. 5). The total C stock stored by woody plants was determined by multiplying the total biomass (TB) by a conversion coefficient of 0.50 (Pre gitzer and Euskirchen, 2004). Instead, using the equivalence 1 Mg C = 3.66 Mg CO 2 (IPCC, 2006), the equivalent amount of carbon dioxide removed from the atmosphere from plant biomass present in PNM was determined.</t>
  </si>
  <si>
    <t>The results obtained for the green area of PNM, observed over a 50years period, shows a C sequestrationcapacity 10 time higherthan the C emission. The five GTs considered gave different results, in terms of CO2e emissions and/or potential C stock; such differences were mainly due to the maintenance requirements (above all pruning) and green waste management with regard to emissions (Fig. 5), and presence of woody species (above all trees) for the C sequestration. The best performances in terms of CO2e balance per surface unit was obtained with tree rows and afforested area typologies (- 789 and – 527 Mg CO 2e ha 1 50yrs-1, respectively), while the hedges showed the worst CO2e balance, (+ 176 Mg CO 2e ha 1 50yrs-1).</t>
  </si>
  <si>
    <t>ifferent planting options, different pruning or thinning intensities or species selection can change this balance. In addition, converting residues from removed trees into wood products can improve the storage of CO2 for long periods. LCA has proved to be an effective tool to support the planning and maintenance of urban parks and the types considered.</t>
  </si>
  <si>
    <t>leaf litter layer, diameter, shrub species composition, total height, tree layer, ground layer, shrub layer, tree species composition, age, stem density</t>
  </si>
  <si>
    <t>Lawns, hedges, social allotments, tree rows, afforested areas were considered = tree, shrub, ground layer
Collected litter layer samples from soil when available, but did not assess its extent or cover.</t>
  </si>
  <si>
    <t>F42</t>
  </si>
  <si>
    <t>Horn et al. (2015)</t>
  </si>
  <si>
    <t>Horn J, Escobedo FJ, Hinkle R, Hostetler M, Timilsina N. The Role of Composition, Invasives, and Maintenance Emissions on Urban Forest Carbon Stocks. Environmental Management. 2015;55:431–42.</t>
  </si>
  <si>
    <t>Horn J, Escobedo FJ, Hinkle R, Hostetler M, Timilsina N.</t>
  </si>
  <si>
    <t>The Role of Composition, Invasives, and Maintenance Emissions on Urban Forest Carbon Stocks</t>
  </si>
  <si>
    <t>Environmental Management</t>
  </si>
  <si>
    <t>fescobed@ufl.edu</t>
  </si>
  <si>
    <t>Orlando</t>
  </si>
  <si>
    <t>The northeast Orlando Metropolitan Statistical Area, Florida area (Orlando-Kissimmee-Sanford Metropolitan Statistical Area; MSA), has an estimated population of 2.2 million, spanning Orange, Seminole, Flagler, and Palm counties. The 200 km2 study area is located at 28°35033.5400Nand 81°1200.3400W. The natural vegetation in the study area is a mosaic of pine flatwoods, wetland forests, and scattered patches of scrub oak.</t>
  </si>
  <si>
    <t>28 35' 33.54" N</t>
  </si>
  <si>
    <t>81 12'0.34" W</t>
  </si>
  <si>
    <t>Native species, Composition, Land use type, Exotic/invasive species</t>
  </si>
  <si>
    <t>To facilitate analyses, these 43 residential plots were further categorized into three specific residential land use-cover (LULC) types based on urban form and actual land cover observations in the field: (1) low-density residential (LDR; 8 plots with 0.5–2 dwellings per acre and remnant shrub/prairies patches), (2) medium-density residential (MDR; 21 plots with 2–5 dwellings per acre), and (3) high-density residential/mixed-use urban (MUU; 14 plots with more than 5 dwellings per acre with adjacent institutional, highdensity residential, and commercial areas).. Plot measurements included percent overstory (i.e., tree and palm cover), mid-story shrub cover, and surface ground covers (e.g., impervious, soil, litter, maintained lawn, other vegetation). Tree measurements included species, diameter at breast height (DBH; stem diameter at 1.37 m above the surface), crown width, and crown characteristics.</t>
  </si>
  <si>
    <t>In this study, C stocks were estimated for all trees measured in 2009 and 2011 using mostly biomass equations from north-central Florida. Once a tree was assigned a biomass equation, aboveground fresh weight to dry weight and dry weight to C were converted by multiplying by a factor of 0.5 in both cases (Timilsina et al. 2014a). All C stock change estimates were for a period of time ranging from 1.87 to 1.97 years, but were annualized for each individual tree using actual measurement dates from 2009 and 2011.</t>
  </si>
  <si>
    <t>Our analysis showed that indeed hardwood tree C stocks were greater than those of softwoods (P value \0.0001). Similarly, hardwood also sequestered more C than softwoods (P value \0.0001; Table 2). Wilcoxon signed rank tests also indicated that C stocks and net sequestration by native trees and palms were greater than exotics (P value\0.0001 in both cases; Fig. 1a and b). Carbon stocks and net sequestration by non-invasive trees and palms were also higher than invasive (P value \ 0.0001 in both cases; Fig. 1a and b).</t>
  </si>
  <si>
    <t>shrub layer, diameter, standing dead trees, leaf litter layer, tree species composition, crown width/area, ground layer, plant functional types, stem density, tree layer</t>
  </si>
  <si>
    <t>Tree types include 'hardwood vs. softwood vs. palm'.</t>
  </si>
  <si>
    <t>F43</t>
  </si>
  <si>
    <t>Cabral et al. (2017)</t>
  </si>
  <si>
    <t>Cabral I, Keim J, Engelmann R, Kraemer R, Siebert J, Bonn A. Ecosystem services of allotment and community gardens: A Leipzig, Germany case study. Urban Forestry &amp; Urban Greening. 2017;23:44–53.</t>
  </si>
  <si>
    <t>Cabral I, Keim J, Engelmann R, Kraemer R, Siebert J, Bonn A.</t>
  </si>
  <si>
    <t>Ecosystem services of allotment and community gardens: A Leipzig, Germany case study.</t>
  </si>
  <si>
    <t>ines.cabral@idiv.de</t>
  </si>
  <si>
    <t>Leipzig</t>
  </si>
  <si>
    <t>Our study area is the City of Leipzig (Fig. 1) located in eastern Germany with around 570,000 inhabitants. From 1930 to 2010, the city lost almost one third of its population due to several economic crises and political changes. Faced with the process of shrinkage, the municipality decided to use its voids for more public green spaces, including leasing vacant lots for community gardens. Overall, the city has over 23 m2 of gardening area per inhabitant, which is one of the highest ratios among European cities.</t>
  </si>
  <si>
    <t>The sampling design consisted of both a broad and an in-depth survey of plots in six allotment estates and their adjacent community gardens. For assessing land cover and (micro) habitat provision in the gardens, we conducted field surveys in each plot to map allocation of land to the cultivation of edible plants (including berry bushes), ornamental plants (including hedges), lawns and fruit trees, as well as the proportion of sealed ground via paths or buildings as well as water bodies (such as ponds).</t>
  </si>
  <si>
    <t>in order to understand the role played by urban allotments in climate regulation, we surveyed all six allotment estates by mapping all mature trees (over five meter tall) and classified them into deciduous/fruit and evergreen trees. we assessed above-ground carbon storage in trees for two allotment estates at the opposing ends of the urbanity gradient and differing average plot sizes: an urban allotment estate Mariannengärten with small plots. Applying the parameters shown in Table 4, we calculated biomass by applying the following allometric equation by Jenkins et al. (2003). For both allotment estates we then calculated the above-ground carbon stock of the five plots of each estate and its common playground and estimated the above-ground carbon storage in trees for the remaining plots. For this we assumed different parameters for deciduous/fruit trees and conifer trees (Jenkins et al., 2003; Table 4) and multiplied those values by the total number of similar trees in each allotment estate (cf. Appendix A3).</t>
  </si>
  <si>
    <t>Mapping mature trees (above five meter high) across all six allotment estates showed an overall predominance of deciduous trees in garden plots, mostly fruit trees (Fig. 5), and a higher abundance of trees in suburban than urban allotment estates. Trees within plots were often small (max height of five meter) because of regular pruning according to the allotment regulation codes. In our study, we calculated the carbon storage per hectare exemplified for two allotment estates by surveying all trees across all plots. The above-ground carbon storage was estimated at 4.3 ton C per ha for the urban Mariannengärten estate, and seven tonne C per ha for the suburban Naturfreunde estate (c.f. Appendix A3).</t>
  </si>
  <si>
    <t>Since allotments codes determine for trees to be pruned to prevent shading in adjacent plots (Stadtverband Leipzig der Kleingärtner, 2003), larger plots are more likely to host taller trees. Accordingly, we found a higher ratio of mature trees per area within suburban allotment estates which have comprehensively larger plots. In fact the total number of mature trees ranged from 19.8 trees/ha in urban estates, to 30.2 trees/ha in suburban estates, including trees within the communal playground area, thereby increasing the estates’ contribution to above-ground carbon storage and climate regulation. Ultimately, larger plot sizes or a relaxation in bylaw regulations in urban allotments could potentially increase the abundance and size of trees and thus maximize climate regulation capacities of urban gardens.</t>
  </si>
  <si>
    <t>diameter, tree species composition, total height, plant functional types</t>
  </si>
  <si>
    <t>Mature tree = tree &gt; 5 m tall = total height</t>
  </si>
  <si>
    <t>F44</t>
  </si>
  <si>
    <t>Wang and Gao (2020)</t>
  </si>
  <si>
    <t>Wang V, Gao J. Estimation of carbon stock in urban parks: Biophysical parameters, thresholds, reliability, and sampling load by plant type. Urban Forestry &amp; Urban Greening. 2020;55:126852.</t>
  </si>
  <si>
    <t>Wang V, Gao J.</t>
  </si>
  <si>
    <t>Estimation of carbon stock in urban parks: Biophysical parameters, thresholds, reliability, and sampling load by plant type</t>
  </si>
  <si>
    <t>jg.gao@auckland.ac.nz</t>
  </si>
  <si>
    <t>The study area is the (peri-)urban area of Auckland City located in the upper North Island of New Zealand (centred at 36.85 ◦S, 174.76 ◦E) (Fig. 1). This area covers 1,093 km2 (2015). Hilly land and scattered dormant volcanos characterise the general terrain except in the west. Auckland has a temperate maritime climate, with the average annual temperature being 14–16 ◦C and an annualprecipitation around 1,165.8 mm (Chappel, 2013). Auckland vegetation consists mainly of native trees and shrubs in reserves, grassland, and plantation forest and shrubland in previously abandoned farmland and landfills developed through natural regeneration and intervened revegetation.</t>
  </si>
  <si>
    <t>36 51' S</t>
  </si>
  <si>
    <t>174 45' 36'' E</t>
  </si>
  <si>
    <t>Composition, Exotic/invasive species, Native species</t>
  </si>
  <si>
    <t>Field measurements were carried out from December, 2014 to January, 2015, and in the summer of 2016 during a revisit. In each plot, all woody plants taller than 1.3 m were surveyed. The criterion of grouping them was CH, namely,CH &gt; 6 m as trees,1.3 m &lt; CH ≤ 6 m as shrubs, and tree ferns/cabbage trees/palms. The last three were amalgamated into a single group due to similarities in their structure and morphology. In total, 1,681 woody plants were surveyed, plus six extra individuals measured during a revisit in 2016. Four biophysical parameters were measured for each of them, including CH, canopy area, stem length, and DBH.</t>
  </si>
  <si>
    <t>The in situ measured biophysical parameters of woody plants were converted to aboveground biomass (AGB) with the assistance of allo metric equations developed specifically for New Zealand vegetation. Plant AGC was also subsequently aggregated by species, and to the plot level to calculate carbon stock density by dividing the total amount of AGC by the area of the 20 plots (400 m2 each).</t>
  </si>
  <si>
    <t>Specifically, an average tree stored 138.09 ± 333.7 kg C that was nearly 25 times that (5.59 ± 6.0 kg C) of an average shrub, and nearly 10 times that (13.36 ± 15.5 kg C) of a fern/palm/cabbage tree. They had a ratio of 10.3:0.4:1. Thus, trees had a disproportionally higher capacity of carbon storage than their prevalence. Trees, shrubs, and ferns/palms/cabbage trees stored, respectively, 115.30, 2.05, and 5.94 Mg C at a ratio of 19.4:0.3:1,resulting in a grand sum of 123.29 Mg C or a density of 154.12 Mg C•ha 1. f particular notice, matai, an endemic New Zealand dioecious coniferous tree, had the highest mean AGC stock of 1,289.9 kg per individual, nearly 10 times the mean AGC of an average tree.</t>
  </si>
  <si>
    <t>Matai should be the choice in revegetation projects to maximise carbon stock given its unparalleled carbon contribution index (17.2). Stem length was totally ineffective in indicating plant carbon, followed by canopy area. Diameter at breast height (DBH) was a better indicator of tree and shrub carbon .</t>
  </si>
  <si>
    <t>ground layer, diameter, shrub layer, total height, tree layer, tree species composition, crown width/area</t>
  </si>
  <si>
    <t>Measured canopy area (using crown radius), canopy height (i.e., total height), stem length, and DBH for each.
Ferns/palms = ground layer</t>
  </si>
  <si>
    <t>F47</t>
  </si>
  <si>
    <t>Pregitzer et al. (2022)</t>
  </si>
  <si>
    <t>Pregitzer CC, Hanna C, Charlop-Powers S, Bradford MA. Estimating carbon storage in urban forests of New York City. Urban Ecosyst. 2022;25:617–31.</t>
  </si>
  <si>
    <t>Pregitzer CC, Hanna C, Charlop-Powers S, Bradford MA.</t>
  </si>
  <si>
    <t>Estimating carbon storage in urban forests of New York City.</t>
  </si>
  <si>
    <t>clara.pregitzer@naturalareasnyc.org</t>
  </si>
  <si>
    <t>New York City (NYC, 40.7128°N, 74.0060°W) is located on the edge of the Atlantic Ocean between the New England and Mid-Atlantic US regions. NYC is the most populous city in the US, but despite high population density, 40% of NYC’s land cover is greenspace of which 8,006 ha are upland natural areas. We sampled a subset of upland natural areas (2,947 ha) that are publicly owned by the Parks Department, that have been designated as “Forever Wild”. These Forever Wild natural areas are primarily forest but include some open grassland, shrubland and bare soil.</t>
  </si>
  <si>
    <t>40° 42' 46.08" N</t>
  </si>
  <si>
    <t>74° 0' 21.6" W</t>
  </si>
  <si>
    <t>Briefly, to estimate the species composition, tree density, and basal area in each plot, the diameter of each overstory tree was measured at 1.37 m from the ground (diameter at breast height; DBH). Overstory trees were defined as woody species &gt;10 cm DBH and included both live and standing-dead individuals. Midstory trees were classified as those between 2-10 cm DBH and tallied. for the C budget we also measured coarse woody material (CWM &gt;10-cm dia.), fine woody material (FWM) (0.1-9.9 cm dia.) and litter and duff depth.</t>
  </si>
  <si>
    <t>Above-ground biomass, Below-ground biomass, Dead wood/organic matter</t>
  </si>
  <si>
    <t>To determine the C stock in NYC natural area forests, we calculated the C stock in different ecosystem pools (i.e. live trees, downed woody material) and vegetation groups within the forest and uplands using a combination of field-collected data and published estimates of C that could be used to model C from our field measurements. To model a rate of annual C stock change for each pool we projected a year of growth for the trees and based other stock change estimates on atmosphere exchange alone (except soil), which requires the assumption of no transfers between C pools. We calculated dry-weight aboveground biomass (i.e. bole, branches, twigs, and foliage) using the allometric equation from Jenkins et al. (2003): We calculated belowground biomass using the Jenkins et al. (2003) ratio equation</t>
  </si>
  <si>
    <t>We estimate that natural area forests in NYC store 1.86 Tg C (95% CI, 1.60 and 2.13) (Fig. 1). Across all plots, C stocks ranged from 2.67 to 1344.16 Mg C ha-1 with a mean value of 263.5 (95% CI, 256.61, 270.40) Mg C ha-1 (Fig. 2). Estimates for all pools by vegetation type can be found in Supplemental materials.The high density of trees in natural area forests compared to other urban canopy types is undoubtedly one factor that contributes to the higher estimated C stocks in our study compared to previous work for NYC (Nowak et al. 2018). Yet in addressing our third objective to understand the range. in C stocks across the different forest types in NYC, we identified an additional potential reason. Specifically, the fact that the oak-hardwood forest type is one of the most abundant in NYC natural areas likely contributes to the high citywide forest C stock that we estimate. This forest type is characterized by large and long-lived, native hardwood tree species, with relatively dense wood when compared with the non-native trees that comprise up to 50% of street tree canopy in NYC (Pregitzer et al. 2019b).</t>
  </si>
  <si>
    <t>As such, if C in trees and forests is a climate-mitigation goal for cities, management to maintain native forest types will be an important goal. Forest stand and invasive species management and natural area protection will therefore be an important priority to consider for C mitigation and climate action plans in urban areas.</t>
  </si>
  <si>
    <t>crown width/area, tree species composition, diameter, total height, tree layer, shrub layer, tree condition, shrub species composition, crown height, ground layer</t>
  </si>
  <si>
    <t>F48</t>
  </si>
  <si>
    <t>Hundertmark et al. (2021)</t>
  </si>
  <si>
    <t>Hundertmark WJ, Lee M, Smith IA, Bang AHY, Chen V, Gately CK, et al. Influence of landscape management practices on urban greenhouse gas budgets. Carbon Balance and Management. 2021;16.</t>
  </si>
  <si>
    <t>Hundertmark WJ, Lee M, Smith IA, Bang AHY, Chen V, Gately CK, et al.</t>
  </si>
  <si>
    <t>Influence of landscape management practices on urban greenhouse gas budgets.</t>
  </si>
  <si>
    <t>Carbon Balance and Managerment</t>
  </si>
  <si>
    <t>wileyh@bu.edu</t>
  </si>
  <si>
    <t>The greater Boston area is the most populous metropolitan area in Massachusetts and the tenth largest metropolitan area in the United States. Boston University owns land on five campuses: Charles River, Medical, Wheelock, Sargent Center, and Tanglewood Campuses. Boston University’s main campus, the Charles River Campus (74 ha).</t>
  </si>
  <si>
    <t>Canopy cover, Composition</t>
  </si>
  <si>
    <t>In early June 2017, ten field plots ranging from 179 to 3963 m2 (Table 1) were established on the Charles River Campus. An overlaying tree canopy class was created to identify and quantify where tree canopy covers the Boston University campuses.</t>
  </si>
  <si>
    <t>Tree stem and branch aboveground biomass was calculated using a generalized allometric equation for mixed hardwood species aboveground biomass: bm = Exp(−2.4800 + 2.4835lndbh)</t>
  </si>
  <si>
    <t>Woody biomass sequestered 16.8 ± 6.9  kg C year−1 tree−1, and C sequestration rates were not statistically significant between trees planted in mulched and lawn landcovers across 2017 and 2018 (p = 0.50). C sequestered by trees was greatest in May, June, and July, and was modeled to be zero from December through April. Our estimates across the three Boston University campuses show that all were a net source of biogenic C to the atmosphere due to landscaping management practices and that biogenic emissions comprised 0.51% to 2.06% of the total anthropogenic emissions on each campus. Additionally, we show that although anthropogenic emissions are considerably larger than biogenic emissions, biogenic fluxes into grass and woody biomass still have the potential to offset a portion of anthropogenic emissions while providing additional ecosystem services.</t>
  </si>
  <si>
    <t>Over half of Wheelock Campus’s biogenic C emissions are offset by on-campus tree and grass sequestration, suggesting that smaller changes in oncampus landcover management strategies such as minimizing mulch application and increasing tree canopy cover could contribute to Wheelock achieving biogenic C neutrality or even the potential creation of a small biogenic sink. Green infrastructure and nature-based solutions cannot be assumed to result in biogenic C sinks. We show that C fluxes from mulched and lawn landcover via soil respiration on Boston University’s three urban campuses outweigh C sequestration by on-campus vegetation, making each of the University’s urban campuses net biogenic C sources.</t>
  </si>
  <si>
    <t>tree layer, diameter, ground layer</t>
  </si>
  <si>
    <t>Tree canopy cover/area = tree layer</t>
  </si>
  <si>
    <t>F49</t>
  </si>
  <si>
    <t>Ariluoma et al. 2021</t>
  </si>
  <si>
    <t>Ariluoma M, Ottelin J, Hautamäki R, Tuhkanen E-M, Mänttäri M. Carbon sequestration and storage potential of urban green in residential yards: A case study from Helsinki. Urban Forestry &amp; Urban Greening. 2021;57:126939.</t>
  </si>
  <si>
    <t>Ariluoma M, Ottelin J, Hautamäki R, Tuhkanen E-M, Mänttäri M</t>
  </si>
  <si>
    <t>Carbon sequestration and storage potential of urban green in residential yards: A case study from Helsinki.</t>
  </si>
  <si>
    <t>Urban Foresty &amp; Urban Greening</t>
  </si>
  <si>
    <t>mari.ariluoma@aalto.fi</t>
  </si>
  <si>
    <t>The case area is located in a new residential area called Kuninkaantammi in northern Helsinki, Finland, (Fig. 1) and it is close to large urban green areas (Central Park in Helsinki). The case area represents a relatively high density new development with 3–6-storey apartment buildings and about 200 dwellings per hectare. It is a typical new housing area and exemplifies a common housing typology in Finland. The case area covers three sites and their yards (see Fig. 2 and Table 1), which were planned in 2016 and have been built in 2019. The total area of the case area is 1.2 ha, total floor space is 16 000 m2 and the estimated population will be 400 residents.</t>
  </si>
  <si>
    <t>In the designs for the case area, there are 59 trees in total, mainly Scots pines (Pinus sylvestris L.), apple trees (Malus domestica Borkh.) and European mountain ashes (Sorbus aucuparia L.) (Table 2). The species proposed for the case area are typical planted urban trees in Finland.</t>
  </si>
  <si>
    <t>The freely available i-Tree planting tool (v.1.1.3; https://planting.it reetools.org/), created by the USDA Forest Service, was used to assess the amount of carbon (kg CO2) sequestered by the trees of the case area during 50 years. esults. The i-Tree planting tool includes both the above- and below-ground biomass of trees. The user enters the number of the different tree species, the sizes of the trees at planting, information on the distance of the trees to the nearest building and its direction in relation to them, the condition of the trees, the amount of sun and shade, estimated mortality and the project lifetime.</t>
  </si>
  <si>
    <t>The CSS of the trees in the case area The trees of the case area would sequester a total of 38 t CO2 during 50 years if the trees were located in partial sun and if the mortality rate was medium, which is a realisticscenario (Fig. 6). This equals 95 kg CO2 sequestered per resident and 2.4 kg CO2/ m2 of floor space during the whole 50 years. If the trees were in full sun, the carbon sequestration would be more than doubled, reaching up 81 t CO2 during the 50 years. Adding biochar to growing medium increases the carbon storage significantly (Fig. 9). When the added biochar was taken into account, the full amount of sequestered and stored carbon was 208 t CO2 after 50 years in the optimal test scenario, composed of 73 t CO2 sequestered by trees and 135 t CO2 stored as biochar in soil. The amount is equal to 520 kg CO2 per resident.</t>
  </si>
  <si>
    <t>(1) increasing the number of trees, (2) selecting tree species with a high ability to sequester carbon and to grow large on the spots and (3) maximising the vegetated areas in the yards and (4) adding biochar in the planting beds. The study suggests that the carbon storage can be most effectively increased by adding biochar to the growing medium. Based on the comparison, three species to be used in the optimal carbon sequestration scenario were selected: the apple tree, the Scots pine and the European mountain ash (which particularly excels in partial sun and full shade).</t>
  </si>
  <si>
    <t>tree condition, age, diameter, tree species composition</t>
  </si>
  <si>
    <t>Size of tree at planting, lifespan, and mortality are observed = age.
Trees assumed to be in good condition at planting.</t>
  </si>
  <si>
    <t>F51</t>
  </si>
  <si>
    <t>Mason and Montalto (2015)</t>
  </si>
  <si>
    <t>Mason E, Montalto FA. The overlooked role of New York City urban yards in mitigating and adapting to climate change. Local Environment. Routledge; 2015;20:1412–27.</t>
  </si>
  <si>
    <t>Mason E, Montalto FA.</t>
  </si>
  <si>
    <t>The overlooked role of New York City urban yards in mitigating and adapting to climate change.</t>
  </si>
  <si>
    <t>Local Environment</t>
  </si>
  <si>
    <t>sustainableyards@gmail.com</t>
  </si>
  <si>
    <t>The most densely built city in the USA, New York City houses over 8 million people (US Census 2010) on about 78,104 ha (193,000 acres) of land. Our study block is located in Manhattan, the smallest but most densely built city borough (sub-division), comprising almost 7.5% of the borough’s total area (Table 1). A residential, 15,221 m2 (163,840 ft2). This block, like many New York City row house blocks, has rear yards behind buildings and smaller front areaways.</t>
  </si>
  <si>
    <t>Planned in 1811, the Manhattan grid influenced the planning and development of countless other cities throughout the country. City blocks measure approximately 61 × 244 m (200 × 800 ft) and house lots 30 m (100 ft) deep by 5.5– 7.6 m (18–25 ft) wide (Figure 1). Even after significant post-war development combining lots to create multi-family apartment buildings, many NYC residential neighbourhoods continue to be characterised by nineteenth-century row houses, having small front areaways and rear yards. Many of these open areas were paved over time, resulting in a significant loss of the pervious surface cover.</t>
  </si>
  <si>
    <t>Land use type, Composition, Connectivity</t>
  </si>
  <si>
    <t>To obtain a fine-grained analysis of tree count and associated benefits, the size and species of study block trees on both private and public property were surveyed and results entered into i-Tree Streets, a modelling programme devised to understand structure of street trees, their associated ecosystem services, and to assist municipalities in urban forestry management and cost – benefit analysis</t>
  </si>
  <si>
    <t>iTree quantifies air quality benefits conveyed by trees through their ability to reduce temperature (via shading and evapotranspiration), remove, intercept, or store air pollutants such as carbon dioxide (CO2), nitrogen dioxide (NO2), ozone (03), sulphur dioxide (SO2), and particulate matter (PM10).</t>
  </si>
  <si>
    <t>While there were a similar number of private and public trees, i-Tree modelling found that the private trees provided about 72% of the net carbon benefits (via sequestration, avoidance, maintenance and decomposition releases) than were provided by the street trees8 (Table 2). Trees with greater canopy were mostly planted along the study block street, and have more significant biomass, net carbon, storm water, and air quality benefits (Nowak and Crane 2003, McPherson et al.2007 , Peper et al.2007 ). The greatest environmental performer planted on block was the American Elm (262.71kgCO2seq/year: Table 2) that sits midblock in the private block core, annually reducing energy costs by $44, improving air quality (saving $11/yr), and reducing storm water costs by over $13/yr (through intercepting 16,702 l (4500 gallons) annually. The next most important environmental performer in terms of rainfall interception (16,615 l) and carbon storage (averaging 2467 kg) was the Honey Locust, planted on the public street.</t>
  </si>
  <si>
    <t>Conservation, Restoration, Management</t>
  </si>
  <si>
    <t>The NYC Department of Parks and Recreation has selected tree species that provide significant canopy, can survive in the harsh urban environment and grow to significant stature, enhancing neighbourhood streetscape. While many inner block trees were planted for aesthetic reasons and are not, on average, as environmentally beneficial as street trees, the diversity of tree species planted on private yards builds resilience to disease and blight. Therefore, an aggressive and widespread incentive and voluntary education programme could be undertaken to encourage: (1) maintaining and preserving extant vegetative surface cover, using soil that is amended with organic matter to increase permeability and infiltration rates, (2) removing hardscape and replacing with pervious surfaces, (3) planting resilient native species, scaled for small spaces, and (4) disconnecting downspouts and installing rain barrels to capture and reuse rainwater from rooftops.</t>
  </si>
  <si>
    <t>Mostly about run-off mitigatation, but makes strong points for carbon mitigation</t>
  </si>
  <si>
    <t>tree species composition, total height</t>
  </si>
  <si>
    <t>Tree size = height</t>
  </si>
  <si>
    <t>F52</t>
  </si>
  <si>
    <t>Chen (2020)</t>
  </si>
  <si>
    <t>Chen Y-C. Evaluation of greenhouse gas emissions and energy recovery from planting street trees. Greenhouse Gases: Science and Technology. 2020;10:604–12.</t>
  </si>
  <si>
    <t>Chen Y-C.</t>
  </si>
  <si>
    <t>Evaluation of greenhouse gas emissions and energy recovery from planting street trees</t>
  </si>
  <si>
    <t>Greenhouse Gases: Science and Technology</t>
  </si>
  <si>
    <t>ycchen@ntut.edu.tw</t>
  </si>
  <si>
    <t>Keelong City</t>
  </si>
  <si>
    <t>The study area consisted of the sidewalks along the 1.8 km Tianliao river in Keelong city (measured from the port to the Keelong river) (Fig. 1). The Tainlaio river is the first artificial canal in Taiwan and plays an important role in surrounding residents’ lives, as it is used for exercising and entertainment. It has not been used for shipping since ancient times.</t>
  </si>
  <si>
    <t>Both in-situ survey and estimation of the number of street trees along sidewalks were applied in this study. The four most common trees planted along the Tianliao River are Ficus microcarpa, Liquidambar formosana, Cinnamomum camphora,and Koelreuteria elegans due to geophysical and climatic conditions in Taiwan. Specifically, 34% and 30% of the trees are Ficus microcarpa and Cinnamomum camphora,followedbyKoelreuteria elegans (13%) and Liquidambar formosana (9%).</t>
  </si>
  <si>
    <t>GHGflx,C isthevolumeofcarbonfixingand GHGflx,CO2 isthevolumeofGHG(CO2) mitigation from a single street tree (t CO2-eq). V is the total tree volume (m3), BD is the average wood density (t m−3), which ranges from 0.55 to 0.71 for evergreen broad-leaved trees in Taiwan.26 BEF is the biomass expansion factor, and it equals 1.20 for evergreen broad-leaved trees.27 R is the root to shoot ratio, and CF is the carbon fraction. Their averages are 0.234 and 0.4691, respectively, for evergreen broad-leaved trees in Taiwan.28 T is the lifespan of a street tree, and 3.67 is used to convert CO2 to carbon (C) in a chemical formula.</t>
  </si>
  <si>
    <t>As shownin Table2, a maximum of 13484t of CO2-eq GHGs are absorbed by Ficus microcarpa during its lifespan. The Cinnamomum camphora and Liquidambar formosana absorbed 1567 and 454 t CO2-eq GHGs, respectively. A Koelreuteria elegans mitigated a minimum of 370 t CO2-eq GHGs. In this study, it is shown that a single Ficus microcarpa or Cinnamomum camphora tree can mitigate 102.9 and 13.5 t CO2-eq GHGs, respectively. Both efficiently mitigate GHGs during their lifespans. The stored CO2 can be in the form of soil organic matter or tree biomass.34 The total volume of trees examined in this study is shown in Table 1. Ficus microcarpa made up the biggest volume (1835 m3), followed by Cinnamomum camphora (207 m3), and Liquidambar formosana (174 m3). Therefore, branches and/or leaves sheared each year from Ficus microcarpa account for the most GHG emissions from composting (180.6 t CO2-eq) (Table 2). Thus, the amount of GHG absorbed by street trees was much higher than the GHG emissions created by both composting and incineration.</t>
  </si>
  <si>
    <t>On average, around 40 t CO2-eq of GHG mitigation would be achieved by planting a street tree. These results suggest that planting street trees should be encouraged. As shown in Table 3, this study calculated that street trees saved the city US$223 992: the reduction in carbon tax was of US$317 490, but incinerating wood waste cost US$96 759 and the revenues from replacing coal were only equal to US$3261 (1% of the incinerating fees). Ficus microcarpa produced the highest revenue, US$188 068, followed by Cinnamomum camphora (US$25 497).</t>
  </si>
  <si>
    <t>crown width/area, total height, diameter, tree species composition, planting arrangement, age</t>
  </si>
  <si>
    <t>Used distance between street trees = planting arrangement
Measured canopy area = crown area
Use lifespan of tree = age
Estimate wood waste assuming that 25% of total tree volume is composted each year. (≠ CWD layer)</t>
  </si>
  <si>
    <t>F53</t>
  </si>
  <si>
    <t>Parsa et al. (2019)</t>
  </si>
  <si>
    <t>Amini Parsa V, Salehi E, Yavari AR, van Bodegom PM. An improved method for assessing mismatches between supply and demand in urban regulating ecosystem services: A case study in Tabriz, Iran. Kharrazi A, editor. PLoS ONE. 2019;14:e0220750.</t>
  </si>
  <si>
    <t>Amini Parsa V, Salehi E, Yavari AR, van Bodegom PM</t>
  </si>
  <si>
    <t>An improved method for assessing mismatches between supply and demand in urban regulating ecosystem services: A case study in Tabriz, Iran</t>
  </si>
  <si>
    <t>PLOS ONE</t>
  </si>
  <si>
    <t>aminiparsa@ut.ac.ir</t>
  </si>
  <si>
    <t>Tabriz</t>
  </si>
  <si>
    <t>This study was carried out in Tabriz (244.8 km2;1.56 million inhabitants with 49.8 thousand households) [72], northwestern Iran, in East Azerbaijan Province (Fig 1). Itoccupies the eastern and southeastern lands of the Tabriz plain and issurrounded by the Einali and Sahand mountains.</t>
  </si>
  <si>
    <t>The economic growth and centralization have caused the influx of industries and people into the metropolitan area of Tabriz and have extended the city size by about 35 times in acentury. This has also caused land use changes; about 4715 ha of green spaces were converted to other land uses during the last three decades [74] and caused environmental quality deterioration [75,76].</t>
  </si>
  <si>
    <t>Using the pre-stratification method, the study area was divided into smaller units based on land use classes. The original land use map was obtained from the municipality of Tabriz for the year 2017 (with 1:25000 scale) and then reclassified into seven classes: agriculture, commerical/insitutional/transportational, green infrastructure, open space, residential and river. Assessing thestructure andcomposition ofUF: Following the i-Tree Eco protocols [87–89], the required field data (i.e. trees, shrubs and plots data) were collected from 330 plots.</t>
  </si>
  <si>
    <t>Below-ground biomass, Above-ground biomass</t>
  </si>
  <si>
    <t>The urban tree carbon storage was estimated through multiplying the tree biomass by afactor of 0.5. The biomass for each measured urban tree was quantified using the allometric equations from the literature [49,92]. The above-ground biomass, which was estimated based on DBH, tree height and tree condition [86], were converted to the total tree biomass by applying the common root-to-shoot ratio of 0.26</t>
  </si>
  <si>
    <t>Trees and shrubs in Tabriz sequester 29.20 thousand tons of carbon, which corresponds to about 1.4 tha −1 year−1.In comparison, there was ademand for 674.32 tons of CO2-eq per hectare in 2015. Hence, the contribution of urban trees to climate change mitigation isvery low and accounts for about 0.2% of the overall GHG emissions, corresponding to asignificant mismatch. The reasons for this low contribution, or large mismatch, can be the relatively high emissions, urban morphology, the low level of urban forest (tree cover of 9.4%) and the young age of the trees (77.9% of the current trees are not grown enough to provide substantial URES. An important asset of our study was that we not only considered the supply side (i.e. the air quality improvement and climate change mitigation provided by urban forests), but also explicitly accounted for the actual demand of human societies for these regulating services provided by UF.</t>
  </si>
  <si>
    <t>This mismatch suggests that what isneeded to decrease the mismatch isprobably both amajor investment to reduce the rate of pollution and carbon emissions and amajor increase in the provision of URES through urban greenery. The latter would be more cost-effective ifsynergies are considered along with other urban ES. This will demand amore holistic and comprehensive analysis than the one applied in this study.</t>
  </si>
  <si>
    <t>crown width/area, shrub species composition, crown height, diameter, shrub layer, tree condition, tree layer, tree species composition, total height</t>
  </si>
  <si>
    <t>They note the status of the tree as alive or dead: not counted as standing dead trees as this status was never analyzed.</t>
  </si>
  <si>
    <t>F54</t>
  </si>
  <si>
    <t>Visscher et al. (2016)</t>
  </si>
  <si>
    <t>Visscher RS, Nassauer JI, Marshall LL. Homeowner preferences for wooded front yards and backyards: Implications for carbon storage. Landscape and Urban Planning. 2016;146:1–10.</t>
  </si>
  <si>
    <t>Visscher RS, Nassauer JI, Marshall LL.</t>
  </si>
  <si>
    <t>Homeowner preferences for wooded front yards and backyards: Implications for carbon storage</t>
  </si>
  <si>
    <t>rachsteh@umich.edu</t>
  </si>
  <si>
    <t>10-county Detroit, Ann Arbor, and Flint Metropolitan Statistical Area (MSA) of southeast Michigan</t>
  </si>
  <si>
    <t>We sampled residents of the 207 ZIP codes in the 10-county area.</t>
  </si>
  <si>
    <t>Respondents saw fourteen images, one of two replicates of each of the five front yard types (Figs. 2 and 3) and nine backyard types (Figs. 4 and 5). They chose a most-preferred front yard and backyard as if it were to be part of their current home, disregarding cost.</t>
  </si>
  <si>
    <t>Actual management of their own yard: We asked respondents about behaviors that could affect the presence of trees and amount of carbon stored in their yards. We analyzed these data using SPSS 20 and 21. We grouped respondents according to their preferred yard styles.</t>
  </si>
  <si>
    <t>Respondents reported on several management behaviors that would affect carbon storage in their own yards (Table 5). However, only one of these behaviors varied significantly among those who preferred different yard styles: the proportion of their property that was mown lawn (Fisher’s Exact Test = 12.655, p &lt; 0.05, n = 109). Consistent with their yard style, those who preferred a more wooded front yard (OWS and TTS) were more likely to mow less than half of their actual yard. Our study suggests that suburban homeowners are heterogeneous in their preferences for wooded yards. This finding is consistent with investigations of urban tree preferences elsewhere (Boone et al., 2010; Jones, Davis, &amp; Bradford, 2013; Pearce, Davison, &amp; Kirkpatrick, 2015). Recognizing heterogeneity may be important to building understanding of suburban landscape patterns, including the location and extent of wooded areas for carbon storage. For example, in our study, respondents who preferred the entire yard to be more wooded stand out as having distinct preferred yard characteristics: they liked large trees and privacy, wanted a yard that was good for wildlife and good for the environment, did not prefer having flowers in the front yard or a garden in the backyard, and were less concerned about neatness in the backyard. Tactics to store more carbon in their yards might promote the habitat value of more extensive areas of dense trees with a shrubby understory in the yard. In contrast, respondents who preferred a more turf-dominated, less wooded yard liked flowers and neatness in the entire yard, did not want shade in the backyard, and were less concerned about having a yard that was good for wildlife or good for the environment. Tactics to store more carbon in their yards might include mature canopy trees that are not too dense to screen the view beyond, and a low even ground plane including garden plantings, as shown in our survey. Older trees store more carbon than young trees, and design and planning should protect older trees in the development process as well as from unwise homeowner decisions.</t>
  </si>
  <si>
    <t>Differences between the front and backyard have implications for carbon storage. Front yards are used less frequently and for fewer activities, but designs to enhance carbon storage in the backyard must accommodate a greater number and range of activities. Homeowners widely prefer a private backyard that is “good for wildlife” and can be used for socializing and play. Planting and retention of trees and shrubs could help to achieve these characteristics. At the same time, some homeowners’ desire for flower or food gardens may limit their acceptance of trees that shade the yard. For these homeowners, designs that incorporate more trees should allow for some of the backyard to get adequate sunlight for gardening. Design and planning tactics to enhance carbon storage in suburban yards must take into account neighborhood norms and legacy effects of past developer and homeowner choices. Retaining existing trees and planting more trees to increase carbon storage as part of residential landscapes can be achieved with greater knowledge of homeowner’s preferences and behaviors. This suggests that local governments should engage early in the development process to promote subdivision patterns to include more extensive wooded areas. If design and policy align with homeowner preferences, yard activities, and cultural norms to achieve enhanced carbon storage, landscape designs that include more wooded areas will be more likely to last and provide ecological benefits into the future.</t>
  </si>
  <si>
    <t>tree layer, age, leaf litter layer, planting arrangement, shrub layer, ground layer, diameter</t>
  </si>
  <si>
    <r>
      <rPr>
        <rFont val="Times New Roman"/>
        <b val="0"/>
        <color theme="1"/>
        <sz val="11.0"/>
      </rPr>
      <t>Categorize trees as 'young' and 'mature' as a proxy for size = age (since the size metric is not clear)
% of lawn mown = ground layer
Large tree = &gt;12" DBH
Disposal of leaf litter layer.</t>
    </r>
    <r>
      <rPr>
        <rFont val="Times New Roman"/>
        <b/>
        <color theme="1"/>
        <sz val="11.0"/>
      </rPr>
      <t xml:space="preserve">
</t>
    </r>
    <r>
      <rPr>
        <rFont val="Times New Roman"/>
        <b val="0"/>
        <color theme="1"/>
        <sz val="11.0"/>
      </rPr>
      <t>Assesses planting arrangement</t>
    </r>
  </si>
  <si>
    <t>F55</t>
  </si>
  <si>
    <t>Schlaepfer et al. (2020)</t>
  </si>
  <si>
    <t>Schlaepfer MA, Guinaudeau BP, Martin P, Wyler N. Quantifying the contributions of native and non-native trees to a city’s biodiversity and ecosystem services. Urban Forestry &amp; Urban Greening. 2020;56:126861.</t>
  </si>
  <si>
    <t>Schlaepfer MA, Guinaudeau BP, Martin P, Wyler N.</t>
  </si>
  <si>
    <t>Quantifying the contributions of native and non-native trees of a city's biodiversity and ecosystem services.</t>
  </si>
  <si>
    <t>martin.schlaepfer@unige.ch</t>
  </si>
  <si>
    <t>Geneva</t>
  </si>
  <si>
    <t>Our study area is the terrestrial portion of the canton of Geneva (area: 242 km2 excluding rivers and lake, 495’249 residents in 2017, mean human density: 1800/km2).</t>
  </si>
  <si>
    <t>Exotic/invasive species, Composition, Native species</t>
  </si>
  <si>
    <t>The canton of Geneva maintains a database of individual (non-forest) trees (Inventaire cantonal des arbres; ICA) for scientific and management purposes. For this study, we first extracted all records of live trees in the ICA database with a species-level identifier and GPS coordinates (hereafter, the “Species-ID” dataset) to describe biodiversity. We then extracted a subset of records that contained further auxiliary information (diameter of trunk at breast height, crown diameter and soil type; hereafter the “Species &amp; Morphology” dataset) necessary to quantify regulating ecosystem services.</t>
  </si>
  <si>
    <t>Tree crown area, leaf-area, and soil type are key determinants of regulating services. Crown area and leaf-area were estimated using species-specific allometric equations within i-Tree based on species-name, total height (m), canopy health, and diameter at breast height (DBH). Importantly, i-Tree is populated primarily with allometric equations for North-American tree species. Allometric growth equations for European tree species are generated within the i-Tree database by the average equation of the closest taxonomic level (species, genus, family) found, and then adjusted to match local climatic conditions.</t>
  </si>
  <si>
    <t>Non-native trees made up 90 % of tree species. Non-native trees made up 87 % of species (n = 459) and 40 % of individuals (n = 20’172) (Fig. 1). Trees in the Species &amp; Morphology dataset came primarily from the urban part of the canton, but with relatively good geographical coverage of the entire canton. Overall, median trunk diameter at breast height, which serves as a proxy for size, tree crown diameter, and canopy cover were all virtually identical between non-native and native trees. On a per-tree basis, the typical (median) native trees provides regulating services that were 3–4 % greater than non-native trees with the exception of pollination services. The primary take-home message of this work is that non-native trees represent an important contribution to both biodiversity and ecosystem services in the metropolitan area and canton of Geneva. Thus, biodiversity indicators that exclude non-native species such as the Singapore Index for urban biodiversity (Chan et al., 2014) are likely to be deeply flawed in cities where non-native trees make up a large fraction of species and individuals. A second important take-home message is that our analysis suggests that for most regulating services (capture of carbon, capture of micro-pollutants; interception of heavy rainfall) native and non-native trees are roughly equivalent on a per-tree basis.</t>
  </si>
  <si>
    <t>total height, tree species composition, tree condition, crown width/area, plant functional types, diameter</t>
  </si>
  <si>
    <t>Plant functional type in results section.
Use canopy area (marked here as crown area since it's by individual tree).</t>
  </si>
  <si>
    <t>F57</t>
  </si>
  <si>
    <t>Nowak and Crane (2002)</t>
  </si>
  <si>
    <t>Nowak DJ, Crane DE. Carbon storage and sequestration by urban trees in the USA. Environmental Pollution. 2002;116:381–9.</t>
  </si>
  <si>
    <t>Nowak DJ, Crane DE.</t>
  </si>
  <si>
    <t>Carbon storage and sequestration by urban trees in the USA.</t>
  </si>
  <si>
    <t>dnowak@fs.fed.us</t>
  </si>
  <si>
    <t>Atlanta, Baltimore, Boston, Chicago, Jersey City, New York, Oakland, Philadelphia, Sacramento, Syracuse</t>
  </si>
  <si>
    <t>Field data were used to determine the entire urban forest structure (e.g. tree species composition and number of trees on all land uses) of 10 cities. Data collection included location, species, stem diameter at 1.37 m above the ground (dbh), tree and crown height, crown width, and canopy condition.</t>
  </si>
  <si>
    <t>Biomass for each measured tree was calculated using allometricequations from the literature (see Nowak, 1994; Nowak et al., 2001a). Equations that predict above-ground biomass were converted to whole tree biomass based on root-to-shoot ratio of 0.26 (Cairns et al., 1997). Equations that compute fresh-weight biomass were multiplied by species- or genus-specific-conversion factors to yield dry-weight biomass. These conversion factors, derived from average moisture contents of species given in the literature, averaged 0.48 for conifers and 0.56 for hardwoods (see Nowak, 1994). Data for individual trees in each city were used to determine the total carbon storage and sequestration for the city. To estimate the carbon values of urban trees nationally, total carbon storage and sequestration value of each city was divided by total city tree cover (m2)to determine average carbon density value per unit tree cover (kgC/m2 cover).</t>
  </si>
  <si>
    <t>Carbon storage in individual cities varies between 1.2 million tonnes in New York to 19,300 t in Jersey City (Table 1). Gross sequestration rates ranged from 42,100 tC/year in Atlanta to 800 tC/year in Jersey City. Total carbon storage and sequestration within cities generally increases with increased urban tree cover (city area multiplied by percent of tree cover) and increased proportion of large and/or healthy trees in the population. Carbon storage per hectare ranged from 46,900 t/ha in Sacramento to 5000 t/ha in Jersey City (Table 2). Total carbon storage per hectare of tree cover was also highest in Sacramento (36.1 kgC/m2 cover) and lowest in Jersey City (4.4 kgC/m2 cover) with a median value of 9.25 kgC/m2 cover. Two dominant factors that affect carbon storage density (tC/ha) are tree density (trees/ha) and diameter distribution. Urban forests, due to their relatively low tree cover, typically store less carbon per hectare in trees (25.1 tC/ ha) than forest stands (53.5 tC/ha).</t>
  </si>
  <si>
    <t>Urban forests likely will have a greater impact per area of tree canopy cover than non-urban forests due to faster growth rates, increased proportions of large trees, and possible secondary effects of reduced building energy use and consequent carbon emissions from power plants. However, urban tree maintenance emissions can offset some of the carbon gains by urban forest systems.</t>
  </si>
  <si>
    <t>tree condition, diameter, tree layer, plant functional types, crown width/area, crown height, tree species composition, standing dead trees, total height</t>
  </si>
  <si>
    <t>Used tree cover as a unit wrt carbon sequestration (hence 'tree layer').</t>
  </si>
  <si>
    <t>F60</t>
  </si>
  <si>
    <t>Jo (2002)</t>
  </si>
  <si>
    <t>Jo H. Impacts of urban greenspace on offsetting carbon emissions for middle Korea. Journal of Environmental Management. 2002;64:115–26.</t>
  </si>
  <si>
    <t>Jo H.</t>
  </si>
  <si>
    <t>Impacts of urban greenspace on offsetting carbon emissions for middle Korea.</t>
  </si>
  <si>
    <t>jhk@cc.kangwon.ac.kr</t>
  </si>
  <si>
    <t>3 Cities: Chuncheon, Kangleung, Seoul (Kangnam and Junglang)</t>
  </si>
  <si>
    <t>Chuncheon, Kangleung, and Seoul, located in the middle of Korea, were selected as the study cities (Figure 1), based on differences in population density, climate, and land uses. The differences in income and construction date were assumed to influence areal cover and age structure of, and accordingly C storage and uptake by, woody plants.</t>
  </si>
  <si>
    <t>Land use type, Composition, Forested area, Canopy cover</t>
  </si>
  <si>
    <t>Plot structure varied by land use type. The entire lot was measured on residential, commercial, industrial, and building-dominant institutional (e.g. schools, hospitals) lands. For natural and vegetation-dominant institutional lands, 225-m2 plots were measured. Field-surveyed vegetation data included species, total height, crown width, crown height, areal cover, and stem diameter at breast height of 1_x0001_2 m (dbh) for trees and at 15 cm above ground for shrubs (here, shrubs indicate woody plants 2 cm or less in dbh)</t>
  </si>
  <si>
    <t>Above-ground biomass of common tree and shrub species in Chuncheon was measured to develop biomass equations. Tree species selected were Pinus densiflora, Pinus koraiensis,andQuercus spp. (Q. mongolica and Q. aliena) in the Research Forests of Kangwon National University, and opengrown Populus tomentiglandulosa on the campus of the university. The biomass equation obtained for each species was used to calculate above-ground biomass of the same species ground-sampled in the study cities. Below-ground biomass of the above-mentioned species and total biomass of the other woody species were estimated using biomass equations from the literature. If there was no biomass equation available for a particular species, the biomass average derived from equations for the same genus or group (hardwood or conifer) was substituted. The dry-weight biomass of trees and shrubs was converted to a C estimate by multiplying by 0_x0001_5.</t>
  </si>
  <si>
    <t>Mean C storage by woody plants for urban lands was 4.7+-0.7 t/ha in Chuncheon, 6.3-+0.8t/ha in Kangleung, 6.6+-0.7 t/ha in Kangnam, and 7.2-+1.3 t/ha in Junglang (Table 5). no significant differences (95% confidence level) in the C storage of urban lands among the study cities. Mean C uptake per ha by woody plants for urban lands was 0_x0001_56_x0006_0_x0001_08 t/yr in Chuncheon, 0_x0001_71_x0006_0_x0001_10 t/yr in Kangleung, 0_x0001_53_x0006_0_x0001_06 t/yr in Kangnam, and 0_x0001_80_x0006_0_x0001_12 t/yr in Junglang. There were no differences (95% confidence level) in C uptake for urban lands among the study cities. Our study shows that the impact of carbon stock change from land cover conversion is frequently much larger than that of sequestration, and in many cases exceeds the offsets afforded by sequestration.</t>
  </si>
  <si>
    <t>To increase C storage and uptake by urban greenspace, the following strategies are suggested. First, hard surfaces were predominant in the urban lands of the study cities. Available growing space and planting potential could be increased by locating parking lots and above-ground utility lines below ground. Second, plantings in urban lands were characterized by a single layer of grass, shrubs, or trees and a young, even-aged tree population. Multi-layered plantings, in which herb, shrub, and tree layers overlap, would increase C storage and uptake per unit area, and maintain a multi-aged tree structure to promote continuous C uptake over time. Third, ordinances should be amended to increase greenspace area in urban lands. Based on current landscape-related ordinances in Korea (Kwon et al., 1996), no plantings are required within a residential lot smaller than 200 m2, and urban parks should be 1500 m2 or larger. Fourth, tree species that have high growth rates, even under adverse urban growing conditions, should be planted. Broad-leaved tree species have higher growth rates than conifers and shrubs. Finally, natural lands, in which C storage and uptake per unit area are significant, should be conserved. It goes without saying that disturbing natural lands will release the C stored in vegetation and soils back to the atmosphere.</t>
  </si>
  <si>
    <t>total height, overall canopy cover, diameter, tree species composition, age, crown width/area, plant functional types, shrub species composition, stem density, crown height</t>
  </si>
  <si>
    <t>Cover of woody plants = overall canopy cover.
Age and plant functional type explored in results.</t>
  </si>
  <si>
    <t>F61</t>
  </si>
  <si>
    <t>Millaward and Sabir (2011)</t>
  </si>
  <si>
    <t>Millward AA, Sabir S. Benefits of a forested urban park: What is the value of Allan Gardens to the city of Toronto, Canada? Landscape and Urban Planning. 2011;100:177–88.</t>
  </si>
  <si>
    <t>Millward AA, Sabir S.</t>
  </si>
  <si>
    <t>Benefits of a forested urban park: What is the value of Allan Gardens to the city of Toronto, Canada?</t>
  </si>
  <si>
    <t>millward@ryerson.ca (</t>
  </si>
  <si>
    <t>Toronto</t>
  </si>
  <si>
    <t>Research was conducted in Allan Gardens (AG), a downtown urban park located in Toronto, Ontario, Canada (79.42◦ W, 43.67◦ N, 100 m elevation) (Fig. 1). Toronto is a city of approximately 2.5 million people that covers 63,000 ha.</t>
  </si>
  <si>
    <t>79° 25' 12"</t>
  </si>
  <si>
    <t>43° 40' 12"</t>
  </si>
  <si>
    <t>Most regular patrons live and/or work within walking distance of the park. AG contains 309 trees representing 43 different species. The five dominant species are Norway Maple (Acer platanoides and A. platanoides ‘Columnare’; 18%), Sugar Maple (Acer saccharum; 18%), Siberian Elm (Ulmuspumila; 7%), Green Ash (Fraxinus pennsylvanica; 6%) and Crimean Linden (Tilia x euchlora; 5%), with an age structure that is skewed towards older trees</t>
  </si>
  <si>
    <t>CO2storage and sequestration by urban trees is estimated in STRATUM using DBH and an estimate of tree height with biomass equations described in Pillsbury et al. (1998). Carbon storage is calculated from dryweight biomass and then converted to CO2; annual sequestered CO2, therefore, is the increment of CO2 added as biomass each year (Nowak and Crane, 2002). CO2 release resulting from tree planting and maintenance is also accounted for, and has been shown by McPherson and Simpson (1999) to be between 2 to 8% of annual CO2 reductions achieved through sequestration and avoided emissions, assuming a large stature tree.</t>
  </si>
  <si>
    <t>AG’s urban forest was estimated to reduce atmospheric CO2 by 51,895 kg annually (Table 2). This estimate takes into account carbon sequestration, the CO2 generated by tree maintenance and planting tasks that involve petroleum-fuelled machinery such as chainsaws and vehicles, and the CO2 released when a tree dies and decomposes. This benefit was valued at $858 in total, or $3/tree. Of the dominant species in AG, Silver Maple was found to provide the greatest annual benefits on a per tree basis ($177). Our results suggest larger trees are responsible for the majority of environmental and aesthetic benefits flowing from AG’s urban forest. For example, Scotch Elm, Black Walnut, and Silver Maple were among the older and larger trees at the time of our data collection, explaining why their energy benefits per tree were higher than younger, yet large-growing, trees.</t>
  </si>
  <si>
    <t>tree layer, crown width/area, total height, diameter, tree species composition</t>
  </si>
  <si>
    <t>Canopy dripline width = canopy width = canopy coverage
Tree layer = % of tree coverage/species in park
Leaf area: the actual surface area covered by tree canopy (by tree species) = crown surface area
DBH used as a proxy for age.</t>
  </si>
  <si>
    <t>F62</t>
  </si>
  <si>
    <t>Kovacs et al (2013)</t>
  </si>
  <si>
    <t>Kovacs KF, Haight RG, Jung S, Locke DH, O’Neil-Dunne J. The marginal cost of carbon abatement from planting street trees in New York City. Ecological Economics. 2013;95:1–10.</t>
  </si>
  <si>
    <t>Kovacs KF, Haight RG, Jung S, Locke DH, O’Neil-Dunne J.</t>
  </si>
  <si>
    <t>The marginal cost of carbon abatement from planting street trees in New York City.</t>
  </si>
  <si>
    <t>Ecological Economics</t>
  </si>
  <si>
    <t>kkovacs@uark.edu</t>
  </si>
  <si>
    <t>The study area includes the five boroughs of NYC (Fig. 1). We identify potential tree-planting locations by dividing the study area into cells that are fifty feet square in size.1 From this set, we restrict our analysis to cells on public land beside roads where the city can plant.</t>
  </si>
  <si>
    <t>Composition, Canopy cover</t>
  </si>
  <si>
    <t>To account for differences in the mature size and growth rates of different tree species, we simulate the net carbon benefits and management costs for four representative street trees: London plane tree (Platanus acerifolia) (large deciduous), callery pear (Pyrus calleryana) (medium deciduous), kwanzan cherry (Prunus serrulata) (small deciduous), and eastern white pine (Pinus strobus)(largeconifer).Thesespecies are the most abundant of their size categories in New York City or were selected as representative of their size categories for modeling</t>
  </si>
  <si>
    <t>We use the Tree Carbon Calculator (U.S. Forest Service, 2012)tocalculate annual carbon sequestration for each of the four species (Fig. 3). Models used by the Tree Carbon Calculator are described in Peper et al., 2007 and summarized here. Annual sequestration includes carbon storage in above- and belowground biomass over the course of one growing season. It is calculated by first using estimates of tree height and diameter to estimate above-ground biomass (McHale et al., 2009; Pillsbury et al., 1998). Biomass is then converted to green and dryweight estimates and divided by 78% to incorporate root biomass following the study on urban trees by Nowak and Crane (2002). Finally, dry-weight biomass is converted to carbon (50%). The amount of carbon sequestered each year is the annual increment of carbon stored as biomass.</t>
  </si>
  <si>
    <t>We find that the average discounted cost per ton of carbon abated from planting trees near buildings for a 100 year planning horizon ranges from $3133/tC for the London plane tree to $8888/tC for the Callery pear. The wide range arises from differences in life span, growth rate, and the size of tree canopy across species.Planting locations with the lowest cost of carbon abatement are 60 ft to the west of nearby buildings that are more than 60-years-old, less than a couple floors in height, entirely residential, and without nearby tree canopy. Trees in these locations provide a winter wind break and a little summer shade thereby reducing energy for heating and cooling.</t>
  </si>
  <si>
    <t>planting arrangement, total height, tree species composition, diameter, age</t>
  </si>
  <si>
    <t>Assumed the emissions from planting, pruning, and removal of trees (≠ CWD layer).
Analyze planting location of trees (wrt buildings) = planting arrangement</t>
  </si>
  <si>
    <t>F63</t>
  </si>
  <si>
    <t>Neto and Sarmento (2019)</t>
  </si>
  <si>
    <t>Neto M de C, Sarmento P. Assessing Lisbon Trees’ Carbon Storage Quantity, Density, and Value Using Open Data and Allometric Equations. Information. Multidisciplinary Digital Publishing Institute; 2019;10:133.</t>
  </si>
  <si>
    <t>Neto M de C, Sarmento P.</t>
  </si>
  <si>
    <t>Portugal</t>
  </si>
  <si>
    <t>Assessing Lisbon Trees’ Carbon Storage Quantity, Density, and Value Using Open Data and Allometric Equations</t>
  </si>
  <si>
    <t>Information</t>
  </si>
  <si>
    <t>mneto@novaims.unl.pt</t>
  </si>
  <si>
    <t>Lisbon</t>
  </si>
  <si>
    <t>The city of Lisbon is located in the western part of the Portuguese mainland (38◦ 43′ latitude N and 9◦ 9′ longitude W). The city covers an area of 84 km2, is divided into 24 parishes, and is located 30 km east of the Atlantic and on the right bank of the Tagus river. Lisbon is characterized to have a subtropical–Mediterranean climate with short and very mild winters and warm summers.</t>
  </si>
  <si>
    <t>38 43' 000'' N</t>
  </si>
  <si>
    <t>9 9' 000' W</t>
  </si>
  <si>
    <t>The urban tree database possesses information about the urban trees of Lisbon namely, the geographic location, id number, scientific name, circumference at breast height (cm) of the trunk, height (m), age (young or adult), and place of plantation (cemetery, school, green area and street) of about 61,447 trees. For the computation of carbon storage, were chosen the seven most represented tree species, namely Acer negundo, Celtis australis, Cercis siliquastrum, Jacaranda mimosifolia, Platanus spp., Populus nigra, and Tipuana tipu, resulting in a set of 15,229 individuals (24.7% of the total number of trees).</t>
  </si>
  <si>
    <t>The approach used to measure the carbon storage of each tree species is composed of the following steps: (1) Compute the volume of each individual tree species using an allometric equation for that tree species; (2) compute the dry weight biomass of each tree, multiplying the volume of each tree species by the corresponding dry weight density factor of that tree species (retrieved from the Global Wood Density Database [21]); (3) compute the total dry weight biomass (i.e., including below-ground biomass) by multiplying the dry weight biomass by 1.28 [22,23]; and (4) convert the total dry weight biomass of carbon, multiplying the total dry weight biomass by 0.5. This value is used by several authors [6,12,24] to calculate the dry weight biomass of carbon and/or also when the specific carbon amounts for each tree species is unknown [25,26].</t>
  </si>
  <si>
    <t>In the present work, the carbon storage and value of seven tree species was computed for the city of Lisbon. The tree species C. australis was the one that contributed the most to carbon storage in the city of Lisbon, retaining of about 2235 t of carbon. The remaining tree species presented much lower values of carbon storage varying between 746 and ~60 t of carbon. Trees planted in streets provided the major contribution to carbon storage in the city of Lisbon. However, is necessary consider that this study was only made for the seven most represented tree species, and, in this sense, the use of the entire database to compute carbon storage could lead to different results.</t>
  </si>
  <si>
    <t>Finally, and in order to support decision-making in what concerns green infrastructure management at the city level, the above presented methodology could support a dashboard that would give an integrated vision and provide relevant KPIs (Key Performance Indicators) on an everyday basis, together with interactive capabilities as presented in Figure 12, where the data were used to create an example of a possible visualization of the results obtained with Power BI. In this dashboard, the user can identify, select, and filter the data to obtain insights about the role of different tree species in carbon storage and sequestration.</t>
  </si>
  <si>
    <t>tree species composition, age, diameter, total height</t>
  </si>
  <si>
    <t>F64</t>
  </si>
  <si>
    <t>Jo and McPherson (1995)</t>
  </si>
  <si>
    <t>Jo H-K, McPherson GE. Carbon Storage and Flux in Urban Residential Greenspace. Journal of Environmental Management. 1995;45:109–33.</t>
  </si>
  <si>
    <t>Jo H-K, McPherson GE.</t>
  </si>
  <si>
    <t>Carbon Storage and Flux in Urban Residential Greenspace.</t>
  </si>
  <si>
    <t>Two residential blocks located in northwest Chicago were selected as the study area. The criteria for selection of the study blocks were accessibility for data collection, similarity in building construction date, and difference in vegetation cover. Areal vegetative cover was relatively higher in study block 1 than in study block 2. Block 1 is enclosed by W. Catalpa Ave. and W. Rascher Ave., and N. Virginia Ave. and N. Francisco Ave. Block 2 is enclosed by W. Bryn Mawr Ave. and W. Gregory St., and N. California Ave. and N. Washtenaw Ave. Blocks 1 and 2 have 22 and 28 residential units, and are 1·86 and 1·61 ha in size, respectively. In block 2, one unusually large multi-family residential unit was excluded. Permission for access to survey individual lots was received from 16 residential units in block 1 (73% of total) and 17 residential units in block 2 (61% of total).</t>
  </si>
  <si>
    <t>All the trees and shrubs in the sample of 33 residential lots were inventoried. For trees, the following dimensions were measured: diameter at breast height (dbh), using a tape or caliper, total height using an altimeter, and merchantable height (from a 0·3 m stump to the point where the central stem breaks into limbs for trees greater than or equal to 13 cm dbh). Total height, diameter at ground level and at 15 cm above ground were measured for shrubs.</t>
  </si>
  <si>
    <t>Table 1 includes the sources of biomass equations used. A maximum of five equations were used for each individual plant, according to the diameter range for which the equations are applicable. If no biomass equation for a particular species existed, the average biomass estimate derived from formulas for the same genus or group (hardwood or conifer) was used. The dry-weight biomass of wood and foliage for each individual tree and shrub was converted to a carbon storage estimate by multiplying by 0·5. he average ratio of below ground biomass and above ground biomass was applied to estimate total biomass according to species and age. In a given species, the ratios of below ground biomass: above ground biomass decrease with age</t>
  </si>
  <si>
    <t>Existing total carbon storage in trees and shrubs averaged approximately 3·42 kg/m2 of lot area in study block 1, with 3249·5 kg per residential unit. Annual carbon uptake was, on average, approximately 0·22 kg/m2, with 228 kg per residential unit. In block 2, average total carbon storage was 1·03 kg/m2 and 513·5 kg per residence, and the mean annual carbon uptake was 0·07 kg/m2 and 39·1 kg per residence. Shrubs accounted for about 10–11% of the total carbon storage and 21–25% of total annual carbon uptake. Foliage carbon comprised approximately 2–3% of the total carbon storage for trees and 10–12% for shrubs. The estimation of landscape carbon inputs and outputs for the study area indicated that soils and woody plants were carbon sinks, while grass was a net carbon source.</t>
  </si>
  <si>
    <t>Reducing the present wide sidewalk and cement area in back yards could result in a larger pervious area and allow more trees to be planted. It may be better to plant fast-growing trees. These sequester more carbon annually than slow-growing species, such as conifers and shrubs. Simply planting more trees may not be sufficient to decrease the level of atmospheric carbon. Circumspect management for longer productive lifespans should be accompanied to ensure trees remain as a long-term carbon reservoir. Planting of the right species in the right space is required to avoid a rapid release of carbon.</t>
  </si>
  <si>
    <t>ground layer, shrub species composition, total height, tree layer, merchantable height, shrub layer, diameter, tree species composition</t>
  </si>
  <si>
    <t>Actually measured pruned materials to assess its C, including fallen leaves (≠ CWD layer &amp; leaf litter layer).</t>
  </si>
  <si>
    <t>F65</t>
  </si>
  <si>
    <t>Kiss et al (2015)</t>
  </si>
  <si>
    <t>Kiss M, Takács Á, Pogácsás R, Gulyás Á. The role of ecosystem services in climate and air quality in urban areas: Evaluating carbon sequestration and air pollution removal by street and park trees in Szeged (Hungary). Moravian Geographical Reports. Brno, Poland: De Gruyter Poland; 2015;23:36–46.</t>
  </si>
  <si>
    <t>Kiss M, Takács Á, Pogácsás R, Gulyás Á.</t>
  </si>
  <si>
    <t>The role of ecosystem services in climate and air quality in urban areas: Evaluating carbon sequestration and air pollution removal by street and park trees in Szeged (Hungary).</t>
  </si>
  <si>
    <t>Moravian Geographical Reports</t>
  </si>
  <si>
    <t>Kiss.Marton@geo.u-szeged.hu</t>
  </si>
  <si>
    <t>Szeged</t>
  </si>
  <si>
    <t>The general study area was located in the centre of Szeged, situated in South-East Hungary. The city is characterized by a dry-warm continental climate. Szeged is the administrative centre of Csongrád county, with ca. 170,000 inhabitants. Because of its size, the urban heat island effect and air pollution are considerable, and these have been studied in detail in previous research (Kántor et al., 2012; Makra, 2005; Unger et al., 2014). The structure of the city is characterized by radial avenues and three boulevards.</t>
  </si>
  <si>
    <t>The exact locations of the trees were available from a baseline GIS database of the city, which considerably aided the field survey. For the latter, we applied the protocol of the i-Tree model (i-Tree, 2014). We recorded the attributes of every street and park trees in the study area, if its diameter at breast height (DBH) exceeded 5 cm. The height of the tree, the height to base of live crown and the crown diameter were measured using the Vertex III ultrasonic hypsometer.</t>
  </si>
  <si>
    <t>Carbon storage is quantified with the help of the above-mentioned allometric equations. Annual growth (from which annual carbon sequestration is calculated) estimates are based primarily on standardized growth rates (that take into account climatic characteristics of the study area), which are adjusted based on tree condition and crown light exposure data (which represent forest or open-growth conditions). The monetary value of carbon sequestration was calculated based on the marginal social cost of carbon data (Tol, 2008), while that of air pollution removal was estimated using country-specific median externality values (PowerConsult, 2010).</t>
  </si>
  <si>
    <t>Differences between species in carbon sequestration and storage capacity are mainly determined by the differences in size distribution. The Platanus hybrida population can be characterized by an extremely high annual sequestration, which can reach 60 kg/year or even more for the largest individuals. The 305 Platanus hybrida trees store 428.9 tons of carbon, which is more than one third of the total stored carbon (1,169 t) of the studied urban forest. Sophora japonica have the second largest annual carbon sequestration values (23.5 kg/tree on average), and the third is Celtis occidentalis (15.8 t/yr). The economic value of carbon sequestration per tree is between 0.1–0.2 €/yr for most species, but the values of the species with highest sequestration rates are above that. The total carbon sequestration of the whole studied urban forest amounted to 720 €/yr in economic value.</t>
  </si>
  <si>
    <t>This also shows that before planting trees of different species, it is worth investigating their general condition and service-providing capacity in the city. For such purposes, creating and maintaining a tree cadastre database and analyses of ecosystem services similar to the ones presented in this study, may be advisable in as many cities as possible. The characteristics of different species’ populations, their life cycles, the services provided during this time, and the benefit-cost relationships can be monitored in the best way if all management activities are also registered on a per tree basis.</t>
  </si>
  <si>
    <t>diameter, tree species composition, total height, tree layer, tree condition, crown height, crown width/area</t>
  </si>
  <si>
    <t>F66</t>
  </si>
  <si>
    <t>Turner et al. (2005)</t>
  </si>
  <si>
    <t>Turner K, Lefler L, Freedman B. Plant communities of selected urbanized areas of Halifax, Nova Scotia, Canada. Landscape and Urban Planning. 2005;71:191–206.</t>
  </si>
  <si>
    <t>Turner K, Lefler L, Freedman B.</t>
  </si>
  <si>
    <t>Plant communities of selected urbanized areas of Halifax, Nova Scotia, Canada.</t>
  </si>
  <si>
    <t>bill.freedman@dal.ca</t>
  </si>
  <si>
    <t>Halifax</t>
  </si>
  <si>
    <t>Residential neighborhood 1 was located in a mature area known as the South End of Halifax, and it contained houses typically older than 80 years. Neighborhood 2, in Fairview and Clayton Park, had houses 30–50 years old. Neighborhood 3 was a younger development in Spryfield, with houses under 10 years old. Six house lots were randomly selected for study in each of the three residential neighborhoods (total of 18 sites). In the two semi-natural urban parks, Point Pleasant and Fleming, four plots of 25 m × 25 m were randomly located for study (two in each park). The natural forest in the Pockwock municipal watershed was sampled in four separate, mature, mixed-species stands using a single randomly located plot of 25 m × 25 m; these were labeled N1–4.</t>
  </si>
  <si>
    <t>The first visit involved a thorough plant survey of the site, including vegetated areas between the sidewalk and road, where relevant. All known plant species were recorded, while unknowns were given a descriptive field-name and were sampled for later identification or their location was noted for observation at the next visit. Species of trees, shrubs and ground plants were noted, excluding any in residential sites that were growing in containers. Diameter (DBH) was measured at breast height (ca. 1.45 m) for all woody stems &gt;1.0 cm DBH, and the height was measured. These measurements were also made for any standing dead trees (snags).</t>
  </si>
  <si>
    <t>The latter was estimated for trees and shrubs using equations relating above-ground dry biomass to stem diameter (Freedman, 1983; Freedman et al., 1996). A generalized equation was used for trees with diameter ≥6.0 cm, and another for shrubs with a diameter of &lt;6.0 cm. meter (cm) at breast height Above-ground carbon storage was calculated as 0.5 of the estimated dry-weight (Fleming and Freedman, 1998; for every tonne of carbon a plant stores, 3.67 t of CO2 are removed from the atmosphere). It is important to note that the regressions used had been developed based on samples of forest-grown trees.</t>
  </si>
  <si>
    <t>Neighborhood 2 had the highest species richness of ground vegetation, followed by neighborhood 1, neighborhood 3, and the semi-natural and natural sites (Table 1). Neighborhood 1 had the highest species richness of woody plants (trees and shrubs), followed by neighborhood 2 and the semi-natural habitats (of equal value), neighborhood 3, and the natural habitat (Table 1). The observation of increasing stand biomass during urban residential succession suggests that there is a large potential to increase the amount of carbon stored within the woody vegetation of the urban forest. Neighbourhood 1 had the highest carbon storage in trees from the three neighbourhoods (Table 3).</t>
  </si>
  <si>
    <t>Not sure what to do about results</t>
  </si>
  <si>
    <t>diameter, tree layer, ground layer, shrub species composition, shrub layer, standing dead trees, total height, stem density, tree species composition</t>
  </si>
  <si>
    <t>F67</t>
  </si>
  <si>
    <t>Zhang et al. (2015)</t>
  </si>
  <si>
    <t>Zhang D, Zheng H, Ren Z, Zhai C, Shen G, Mao Z, et al. Effects of forest type and urbanization on carbon storage of urban forests in Changchun, Northeast China. Chin Geogr Sci. 2015;25:147–58.</t>
  </si>
  <si>
    <t>Zhang D, Zheng H, Ren Z, Zhai C, Shen G, Mao Z, Wang P, He X.</t>
  </si>
  <si>
    <t>Effects of forest type and urbanization on carbon storage of urban forests in Changchun, Northeast China</t>
  </si>
  <si>
    <t>Chinese Geographical Science</t>
  </si>
  <si>
    <t>hexingyuan@iga.ac.cn</t>
  </si>
  <si>
    <t>Changchun</t>
  </si>
  <si>
    <t>Changchun is the capital city of Jilin Province in Northeast China. Its urban population and urban expansion have accelerated notably in recent decades. The main urban area had increased from 117 km2 to 365 km2, and the population had increased from 2.20 × 106 to 3.62 × 106 during the period of 1994–2010 (Huang et al., 2009a; 2009b; Li et al., 2012). The city expanded out mainly in the form of concentric ring roads. The climate is a continental monsoon climate of North Temperate Zone with distinct seasons and rain, wet moderate climate characteristics (Ren et al., 2013). The average annual temperature is 4.8°C and the average annual precipitation is 522–615 mm. The forest land types are mainly composed of coniferous forest and deciduous broad-leaved forest. The study area (43°42′–44°03′N, 125°09′–125°27′E) is primarily within the fifth ring road of Changchun, with an area of 524.06 km2 (Fig. 1).</t>
  </si>
  <si>
    <t>43 42' - 44 03' N</t>
  </si>
  <si>
    <t>125 09' - 125 27' E</t>
  </si>
  <si>
    <t>Canopy cover, Composition, Land use type</t>
  </si>
  <si>
    <t>1) road forest (RF): trees along railroads, highways, boulevards, roads, and streets for protecting, guiding the traffic and improving the environment; 2) attached forest (AF): trees next to buildings in school yards, campuses, hospitals, commercial and business districts, industrial areas and residential areas to offer entertainment space and improve the quality of living and working environment; 3) landscape and relaxation forest (LF): trees in the public parks, forest parks, historic sites, and scenic areas for landscape and relaxation purposes; 4) ecological and public welfare forest (EF): trees planted as windbreaks, to prevent soil erosions, to prevent from flood, to protect watersheds, and to reduce pollutions or noises; and 5) production and management forest (PF): trees in the nurseries, orchards, plantations, and wood-lands for commercial purposes. For each plot, the height and canopy of shrubs were measured. Trees whose diameter at breast height (DBH) higher than 2 cm were measured at 1.3 m above-ground level, height, under branch height (UNB), canopy size (CA) and health condition of each measured tree were recorded.</t>
  </si>
  <si>
    <t>Aboveground dry-weight biomass was estimated for each surveyed woody plant using biomass allometric growth equations obtained from the literatures (Table 1). These equations were geographically approximate to our study area (Liu and Li, 2012). If no species-specific allometric equation could be found, an equation for the species affiliated to the same genus or the same family was used (Davies et al., 2011). If no equations were found for a genus or a family, a generalized equation derived from the literature was used (Wang, 2006; Li et al., 2010; Liu and Li, 2012). Urban trees tend to have less aboveground biomass than trees in a natural forest because of pruning and maintenance and the biomass estimate was multiplied by a factor of 0.8 (Nowak et al., 1993). The individual tree biomass was converted to C by multiplying by a factor of 0.5 (Nowak and Crane, 2002; Escobedo et al., 2011).</t>
  </si>
  <si>
    <t>The P. davidiana had the highest C storage (18.14%), followed by S. matsudana (12.45%), Armeniaca mandshurica (9.55%), Amygdalus davidiana var. davidiana (7.81%), Prunus ussuriensis (7.35%) and Pinus tabulaeformis var. mukdensis (5.29%) (Fig. 2). Mean C densities for urban forest types showed that LF had the highest mean C density with 5.41 kg/m2, and PF had the lowest mean C density with 1.46 kg/m2. Significant differences (P &lt; 0.05) in mean C density were found among gradients of urbanization (Fig. 3c). The mean C density decreased from the first ring to the fourth ring with the value from 6.99 kg/m2 to 2.87 kg/m2, and then slightly increased to 3.22 kg/m2 at the fifth ring (Fig. 3c).</t>
  </si>
  <si>
    <t>The results indicated that planting trees of native species with fast-growth rates may further improve the capacity of C sequestration of urban forests. In addition, the large differences in C density and C storage among different types of urban forests indicated that reasonable planning and management of urban forests can improve the urban C storage. The urban forests need more careful attention and management to maintain a healthy condition, especially trees in suburbs. During the process of urbanization in the study area, new green infrastructures keep up with the urban development. However, the newly planted woody plants are so young that the average DBH decreases from the first ring to the fourth ring (Table 4).</t>
  </si>
  <si>
    <t>total height, crown width/area, tree species composition, diameter, tree condition, shrub species composition</t>
  </si>
  <si>
    <t>Canopy size = canopy width/area.
Allometric equations.
Urban forest % cover recorded. (Not marked as overall canopy cover because it is more related to forest/land use type.)</t>
  </si>
  <si>
    <t>F68</t>
  </si>
  <si>
    <t>Russo et al. (2015)</t>
  </si>
  <si>
    <t>Russo A, Escobedo FJ, Timilsina N, Zerbe S. Transportation carbon dioxide emission offsets by public urban trees: A case study in Bolzano, Italy. Urban Forestry &amp; Urban Greening. 2015;14:398–403.</t>
  </si>
  <si>
    <t>Russo A, Escobedo FJ, Timilsina N, Zerbe S.</t>
  </si>
  <si>
    <t>Transportation carbon dioxide emission offsets by public urban trees: A case study in Bolzano, Italy.</t>
  </si>
  <si>
    <t>alessio.landscape@gmail.com</t>
  </si>
  <si>
    <t>Bolzano</t>
  </si>
  <si>
    <t>The study was conducted in Bolzano situated in the Autonomous Province of Bolzano-South Tyrol in Northern Italy (46◦29′28′′N, 11◦21′15′′E). The average annual rainfall is 740 mm (Bonatti, 2008), average annual temperature is 12.3 ◦C, average annual minimum temperature is 6.8 ◦C and the average maximum temperature is 17.9 ◦C (Provincia Autonoma di Bolzano, 2012). The population of Bolzano is about 100,000 people and covers an area of more than 50 square kilometers and is divided into five quarters (Ufficio, 2012).</t>
  </si>
  <si>
    <t>46 29' 28" N</t>
  </si>
  <si>
    <t>11 21' 15" E</t>
  </si>
  <si>
    <t>Using field data from a previous study in Bolzano in 2011 that contained information on several urban forest structural characteristics, among them diameter at 1 m and at 1.37 m (DBH) for a subsample of 475 trees (Russo, 2013; Russo et al., 2014), we calculated the DBH for all the species in the Bolzano’s tree inventory by multiplying the diameter at 1 m (DH) by the ratio of DBH/DH that was averaged at the taxonomic order and division level. We first calculated the tree canopy cover across our different streetscapes using ground-plot measurements, photo-interpretation, and i-Tree Canopy V 6.1 (http:// www.itreetools.org/canopy/). Using QGIS 2.2.0 and Bolzano’s tree inventory data, we created 38 unique ESRI shapefiles representing the boundary of each streetscape in the study area and the ESRI shapefiles were then used in the i-Tree Canopy analysis.</t>
  </si>
  <si>
    <t>We calculated above-ground biomass using Bolzano’s tree inventory data (Russo, 2013) and allometric equations from the literature (Jenkins et al., 2003; Liu and Li, 2012; Muukkonen and Mäkipää, 2006; Ruiz-Peinado et al., 2012; Tabacchi et al., 2011a,b; Zianis et al., 2005). Allometric equations are usually based on diameter measured at breast height (i.e. DBH). Finally, dry weight of the above-ground biomass was converted to carbon (kg) by multiplying by 0.5 and CO2 equivalent was calculated by multiplying C by 3.67 (Dobbs et al., 2011). Carbon dioxide sequestration was estimated based on Bolzano’s annual growth rates as reported by Russo et al. (2014) and the difference of CO2 stored between year y (i.e. 2011) and year y + 1 (i.e. 2012).</t>
  </si>
  <si>
    <t>CO2 storage estimates were greatest in parks accounting for 2415.48 Mg and our lowest estimates were found in cycle paths (34.76 Mg). This is because the greatest number of trees in Bolzano were located in parks (1417 trees). The average CO2 storage and sequestration per tree was greatest in piazzas at 397.79 kg and 94.14 kg/year. The lowest average CO2 storage and sequestration per tree was in cycle paths (Table 1). Overall, differences in the average CO2 storage and sequestration by streetscape type depended on species composition, DBH size, growth, and presence of monumental trees. For example in piazza, Platanus × hispanica stored more than five times the atmospheric carbon dioxide stored by Cedrus atlantica; the most frequent species in piazzas. Overall, we calculated that the trees in Bolzano’s streetscapes through their sequestration, annually offset 0.08% of the total amount of carbon dioxide emitted by the transportation sector (300,000 Mg/year).</t>
  </si>
  <si>
    <t>These CO2 offset indicators and findings could easily be integrated into existing initiatives and policies. For example, they can be used to complement or integrated into carbon offset accounting protocols (CalFIRE and USFS, 2014) or national urban forest carbon stock assessments (Nowak et al., 2013). Also, according to the Italian Law on urban green spaces (LEGGE, 2013), Italian municipalities have to plant a new tree for every resident child born or adopted in the municipality. Therefore, tree plantings can partially offset the annual CO2 emissions of every child born. For example, information from the Registry of the Municipality of Bolzano indicates 972 births (+1.6% increment) in 2012, that equates to 972 new tree plantings. Thus, new tree plantings in parks would result in an additional carbon sequestration of 52.42 Mg/year with a CO2 offset of 0.09%. But, this would need to account for future CO2 emissions from these new generations as well</t>
  </si>
  <si>
    <t>tree species composition, diameter, tree layer</t>
  </si>
  <si>
    <t>F69</t>
  </si>
  <si>
    <t>Filazolla et al. (2019)</t>
  </si>
  <si>
    <t>Filazzola A, Shrestha N, MacIvor JS. The contribution of constructed green infrastructure to urban biodiversity: A synthesis and meta‐analysis. Stanley M, editor. J Appl Ecol. 2019;56:2131–43.</t>
  </si>
  <si>
    <t>Filazzola A, Shrestha N, MacIvor JS.</t>
  </si>
  <si>
    <t>Contribution of green urban areas to the achievement of SDGs. Case study in Valencia (Spain)</t>
  </si>
  <si>
    <t>edlosae@upv.es</t>
  </si>
  <si>
    <t>Valencia city council and Joint Research Centre have a Collaboration Agreement signed to use Valencia as a City Lab under the framework of the Community of Practice on CITIES (JRC, 2020), to identify new approaches in the areas of urban indicators and Sustainable development goals. The city of Valencia is located in the Valencian Community in the Eastern part of Spain. Currently, Valencia city has 764,000 inhabitants and is the third biggest city of Spain.</t>
  </si>
  <si>
    <t>Therefore, a simplification has been made by cataloguing all the species without exact referenced data for the species in three types: coniferous, broadleaves and palm trees. Thus, an average value for each type has been calculated based on the speciesthat we do havedata in the bibliography.</t>
  </si>
  <si>
    <t>The evaluation of the contribution of GUA to SDG 13 “Climate Action” has been done by quantifying carbon fixation (expressed as CO2 equivalent) by the vegetation (mainly trees and palm trees) of the GUA through the photosynthesis activity. For the calculation, the values of annual growth described by Montero et al. (2005) have been used.</t>
  </si>
  <si>
    <t>The 901 GUA (green urban area) with available data in Valencia fix 812,230 t CO2 eq. The maximum amount of CO2 eq. fixed is 49,505 kg CO2 eq. and correspondto the park“Jardines del Real Viveros”. There are also polygons with low carbon fixation due to contain very little vegetation or the presence of non-arboreal or shrub vegetation, which is not quantified in this study (such as meadows). In Valencia, however, the total CO2 fixation quantified is equivalent to 0.04% of total gross GHG emissions according to the Sustainable Energy and Climate Action Plan. The main urban carbon sink is located in a large linear green infrastructure that crosses the city from east to west through the centre. The location of this large green infrastructure has proven to be strategic,not only for the achievementof this SDG but also of the other SDGs evaluated.</t>
  </si>
  <si>
    <t>It is important to note that the structure of each type of park or garden significantly influences the carbon fixation capacity of the vegetation that composes it. Thus, young trees and shrubs are capable of absorbing more carbon due to their rapid growth, while mature trees are already declining in their growth and, consequently, in their fixing capacity. It must also be taken into account that meadows or grasslands do not have a significant capacity for carbon fixation. Therefore, we consider that this is another factor to take into account when planning the green infrastructure of cities.</t>
  </si>
  <si>
    <t>Coniferous, broadleafed, and palm trees.
Calculated annual growth by species and number of trees in the area.</t>
  </si>
  <si>
    <t>F70</t>
  </si>
  <si>
    <t>Zhu et al. (2016)</t>
  </si>
  <si>
    <t>Zhu HN, Chambers R, Abdollahi K. Modeling air pollutant removal, carbon storage, and CO2 sequestration potential of urban forests in Scotlandville, Louisiana, USA. iForest.2016;9:860–867.</t>
  </si>
  <si>
    <t>Zhu HN, Chambers R, Abdollahi K.</t>
  </si>
  <si>
    <t>Modeling air pollutant removal, carbon storage, and CO2 sequestration potential of urban forests in Scotlandville, Louisiana, USA.</t>
  </si>
  <si>
    <t>iForest - Biogeoscience and Forestry</t>
  </si>
  <si>
    <t>zhu_ning@subr.edu</t>
  </si>
  <si>
    <t>Scotlandville</t>
  </si>
  <si>
    <t>Scotlandville is a community located in East Baton Rouge Parish of the state of Louisiana, USA (latitude 30.5204668 N, longitude 91.1787186 W). Situated in a temperate climate zone, its elevation is 17.70 m a.s.l. Consisting of twenty-one distinct subcommunities as identified by the Scotlandville Comprehensive Community Development Plan, and according to the US Census Bureau data, Scotlandville is divided into six different census tracts, with a combined population of 27,230 on a total of 3060.31 hectares of land.</t>
  </si>
  <si>
    <t>30° 31' 13.68048" N</t>
  </si>
  <si>
    <t>91° 10' 43.38696" W</t>
  </si>
  <si>
    <t>Composition, Land use type, Canopy cover, Forested area</t>
  </si>
  <si>
    <t>Data collected included land use, ground and tree cover, tree species, diameter at breast height (dbh), total tree height, height to live top, height to crown base, crown width, crown dieback, crown light exposure, percent impervious surface under the tree, and direction and distance to building. Data were then entered into iTree Eco v5.0 for analysis.</t>
  </si>
  <si>
    <t>To calculate current carbon storage, biomass for each tree was calculated using equations from the literature and measured tree data (Nowak 1994). Opengrown, maintained trees tend to have less biomass than predicted by forest-derived biomass equations. To adjust for this difference, biomass results for open-grown urban trees were multiplied by 0.8. No adjustment was made for trees found in natural stand conditions. Tree dry-weight biomass was converted to stored carbon by multiplying by 0.5. To estimate the gross amount of carbon sequestered annually, average diameter growth from the appropriate genera and diameter class and tree condition was added to the existing tree diameter (year x) to estimate tree diameter and carbon storage in year x+1.</t>
  </si>
  <si>
    <t>Carbon storage and sequestration It was estimated that the urban forests in Scotlandville store 88,700 tons of carbon. The gross carbon sequestration was about 3,880 tons of carbon per year, its associated ecological functional value (avoided cost) was $276,000, and its net carbon sequestration was about 3,650 tons. The ten species mostly contributing to carbon sequestration (in descending order of importance) were: Water oak, Black willow, Sugar maple, Willow oak, Live oak (Quercus virginiana), Pecan (Carya illinoinensis), American elm, Red maple (Acer rubrum), Sweetgum (Liquidambar styraciflua), and Lagerstroemia spp. (Tab. 3 ). The land use type showing the largest amount of estimated elemental carbon being stored by trees is wetland (46.5%), followed by residential (45.8%), grassland (3.3%), water (1.9%), forest (1.5%), and commercial (1%).</t>
  </si>
  <si>
    <t>Scotlandville needs to develop greening regulations that will provide guidelines to the commercial landowners to plant more trees and to increase the tree density. However, due to the nature of certain commercial land use (e.g., airport) in Scotlandville, precaution needs to be taken to properly identify the planting spaces. Through tree planting, Scotlandville could establishing a tree buffer zone around the airport, the oil refinery, Exxon chemical storage facility, etc., that could enhance the tree cover and reduce pollution. Scotlandville should increase the Live oak population size and have it as a priority species for future planting. Pecan and Red maple are also ranked among the top ten species for their ecological functions but not among the top ten by population size. The populations of these two species should also be increased through future planting.</t>
  </si>
  <si>
    <t>tree layer, stem density, crown height, tree species composition, total height, crown width/area, tree condition, diameter, ground layer</t>
  </si>
  <si>
    <t>Recorded tree distance to buildings.</t>
  </si>
  <si>
    <t>F71</t>
  </si>
  <si>
    <t>Smith et al. (2019)</t>
  </si>
  <si>
    <t>Smith IA, Dearborn VKC, Hutyra LRC, Hui DE. Live fast, die young: Accelerated growth, mortality, and turnover in street trees. PLOS ONE. 2019;14.</t>
  </si>
  <si>
    <t>Smith IA, Dearborn VKC, Hutyra LRC, Hui DE.</t>
  </si>
  <si>
    <t>Live fast, die young: Accelerated growth, mortality, and turnover in street trees</t>
  </si>
  <si>
    <t>iasmith@bu.edu</t>
  </si>
  <si>
    <t>This study was conducted in the City of Boston, Massachusetts (Fig 1) and in awell-characterized, nearby rural forest located at the Harvard Forest Environmental Measurement Station (EMS) in Petersham, Massachusetts, USA.</t>
  </si>
  <si>
    <t>During the summers of 2005 and 2006, the City of Boston commissioned acensus of street trees [33], training 26 full-time interns and over 300 volunteers to collect basic tree demographics. In 1993, 40 circular 10 m radius plots were installed within the footprint of the Harvard Forest EMS eddy flux tower. The EMS plots contain 25 years of detailed ecological data including annual measurements of DBH, mortality, and recruitment. We use these datasets to compare our urban observations to anearby rural forest. Dominant common species across our urban and rural sites include Quercus rubra and Acer rubrum.</t>
  </si>
  <si>
    <t>Tree biomass per plot area ispresented as Mg Cha -1,assuming 50% of the biomass iscarbon. Abox model representing the aboveground carbon stocks and fluxes was developed following the methods and structure of Pyle et al. [41]. The model was used to assess short-term tendencies of both street trees and rural, forested trees.</t>
  </si>
  <si>
    <t>The rates of planting (2.9 ± 0.6%) nearly equaled the rates of mortality in urban street trees, but the biomass changes associated with these two processes do not cancel due to differences in size between the trees being planted and those dying. We show that our understanding of vegetation structure and function based on intact, rural forests does not apply well to urban ecosystems. We find higher turnover in urban street trees, with higher rates of growth and mortality relative to rural forests, which isconsistent with modeling studies suggesting an accelerated rate of carbon cycling in urban vegetation. Ifwe consider a10 cm DBH tree growing in an urban streetscape and in an intact rural forest, the urban tree would grow to be 37.7 ± 2.9 cm in diameter (Fig 7) and store 279.2–398.7 kg Cafter 35 years. The same tree in an intact rural forest would grow to be less than half of the size of the urban tree (15.7 ± 0.8 cm DBH; Fig 7) after 35 years and would store an order of magnitude less carbon (34.3–44.2 kg C). However, the probability of the urban tree surviving 35 years isonly 35.1 ± 8.6%, while the rural tree has a44.2 ± 4.5% chance of survival. We find that through rapid growth rates, street trees have the ability to sequester carbon and potentially provide other ecosystem services, such as evaporative cooling [66], more efficiently than rural trees. Currently, these benefits are not fully realized due to the high mortality suffered by street trees.</t>
  </si>
  <si>
    <t>Differences in both growing conditions and management between urban and rural areas determine the ecosystem carbon dynamics. In young street trees, opportunities for growth include more light availability with open growth conditions, elevated carbon dioxide concentrations (street level CO2 mixing ratios typically &gt;500 ppm; [50]), enhanced reactive atmospheric nitrogen deposition (atmospheric N inputs in urban sites more than double rural sites; [51,52]), and an extended growing season relative to arural forest (18–22 days longer in urban Boston relative to adjacent rural areas. Street tree maintenance and irrigation can lower the risk of mortality [17,18,58,59], but the very maintenance practices that facilitate survival and rapid street tree carbon sequestration have high carbon costs themselves.Ttree planting efforts alone seem insufficient to increase canopy cover. In fact, we observe the highest rates of mortality and carbon loss in the neighborhoods with the most biomass (Fig 4), suggesting that policy makers should consider alternative strategies to reduce mortality rates of large trees.</t>
  </si>
  <si>
    <t>Strong recommendations and use a rural comparison! Strong outcomes</t>
  </si>
  <si>
    <t>tree species composition, diameter, stem density, standing dead trees</t>
  </si>
  <si>
    <t>Noted street tree mortality by removal.
Counted standing dead trees in the rural forest.</t>
  </si>
  <si>
    <t>F72</t>
  </si>
  <si>
    <t>McHugh et al. (2015)</t>
  </si>
  <si>
    <t>McHugh N, Edmondson JL, Gaston KJ, Leake JR, O’Sullivan OS. Modelling short-rotation coppice and tree planting for urban carbon management – a citywide analysis. Journal of Applied Ecology. 2015;52:1237–45.</t>
  </si>
  <si>
    <t>McHugh N, Edmondson JL, Gaston KJ, Leake JR, O’Sullivan OS.</t>
  </si>
  <si>
    <t>Modelling short-rotation coppice and tree planting for urban carbon management – a citywide analysis.</t>
  </si>
  <si>
    <t>j.r.leake@sheffield.ac.uk</t>
  </si>
  <si>
    <t>Leicester</t>
  </si>
  <si>
    <t>This study focused on Leicester (52°380N, 1°080W), a typical mid-sized city in central England with a population of around 310 000, and annual CO2 emissions of 478 000 tonnes of carbon (Leicester City Council, 2012). The 73-km2 city area has a densely developed urban core, beyond which are suburbs, with built development reaching the city boundary in the east and west and small peri-urban areas to the north and south.</t>
  </si>
  <si>
    <t>52 38' N</t>
  </si>
  <si>
    <t>1 08' W</t>
  </si>
  <si>
    <t>Combining data from the tree survey carried out by Davies et al. (2011b) and a garden tree survey using the same methodology (data available from the Dryad Digital Repository: http://dx.doi.org/10.5061/dryad.j25t0; McHugh et al. 2015), over 1300 trees in Leicester were identified and diameter at breast height (d.b.h.) measured. Those species with more than one individual (68 species) were included in the tree-planting models. Mature crown diameter values of large (15 m) and small (5 m) species within the tree population were incorporated into the models reducing the risk of overplanting the landscape, replicating the species and size heterogeneity of the current urban forest and developing more realistic carbon storage values than could be achieved with a single species planting model.</t>
  </si>
  <si>
    <t>The above-ground biomass of trees was calculated annually using species- and genus-specific allometric equations (see Table S4), and a biomass-to-carbon conversion factor of 0_x0001_46 for broadleaf and 0_x0001_42 for coniferous species was used to determine carbon content (Milne &amp; Brown 1997). The use of generalized equations (up to eight annual growth rates and six allometric biomass equations) minimized variability, an issue identified by McHale et al. (2009) when applying non-urban equations to urban trees. To compare the mixed-species models, the maximum possible increase in carbon storage by tree planting was estimated using the fastest growing large (Eucalyptus gunnii Hook. F.) and small trees (Populus tremula L.) in our data base (Table S3).</t>
  </si>
  <si>
    <t>Carbon storage increases resulting from applying the tree-planting models are strongly influenced by the differing tree species compositions between land ownership classes. On domestic land, 23% of trees were fast-growing Cupressaceae which over the 25-year period individually sequestered c. 96-kg carbon (d.b.h. 33 cm). The species composition of trees found in public and mixed ownership land was more diverse and although the most common tree species have the potential to reach a large size, they often grow more slowly, for example Fraxinus excelsior L. with a d.b.h. of 14 cm at 25 years. Although likely to be unacceptable from a biodiversity and aesthetic perspective (Roy, Byrne &amp; Pickering 2012), maximizing carbon sequestration using the fastest growing large and small tree species (E. gunnii and P. tremula) indicated potential increased storage of 53 000 tonnes of carbon after 25 years – over 12 times greater than the projection from the model with multiple species (Table 2).</t>
  </si>
  <si>
    <t>To achieve the 7_x0001_5 million odt required, all grade 5 and 97% of grade 4 agricultural land across England would be needed to avoid the best quality land. SRC production across England from 2010 to 2011 ranged from 2600 to 2700 ha (Defra 2013), indicating low acceptance of SRC by farmers. Our modelling suggests it is possible to add over 20% to the current UK SRC output by utilizing urban sites within Leicester alone. Assuming Leicester is not unique, our findings underline the untapped potential for SRC across UK urban areas.</t>
  </si>
  <si>
    <t>diameter, planting arrangement, ground layer, tree species composition, crown width/area</t>
  </si>
  <si>
    <t>Mortality rate predicted by a function. Used biomass-to-carbon conversion factor based on whether the tree was broadleaf or coniferous. Looked at shrub and tree cover, but did not use them (not space that is available to plant trees).
Goal: plan planting arrangement of trees.</t>
  </si>
  <si>
    <t>F73</t>
  </si>
  <si>
    <t>Mcpherson et al. (2017)</t>
  </si>
  <si>
    <t>McPherson EG, Xiao Q, van Doorn NS, de Goede J, Bjorkman J, Hollander A, et al. The structure, function and value of urban forests in California communities. Urban Forestry &amp; Urban Greening. 2017;28:43–53.</t>
  </si>
  <si>
    <t>McPherson EG, Xiao Q, van Doorn NS, de Goede J, Bjorkman J, Hollander A, et al.</t>
  </si>
  <si>
    <t>The structure, function and value of urban forests in California communities.</t>
  </si>
  <si>
    <t>This study used tree data from field plots in urban areas to describe forest structure (e.g., tree numbers, density, basal area, species composition) for six land use categories in six California climate zones.</t>
  </si>
  <si>
    <t>Two types of field plot data were utilized. i-Tree Eco (formerly UFORE, https://www.itreetools.org) plot data (703 plots) were obtained for Los Angeles (in 2007–08), Santa Barbara (2012) and the Sacramento area (2007). Plot data used included the percentage of tree canopy cover, tree species, stem diameter at breast height (1.37 m above ground, dbh), tree and crown height, crown width, and distance and azimuth to the nearest building with space conditioning.</t>
  </si>
  <si>
    <t>The amount of CO2 sequestered in year x was calculated as the amount stored in year x + 1 minus the amount stored in year x. To project tree size at year x + 1 we used growth curves from the Urban Tree Database, which were developed from samples of about 700 street and park trees representing the 20–22 predominant species in each climate zone’s reference city.</t>
  </si>
  <si>
    <t>Urban tree canopy covered 320,028 ha or 15% of the urban area in California. The CO2 sequestration value reported here is higher than reported using the national average carbon density rates from 34 U.S. cities. On average, CO2 was stored, sequestered and avoided per tree was 595 kg (11.6 kg se), 41.7 kg year−1 (0.8 kg year−1 se), and 7.5 kg year−1 (0.1 kg year−1 se), respectively. The per tree estimates varied considerably among climate zones (Table 4). The average amount stored per tree was 3.2 times greater in the Inland Valley (844 kg) than the Southwest Desert (260 kg). Storage and sequestration rates were least in the Southwest Desert and Inland Empire zones, where aridity can limit tree growth. Rates were greatest in the more temperate Inland Valley, Interior West and Northern California Coast zones. Because avoided CO2 emissions are related to reductions in space cooling and heating, it is not surprising that rates were greatest in the Inland Empire and Inland Valley zones, where energy savings were the most.</t>
  </si>
  <si>
    <t>stem density, diameter, tree layer, crown height, tree species composition, crown width/area, tree condition, total height</t>
  </si>
  <si>
    <t>Measured distance to the nearest building.
Used DBH as a proxy for age.
Tree condition: measured to assess the asset value of California's urban forest.</t>
  </si>
  <si>
    <t>F74</t>
  </si>
  <si>
    <t>Jo et al. (2019)</t>
  </si>
  <si>
    <t>Jo H-K, Kim J-Y, Park H-M. Carbon reduction and planning strategies for urban parks in Seoul. Urban Forestry &amp; Urban Greening. 2019;41:48–54.</t>
  </si>
  <si>
    <t>Jo H-K, Kim J-Y, Park H-M.</t>
  </si>
  <si>
    <t>Carbon reduction and planning strategies for urban parks in Seoul.</t>
  </si>
  <si>
    <t>jykim84@kangwon.ac.kr</t>
  </si>
  <si>
    <t>This study sampled urban parks in Seoul, the city with the largest area and the highest population density in the Republic of Korea. A total of 38 sample study parks was selected applying a systematic random sampling method to a 1:1000-scale aerial photograph</t>
  </si>
  <si>
    <t>All the trees in study parks selected were field-surveyed, and total area of each park and areal distribution of land cover types were measured. The survey of tree planting included species, height, crown width, stem diameter at a breast height of 1.2 m (dbh) for trees and at a height of 15 cm above ground for shrubs (2 cm or less in dbh), and layering structures.</t>
  </si>
  <si>
    <t>That is, the carbon storage and uptake for each species were computed applying the stem diameter of each tree as the major independent variable to the quantitative models (Table 1), which were derived from seasonal CO2 exchange rate measurements or a direct harvesting method of urban trees.</t>
  </si>
  <si>
    <t>The carbon storage by the planted trees per unit area of the study parks ranged from a minimum of 12.2 t/ha to a maximum of 111.1 t/ha with an average of 38.5 ± 3.0 t/ha. The carbon storage and uptake per unit of park area, per unit of basal area, and per unit of tree cover were variable depending on the study parks. This was attributed to differences in species, density, sizes, and layering structures of the planted trees. That is, the carbon storage and uptake were relatively greater in the parks having fast-growing species, higher density, larger sizes, and multi-layered structures than in those having slow-growing species, lower density, smaller sizes, and single-layered structures. The planted trees across all urban parks in Seoul played an important role in offsetting gasoline consumptioninduced carbon emissions by about 2.3% of the total population of the city.</t>
  </si>
  <si>
    <t>This study suggests multi-layered and clustered planting techniques, instead of avoiding the single-layered planting, because they are more effective to increase tree density and carbon sequestration per unit area. In addition, it is recommended to plant larger trees rather than small trees and tree species having satisfactory growth rates (e.g., Zelkova serrata, Prunus yedoensis, Pinus koraiensis). Desirable planning strategies, including land uses and tree planting structures, should be applied to enhance the capacity of urban parks to reduce atmospheric carbon levels. Such strategies include the areal enlargement of tree planting through the minimization of unnecessary grass and non-permeable areas, the multi-layered planting clustered with larger trees, and the planting of tree species with better growth rates. The carbon uptake capacity of the parks can also be improved by planting trees in grass and vacant areas that currently do not support trees.</t>
  </si>
  <si>
    <t>total height, stem density, shrub layer, tree species composition, tree layer, vertical layer assessment, ground layer, diameter, crown width/area, shrub species composition</t>
  </si>
  <si>
    <t>Vertical layer assessment = vertical planting structure.</t>
  </si>
  <si>
    <t>F75</t>
  </si>
  <si>
    <t>Zanzi et al. (2021)</t>
  </si>
  <si>
    <t>Zanzi A, Andreotti F, Vaglia V, Alali S, Orlando F, Bocchi S. Forecasting Agroforestry Ecosystem Services Provision in Urban Regeneration Projects: Experiences and Perspectives from Milan. Sustainability. Multidisciplinary Digital Publishing Institute; 2021;13:2434.</t>
  </si>
  <si>
    <t xml:space="preserve">Zanzi A, Andreotti F, Vaglia V, Alali S, Orlando F, Bocchi S. 
</t>
  </si>
  <si>
    <t>Forecasting Agroforestry Ecosystem Services Provision in Urban Regeneration Projects: Experiences and Perspectives from Milan.</t>
  </si>
  <si>
    <t>ambrogio.zanzi@unimi.it</t>
  </si>
  <si>
    <t>Our case study focuses on a peri-urban area at the fringe zone between Milan and the southern agricultural park (Italy). This city has a 23% (4231.74 ha) of its territory in South Milan Agricultural Regional Park, which is part of a plan of protection and enhancement for all the elements that characterise the agricultural landscape.</t>
  </si>
  <si>
    <t>M</t>
  </si>
  <si>
    <t>Land use type, Forested area, Composition</t>
  </si>
  <si>
    <t>The first scenario (Figure 3) named “Milano Porta Verde Hedgerows” (MPV-H) includes vegetation planted as a single tree and shrubs line, situated on the area’s hedges, dividing some fields and the project area from the surroundings. In the MPV-H scenario, trees and shrubs were mainly placed on the fields’ hedges traditionally cultivated. The implant line of trees and shrubs considers standard distances: 1.2 m between plants. The second scenario (Figure 4) named “Milano Porta Verde Agroforestry” (MPV-A) includes an alley-cropping system based on an own research proposal simulating the ES provided by implementing a stronger agroforestry plan, taking inspiration from the European literature [39]. In this agroforestry scenario, we propose to cover half of the area—22.5 hectares—with trees and shrubs focusing on a standard plot of 100 m × 100m. We propose a line of trees and shrubs every 10 m, with a distance between the plants on the same line of 4 m, the total number per plot is 250 plants. Moreover, we propose to plant bigger tree-trunk diameters of 2 cm for shrubs, 4 cm for trees (Table 1) to have a higher ES level from the beginning of the project.</t>
  </si>
  <si>
    <t>Carbon storage defines the quantity of carbon accumulated in the above-ground and below-ground parts of woody vegetation. Equations from literature and available tree data show that compared to traditional forest trees, open-grown trees—as the urban and peri-urban ones—tend to have less biomass [49]. In order to consider that difference, biomass results were multiplied by 0.8. The calculation of the tree dry-weight biomass was the stored carbon by multiplying by 0.5. Carbon sequestration is instead defined as the removal of carbon dioxide from the air by plants. To calculate the amount of carbon sequestered annually, I-Tree Eco considers average diameter growth from the proper genera, diameter class and tree condition. These data are added to the existing tree diameter, incrementing tree size step by step each year.</t>
  </si>
  <si>
    <t>The amount of carbon annually sequestered can increase as far as the tree’s dimension and health increase. In the first case, I-Tree estimates the gross sequestration equal to 1212 metric tons of carbon per year, while in the second one, the estimation is equal to 5.59 tons per year. Regarding carbon storage, the first scenario stored 1.16 metric tons of carbon. Of the species sampled, Acer campestre stores the most carbon (approximately 10.6% of the total carbon stored), and Sambucus nigra sequesters the most (approximately 10.5% of all sequestered carbon). The second one can store 7.8 ton. of carbon, mainly thanks to a more significant dimension of the trees and related bigger trunk diameter. The comparison of the two scenarios underlines an interesting difference in the ES provision and the vegetation structure. Each scenario shows our pros and cons that must carefully be evaluated as a requalification choice. An essential key in the ES provision is species-selection. The most successful species related to C sequestration, C storage and avoided run-off within our database is Sambucus nigra. Our results confirmed several studies that showed the potential role of Sambucus nigra in accumulating pollution, from the soil and the air.</t>
  </si>
  <si>
    <t>Don't make clear recommendations</t>
  </si>
  <si>
    <t>shrub species composition, total height, tree species composition, tree condition, stem density, diameter, overall canopy cover, planting arrangement</t>
  </si>
  <si>
    <t>Compare 2 different planting arrangement scenarios.
Calculate overall cover of trees and shrubs (tree cover, leaf area, soil area).</t>
  </si>
  <si>
    <t>F76</t>
  </si>
  <si>
    <t>Tan et al (2021)</t>
  </si>
  <si>
    <t>Tan X, Hirabayashi S, Shibata S. Estimation of Ecosystem Services Provided by Street Trees in Kyoto, Japan. Forests. Multidisciplinary Digital Publishing Institute; 2021;12:311.</t>
  </si>
  <si>
    <t>Tan X, Hirabayashi S, Shibata S.</t>
  </si>
  <si>
    <t>Estimation of Ecosystem Services Provided by Street Trees in Kyoto, Japan.</t>
  </si>
  <si>
    <t>tang.xiaoyang.26a@st.kyoto-u.ac.jp</t>
  </si>
  <si>
    <t>Kyoto City, the capital of Kyoto Prefecture, is located in the central part of Honshu, Japan (Figure 1), which has a humid subtropical climate with hot, humid summers (JuneAugust), and cold, dry winters (December–February). In the central urban area of Kyoto City, given the limited large green spaces, street trees are recognized as an irreplaceable green infrastructure for mitigating urban heat island effects and providing critical ecological connectivity to promote faunal abundance and diversity [27].</t>
  </si>
  <si>
    <t>With reference to the basic plan for greening Kyoto City, the green corridor zone was selected as the research area, which embraces the east to west extent from Shirakawa-Dori Street to Nishioji-Dori Street and stretches north to south from Kitayama-Dori Street to Jyujo-Dori Street [27]. The total area is 48.85 km2, covering seven wards with a total population of 451,462 [28]. Field sampling of 1230 street trees was conducted from June to October 2018. Approximately 10% of street trees on the 41 streets were sampled at equal distances to generate the tree inventory (Figure 1). Field measurements were performed in accordance with the i-Tree Eco field manual [29]. Tree species and adjacent land use were verified in the field. Health condition, crown light exposure, and percent crown missing were estimated by one person by visual inspection. Total tree height, height to crown base, diameter at breast height (DBH), crown width was measured using a Trupulse 360 laser rangefinder (Laser Technology, Inc., CO, USA) and a diameter tape</t>
  </si>
  <si>
    <t>Based on the property of each tree species, dry biomass for woody parts as well as leaves was calculated using the methods described in Nowak et al. [51,52]. Half of the dry biomass of trees was estimated as the carbon stored in trees. The growth of a tree was estimated for each tree species based on the health condition and planted site characteristics (e.g., crown light exposure) of the tree. The gross amount of carbon sequestered annually into a tree was then calculated from the difference in estimates of carbon storage between the current and next year [51,52].</t>
  </si>
  <si>
    <t>Kyoto City’s 1230 sample street trees were estimated to store 244.782 t (US$47,852.61) in their biomass, and the gross sequestration per year was approximately 15.365 t (US$3000.43). G. biloba (38.36%), Z. serrata (17.42%), and P. × yedoensis (17.21%) stored and sequestered the greatest amount of carbon due to their numbers and and age. On a per tree basis, the carbon storage and sequestration benefits were US$41.34/tree. (Table 2). This study in Kyoto is the first attempt to use the empirical data in quantifying the ES of street trees, and the results could provide the municipality with baseline values for future management. Our results indicate that large-growing species with more leaf area, such as P. × yedoensis (174.17 m2/tree, US$225.32/tree), Z. serrata (255.66 m2/tree, US$123.21/tree), and P. × acerifolia (159.36 m2/tree, US$65.88/tree) appeared to be the most valuable species in Kyoto city, which reflects the importance of the leaf area is the driving force behind the ability of trees to offer ecological benefits for the community.</t>
  </si>
  <si>
    <t>To maintain the flow of benefits the city currently enjoys, management recommendations derived from this analysis are as follows: Continue investing in intensive maintenance of large-stature mature trees to prolong the lifespans of tree species such as P. × yedoensis, Z. serrata, and P. × acerifolia. To maximize the trees’ potential for reducing energy consumption and ensure longterm net benefits from continuous levels of tree canopy cover, heavy pruning should be discontinued, and planting strips should be advocated in new street tree plans. It is recommended that diversification be continued to reduce dependence on species such as G. biloba, while concentrating on selecting tree species that can tolerate restricted site conditions, avoiding unnecessary pruning and management costs.</t>
  </si>
  <si>
    <t>diameter, tree condition, tree species composition, total height, crown width/area</t>
  </si>
  <si>
    <t>Height to crown base.
Use deciduous vs. coniferous in annual energy savings calculations.</t>
  </si>
  <si>
    <t>F77</t>
  </si>
  <si>
    <t>Lui and Li (2012)</t>
  </si>
  <si>
    <t>Liu C, Li X. Carbon storage and sequestration by urban forests in Shenyang, China. Urban Forestry &amp; Urban Greening. 2012;11:121–8.</t>
  </si>
  <si>
    <t>Liu C, Li X.</t>
  </si>
  <si>
    <t>Carbon storage and sequestration by urban forests in Shenyang, China.</t>
  </si>
  <si>
    <t>liucf898@163.com</t>
  </si>
  <si>
    <t>Shenyang</t>
  </si>
  <si>
    <t>This study focused on the areas within the third-ring road of Shenyang, with an area of 455 km2 (Fig. 1). Shenyang is the capital city of Liaoning Province in northeastern China. It has nine districts and four counties, with a total population of 7.04 million in 2006 (Shenyang Statistical Bureau, 2006).</t>
  </si>
  <si>
    <t>41 11' - 42 17' N</t>
  </si>
  <si>
    <t>122 21' - 123 48' E</t>
  </si>
  <si>
    <t>Two hundred and fifty plots were investigated in our study and the plot number of each urban forest type was determined according to the area of each forest type and its within-type variance of urban forest structure, including species diversity and DBH distribution of trees. The field survey was conducted in September and October, 2006. For the 213 accessible sample plot, forest type was recorded. Within each plot, we recorded the species name, diameter at breast height (DBH), and health condition for each tree. Six types of health condition were included, based on the proportion of dead branches in the crown of a tree.</t>
  </si>
  <si>
    <t>The biomass of an individual tree is typically calculated based on either the DBH alone, or a combination of the DBH and tree height (H). In this study, we used DBH only as this type of biomass equations does not require the measure of tree height, and thus can reduce uncertainty. In cases only equations that were used to calculate above-ground biomass were available, the whole tree biomass was estimated based on the root-to-shoot ratio of 0.25. Therefore, we gave a 20% biomass reduction only for trees with DBH greater than 30 cm (Nowak, 1994). The dry biomass was then converted to C by multiplying 0.5 (Nowak, 1994; Nowak and Crane, 2002). After that, C density (t/ha) was calculated for each plot. Carbon sequestration was estimated as the difference of C stored between year y and year y + 1, based on the annual growth rates of tree DBH. For deciduous species, C stored by foliage was subtracted, while for evergreen species, there was a 25% of foliage C reduction by assuming 3-year leaf retention.</t>
  </si>
  <si>
    <t>Carbon stored by urban forests was 337,000 t, among which EF and AF accounted for 41% and 34%, respectively. The averaged C density was 33.22 t/ha. Attached Forest had the highest C density (50.17 t/ha), followed by RF, LF, EF, and PF. The annual C sequestration by urban forests was 28,820 t. Similar to carbon storage, the majority of the C was sequestered by EF and AF (40% and 38%, respectively). The C sequestration rate was 2.84 t/ha/yr. For different types of urban forests, the C sequestration rate ranged from 1.16 t/ha/yr for PF to 4.78 t/ha/yr for AF (Table 6). Firstly, Shenyang had fewer big trees than cities such as Sacramento and Beijing. The ages of the trees, or the size of the trees (DBH) affect C storage and sequestration (Nowak, 1994). Generally, large healthy trees store and sequester more C than small health trees (Nowak, 1994). Therefore, Shenyang had a lower C density than these cities. Secondly, urban forests in Shenyang were dominated by fast-growth species (Table 5). This fast-growth species has relatively high rates of C sequestration, in turn leading to a higher C sequestration rate. In addition, the higher C sequestration rate of urban forests in Shenyang may be partly due to the relatively high tree density (Table 7).</t>
  </si>
  <si>
    <t>This has some important management implications. Firstly, there are still great potentials to increase the total area of urban forests in Shenyang. Currently, the urban forest cover is only 22.28%. The climatic and physiographic condition of Shenyang is very suitable for tree growth. More trees can be planted and more C can be stored and sequestered. In particular, planting trees of native species with fast growth rates may further improve the capacity of C storage and sequestration of urban forests. Our results indicated that the majority of the urban trees were in their early stage, suggesting an increasing C storage density and sequestration rate with the growth of those trees (Nowak, 1994; Yang et al., 2005). However, these young trees in urban areas require careful management and maintenance. In addition, many of the patches of urban forests have a single layer of tree species, with similar ages. Therefore, there are great potentials to enhance the capacity of these urban forests in C storage and sequestration by optimizing their structure, such as the creation of multiple layers of trees, shrubs and grass, and a mixture of trees with different ages.</t>
  </si>
  <si>
    <t>diameter, tree condition, stem density, tree species composition</t>
  </si>
  <si>
    <t>Mention number of shrub species in results, but not touched on in methods section. Opposite with plant functional types.</t>
  </si>
  <si>
    <t>F78</t>
  </si>
  <si>
    <t>Capotorti et al. (2017)</t>
  </si>
  <si>
    <t>Capotorti G, Del Vico E, Anzellotti I, Celesti-Grapow L. Combining the Conservation of Biodiversity with the Provision of Ecosystem Services in Urban Green Infrastructure Planning: Critical Features Arising from a Case Study in the Metropolitan Area of Rome. Sustainability. Multidisciplinary Digital Publishing Institute; 2017;9:10.</t>
  </si>
  <si>
    <t>Capotorti G, Del Vico E, Anzellotti I, Celesti-Grapow L.</t>
  </si>
  <si>
    <t>Combining the Conservation of Biodiversity with the Provision of Ecosystem Services in Urban Green Infrastructure Planning: Critical Features Arising from a Case Study in the Metropolitan Area of Rome</t>
  </si>
  <si>
    <t>eva.delvico@uniroma1.it</t>
  </si>
  <si>
    <t>he city of Rome, a metropolis in Mediterranean Europe, was adopted as a case study (Figure 1). The city covers an area of 345 km2 and represents the central urban sector of the municipality, which covers an area of approximately 1300 km2.</t>
  </si>
  <si>
    <t>In particular, the results of this overview represent the basic ecological knowledge underlying the ongoing development of pilot urban GI projects in the metropolitan area of Rome. These projects have been commissioned by the Italian Ministry for the Environment to start implementing the European GI Strategy, and consequently the related Action 6 of the EU Biodiversity Strategy, at the national level.</t>
  </si>
  <si>
    <t>Land use type, Individual tree management, Native species, Composition, Diversity metric</t>
  </si>
  <si>
    <t>For these reasons, we analyzed specific features of trees and forests that may, besides being able to deliver multiple ES, be critical to the quality of natural and semi-natural ecosystems in urban contexts. ure in order to find estimates of the capacity of different tree species and forest types to provide ES that may be relevant to our case study (Table 2).</t>
  </si>
  <si>
    <t>Used national level estimates and local level estimates for the city of Rome. The data available at the national level on carbon net primary productivity (Table 3, item E1) were considered as a proxy for carbon mitigation</t>
  </si>
  <si>
    <t>The ranking of physiognomic types that are characteristic of the urban sector of Rome points to a slightly better performance of evergreen oaks over exotic conifers and deciduous oaks, a medium performance of chestnut, hygrophilous broadleaves, Mediterranean pines and exotic broadleaves, and a minor potential contribution of bushlands and other Mediterranean deciduous broadleaves. Local estimates available at the tree species level (Table 3, item E2) for the native evergreen oak Quercus ilex, for the native deciduous oak Q. pubescens and for the introduced hybrid (native x non-native) broadleaved Platanus hispanica confirm the aforementioned ranking of the respective physiognomic types</t>
  </si>
  <si>
    <t>Proactive conservation [82] of the native and spontaneous trees and forest remnants, focusing on those types that are most representative of the local potential natural vegetation. Although this action is markedly oriented toward biodiversity conservation, it always provides an expectedly positive balance between the delivery of maintenance, regulatory and cultural ES, and guarantees the long-term survival and low maintenance costs of the related GI components. Facilitation of the spontaneous natural dynamics, also defined as passive restoration [78], for the recovery of natural forest types in the various environmental units of the city. Wider coverage area of ecologically coherent species and communities may enhance the GI-based delivery of regulating ES (as in the case of particulate matter removal) to a greater extent than a more limited number of trees that may perform better but that are ecologically incoherent (as in the case of evergreen oaks outside strictly Mediterranean-like environments). The effort to recover native trees and forests should prevail over any other expected value of non-native species and communities related to the functional behavior and cost-effective introduction of the latter. Active restoration of seed sources and enhancement of functional connectivity for biogeographically representative and ecologically coherent trees with critical gaps in their present distribution and short-distance dispersal. This action is particularly important in sites with poor native species diversity and a dense artificial matrix.</t>
  </si>
  <si>
    <t>Many strong action/recommendation items. Interdisciplinary work.</t>
  </si>
  <si>
    <t>Only included carbon outcomes, others are disregarded.</t>
  </si>
  <si>
    <t>F79</t>
  </si>
  <si>
    <t>Schmitt-Harsh et al. (2013)</t>
  </si>
  <si>
    <t>Schmitt-Harsh M, Mincey SK, Patterson M, Fischer BC, Evans TP. Private residential urban forest structure and carbon storage in a moderate-sized urban area in the Midwest, United States. Urban Forestry &amp; Urban Greening. 2013;12:454–63.</t>
  </si>
  <si>
    <t>Schmitt-Harsh M, Mincey SK, Patterson M, Fischer BC, Evans TP.</t>
  </si>
  <si>
    <t>Private residential urban forest structure and carbon storage in a moderate-sized urban area in the Midwest, United States.</t>
  </si>
  <si>
    <t>mschmitt@carleton.edu</t>
  </si>
  <si>
    <t>Bloomington</t>
  </si>
  <si>
    <t>This research was carried out in the City of Bloomington, Indiana (United States), located approximately 50 miles southwest of the state capital of Indianapolis (Fig. 1). As of 2010, Bloomington’s population reached 80,405 individuals and 33,239 housing units, making the study site representative of a moderate-sized metropolitan area (US Census Bureau, 2010).</t>
  </si>
  <si>
    <t>The surrounding landscape is heavily forested for Indiana, and is composed primarily of secondary successional broadleaf forests located within the beech-maple to oak-hickory transition zone of the Eastern Deciduous Forest (Barrett, 1995). The city itself has been recognized as having one of the highest proportions of canopy cover in the state, at approximately 50% (Heynen and Lindsey, 2003).</t>
  </si>
  <si>
    <t>Individual tree management, Land use type, Composition</t>
  </si>
  <si>
    <t>At each parcel, a census of all trees and shrubs was conducted. All trees, including those in the public right of way (PROW), with diameter at breast height (DBH, at 1.37 m above surface) ≥2.5 cm were identified, geo-located using a Trimble GeoExplorer 2008 GeoXH GPS unit, and measured for their DBH and total tree height (H). The height of each species was generalized into six 5-m height classes: 0–5 m, 6–10 m, 11–15 m, 16–20 m, 21–25 m, and 25+ m. Additional information regarding the maintenance of each tree (e.g. presence of mulch, pruning), condition of each tree (0 – dead or dying, 1 poor, 2 – fair, or 3 – good), and presence or absence of infrastructure conflicts was collected.</t>
  </si>
  <si>
    <t>Above-ground biomass, Soil, Below-ground biomass</t>
  </si>
  <si>
    <t>The aboveground and belowground (coarse root) biomass of each tree was calculated using i-tree Eco (previously known as UFORE, Urban Forest Effects) (Nowak and Crane, 2002b). his approach involves the conversion of tree DBH to aboveground biomass using published allometric models (species–specific, where available). Aboveground biomass estimates were then converted to whole tree biomass based on the assumed root-to-shoot ratio of 0.26 (Cairns et al., 1997). To adjust for the moisture content of species, whole tree biomass estimates were multiplied by a factor of 0.48 for conifers and 0.56 for hardwoods (Nowak et al., 2002a, 2008). To adjust for the open-grown canopy cover of urban trees, biomass results were multiplied by 0.8 (Nowak, 1994; Nowak et al., 2008). Finally, whole tree biomass was converted to total tree carbon by multiplying by 0.5.</t>
  </si>
  <si>
    <t>The total amount of carbon stored on individual parcels ranged from 1.7 kg m−2 to 18.8 kg m−2, with a mean of 7.2 kg m−2 (Table 4). For all but 12 parcels, soil carbon (to 15 cm depth) exceeded the carbon stored in tree biomass. Soils stored 4.7 kg C m−2, approximately 1.9 times higher than the carbon stored in trees (2.5 kg C m−2), on average (Table 4). The deviation around the mean for tree carbon greatly exceeded that for soil. For example, one parcel stored 11.2 kg C m−2 in tree biomass while another parcel stored less than 0.002 kg C m−2. Two species dominated in basal area, A. saccharinum and F. americana, and accounted for 20.6% and 16.3% of the total carbon stored in our sampled tree population, respectively.On average, older parcels (calculated as time since housing development) in our sample were characterized by higher tree and soil C stocks than newer parcels (Fig. 4).</t>
  </si>
  <si>
    <t>One limitation of current guidelines is the focus on quantifying species diversity in terms of relative abundance rather than relative dominance or species importance, particularly as the provision of ecosystem services is debatably more closely linked to the latter. Our data demonstrates some tree species (e.g. A. saccharinum; F. americana) to be more important, in terms of basal area and associated carbon storage, than is implied by counting their presence relative to the total population. For example, species in the genus Fraxinus accounted for 19.4% of the total carbon stored in our tree population. Given concerns over the EAB (Poland and McCullough, 2006; City of Bloomington, 2012), it is expected that widespread die-off or removal of Fraxinus trees will result in substantial losses of stored carbon from Bloomington’s residential urban forest, as well as shifts in the age distribution of the tree population. Thus, our research demonstrates there are bigger tree-species “winners” in terms of basal area and the provision of carbon storage services than there are by relative abundance. It seems appropriate, therefore, that management strategies should consider diversity not only in terms of species presence (relative abundance), but also species size (relative dominance) and in combination, species–specific size distributions, to ensure the provisioning of ecosystem services over time.</t>
  </si>
  <si>
    <t>tree species composition, total height, stem density, diameter, tree condition</t>
  </si>
  <si>
    <t>Species of trees and shrubs were noted, but shrubs were not used in results/analysis section.</t>
  </si>
  <si>
    <t>F80</t>
  </si>
  <si>
    <t>Raciti et al. (2014)</t>
  </si>
  <si>
    <t>Raciti SM, Hutyra LR, Newell JD. Mapping carbon storage in urban trees with multi-source remote sensing data: Relationships between biomass, land use, and demographics in Boston neighborhoods. Science of the Total Environment. 2014;500–501:72–83.</t>
  </si>
  <si>
    <t>Raciti SM, Hutyra LR, Newell JD.</t>
  </si>
  <si>
    <t>Mapping carbon storage in urban trees with multi-source remote sensing data: Relationships between biomass, land use, and demographics in Boston neighborhoods.</t>
  </si>
  <si>
    <t>Science of The Total Environment</t>
  </si>
  <si>
    <t>Steve.M.Raciti@Hofstra.edu</t>
  </si>
  <si>
    <t>Our analysis focused on Boston, Massachusetts (42.356°N, − 71.062°W; land area of 125 km2). Boston is the northernmost city of the largest megalopolis in the United States, which extends from Boston to Washington DC.</t>
  </si>
  <si>
    <t>45° 21' 21.6"</t>
  </si>
  <si>
    <t>-71° 3' 43.1994"</t>
  </si>
  <si>
    <t>Like many North American cities, the greater Boston region has experienced significant population growth and subsequent widespread urbanization over the past several decades, most of which has occurred well outside of the urban core. As one of North America's oldest cities, Boston proper has been extensively developed and built-out; however, the City has some of the nation's oldest and most well known parklands and open spaces.</t>
  </si>
  <si>
    <t>Land use type, Composition, Canopy cover</t>
  </si>
  <si>
    <t>NDVI as a proxy for vegetation cover. To build a citywide biomass estimate, diameter-based allometric biomass equations from Jenkins et al. (2003) were applied to the City of Boston's street tree database (Urban Ecology Institute, 2008)and used in combination with the segmented tree crowns and LiDAR metrics. The most specific allometric equation possible was used in all cases; where species or genus level equations were unavailable, we applied the Jenkins et al. (2003) miscellaneous hardwood or softwood equations.</t>
  </si>
  <si>
    <t>One half of live plant biomass was assumed to be carbon. Note that results from McHale et al. (2009) andTimilsina et al. (2014) suggest problems with the application of forest-derived allometries to urban trees; however, urban tree allometries were not available for the regional species assemblage. It is unclear if the use of urban-specific allometric equations would have increased or decreased the estimated carbon stocks in the most urban plots; this is an area that requires additional research.</t>
  </si>
  <si>
    <t>The biomass map developed in this study (Fig. 3)affirms that urban ecosystems can have potentially large aboveground tree carbon stocks, but that these C stocks are heterogeneously distributed across land use/land cover types. We estimated a mean biomass of 28.8 Mg C ha−1 and total C storage of 355 Gg C for trees in the City of Boston. Within the City, urban forest patches contained the largest vegetation carbon stocks on a per-area basis (110.7 Mg C ha−1), followed by residential (32.8 Mg C ha−1), and then parks, recreation, and developed open spaces (23.5 Mg C ha−1). Residential land uses covered 41% of total land area and contained the largest proportion of the total C stocks (46.7%). Urban forest patches covered 8.4% of the land area and contained 32.2% of total C stocks in the City.</t>
  </si>
  <si>
    <t>diameter, tree layer, tree species composition, tree condition, crown width/area, total height</t>
  </si>
  <si>
    <t>Tree layer = vegetation &lt; 1m tall (only uses trees in their carbon calculations).
Measured height using LiDAR
Total height = canopy height</t>
  </si>
  <si>
    <t>F81</t>
  </si>
  <si>
    <t>Jo et al. (2020)</t>
  </si>
  <si>
    <t>Jo H-K, Kim J-Y, Park H-M. Carbon and PM2.5 Reduction and Design Guidelines for Street Trees in Korea. Sustainability. Multidisciplinary Digital Publishing Institute; 2020;12:10414.</t>
  </si>
  <si>
    <t>Jo H-K, Kim J-Y, Park H-M. Carbon and PM2.5</t>
  </si>
  <si>
    <t>Carbon and PM2.5 Reduction and Design Guidelines for Street Trees in Korea.</t>
  </si>
  <si>
    <t>Seoul, Daejeon, Gaegu, Chuncheon, Suncheon</t>
  </si>
  <si>
    <t>Seoul, Daejeon, and Daegu are either capital or metropolitan cities with a high population density, while Chuncheon and Suncheon are small and medium-sized cities with a relatively lower population density.</t>
  </si>
  <si>
    <t>The sample points along the streets in the study cities were visited, and a survey plot for each point was etablished up to 40m on each side in length from the point, and the building boundaries along both sidewalks in width (fig 1). The field survey data included the species, stem diameter (DBH 1.2m) for trees), height, crown width, vertical structures, and pruning status. Vertical structures were divided into single layered ant multi-layered structures,</t>
  </si>
  <si>
    <t>The C uptake per tree was estimated using the quantification models developed for the urban trees of each species [11,25–30] (Table 1). The quantification models, which apply the stem diameter as the independent variable, were derived from measurements of the seasonal CO2 rate of exchange of urban trees or were based on the direct harvesting method.</t>
  </si>
  <si>
    <t>The density of the planted street trees ranged from 0.1 to 6.0 trees/100 m2 in this study, with an average density being 1.0 ± 0.1 trees/100 m2 (Table 3). Daejeon had the highest tree density (1.4 trees/100 m2), followed by Seoul and Daegu (both with 1.0 trees/100 m2), Chuncheon (0.9 trees/100 m2), and Suncheon (0.8 trees/100 m2). The C uptake by planted street trees per unit area in the study cities ranged from 0.1 to 3.9 t/ha/y, with an average uptake being 0.64 ± 0.08 t/ha/y (Table 4). Daejeon, with the relatively highest rates of tree density and cover, had the highest C uptake at 0.72 ± 0.07 t/ha/y, followed by Seoul at 0.70 ± 0.08 t/ha/y, Suncheon at 0.67 ± 0.09 t/ha/y, and Daegu at 0.66 ± 0.09 t/ha/y. On the other hand, Chuncheon, which had a lower tree cover ratio than the other cities, had a C uptake of 0.46 ± 0.06 t/ha/y (the lowest). C uptake by street trees in this study was about 51% lower than the C uptake of 1.3 t/ha/y in street trees of Beijing, China [16]. This result might be attributable to differences in the size and density of the planted trees. The C uptake by planted street trees per unit of tree cover ranged from 0.11 to 2.51 kg/m2/y depending on the study cities, with an average uptake being 0.53 ± 0.04 kg/m2/y.</t>
  </si>
  <si>
    <t>In addition, it is recommended that larger trees be planted, rather than small trees, as well as tree species with good growth rates such as Zelkova serrata, Prunus yedoensis, Pinus koraiensis, and Pinus densiflora [45]. Moreover, tree planting space for tree growth should be expanded. As a result of this study, many streets were found with insufficient tree planting or with wide planting intervals that require supplementary tree planting.</t>
  </si>
  <si>
    <t>planting arrangement, shrub species composition, crown width/area, total height, tree layer, stem density, overall canopy cover, vertical layer assessment, plant functional types, tree species composition, diameter</t>
  </si>
  <si>
    <t>Overall canopy cover = shrubs + trees. (Also look at tree cover individually).</t>
  </si>
  <si>
    <t>F82</t>
  </si>
  <si>
    <t>Wang X, Wang Y, Qu X, Huang B, Li Z, Sun J, et al. Urban trees in university campus: structure, function, and ecological values. Environmental Science and Pollution Research. 2021;28:45183–98.</t>
  </si>
  <si>
    <t>Wang X, Wang Y, Qu X, Huang B, Li Z, Sun J, et al.</t>
  </si>
  <si>
    <t>Urban trees in university campus: structure, function, and ecological values.</t>
  </si>
  <si>
    <t>Environmental Science and Pollution Research</t>
  </si>
  <si>
    <t>xyyang0821@163.com</t>
  </si>
  <si>
    <t>Fushun</t>
  </si>
  <si>
    <t>The research was conducted in the campus of Shenyang Institute of Technology (SIT), a university located in Shenfu New City, Fushun, China. Fushun is a national forest city with an urban area of 713 km2 and a population of 2.19 million.</t>
  </si>
  <si>
    <t>41 52'</t>
  </si>
  <si>
    <t>123 55'</t>
  </si>
  <si>
    <t>A complete tree inventory was conducted to collect the information of all tree populations in the campus of Shenyang Institute of Technology in 2019. The tree information was recorded according to the i-Tree Streets manual, including tree species, diameter at breast height (DBH), and crown width.</t>
  </si>
  <si>
    <t>The carbon storage of urban trees was calculated according to the biomass equation (McHale et al. 2009). The annual carbon sequestration was calculated from species-specific growth curves and biomass equations.</t>
  </si>
  <si>
    <t>Ecosystem services produced by campus trees are directly proportional to the number of trees, canopy coverage, and plant leaf surface area. The trees in SIT stored a total of 856,226 kg of carbon, valued at $128,360. Annual carbon sequestration of campus trees totaled 105,296 kg, valued at $15,785. In our study, the benefits provided by C. ovata, S. babylonica,and R. pseudoacacia accounted for half of the benefits of all trees in the campus (Fig. 8a). The total benefits produced by C. ovata were the largest among all trees because of its largest population. But on a per tree basis, the average benefit of C. ovata ($31.2/tree) was lower than that of U. pumila ($38.7/tree) due to the lack of mature trees, and slightly higher than the average level of all trees ($29.6/tree).</t>
  </si>
  <si>
    <t>F83</t>
  </si>
  <si>
    <t>Speak et al. (2020)</t>
  </si>
  <si>
    <t>Speak A, Escobedo FJ, Russo A, Zerbe S. Total urban tree carbon storage and waste management emissions estimated using a combination of LiDAR, field measurements and an end-of-life wood approach. Journal of Cleaner Production. 2020;256:120420.</t>
  </si>
  <si>
    <t>Speak A, Escobedo FJ, Russo A, Zerbe S.</t>
  </si>
  <si>
    <t>Total urban tree carbon storage and waste management emissions estimated using a combination of LiDAR, field measurements and an end-of-life wood approach</t>
  </si>
  <si>
    <t>Journal of Cleaner Production</t>
  </si>
  <si>
    <t>Speak, A.F., Escobedo, F.J., Russo, A. and Zerbe, S. (2018) Comparing convenience and probability sampling for urban ecology applications. Journal of Applied Ecology 55(5): 2332 – 2342</t>
  </si>
  <si>
    <t>Meran</t>
  </si>
  <si>
    <t>Meran, a city of about 40,000 inhabitants (ISTAT, 2019), is located in the Autonomous Province of South Tyrol in Northern Italy. The city was classified into 17 land types following the i-Tree land classification scheme (i-Tree ECO, 2017) but using subdivisions of the ‘commercial’ and ‘institutional’ land types. Figure 1 shows that the city has a central commercial centre surrounded by mostly multi-occupancy apartment blocks, with smaller houses situated in the more affluent east.</t>
  </si>
  <si>
    <t>The study uses data from an extensive fieldwork campaign, which took place during autumn 2016 (see Speak et al. (2018) for a full description). 964 trees on public land and 1,215 trees on private land were identified mostly to species level and occasionally to genus level using Phillips (1978). Diameter at breast height (DBH, 1.37 m) was measured with calipers, and height was measured with a Blume-Leiss BL6 hypsometer from a distance of 30 m. Diameter at 1 m was also measured as this was the height at which diameter was measured for the municipal tree inventory. Additional data for the i-Tree Eco application were collected, following the guidelines of Nowak et al. (2008b), which included crown-base height, crown width, percent crown dieback, percent missing canopy, and crown light exposure.</t>
  </si>
  <si>
    <t>Once the full city inventory is estimated, allometric equations for calculating above-ground biomass from DBH and/or tree height, are used within a spreadsheet to calculate the carbon storage capacity. The mostly Europe-specific equations are the same as those used in a similar urban tree carbon storage study which took place in Bolzano, a nearby city (Russo et al., 2014). The current study featured more species, however, and the full list of allometric equations can be found in Appendix A. The dry weight above-ground biomass is multiplied by 0.5 to obtain carbon storage (Nowak and Crane, 2002). In order to calculate annual carbon sequestration, we first estimated diameter and height increments. The diameter growth was calculated using field measured DBH at 1 m data and the historical DBH at 1 m from the public tree inventory.</t>
  </si>
  <si>
    <t>The higher storage and gross sequestration per hectare is observed on public land types such as street, park, and cemetery. The campsite had a similar tree composition to a public park. Over half of all trees in Meran are located on the private land types of house and apartments, yet these areas have relatively average storage and sequestration values. The lowest sequestration was observed on the wasteland (unoccupied), the highly maintained hospital and commercial grounds, and in the city centre and vineyards (the vines are not included in the carbon estimates). The overall average carbon storage for Meran is 13.5 t/ha. Taking the 24.7 % tree cover estimate for Meran from Speak et al. (2018) the carbon storage per area tree cover is 5.47 kg C/m2. Differences between end-of-life wood management techniques were revealed, with burning with energy recovery for electricity being the most efficient with a carbon emissions/input ratio of 0.5. Landfill was the least efficient with a ratio of 121.9. The fate of this end-of-life wood has significant implications for carbon budget calculations in cities worldwide. Consequentially, the generally low figures for sequestration potential for city trees indicate that tree planting is perhaps not the optimum method for attaining carbon neutrality of a city. In fact in some situations, urban vegetation may act as a net source of emissions (Velasco et al., 2016).</t>
  </si>
  <si>
    <t>tree species composition, stem density, total height, diameter, crown width/area, tree condition</t>
  </si>
  <si>
    <t>Crown-base height</t>
  </si>
  <si>
    <t>F84</t>
  </si>
  <si>
    <t>Schwendenmann and Mitchell</t>
  </si>
  <si>
    <t>Schwendenmann L, Mitchell ND. Carbon accumulation by native trees and soils in an urban park, Auckland. New Zealand Journal of Ecology. New Zealand Ecological Society; 2014;38:213–20.</t>
  </si>
  <si>
    <t>Schwendenmann L, Mitchell ND.</t>
  </si>
  <si>
    <t>Carbon accumulation by native trees and soils in an urban park, Auckland</t>
  </si>
  <si>
    <t>New Zealand Ecological Society</t>
  </si>
  <si>
    <t>l.schwendenmann@auckland.ac.nz</t>
  </si>
  <si>
    <t>The study site was in a small urban park (Newmarket Park, 36°51 '54"S; 174°47'2"E) located north-east of the Newmarket suburb, Auckland City, New Zealand. The climate of Auckland is characterised by warm humid summers and mild wet winters with an average annual rainfall between 1000 and 1300 mm (NIWA 2012). The section of park under study was a steep (26°) south-east-facing slope at the edge of the park. This area contained 1.87 ha of native trees that had been planted in 1983 as a 'beautification' project on the site of a landfill that had been close.</t>
  </si>
  <si>
    <t>36 51' 54'' S</t>
  </si>
  <si>
    <t>174°47'2"E</t>
  </si>
  <si>
    <t>This area contained 1.87 ha of native trees that had been planted in 1983 as a 'beautification' project on the site of a landfill that had been closed. The landfill was covered with a 3-m layer of soil and sediments on in situ Waitemata sandstone. The infill material was low in soil carbon (&lt;0.3%) and nitrogen (&lt;0.02%) concentrations. Soils with soil organic matter contents &lt; 1 % are classified as ' severely impacted' and are considered unsuitable for green infrastructure (i.e. trees and urban forestry; US EPA 2011) without soil amelioration measures such as mulching. In 2010 the trees were cleared as the slope had to be restabilised, presenting the opportunity to obtain some trees for carbon analysis.</t>
  </si>
  <si>
    <t>21 trees of four native species to measure the above- and below-ground biomass accumulation. The chosen species - karaka (Corynocarpus laevigatus) (n = 6), kânuka (Kunzea ericoides) (n = 5), lemonwood (Pittosporum eugenioides) (n = 6), and köhühü (P.! tenuifolium) (« = 4) - are all widely planted in the Auckland Region in revegetation and restoration projects (Wilcox 2012). Kunzea ericoides can grow into a canopy tree (up to 20 m) whereas the other species are smaller trees (up to 15 m) (Wardle 199</t>
  </si>
  <si>
    <t>The total tree carbon is the sum of carbon stored in above- and below-ground tree components. The proportion of below-ground carbon to total tree carbon was calculated as the quotient of root carbon and total carbon stocks. From these data we were also able to develop an allometric equation that could be applied to the rest of the trees in Newmarket Park. The amount of carbon stored in the organic layer was calculated as the product of carbon concentration and the dry weight of the organic layer. Mineral soil carbon density (Mg C ha"1) was estimated by multiplying soil carbon concentration with bulk density and soil depth. T</t>
  </si>
  <si>
    <t>Over the 27 years of its existence this forest stand accumulated a total 45.9 Mg C ha-1 in above- and below ground tree biomass (Table 3). The tree carbon sequestration rate was 1.7 Mg C ha-1 year1, with considerable differences among species (Table 3). Including the amount of carbon stored in the organic layer (6.5 Mg C ha-1) and mineral soil (0-5 cm; 20.2 Mg C ha-1 corrected for mineral soil carbon density at the time of tree planting), a total of 72.7 Mg C ha-1 was stored in this 27-year-old urban park (Table 3). The amount of carbon accumulated in individual trees differed considerably among tree species (Table 1). Small tree size and low wood density explain the low amount of carbon stored in Corynocarpus laevigatus. Total-tree carbon accumulation is also influenced by species-specific allocation strategies (e.g. Campioli et al. 2010). A higher proportion of stem and root biomass resulted in higher tree carbon stocks in Kunzea ericoides, Pittosporum eugenioides and P.tenuifolium.</t>
  </si>
  <si>
    <t>The slightly lower sequestration rates for the planted forest at Newmarket Park can partly be explained by the comparatively low tree density. Only 2212 stems ha"1 were measured in the stand. In contrast, tree density in a naturally regenerating Kunsea ericoides stand of similar age was 17 330 stems ha-1. Growth rates might also have been reduced as trees were planted on soils and sediments characterised by very low carbon and nitrogen contents.</t>
  </si>
  <si>
    <t>Weak recommendations.</t>
  </si>
  <si>
    <t>diameter, stem density, total height, tree species composition</t>
  </si>
  <si>
    <t>Stem density found in a table in the discussion section (not mentionnned previously).</t>
  </si>
  <si>
    <t>F85</t>
  </si>
  <si>
    <t>Choudhury et al. (2020)</t>
  </si>
  <si>
    <t>Choudhury MAM, Marcheggiani E, Despini F, Costanzini S, Rossi P, Galli A, et al. Urban Tree Species Identification and Carbon Stock Mapping for Urban Green Planning and Management. Forests. Multidisciplinary Digital Publishing Institute; 2020;11:1226.</t>
  </si>
  <si>
    <t>Choudhury MAM, Marcheggiani E, Despini F, Costanzini S, Rossi P, Galli A, Teggi, Segio</t>
  </si>
  <si>
    <t>Urban Tree Species Identification and Carbon Stock Mapping for Urban Green Planning and Management.</t>
  </si>
  <si>
    <t>m.choudhury@pm.univpm.it</t>
  </si>
  <si>
    <t>Sassuolo</t>
  </si>
  <si>
    <t>The study area is the city of Sassuolo, province of Modena, located in the Po Valley in the northern part of Italy (Figure 1). The Po valley experiences strong anthropic pressure due to its large urban areas, intensive agriculture (among the most productive agricultural areas within Europe), and large manufacturing districts, along with topographic and meteorological conditions unfavourable to pollutant dispersion</t>
  </si>
  <si>
    <t>For the field data collection, 22 plots of 100 m2 (10 m × 10 m) each (Figure 3) were randomly selected considering the dominant tree species covering the whole study area of Sassuolo. Among them, seven plots were considered for the CS mapping and validation. The fundamental considerations were to measure the DBH and H of each tree, along with each tree’s geographical coordinates, and to determine the names of the species.</t>
  </si>
  <si>
    <t>During CS mapping in QGIS, the shapefile of the classified trees was utilized to determine the CS/plot for each identified species. First, the total Above Ground Biomass (AGB) was calculated considering the field data (i.e., the DBH, H, tree species, etc.) for each of the sample plots (Figure 4). For this calculation, an allometric model [63] was applied to calculate the AGB for each plot. The mean AGB/plot estimation was necessary, as it is recommended that the tree above ground CS be 50% of the total AGB [84–88]. Then, to estimate the mean CS/plot, the mean AGB/plot was multiplied by 0.5 as a conversion factor [89–91].</t>
  </si>
  <si>
    <t>The mapping results in this study show that the species that are most evident (i.e., located on the streets), and not shaded or overlapping, have more significant CS values based on the field estimations. The application of remote sensing for dominant tree species identification made this methodology more convenient in terms of time investment and expenses than traditional tree identification (Figure 11). The proposed methodology will not only provide an efficient way to understand the contributions of different species in atmospheric CS but will also provide other significant information, such as the following: • An estimation of the total benefits of individual dominant tree species considering the total predicted carbon sequestration; • Understanding the consequences of ensuring adequate plant spacing when planning urban green areas; • Identifying the most efficient dominant species based on their roles in urban ecology to better utilize the available urban space.</t>
  </si>
  <si>
    <t>diameter, tree species composition, total height</t>
  </si>
  <si>
    <t>F87</t>
  </si>
  <si>
    <t>Vaccari et al. (2013)</t>
  </si>
  <si>
    <t>Vaccari FP, Gioli B, Toscano P, Perrone C. Carbon dioxide balance assessment of the city of Florence (Italy), and implications for urban planning. Landscape and Urban Planning. 2013;120:138–46.</t>
  </si>
  <si>
    <t>Vaccari FP, Gioli B, Toscano P, Perrone C.</t>
  </si>
  <si>
    <t>Carbon dioxide balance assessment of the city of Florence (Italy), and implications for urban planning.</t>
  </si>
  <si>
    <t>f.vaccari@ibimet.cnr.it</t>
  </si>
  <si>
    <t>Florence</t>
  </si>
  <si>
    <t>Florence (Lat 43◦ 46′ N; Long 11◦ 15′ E) (Fig. 1), has a typical medieval heart and the renaissance city was built on the ruins of a Roman town, in a river valley surrounded by hills. The Municipality extends over 102.3 km2, with a total surface area of urban green spaces of 75.7 km2 formed by two main categories: those in densely built-up zones, defined here as Urban Green areas (UG) extending over 29.1 km2, and Peri Urban green areas (PU), defined here as urban areas of low-density housing extending over 46.6 km2.</t>
  </si>
  <si>
    <t>43 46' N</t>
  </si>
  <si>
    <t>11 15' E</t>
  </si>
  <si>
    <t>Land use type, Composition, Fragmentation</t>
  </si>
  <si>
    <t>Using the detailed information about surface areas, type of green space, species composition and morphometric measurements of the single trees, provided by the Municipality, we assigned an annual CO2 uptake factor for UGMF and UTMF categories, through an analysis of the literature and using the Guidelines of the IPCC (IPCC, 2003, 2006), which provide a tiered structure of methods with varying degrees of complexity.</t>
  </si>
  <si>
    <t>For Lawn category we adopted the value of 4.3 tCO2 ha−1 y−1, corresponding to the value for the annual Net Primary Production of Grassland of the Warm Temperate–Dry Climate Zone (Chapter 3.4 – IPCC, 2003). For Forest category we adopted the value of 5.8 tCO2 ha−1 y−1 determined in a specific case study using the Cascine Park in Florence (Paoletti et al., 2011). For Mixed Vegetation, defined as an area with trees and shrubs, and Lawn with Shrubs categories, we added a value of 0.07 tCO2 ha−1 y−1 as the contribution of the shrubs, according to Zirkle, Lal, Augustin, and Follett (2012, chapter 14, part 3), to the previous uptake factor identified for Lawn and Forest. The tree volume (V) was determined considering the DBH values for each plant genus, using dendrometric tables at single entry (CRA, 1980). The wood densities (D), for each plant genus, were obtained using the values indicated for Italy by FAO (2005); we used the values of 1.3 for conifer species and 1.4 for broadleaf species as BEF (IPCC, 2003), while for the CF we used the standard value of 0.5 (IPCC, 2003). The average CO2 uptake factor per tree, determined following the above procedure (Table 2), was then used to evaluate the total annual CO2 uptake of the urban trees in Florence.</t>
  </si>
  <si>
    <t>The total urban green spaces of the Municipality of Florence uptake 72.5 (±18.2) ktCO2 y−1; of these, 13.5 ktCO2 y−1 are taken up by the UG (UGMF + UGO), 58.7 ktCO2 y−1 by the PU (PUH + PUW + PUF); and 0.3 ktCO2 y−1 by the UT (UTMF + UTO). Almost 80% of the total CO2 uptake by the urban green spaces is due to the PU areas, with a predominant contribution from the orchards, olive trees and grapevines on the hills around the city. For temporal disaggregation of the CO2 uptake we used the CO2 flux measurements measured at the Lecceto site (Fig. 4). On a seasonal basis, the Lecceto forest is a higher carbon sink during spring and early summer, while it becomes a net, small carbon source during mid-summer.</t>
  </si>
  <si>
    <t>tree layer, tree species composition, diameter, stem density, ground layer, shrub layer, total height, age</t>
  </si>
  <si>
    <t>Canopy height = total height
Lawn, forest, mixed vegetation, and lawn with shrubs = categories of CO2 uptake.</t>
  </si>
  <si>
    <t>F90</t>
  </si>
  <si>
    <t>Kang et al. (2022)</t>
  </si>
  <si>
    <t>Kang J, Hirabayashi S, Shibata S. Urban Forest Ecosystem Services Vary with Land Use and Species: A Case Study of Kyoto City. Forests. Multidisciplinary Digital Publishing Institute; 2022;13:67.</t>
  </si>
  <si>
    <t>Kang J, Hirabayashi S, Shibata S.</t>
  </si>
  <si>
    <t>Urban Forest Ecosystem Services Vary with Land Use and Species: A Case Study of Kyoto City.</t>
  </si>
  <si>
    <t>kangjf1943@gmail.com</t>
  </si>
  <si>
    <t>Kyoto City (35◦19′16′′ N–34◦52′30′′ N, 135◦33′33′′ E–135◦52′43′′ E), the capital of Kyoto Prefecture, is located in Kyoto Basin of Kansai region, Honshu Island, Japan, with an area of 828 square kilometers. The city is dominated by a humid subtropical climate with hot, humid summers, and cold, dry winters. It is one of the ‘Cities designated by government ordinance of Japan’ with a population of 1.47 million (0.73 million households) in 2019. The area of the built-up area of the city is 144 square kilometers.</t>
  </si>
  <si>
    <t>35◦19′16′′ N–34◦52′30′′ N</t>
  </si>
  <si>
    <t>135◦33′33′′ E–135◦52′43′′ E</t>
  </si>
  <si>
    <t>We aggregated them into 6 classes from city fringe to city center (Table 1): ResLow (Low-rise residential zone), ResHigh (mid/high-rise residential zone), ResOther (Other residential zone), Ind (Industrial zone), ComNbr (Neighborhood commercial zone), Com (Commercial zone). Information of each tree (woody plants higher than 2 meters) in a quadrat, including species, height, diameter at breast height (DBH), canopy missing percentage, crown size, crown health condition, and crown light exposure, were collected. A total of 1240 trees (of 118 species) was recorded in 151 out of the 175 quadrants (Table 1).</t>
  </si>
  <si>
    <t>Total biomass for each tree is calculated using species-specific allometric equations from the literature with DBH and total height (see [39,40] for the attributes and references of the equations). Carbon storage is estimated based on biomass and carbon content. For evergreen and palm species, leaf biomass is added. Carbon sequestration is estimated based on the growth rate.</t>
  </si>
  <si>
    <t>Though not statistically significant, among the 6 land use classes in this research, residential zones have higher average and median quadrat carbon sequestration than the others (Tables S2 and S3). A similar result was found in Roanoke of Virginia that per hectare carbon storage and annual carbon sequestration in the residential area is higher than that in the commercial area [21]. A potential reason is that the quadrats of residential zones tend to have more trees or higher LAI than the other land use classes do. On the other hand, surprisingly, at the single-tree level, Com and Ind zones have higher average carbon sequestration than ResHigh and ResLow zones, which is opposite to that at the quadrat level. In this study, we found a significantly higher DBH, LAI, and the number of trees at the quadrat level in residential zones than Com zone and Ind zone overall. Whereas, at the single-tree level, DBH is higher than in Com and Ind zones than ResLow zone (Table S4). Both carbon storage (11.51–17.41 ton carbon per hectare) and annual carbon sequestration (1.35–1.60 ton carbon per hectare) of residential zones in this study are lower than that in Roanoke, Virginia, the U.S. (37◦16′ N 79◦56′ W; 37.00 and 2.28-ton carbon per hectare), while those ecosystem services efficiency of the industrial zone of our study (9.95 and 1.19-ton carbon per hectare) is higher than that of Roanoke (7.31 and 0.48-ton carbon per hectare). See tables 4 and 5 for specific numerical results.</t>
  </si>
  <si>
    <t>The species-specific analysis results suggest that the solution to promote urban ecosystem services should be species-specific rather than one-size-fits-all. For instance, as ubiquitous species, Ligustrum lucidum might be less managed thus have higher ecosystem services in the Ind zone; in contrast, it has lower ecosystem services in the ResLow zone possibly due to intense pruning considering residents’ aesthetics.</t>
  </si>
  <si>
    <t>total height, diameter, tree species composition, tree condition, crown width/area</t>
  </si>
  <si>
    <t>Number of trees and area noted.
Measure crown width for leaf area measurement.
- Coniferous and palm species carbon storage estimations include leaf area.</t>
  </si>
  <si>
    <t>F91</t>
  </si>
  <si>
    <t>Klimas et al. (2016)</t>
  </si>
  <si>
    <t>Klimas C, Williams A, Hoff M, Lawrence B, Thompson J, Montgomery J. Valuing Ecosystem Services and Disservices across Heterogeneous Green Spaces. Sustainability. Multidisciplinary Digital Publishing Institute; 2016;8:853.</t>
  </si>
  <si>
    <t>Klimas C, Williams A, Hoff M, Lawrence B, Thompson J, Montgomery J.</t>
  </si>
  <si>
    <t>Valuing Ecosystem Services and Disservices across Heterogeneous Green Spaces.</t>
  </si>
  <si>
    <t>cklimas@depaul.edu</t>
  </si>
  <si>
    <t>The study area encompassed a 30-hectare area of heterogeneous green space that included approximately 13% wetland (cattail marsh), 13% prairie (including areas of wet meadow near the cattail marsh border), 16% forest, and 55% subdivision (residential). The wetland, prairie, and forest were within the Prairie Wolf Slough (PWS) County Forest Preserve (latitude 42◦11′51.53′′N, longitude 87◦51′13.77′′W).</t>
  </si>
  <si>
    <t>42 11' 51.53'' N</t>
  </si>
  <si>
    <t>87 51' 13.77'' S</t>
  </si>
  <si>
    <t>PWS is the drainage basin for a surrounding 98 ha area, and water from the site eventually flows into the Chicago River. The PWS Forest Preserve is a restoration project on an abandoned (~25 years ago) farm field with poorly drained hydric soils [53] that has since been enveloped by suburban development [43] in unincorporated Lake County, Illinois. The farmland was drained approximately 80 years ago using tile drains. Restored ecological communities include savanna, mesic and wet prairie, and a 8.1-hectare shallow palustrine emergent marsh [43] adjacent to a low-density subdivision (Figure 1).</t>
  </si>
  <si>
    <t>Composition, Land use type, Canopy cover</t>
  </si>
  <si>
    <t>For our study, we use the following green space types to refer to each ecological community: forest, residential (subdivision), wetland (cattail marsh), and prairie (including areas of wet meadow). We divided the forest into 30-m wide transects and randomly selected two of the East-West transects for our tree inventory. Transects captured a topographic and ecological gradient from forest to prairie. In each transect, we used biophysical data to calculate the total aboveground carbon pools in trees. For all trees ≥10 cm diameter at breast height (dbh), we measured tree diameter, cross-sectional canopy area (m), and tree species during fall 2014 and spring 2015.</t>
  </si>
  <si>
    <t>Below-ground biomass, Dead wood/organic matter, Above-ground biomass, Soil</t>
  </si>
  <si>
    <t>To calculate forest carbon stocks, we used dbh-dependent allometric equations [54–56]. Total aboveground tree biomass included stem, branches and leaves. All calculations were estimated as total kilograms of dry biomass for each of the 238 inventoried trees. Above-ground biomass was converted to whole tree biomass based on a root-to-shoot ratio of 0.26 [57]. Total biomass was summed and converted into total metric tons of carbon stored in the forest (dividing by 2), and metric tons CO2 per hectare.</t>
  </si>
  <si>
    <t>Total carbon stock in living biomass extrapolated to the entire forest (Figure 1) was 1755.4 metric tons CO2 (373.5 t CO2/hectare): 1299 metric tons CO2 of above-ground biomass (Appendix A), and 456.4 metric tons CO2 below-ground biomass. This carbon stock was valued at $14,951 per hectare. Tree carbon stock in both forest and residential tree cover in this study was higher than the U.S. national average carbon stock density of 92.1 t·CO2/ha, and the average carbon stock density of 114.5 t·CO2/ha for urban land in Illinois [9]. Carbon stock estimates from the field inventory were higher than those from i-Tree aerial estimates. Species-specific allometric equations may have resulted in higher values for carbon stock. For the forest, tree carbon sequestration (9.76 metric tons CO2 per hectare) slightly exceeded greenhouse gas emissions (4.26 metric tons CO2 equivalents per hectare per year).</t>
  </si>
  <si>
    <t>Incorporating knowledge of small-scale variability in ecosystem services and disservices on parcel-size lots (private or public) may improve sustainable planning in urban areas.</t>
  </si>
  <si>
    <t>diameter, standing dead trees, tree species composition, tree layer</t>
  </si>
  <si>
    <t>What is cross-sectional canopy area?
Used iTree (but not the usual variables -- data from aerial photographs and tree cover). 
Litter was not removed from soil for GHG assessment</t>
  </si>
  <si>
    <t>F92</t>
  </si>
  <si>
    <t>Amoatey et al. (2018)</t>
  </si>
  <si>
    <t>Amoatey P, Sulaiman H, Kwarteng A, Al-Reasi HA. Above-ground carbon dynamics in different arid urban green spaces. Environ Earth Sci. 2018;77:431.</t>
  </si>
  <si>
    <t>Amoatey P, Sulaiman H, Kwarteng A, Al-Reasi HA.</t>
  </si>
  <si>
    <t>Oman</t>
  </si>
  <si>
    <t>Above-ground carbon dynamics in different arid urban green spaces.</t>
  </si>
  <si>
    <t>Environmental Earth Sciences</t>
  </si>
  <si>
    <t>olando2009@yahoo.com</t>
  </si>
  <si>
    <t>Muscat</t>
  </si>
  <si>
    <t>The study was conducted in Muscat Governorate within six areas in Muscat including Al Qurum, Ghala, Al Khould, Al Azaiba, Al Sahawa and Al Sarooj (Fig. 1). Muscat lies at an elevation of 41 m. It is located in at 58°24′09.20′′E and 58°ʹ21.32′′N (should read 23° 35' 16.8") along the Sea of Oman.</t>
  </si>
  <si>
    <t>The four land uses types identified includes parks and gardens (PG), avenue plantations (AP), open greenery (OG) and institutional greeneries (IG). The central location of each plot/transect was recorded using global positioned systems (GPS) (High Sensitivity, etrex, Garmin, Taiwan). The following data were collected for each plot/transect, species, diameter at breast height, DBH (1.3 m) for trees, and stem height (Hstem) for palms.</t>
  </si>
  <si>
    <t>The DBH, D for trees and tree-like shrubs, respectively, were used as input parameters to calculate above-ground biomass (AGB) for field studies using biomass equations. There are general biomass equations and several species specific biomass equations that can be used to calculate the AGB of the trees.</t>
  </si>
  <si>
    <t>There was significant increase in the AGC stock from 1631.38 to 2613.50 tons from 2014 to 2017, respectively. An annual sequestration rate of 327.37 tons and average yearly growth rate of 17.01% were estimated. This is a clear manifestation of a substantial increase in AGC stock of urban green space in Muscat Governorate. However, the above changes may be attributed to the major greenery projects that might have occurred within the 3-year interval (2014–2017). The amount of carbon stock sequestered by the trees was converted to CO2 equivalent (CO2 eq). Our estimations demonstrated that, the current AGC stock based on the measured 1609 trees in Muscat Governorate (Table 8) are capable of removing 9,591.56 CO2 tons with an annual sequestration rate of 1,201.47 CO2/ton/yr (Table 9). The results showed that among the four land use types, avenue plantations recorded the highest above carbon stock.</t>
  </si>
  <si>
    <t>diameter, shrub species composition, tree species composition, total height</t>
  </si>
  <si>
    <t>All trees assumed ot be healthy here.
Look at different management practices at different green spaces = includes differences in leaf litter layer removal.</t>
  </si>
  <si>
    <t>F93</t>
  </si>
  <si>
    <t>Gratani et al. (2016)</t>
  </si>
  <si>
    <t>Gratani L, Varone L, Bonito A. Carbon sequestration of four urban parks in Rome. Urban Forestry &amp; Urban Greening. 2016;19:184–93.</t>
  </si>
  <si>
    <t>Gratani L, Varone L, Bonito A.</t>
  </si>
  <si>
    <t>Carbon sequestration of four urban parks in Rome.</t>
  </si>
  <si>
    <t>loretta.gratani@uniroma1.it</t>
  </si>
  <si>
    <t>The study was carried out in the period June 2013 – June 2014 in the city of Rome (41◦53′N; 12◦31′E). Rome is under a Mediterranean type of climate. The average total year rainfall is 866 mm most of it distributed in autumn and winter. Four parks were selected (Fig. 1): Villa Doria Pamphilj, Villa Ada Savoia, Villa Borghese and Villa Torlonia, characterized by the presence of tree and shrub species, most of them being natural species of the Mediterranean landscape.</t>
  </si>
  <si>
    <t>41◦53′N</t>
  </si>
  <si>
    <t>12◦31′E</t>
  </si>
  <si>
    <t>Inside each park, plants were classified into five plant categories: woods, “group of trees”, tree-lined avenues, lawns and hedges. In particular, (1) woods (dominated by a single species) or mixed hardwood (with more than one species) refer to trees extending more than 4 ha; (2) “group of trees” refers to trees with an extension less than 4 ha (each “group of tree” is constituted by only one species); (3) tree – lined avenues refer to individual trees placed regularly along a road (each tree – lined avenues is constituted by only one species); (4) lawns refer to a patch of ground covered with grass (Ong, 2003); (5) hedges refer to shrubs characterized by a height ranging from 1 to 2 m, according to Gratani and Varone (2014).</t>
  </si>
  <si>
    <t>The total yearly CO2 sequestration was calculated multiplying TPS of each plant category by the mean yearly net photosynthesis and the total yearly photosynthetic activity time (in hours), according to Gratani and Varone (2006). Nevertheless, in order to compare CO2 sequestration of the different plant categories, the total yearly CO2 sequestration capacity per hectare (CS, Mg CO2 ha−1 y−1) was used.</t>
  </si>
  <si>
    <t>CS was the highest for Villa Ada and Villa Doria Pamphilj (998 and 780 Mg CO2 ha−1 year−1, respectively), followed by Villa Torlonia 755 Mg CO2 ha−1 year−1 and Villa Borghese (664 Mg CO2 ha−1 year−1) (Table 3). Considering the plant categories developing in all four parks, woods and tree-lined avenues had the highest CS (136 ± 17 Mg CO2 ha−1 year−1 and 141 ± 21 Mg CO2 ha−1 year−1, respectively) followed by hedges (132 ± 5 Mg CO2 ha−1 year−1), “groups of trees” (108 ± 22 Mg CO2 ha−1 year−1) and lawns (44 ± 11 Mg CO2 ha−1 year−1). Differences in CS among the considered parks is a result of the presence of different plant categories. Among the categories, woods contribute largely to the total CS in all the considered parks.</t>
  </si>
  <si>
    <t>Parks in a Mediterranean type of climate, such as Rome’s, sequester CO2 all year long due to the large presence of evergreen species which photosynthetize also in winter when road transport is the highest (Gratani and Varone, 2006). This suggests the importance of planting native species in cities developing in the Mediterranean basin. There is the need to provide knowledge on the role of parks for the improvement of urban environment quality, with particular regards to the species, which can be planted according to their CO2 sequestration capability.</t>
  </si>
  <si>
    <t>total height, tree layer, diameter, planting arrangement, ground layer, crown width/area, shrub layer</t>
  </si>
  <si>
    <t>Ground area covered by the tree crown = crown diameter</t>
  </si>
  <si>
    <t>F94</t>
  </si>
  <si>
    <t>Kim and Coseo (2018)</t>
  </si>
  <si>
    <t>Kim G, Coseo P. Urban Park Systems to Support Sustainability: The Role of Urban Park Systems in Hot Arid Urban Climates. Forests. Multidisciplinary Digital Publishing Institute; 2018;9:439.</t>
  </si>
  <si>
    <t>Kim G, Coseo P.</t>
  </si>
  <si>
    <t>Urban Park Systems to Support Sustainability: The Role of Urban Park Systems in Hot Arid Urban Climates.</t>
  </si>
  <si>
    <t>gkim1@ncat.edu</t>
  </si>
  <si>
    <t>In the City of Phoenix, 50 (0.04 ha) plots were sampled using a random sampling method across the urban park system made up of both publicly- and privately-owned land parcels (Figure 1 and Table 1). Phoenix has a number of master plan gated communities that represent the privately owned and managed neighborhood parks that were included in the study.</t>
  </si>
  <si>
    <t>Canopy cover, Land use type, Forested area, Composition</t>
  </si>
  <si>
    <t>All field data were collected during the 2016 vegetation period (May–June) to properly assess the tree canopy health. At each field plot, three crew members collected data on ground vegetation and tree cover, individual tree attributes such as species, stem diameter, height, crown width, crown canopy missing and dieback, and their distance and orientation to neighboring buildings [13]</t>
  </si>
  <si>
    <t>To calculate current carbon storage levels, the biomass for each tree is calculated using published allometric equations and measures of tree data [22,28]. Carbon storage and carbon sequestration values are based on estimated or customized local carbon values. Carbon storage and carbon sequestration values in Phoenix are calculated based on $78 per ton [29].</t>
  </si>
  <si>
    <t>The gross sequestration of trees within Phoenix’s park system is about 3630 t of carbon per year (Table 6), with an associated value of $285,000. Net carbon sequestration (accounting for losses from carbon dioxide release through tree respiration) in green infrastructure is about 3380 t annually (Table 6). Of all the species sampled, Eucalyptus camaldulensis Dehnh. (Red Gum Eucalyptus) stores and sequesters the most carbon (approximately 51.9% of the total carbon stored and 24.7% of all carbon sequestered in trees growing in parks) (Figure 6).</t>
  </si>
  <si>
    <t>Findings provide useful information for urban planners, architects, landscape architects, other design professionals, advocates for healthy urban ecosystems, and others concerned with the design and planning of our urban landscape, encouraging them to treat green infrastructure as a life-sustaining resource that improves living conditions and opens up new recreational opportunities for city residents. The methodology that was applied to assess ecosystem services in this study can also be used to assess the ecosystem services provided by green infrastructure in other urban contexts and improve urban forest policies, planning, and the management of green infrastructures.</t>
  </si>
  <si>
    <t>shrub layer, total height, tree species composition, diameter, ground layer, crown width/area, tree condition, tree layer, stem density</t>
  </si>
  <si>
    <t>Note: Tree distance and orientation to buildings was not counted in all of the iTree Eco papers.
One shrub species was listed, but under tree species (so shrub species not included).</t>
  </si>
  <si>
    <t>F96</t>
  </si>
  <si>
    <t>Wang and Lin (2012)</t>
  </si>
  <si>
    <t>Wang Y-C, Lin J-C. Air quality enhancement zones in Taiwan: A carbon reduction benefit assessment. Forest Policy and Economics. 2012;23:40–5.</t>
  </si>
  <si>
    <t>Wang Y-C, Lin J-C.</t>
  </si>
  <si>
    <t>Air quality enhancement zones in Taiwan: A carbon reduction benefit assessment.</t>
  </si>
  <si>
    <t>Forest Policy and Economics</t>
  </si>
  <si>
    <t>ljc@tfri.gov.tw</t>
  </si>
  <si>
    <t>In this study, we sampled 48 AQEZs totaling 32.06 ha in 10 counties or cities in northern Taiwan.</t>
  </si>
  <si>
    <t>In 1995, Taiwan's government began, via afforestation, to establish AQEZs. As of 2010, a total of 504 AQEZs had already been established in Taiwan, including greening 20 landfill restoration sites, 107 bare-land sites, 87 waste-disposal (dump) and other contaminated sites, 80 green open spaces, 55 metropolitan bike paths, 77 metropolitan road areas, and 78 environmental parks, and these figures do not yet include schoolyard (campus) dust-improvement areas or wooded environmental parks along main roadways.</t>
  </si>
  <si>
    <t>Land use type, Forested area, Canopy cover, Composition</t>
  </si>
  <si>
    <t>Data collected included the size and location of the AQEZ plots and planted tree species and numbers; for each tree on each plot data collected included species, number of trees by species, diameter at breast height (DBH, at 1.3 m above the ground surface), tree height (H), and canopy width (CW, or crown diameter).</t>
  </si>
  <si>
    <t>Allometric models using DBH, H, and other parameters were used to estimate tree volume (V). Single tree volume estimates were based on a form factor calculation multiplied by the average basal area (BA) and tree height. Basic wood density (BD) was used to convert forest plant volume to biomass. Basic wood density is the ratio of dry weight of absolutely dry wood to the volume of peeled logs. According to IPCC 1996 guidelines, if a country has no basic wood density data, a default value of 0.5 can be used (IPCC, 2006).</t>
  </si>
  <si>
    <t>The total number of trees sampled in the survey was 9761, and the maximum forest carbon storage per tree (Ctree) was 4.13 tons, with an average Ctree of 0.03 ton. Thus, the converted total forest carbon storage (Ctotal) in the 48 sampled AQEZs was 296.73 tons, with an average per hectare forest carbon storage (Caverage) of 9.25 tons/ha. Considering Ctree, F. microcarpa was highest at 0.129 ton, followed by A. scholaris at 0.120 ton. The highest individual tree carbon storage capacity was for F. microcarpa at 4.128 tons, followed by M. azedarach at 0.897 ton (Table 4). Results showed that average annual plant carbon sequestration for non-deviating trees was 2.19 kg-C, which converts to 8.04 kg-CO2. Average annual plant carbon sequestration for deviating trees was 25.41 kg-C, which converts to 93.25 kg-CO2. Therefore, average annual plant carbon sequestration for all the AQEZs studied was 4.40 kg-C, which converts to 16.15 kg-CO2 (Table 5).</t>
  </si>
  <si>
    <t>diameter, tree layer, crown width/area, tree species composition, stem density, total height</t>
  </si>
  <si>
    <t>Basic wood density (timber)= coarse woody debris? (&amp; plant functional types)
Canopy cover = crown width ^2</t>
  </si>
  <si>
    <t>F98</t>
  </si>
  <si>
    <t>Davies et al (2011)</t>
  </si>
  <si>
    <t>Davies ZG, Edmondson JL, Heinemeyer A, Leake JR, Gaston KJ. Mapping an urban ecosystem service: quantifying above-ground carbon storage at a city-wide scale. Journal of Applied Ecology. 2011;48:1125–34.</t>
  </si>
  <si>
    <t>Davies ZG, Edmondson JL, Heinemeyer A, Leake JR, Gaston KJ.</t>
  </si>
  <si>
    <t>Mapping an urban ecosystem service: quantifying above-ground carbon storage at a city-wide scale.</t>
  </si>
  <si>
    <t>Leicester is a representative mid-sized British city, with a human population of c. 300 000 (Leicester City Council 2009) and area of approximately 73 km2. Geographically, it is located in central England (52°38¢N, 1°08¢W; Fig. 1a)</t>
  </si>
  <si>
    <t>Forested area, Composition, Land use type, Canopy cover</t>
  </si>
  <si>
    <t>In this product, each aboveground vegetation polygon (accurate to 0Æ25 m2)isassignedtooneof four categories effectively stratified by maximum vegetation height (classified using high resolution, 4–8 points per metre, LiDar data): Herbaceous Vegetation (grasses and non-woody plants), Shrub (woody bushes and trees with a mean height typically &lt;2 m), Tall Shrub (woody bushes and trees with a mean height generally 2–5 m) and Tree (trees &gt;5 m tall).</t>
  </si>
  <si>
    <t>Above-ground dry-weight biomass was calculated for each surveyed tree using allometric equations obtained from the literature, which are primarily derived from forested areas in Europe and North America (Table S1 Supporting Information); currently, few such biomass predictors exist explicitly for urban trees. If no species-specific allometric equation could be found, the genus or family average was substituted or, as a last resort, an equation derived from all broadleaf ⁄ coniferous trees in our sample was used (Table S1). The carbon stored within woody vegetation was therefore estimated using a conversion factor of 18 t C ha)1, taken from a study by Patenaude et al. (2003).</t>
  </si>
  <si>
    <t>An estimated 231 521 tonnes (95% CI = 195 914–267 130) of carbon is stored within the above-ground vegetation across the city (Table 1; Fig. 2), equating to a mean figure of 3Æ16 kg Cm)2 of urban area (95% CI = 2Æ65–3Æ62). Of this total, 97Æ3% (225 217 tonnes; 95% CI = 189 613–260 821) consists of carbon stored in trees. A further 1744 tonnes (0Æ7%) is contained within woody vegetation, with the remaining 2% (4561 tonnes; 95% CI = 3706–5417) attributed to herbaceous vegetation.</t>
  </si>
  <si>
    <t xml:space="preserve">"Carbon density within the same landcover categories did not differ with land ownership, with the exception of Shrub. The Shrub carbon density on publicly owned ⁄ managed land was significantly lower than for mixed ownership patches, because the trees in the latter were larger in size (mean tree biomass in the Public Shrub category was 102 kg, compared with 330 kg for Mixed Shrub)."
"Over 66% of the publicly owned ⁄ managed land across the city consists of Herbaceous Vegetation. The potential for substantially increasing the urban carbon reservoir can be illustrated by a simple back-of-the-envelope calculation, using the carbon densities for the different landcover–land ownership categories in Table 1. If 10% of the present council grassland (equating to 1 005 744 m2) was planted and maintained with trees, an extra 28 402 tonnes of carbon could be added to the current pool (a net figure accounting for the loss of herbaceous cover and gain of tree cover)."
"Secondly, fewer particularly large trees occur within gardens (e.g. the mean biomass of a garden tree was 120 kg, and maximum tree height recorded within a garden was 16Æ7m,butthe tallest tree in our sample was 34Æ4 m). If community initiatives were put in place by policy makers to encourage tree planting, resulting in 10% of the existing 159 789 urban gardens containing one more tree, there would be 927 tonnes more carbon (assuming they grew to an average size for a garden tree) stored in above-ground vegetation across the city."
</t>
  </si>
  <si>
    <t>crown height, tree layer, ground layer, stem density, diameter, shrub layer, shrub species composition, overall canopy cover, tree species composition, leaf litter layer, total height</t>
  </si>
  <si>
    <t>This article is in Rayyan twice, once as a duplicate (excluded) and once included. The included version was accidentally deleted (before CB and JL) got to the review, but it was included in the final literature for the systematic map publication. So, we are including it in the forest comp metrics review (it also very much meets the inclusion criteria).  -CB, 26 Sept 2024</t>
  </si>
  <si>
    <t>F99</t>
  </si>
  <si>
    <t>Amini Parsa et al. (2020)</t>
  </si>
  <si>
    <t>Amini Parsa V, Salehi E, Yavari A. Improving the provision of ecosystem services from urban forest by integrating the species’ potential environmental functions in tree selecting process. Landscape Ecol Eng. 2020;16:23–37.</t>
  </si>
  <si>
    <t>Amini Parsa V, Salehi E, Yavari A.</t>
  </si>
  <si>
    <t>Improving the provision of ecosystem services from urban forest by integrating the species’ potential environmental functions in tree selecting process.</t>
  </si>
  <si>
    <t>Landscape and Ecological Engineering</t>
  </si>
  <si>
    <t>Tabriz metropolis, with a population of 1.56 million people, covering an area of approximately 244.8 km2 (Statistical Center of Iran 2016), is the capital of the Eastern Azerbaijan province, which is situated in the NW Iran (georeferenced as 38°5′ N and 46°16′ E) (Fig. 1).</t>
  </si>
  <si>
    <t>38 5' N</t>
  </si>
  <si>
    <t>46 16' E</t>
  </si>
  <si>
    <t>Forested area, Land use type, Composition, Canopy cover</t>
  </si>
  <si>
    <t>Following the relevant protocols (i-Tree Eco International Projects 2016; i-Tree Eco User’s Manual 2016; i-Tree Field Guide 2016), the required field data on plots—i.e., plot address, plot center coordinates, percent measured, tree cover, plantable space and land use and cover) and trees (including distance and direction of trees to the plot center, species, status (planted, ingrowth or unknown), dead or alive, land use(s), total and live crown height, crown size (height to live top, height to live crown base, live crown width, percentage of crown missing), crown health (percentage of dieback), crown light exposure, DBH (stem diameter at breast height), cover under canopy and tree location coordinates—were gathered from within 325 standard plots (with a radius of 11.34 m) which were randomly distributed among land-use classes (Fig. 1).</t>
  </si>
  <si>
    <t>This function was estimated based on estimated tree diameter at maturity, tree height and species allometric equation for biomass (Nowak 2008)</t>
  </si>
  <si>
    <t>The results of the various developed tree planting scenarios indicate that regardless of the amount of planting, the benefits of introducing the selected trees will be more than that of planting the existing species. It was found that introducing tree species with a high potential in generating ES in urban contexts can lead to more improvement in both structural characteristics and environmental benefits. As the amount of the annual planting of the recommended species increases, so does the improvement in the projected tree characteristics (e.g., leaf area, tree biomass) and ES (air pollutant removal and carbon sequestration) from the subscenarios Ib to IIIb (as noted earlier, there are 40, 100 and 150 thousand trees planted per year, respectively). This indicates the positive effect of the selected species’ frequency on the projected tree traits and environmental benefits.</t>
  </si>
  <si>
    <t>We suggest that the selection criteria referred to in this paper be adopted prior to common urban tree selection programs to ensure the improvement of benefits provided by urban trees.</t>
  </si>
  <si>
    <t>tree species composition, tree condition, tree layer, crown width/area, crown height, plant functional types, diameter, stem density, planting arrangement</t>
  </si>
  <si>
    <t>Planting arrangement = compare planting scenarios</t>
  </si>
  <si>
    <t>F101</t>
  </si>
  <si>
    <t>Linden et al. (2020)</t>
  </si>
  <si>
    <t>Lindén L, Riikonen A, Setälä H, Yli-Pelkonen V. Quantifying carbon stocks in urban parks under cold climate conditions. Urban Forestry &amp; Urban Greening. 2020;49:126633.</t>
  </si>
  <si>
    <t>Lindén L, Riikonen A, Setälä H, Yli-Pelkonen V.</t>
  </si>
  <si>
    <t>Quantifying carbon stocks in urban parks under cold climate conditions.</t>
  </si>
  <si>
    <t>leena.linden@helsinki.fi</t>
  </si>
  <si>
    <t>The city of Helsinki, with 217 km2 land area and 643,000 inhabitants (Mäki and Vuori, 2018), is located on the south coast of Finland (60°10′15′′N, 24°56′15′′E) at the northern limit of the hemiboreal region.</t>
  </si>
  <si>
    <t>60°10′15′′N</t>
  </si>
  <si>
    <t>24°56′15′′E</t>
  </si>
  <si>
    <t>In October 2011, the diameter at breast height (DBH) and species (or if unidentified, genus) of all trees within every sample plot were recorded. All in all, 466 individual trees and 33 tree taxa were registered.</t>
  </si>
  <si>
    <t>. The species group classification and relevant equations for total aboveground biomass presented in Jenkins et al. (2003) were then applied to the data, and any taxa encountered that was not included in the original grouping, were classified according to their genus. A biomass to C conversion constant of 0.5 was used when estimating tree C stock (Nowak and Crane, 2002). In October 2013, each of the 90 random sites in the 30 parks were sampled for soil C content.</t>
  </si>
  <si>
    <t>The first tree survey gave an average aboveground C storage estimate of 28.1 t C ha−1 for constructed parks in Helsinki. In small, medium-sized and large parks, the mean C densities were 22.6 ( ± 24.7) t C ha−1, 36.5 ( ± 30.2) t C ha−1 and 23.9 ( ± 11.6) t C ha−1, respectively. Mean tree densities were 147 ( ± 167) trees ha−1 for small parks, 144 ( ± 62) trees ha−1 for medium-sized parks and 172 ( ± 166) trees ha−1 for large parks. The TC content was on average 4.45 ± 2.03 % in the top soil (0−30 cm), 3.63 ± 2.18 % in the middle layer (31−60 cm) and 2.88 ± 2.52 % in the deepest layer (61−90 cm).</t>
  </si>
  <si>
    <t>Increasing tree density in constructed parks could improve urban C balance, but at the same time a high tree density might interfere with some of the numerous goals and service expectations set for urban parks. Since parks are currently committed to provision of ecosystem services, park management should be continuous but cautious to keep the site attractive and usable and on the other hand, to minimize all kinds of plant and soil disturbance and C release by management activities.</t>
  </si>
  <si>
    <t>shrub layer, ground layer, tree species composition, diameter, stem density</t>
  </si>
  <si>
    <r>
      <rPr>
        <rFont val="Times New Roman"/>
        <color theme="1"/>
        <sz val="11.0"/>
      </rPr>
      <t>Management practices (lawn height, leaf litter removal, pruning).</t>
    </r>
    <r>
      <rPr>
        <rFont val="Times New Roman"/>
        <b/>
        <color theme="1"/>
        <sz val="11.0"/>
      </rPr>
      <t xml:space="preserve">
</t>
    </r>
    <r>
      <rPr>
        <rFont val="Times New Roman"/>
        <color theme="1"/>
        <sz val="11.0"/>
      </rPr>
      <t>Age classes for parks
Sampled SOIL from different vegetation types (lawn, shrubbery, herbs).</t>
    </r>
    <r>
      <rPr>
        <rFont val="Times New Roman"/>
        <b/>
        <color theme="1"/>
        <sz val="11.0"/>
      </rPr>
      <t xml:space="preserve">
</t>
    </r>
    <r>
      <rPr>
        <rFont val="Times New Roman"/>
        <color theme="1"/>
        <sz val="11.0"/>
      </rPr>
      <t>They show land cover types (%) in the results section! BUT only from management classes.</t>
    </r>
  </si>
  <si>
    <t>F102</t>
  </si>
  <si>
    <t>Alpaidze and Pace (2021)</t>
  </si>
  <si>
    <t>Alpaidze L, Pace R. Ecosystem Services Provided by Urban Forests in the Southern Caucasus Region: A Modeling Study in Tbilisi, Georgia. Climate. 2021;9:157.</t>
  </si>
  <si>
    <t>Alpaidze L, Pace R.</t>
  </si>
  <si>
    <t>Georgia</t>
  </si>
  <si>
    <t>Ecosystem Services Provided by Urban Forests in the Southern Caucasus Region: A Modeling Study in Tbilisi, Georgia.</t>
  </si>
  <si>
    <t>Climate</t>
  </si>
  <si>
    <t>levan.alpaidze859@sps.tsu.edu.ge</t>
  </si>
  <si>
    <t>Tbilisi</t>
  </si>
  <si>
    <t>The city of Tbilisi presents a stretched geographical layout (from North to SouthEast), with most of the built-up area squeezed between the mountains.</t>
  </si>
  <si>
    <t>A complete tree inventory was sampled in both RED Park (Vaso Godziashvili Park) and EXPO Park (EXPO Georgia Park). This project approach allows to quantify the complete structure of the urban forest and calculate a total output for each ecosystem se</t>
  </si>
  <si>
    <t>Tree parameters collected from field data included species identification (scientific names), diameter at breast height (DBH), tree height, height to live top of crown, crown base height, crown width, percentage of canopy missing (relative to crown volume), percentage canopy dieback, and crown light exposure [36]. Model equations are described in detail in Nowak 2020 [3</t>
  </si>
  <si>
    <t>Trees are estimated to store 126.5 and 198.4 t of carbon in RED and EXPO Parks, respectively. C. deodara (27%), C. sempervirens (24.6%), and P. alba (15.8%) are the species that accumulated the most carbon in RED Park. In EXPO Park, C. deodara (33.8%) and C. sempervirens (20%) store more than half of the total carbon. The gross sequestration is about 4.7 and 4.6 t of carbon per year for RED and EXPO. rks and marked as “recommended” or ”priority” for future afforestation programs (Table 3). The results showed that for carbon sequestration, C. deodara, C. sempervirens, and Fraxinus americana are the species that accumulate more carbon per unit of canopy cover.</t>
  </si>
  <si>
    <t>tree layer, tree condition, crown width/area, tree species composition, crown height, stem density, diameter, total height</t>
  </si>
  <si>
    <t>Mention tree cover in the results</t>
  </si>
  <si>
    <t>F103</t>
  </si>
  <si>
    <t>Yao et al. (2017)</t>
  </si>
  <si>
    <t>Yao X, Zhao M, Escobedo FJ. What Causal Drivers Influence Carbon Storage in Shanghai, China’s Urban and Peri-Urban Forests? Sustainability. Multidisciplinary Digital Publishing Institute; 2017;9:577.</t>
  </si>
  <si>
    <t>Yao X, Zhao M, Escobedo FJ.</t>
  </si>
  <si>
    <t>What Causal Drivers Influence Carbon Storage in Shanghai, China’s Urban and Peri-Urban Forests?</t>
  </si>
  <si>
    <t>zhaomin@shnu.edu.cn</t>
  </si>
  <si>
    <t>The study area is an urban to rural transect—56 km × 11 km—located in Shanghai, China (latitude 30.80◦N–31.23◦N, longitude 121.43◦E–121.54◦E). It starts at Shanghai’s urban core, known as People’s Square, and extends southward in to the urban periphery ending at the north shore of Hangzhou Bay, encompassing a total area of 616 km2.</t>
  </si>
  <si>
    <t>30° 48' 0"</t>
  </si>
  <si>
    <t>121° 25' 48"</t>
  </si>
  <si>
    <t>Composition, Land use type, Forested area, Canopy cover</t>
  </si>
  <si>
    <t>different land-use types: public green (49 plots), residential green (54 plots), street trees (64 plots), garden nursery (12 plots) and other (90 plots). We allocated a total of 269 random, circular plots of 0.04 ha in the study transect to sample the tree population and measure plot characteristics following methods outlined in Zhao et al. (2013) [41]. Tree measurements included: number of stems, species identification, diameter at breast height (diameter at 1.4 cm above the surface; DBH), total height, and condition. Plot-level, ocular measurements of tree and palm overstory, and shrub cover were collected, as well as an estimation of plot surface covers [41]. Woody plants were considered trees or palms if they had a DBH greater than 2.5 cm, otherwise they were considered a shrub regardless of species.</t>
  </si>
  <si>
    <t>Urban tree canopy (UTC), the area covered by tree and shrub crowns in an urbanized area, is a commonly used measure of urban forest structure [17]. Specifically, UTC is the two-dimensional, orthogonal projection of tree and shrub canopies onto the plane of the ground surface [52]. In this study, UTC area was used as the conversion coefficient to calculate tree and shrub carbon storage in the study transect. Shrub carbon storage was calculated using Equation (5)</t>
  </si>
  <si>
    <t>Overall, urban tree and shrub carbon ranged between 0 and 70.75 Mg C/ha Sustainability 2017, 9, 577 8 of 17 while in peri-urban areas it ranged from 0 to 79.94 Mg C/ha. Average tree and shrub carbon storage was greater in peri-urban forests (9.81 Mg C/ha) than in urban areas (8.92 Mg C/ha). Our results show that tree-shrub diversity had not significantly affected carbon storage. Similar dynamics have been observed in San Juan, Puerto Rico [58]. This might be explained by the shorter ornamental tree and tall shrub composition that predominates in urban areas (Tables 2 and 3). While larger, remnant or shade-providing trees predominate in peri-urban forests such as Magnolia grandiflora Linn., Chimonanthus praecox (Linn.) Link, and Cercis chinensis Bunge (Tables 2 and 3).</t>
  </si>
  <si>
    <t>In general, lower-density forests have a high potential for carbon sequestration. Hence, according to different stages of succession, the vegetation density is a key management objective that can be used to optimize community structure, improve habitat conditions, promote growth, and improve the carbon storage of the whole urban forest. Our study’s approach and findings do however contribute towards a better understanding of the complexities behind these processes and for giving land managers better information to design management objectives and policies that incorporate forests as an urban nature-based solution.</t>
  </si>
  <si>
    <t>shrub layer, total height, shrub species composition, stem density, tree layer, tree condition, diameter, tree species composition</t>
  </si>
  <si>
    <t>F104</t>
  </si>
  <si>
    <t>Snehlata et al. (2021)</t>
  </si>
  <si>
    <t>Snehlata, Rajlaxmi A, Kumar M. Urban tree carbon density and CO2 equivalent of National Zoological Park, Delhi. Environ Monit Assess. 2021;193:841.</t>
  </si>
  <si>
    <t>Snehlata, Rajlaxmi A, Kumar M.</t>
  </si>
  <si>
    <t>Urban tree carbon density and CO2 equivalent of National Zoological Park, Delhi.</t>
  </si>
  <si>
    <t>Environmental Monitoring and Assessment</t>
  </si>
  <si>
    <t>Delhi</t>
  </si>
  <si>
    <t>National Zoological Park (NZP) of Delhi, India, is located at latitude 28° 12́N to 28° 53′ N and longitude of 76° 50′ E to 77° 23′ E. The geologic development of Delhi is considered because of the uplifting of the tectonic plate during the Pleistocene period. The Aravalli range hills and Yamuna River is the two distinctive feature of the Delhi region.</t>
  </si>
  <si>
    <t>28 12'N</t>
  </si>
  <si>
    <t>76 50'E</t>
  </si>
  <si>
    <t>At each site, the total number of an individual tree (saplings and adults) was counted for each plot. In the present study, the contribution of carbon storage from shrub and herb was not taken due to some restriction of destructive sampling in the national park. The circumference at breast height (CBH) of each tree was measured through the help of measuring tape at 1.37 m above the ground level. The height (H) was measured with a height ranging clinometers of Bosch GLM 80. The plants having a diameter ≥ 10 cm were considered adult trees, and the sapling trees were considered in the range of diameter ≥ 1 and≤ 10 cm.</t>
  </si>
  <si>
    <t>To get the aboveground biomass (AGB) of plants (DBH ≥ 5 cm), commonly used biomass estimation equation was used specified by Chave et al. (2005) in Eq. 1. Belowground biomass (BGB) was calculated by using root shoot ratio, 0.24 specified for tropical forests given by Cairns et al. (1997).</t>
  </si>
  <si>
    <t>Furthermore, the highest DBH was contributed by Ficus sp.in the range of 11.0 to 154.1  cm. The maximum density of adult tree species was A. procera (625 individual ha−1) followed by A. lebbeck (200 individual ha−1) across the sites. For sapling trees, maximum density was observed for A. procera (2000 individual ha−1). The mean TBD of adult tree species was 89.0 Mg ha−1. The mean TCD and CO2eq  across the sites were estimated 42.2  Mg-C ha−1and 163.2  Mg  ha−1, respectively. The mean TBD, TCD, and total CO2eq for adult tree species were obtained greatest at site 1 (94.4 Mg ha−1, 44.7 Mg-C ha−1, 173.1 Mg ha−1, respectively) and lowest at site 2 (81.5  Mg  ha−1, 38.6  Mg-C ha−1, 149.4  Mg  ha−1).</t>
  </si>
  <si>
    <t>The data indicates that the trees having the capacity to store carbon are essential for the maintenance of a sustainable environment. Thus, the study suggests that there is a substantial scope to increase the carbon density and CO2eq in urban city through adopting various management strategies viz. afforestation and reforestation program on degraded and abandoned land to maintain a clean and sustainable environment.</t>
  </si>
  <si>
    <t>diameter, stem density, age, tree species composition, total height</t>
  </si>
  <si>
    <t>Age = adults &amp; saplings</t>
  </si>
  <si>
    <t>F105</t>
  </si>
  <si>
    <t>Amini Parsa et al. (2019)</t>
  </si>
  <si>
    <t>Amini Parsa V, Salehi E, Yavari AR, van Bodegom PM. Evaluating the potential contribution of urban ecosystem service to climate change mitigation. Urban Ecosyst. 2019;22:989–1006.</t>
  </si>
  <si>
    <t>Amini Parsa V, Salehi E, Yavari AR, van Bodegom PM.</t>
  </si>
  <si>
    <t>Evaluating the potential contribution of urban ecosystem service to climate change mitigation.</t>
  </si>
  <si>
    <t>This paper focused on Tabriz, the capital of East Azerbaijan province, which has a population of 1.56 million people living on 24,479 ha (Statistical Center of Iran 2016). Tabriz is the largest and most populated and industrialized metropolitan area in the northwest and west of Iran (it is known as the commercial and industrial hub of NW Iran).</t>
  </si>
  <si>
    <t>Canopy cover, Forested area, Land use type, Composition</t>
  </si>
  <si>
    <t>1) general information (the date, GPS coordinates of the plot center, tree and shrub cover, the percentage of the plot (%) which could be assessed, actual land use, ground cover, plantable space, reference objects), 2) main data on shrubs (species, average height, percentage of shrub cover, the percentage of shrub volume not occupied by leaves) and 3) main data on trees (species, status, distance and direction to the plot center, land use(s), Diameter at Breast Height (DBH), data on crown (health, width and missing, i.e. the proportion of crown volume not occupied by leaves or branches), Crown Light Exposure (CLE), total and live crown height, crown base height and GPS coordinates).</t>
  </si>
  <si>
    <t>Measuring above-ground biomass of an urban tree is difficult (Dobbs et al. 2011) but can be estimated based on DBH, tree height and tree condition (Nowak 2019). Predicted aboveground biomass was converted to whole tree biomass based on an assumed root-to-shoot ratio of 0.26 (Cairns et al. 1997). The computed fresh-weight biomass was multiplied by species-specific conversion factors (derived from mean moisture contents of species obtained from literature; 0.48 and 0.56 for conifers and hardwoods respectively) in order to obtain dry-weight biomass and, hence, carbon storage.</t>
  </si>
  <si>
    <t>A comparison between the amount of stored carbon among the land use classes shows that the green spaces had the highest amount, followed by residential areas. As with the carbon storage, the majority of carbon was sequestered by these two land use classes at a total of 2102 kg CO2eq per hectare over 2015 (71% of the total amount) (Table 4). The amount of carbon stored and sequestrated varies among the species. Robinia pseudoacacia is the most important species in carbon storage and sequestration in Tabriz by virtue of its relative abundance and size. The top 10 tree species contributing to carbon storage and annual net carbon sequestration (Table 5) were responsible for 75 and 49.4% of total carbon storage and annual net carbon sequestration, while they respectively constitute 64.7, 73.3, 75.4 and 75% of the total number of trees, leaf area, leaf biomass and tree dry weight biomass (Fig. 4). The 40% urban tree canopy goal for Tabriz can be achieved at the end of the simulated timespan by planting 150,000 trees per year, which yields a final amount of 675,964 t C stored and 65,054 t yr.−1 sequestered carbon (Scenario IV).</t>
  </si>
  <si>
    <t>The contribution of urban trees in Tabriz is relatively low (about 0.2%) and can be increased to about 0.63% through tree planting over the next 20 years. Hence, the urban tree planting at city scale has only a limited effect on climate change mitigation. It is, therefore, recommended to consider it as a complementary solution beside other mitigation strategies. Moreover, the planting of trees to improve climate change mitigation also enhances the urban temperature regulation (as well as many other ES such as air purification) at the expense of more resource use, especially water. Simultaneous analysis of such synergies and trade-offs between a specific ES and others generates considerable information for sustainable urban green infrastructure management.</t>
  </si>
  <si>
    <t>ground layer, total height, crown width/area, standing dead trees, tree species composition, crown height, diameter, tree condition, shrub layer, shrub species composition, stem density, tree layer</t>
  </si>
  <si>
    <t>Forecast C sequestration based on different tree planting scenarios over time.
They note % of dead trees.</t>
  </si>
  <si>
    <t>F106</t>
  </si>
  <si>
    <t>Escobedo et al. (2010)</t>
  </si>
  <si>
    <t>Escobedo F, Varela S, Zhao M, Wagner JE, Zipperer W. Analyzing the efficacy of subtropical urban forests in offsetting carbon emissions from cities. Environmental Science &amp; Policy. 2010;13:362–72.</t>
  </si>
  <si>
    <t>Escobedo F, Varela S, Zhao M, Wagner JE, Zipperer W.</t>
  </si>
  <si>
    <t>Analyzing the efficacy of subtropical urban forests in offsetting carbon emissions from cities</t>
  </si>
  <si>
    <t>Environmental Science &amp; Policy</t>
  </si>
  <si>
    <t>Miami-Dade, Gainesville</t>
  </si>
  <si>
    <t>The coastal, urbanized portion of Miami-Dade County, Florida defines the study area with a high rate of land development. This study area encompassed 1273 km2 of Miami-Dade County centered at 258 N and 808 W in southeast Florida. Miami-Dade has a humid, subtropical and tropical climate with a mean annual precipitation of 147 cm and an average maximum and minimum temperature of 28 8C and 20 8C(Winsberg, 2003).The study area characterized by a lower rate of land development is Gainesville, Florida. This study area is 122 km2 and is centered at 298 N and 828 W in inland, north-central Florida. The climate is humid, subtropical and is characterized by a mean annual precipitation of 132 cm and an average maximum and minimum temperature of 27 8C and 14 8C (Winsberg, 2003).</t>
  </si>
  <si>
    <t>These random plots were located across different land uses (Table 2). Data were collected for each tree and palm on every plot with a minimum diameter at breast height (DBH at 1.37 m above-ground surface) of 2.5 cm, regardless of growth habit. Tree and palm measurements included: species, number of stems, DBH, total height and crown dieback.</t>
  </si>
  <si>
    <t>Field data were used with the Urban Forest Effects (UFORE) model to quantify urban tree carbon storage and sequestration as well as to approximate the effects of tree shading and transpirational cooling on building energy use and subsequent avoided C emissions (Nowak et al., 2002). Tree dry-weight biomass was converted to stored carbon by multiplying by 0.5. Species-specific, genus or family biomass equation means for forest-grown trees were used to estimate total tree wood biomass and below ground biomass was estimated using a root-to-shoot ratio of 0.26 (Nowak et al., 2002). Urban trees tend to have less above-ground biomass than trees in forests, therefore biomass results for urban trees were adjusted accordingly by reducing biomass estimates by 20 percent (Nowak et al., 2002).</t>
  </si>
  <si>
    <t>Larger per tree net C sequestration observed in Miami-Dade can be attributed to higher growth rates and/or lower carbon emitted due to tree condition (Table 3). The residential land uses stored and sequestered the most C in Miami-Dade and Gainesville (Table 5). Land uses storing and sequestering substantial amounts of carbon include Parks and Vacant areas in Miami-Dade and Forests in Gainesville. Net carbon sequestration per hectare in Miami-Dade is greater in Parks and Vacant areas and is due to greater tree densities, sizes, and growth rates. Similarly, Forests and Vacant uses in Gainesville showed high per area net sequestration. Even though these land uses are characterized by greater net C sequestration, they only encompass 24 percent and 30 percent of the total area in Miami-Dade and Gainesville, respectively. Pine-oak, remnant forests in Gainesville and mangrove, agricultural tree orchards (e.g. Persea americana), and highly invasive Melaleuca quinquinervia tree stands in Miami-Dade are sequestering most of the carbon (Table 6).</t>
  </si>
  <si>
    <t>Our results indicate that urban forest management was moderately effective at offsetting annual CO2 emissions relative to other reduction strategies but total CO2 offsets, particularly planting small trees in urbanized land uses, were minimal. Therefore preserving large trees and protecting existing forests during urbanization might be more effective at offsetting CO2 than massive tree plantings. Increasing the amount of layers using shrubs and smaller trees is also an important way to improve carbon sequestration and provide secondary ecosystem services such as mitigation of wind storm damage (Duryea et al., 2007; Escobedo et al., 2009a). In the case on Miami-Dade County, over 30 percent of the actual net C sequestration is in stands of M. quinquinervia,an undesirable, highly invasive, exotic tree. Thus, current invasive tree eradication programs could result indirectly in decreasing carbon sequestration, tree cover, and related ecosystem services in areas of Miami-Dade.</t>
  </si>
  <si>
    <t>total height, tree layer, diameter, tree species composition, tree condition, stem density</t>
  </si>
  <si>
    <t>F107</t>
  </si>
  <si>
    <t>Dilaver et al. (2017)</t>
  </si>
  <si>
    <t>Dilaver Z, Yuksel U, Yilmaz FC. Contribution Of University campuses to climate change mitigation: Ankara university tandogan campus case. Fresenius Environmental Bulletin. 2017;26.</t>
  </si>
  <si>
    <t>Dilaver Z, Yuksel U, Yilmaz FC.</t>
  </si>
  <si>
    <t>Contribution Of University campuses to climate change mitigation: Ankara university tandogan campus case.</t>
  </si>
  <si>
    <t>Fresenius Environmental Bulletin</t>
  </si>
  <si>
    <t>ulkuduman12@gmail.com</t>
  </si>
  <si>
    <t>Ankara</t>
  </si>
  <si>
    <t>Study Area. The study area, Ankara University Tandogan Campus, is an inner city campus in the Ankara city center (Figure 1). The campus is an important cultural landscape area with its place within the urban fabric and its historical, cultural, visual, ecological, social, scientific/educational and recreational characteristics.</t>
  </si>
  <si>
    <t>The study area was declared as 3rd Degree Natural Site because of the natural and cultural assets it harbors.</t>
  </si>
  <si>
    <t>Some of the natural and historic species that had been planted during the first periods and reached the present date were registered as cultural assets, such as, Pinus griffithii McClelland (Blue Pine), Cupressus arizonica Greene (Arizona Cypress), Abies nordmanniana (Stev), Spach (Caucasian Fir), Juniperus virginiana L. (Virginian Juniper). All plant species either in solitary or group form (trees, shrubs, bushes) were identified and counted.</t>
  </si>
  <si>
    <t>In the second approach, which is based on field studies, tree species are determined and C storage and sequestration amounts are calculated with species-specific equations for trees growing in open, urban conditions. It uses species name, and age or DBH to calculate C stored, sequestered and avoided emissions. The CTCC used 26 species-specific equations for trees growing in open, urban conditions [25].</t>
  </si>
  <si>
    <t>The total amount of CO2 sequestered annually in the trees in Ankara University's Tandogan Campus is 179,353.04 kg in 2015. (Table 2) Out of this amount, 71.49% (128,221.24 kg) is sequestered by leafy trees while 28.51% (51,131.80 kg) by coniferous trees. If we look at the per tree CO2 amounts sequestered, it is observed that coniferous trees in the campus sequester 17.64 kg CO2 per tree on average and the leafy ones sequester 44.00 kg.</t>
  </si>
  <si>
    <t>diameter, tree species composition, plant functional types</t>
  </si>
  <si>
    <t>Counted and measured both trees and shrubs, but did not use shrubs in the analysis.
Used plant functional types and size and growth rate to match trees whose species were unknown.</t>
  </si>
  <si>
    <t>F108</t>
  </si>
  <si>
    <t>Rossi et al. (2022)</t>
  </si>
  <si>
    <t>Rossi L, Menconi ME, Grohmann D, Brunori A, Nowak DJ. Urban Planning Insights from Tree Inventories and Their Regulating Ecosystem Services Assessment. Sustainability. Multidisciplinary Digital Publishing Institute; 2022;14:1684.</t>
  </si>
  <si>
    <t>Rossi L, Menconi ME, Grohmann D, Brunori A, Nowak DJ.</t>
  </si>
  <si>
    <t>Urban Planning Insights from Tree Inventories and Their Regulating Ecosystem Services Assessment.</t>
  </si>
  <si>
    <t>david.grohmann@unipg.it</t>
  </si>
  <si>
    <t>Perugia</t>
  </si>
  <si>
    <t>The study area is a densely populated neighborhood of Perugia (a medium-sized municipality in central Italy), covering a surface of 475.5 ha and located at the end of one of the built-up branches of the city (Figure 1). There are 11,988 inhabitants, with a relatively high population density of 2524 people per km2 [46].</t>
  </si>
  <si>
    <t>Canopy cover, Composition, Forested area, Land use type</t>
  </si>
  <si>
    <t>In August–October 2019, citizens collected coordinates, number of trees, tree cover ground percentage, and land use (Appendix A, Sheet 1). For every tree belonging to the plot, we trained people to collect a dedicated sheet with these contents (Appendix A, Sheet 2): tree ID number, planted/self-seeded/unknown, tree species, deciduous or coniferous (in case the species was not identifiable) type, diameter at breast height (DBH, cm), crown dieback percentage, total crown height (m), height to crown base, crown diameter (N-S/E-W), canopy missing percentage, number of crown light exposure sides, closest building direction and distance (meter and sexagesimal degrees), and general tree health condition (1 to 10).</t>
  </si>
  <si>
    <t>i-Tree Eco uses multiple equations to evaluate every ecosystem service [31,49–51]. Estimates for carbon storage and sequestration are based on the carbon value for the United States in 2015 [56] and converted to Euros for EUR 161 per metric ton.</t>
  </si>
  <si>
    <t>Gross sequestration by studied trees is 2635 kg per year with an associated value of EUR 423, while trees have stored 63,806 kg of carbon (EUR 10,252). Populus alba L. has the best performance in carbon storage and sequestration (approximately 18% of the total carbon stored and 14.7% of all sequestered carbon) of the sampled species. (Table 2) In the case study, the tree species with the higher performance in carbon storage are  Populus  alba  L.  (0.8184  metric  ton  per  tree),  Quercus  pubescens  Willd.  (0.6740),  Platanus  x  acerifolia Mill. (0.6161), and Cedrus spp. (0.5614).</t>
  </si>
  <si>
    <t>shrub species composition, total height, crown height, crown width/area, tree condition, tree layer, diameter, stem density, plant functional types, tree species composition</t>
  </si>
  <si>
    <t>F109</t>
  </si>
  <si>
    <t>Wang Y, Chang Q, Li X. Promoting sustainable carbon sequestration of plants in urban greenspace by planting design: A case study in parks of Beijing. Urban Forestry &amp; Urban Greening. 2021;64:127291.</t>
  </si>
  <si>
    <t>Wang Y, Chang Q, Li X.</t>
  </si>
  <si>
    <t>Promoting sustainable carbon sequestration of plants in urban greenspace by planting design: A case study in parks of Beijing.</t>
  </si>
  <si>
    <t>changqing@cau.edu.cn</t>
  </si>
  <si>
    <t>Beijing is in the northwest of the Northern Chinese Plain, and in the Temperate monsoon climate zone with obvious seasonal variation of vegetation. The local government launched a Greenbelt project in 2000 (Yang and Zhou, 2007) to contain the expansion of the city, and on this basis, the Beijing Master Plan (2004–2020) specified a goal of con structing a circle of urban parks around the central city (Gong et al., 2015). A total of 61 urban parks have been constructed by 2016, resulting in the preliminary formation of the urban park circle (Yin, 2017). However, the ecological consequences of the Urban Parks Circle Project are not well understood.</t>
  </si>
  <si>
    <t>Finally, 28 of the newly constructed parks were randomly selected as our study area (Fig. 2). The areas of surveyed parks ranged from 4.92 ha to 177.89ha. Deciduoustree is the dominantplant category in the vegetation areas, accounting for 57.17 % of the total area, followed by grass (25.51 %), evergreen tree (11.12 %) and shrub (6.21 %). Detailed information about the land cover and composition of each surveyed parks is shown in Fig. S1 and Table S1 in the Appendix. During the field survey, we collected the following properties of each measured plant: species and the leaf area index (LAI) of all surveyed plants, diameter at breast height (DBH) of trees, height (H), crown diameter (CD), and basal diameter (BD) of shrubs.</t>
  </si>
  <si>
    <t>ased on the chemical principle of photosynthesis, every 1 mol CO2 absorbed by the per unit leaf area of the plant will resulted in 12 g carbon sequestered as organic and accumulated in plant biomass (Eqs. 1,2). Therefore, the total daily carbon dioxide sequestration of plants in urban greenspace was calculated multiplying the total photosynthetic leaf surface area (TPS, m2) of each plant by the mean daily net photosynthesis rates (NP, mmolCO2 m 2 d-1) and a CO2/C coefficient of 3.67 (to convert the amount of sequestered CO2 to an equivalent amount of carbon) (Gratani and Varone, 2006).</t>
  </si>
  <si>
    <t>Among the 47 plant species, P. tabulaeformis , S. japonica , and Lagerstroemia indica had relatively high carbon sequestration efficiency and were able to sequestermore than 3 gC per unit leaf area in a summer day. Some deciduous tree species such as Magnolia denudate and Acer truncatum and shrubs including Berberis thunbergii, Weigela florida, Clerodendrum trichotomum, and Viburnum opulus exhibited weaker carbon sequestration efficiency. Generally, evergreen tree species had higher mean carbon sequestration efficiency than other plant categories, and followed by deciduous tree species.</t>
  </si>
  <si>
    <t xml:space="preserve">In the procedure of plant selection, medium-sized evergreen tree species and other plant species with high carbonsequestration efficiency were advised to be used in urban greenspace. In the procedure of structure design, it is important to enhance carbon sequestration efficiency and multiple benefits of urban greenspace simultaneously due to the originalpurpose of parks as places for leisure, aesthetics, and fitness activities (Dai et al., 2018; Mexiaet al., 2018). The results of this paper emphasized the importance of partly open green space in sustainable carbon sequestration, but it is also necessary to consider how to balance ecological and cultural benefits in different biotope types.
</t>
  </si>
  <si>
    <t>shrub species composition, tree species composition, tree layer, diameter, shrub layer, planting arrangement, plant functional types, total height, crown width/area, ground layer, stem density</t>
  </si>
  <si>
    <t>Planting arrangement = biotope types</t>
  </si>
  <si>
    <t>F110</t>
  </si>
  <si>
    <t>Wang (2015)</t>
  </si>
  <si>
    <t>Wang Y-C. Tree Species Diversity and Carbon Storage in Air Quality Enhancement Zones in Taiwan. Aerosol and Air Quality Research. 2015;15.</t>
  </si>
  <si>
    <t>Wang Y-C.</t>
  </si>
  <si>
    <t>Tree Species Diversity and Carbon Storage in Air Quality Enhancement Zones in Taiwan.</t>
  </si>
  <si>
    <t>Aerosol and Air Quality Research</t>
  </si>
  <si>
    <t>As of 2012, 527 AQEZs had been established islandwide. In this study, Taiwan was divided into northern (25 plots), central (35 plots), southern (28 plots), and eastern (10 plots) regions for sampling, comprising a total of 98 plots and five bicycle paths covering 53.29 ha and 7.42 km, respectively (Fig. 1).</t>
  </si>
  <si>
    <t>The total area of sampling plots within the AQEZs was surveyed, and species names, numbers of trees, diameters at breast height (DBH), tree heights (Hs), and crown widths (CWs) were recorded. Herbaceous vegetation planted for landscape greening was not recorded.</t>
  </si>
  <si>
    <t>Individual tree carbon content estimates were based on allometric timber volume regression-transformation models. The following equation was used to estimate aboveground single tree carbon storage from single-tree volume (IPCC, 2006):</t>
  </si>
  <si>
    <t>The mean individual tree volume (Vtree) of the 98 sampling plots was 0.12 m3, the highest individual tree volume was 22.97 m3, and the total volume of all trees (Vtotal) was 1728.03 m3. The highest individual tree carbon storage (Ctree) was 8.93 tons C, the mean individual Ctree was 0.05 tons C, and the total carbon storage (Ctotal) of all trees in the sampling plots was 672.20 tons C (Table 8). he mean individual Ctree was the highest for blackboard tree and Chinese banyan at 0.18 and 0.17 tons C, respectively. The results of urban forest and green space cost-benefit analysis indicated that, although annual cost input is high, all the accrued benefits exceed the costs.</t>
  </si>
  <si>
    <t>total height, tree species composition, stem density, crown width/area, diameter</t>
  </si>
  <si>
    <t>Did not assess shrubs.
Stem density used in IVI calculation.
D/C</t>
  </si>
  <si>
    <t>F111</t>
  </si>
  <si>
    <t>Park and Jo (2021)</t>
  </si>
  <si>
    <t>Park H-M, Jo H-K. Ecological Design and Construction Strategies through Life Cycle Assessment of Carbon Budget for Urban Parks in Korea. Forests. Multidisciplinary Digital Publishing Institute; 2021;12:1399.</t>
  </si>
  <si>
    <t>Park H-M, Jo H-K.</t>
  </si>
  <si>
    <t>Korea</t>
  </si>
  <si>
    <t>Ecological Design and Construction Strategies through Life Cycle Assessment of Carbon Budget for Urban Parks in Korea.</t>
  </si>
  <si>
    <t>phm2071@gmail.com</t>
  </si>
  <si>
    <t>The parks were distributed in Seoul, Incheon, Bucheon, and Namyangju in the northwest of the country; Chuncheon, Hongcheon, and Yangyang in the northeast; Daejeon, Sejong, and Jeungpyeong in the center; and Daegu in the south.</t>
  </si>
  <si>
    <t>To estimate the carbon uptake of study parks, we surveyed the species, stem diameter, crown width, and height of all trees for each park and simulated their annual growth changes.</t>
  </si>
  <si>
    <t>To calculate the carbon uptake that can be sequestered during the life cycle of planted trees in the study park, we identified the species, size, and density of the planted trees on the basis of field survey, design details, and drawings for each park.</t>
  </si>
  <si>
    <t>The average cumulative carbon uptake per unit area by tree growth during the life cycle of the study park was 17.23 ± 1.88 kg/m2. In other words, it was found that urban parks play an important role as a source of carbon uptake in delaying and mitigating the effects of climate change in cities where carbon emissions are dominant. In urban parks, the carbon uptake by trees may be different depending on the species, planting density, size, and vertical structure of the trees planted, even if the planting area is similar.</t>
  </si>
  <si>
    <t>Therefore, it is necessary to minimize grass and impervious areas and expand the tree planting space to enhance the role of urban parks as a source of carbon uptake. If the grass area of these parks was reduced by 50% and tree planting space was expanded by that size, the carbon uptake increased by 1.1–1.2 times over the emission. Therefore, it is desirable to minimize the grass area except for inevitable uses and expand the tree planting space. As such, to increase tree biomass and carbon uptake per unit area, it would be desirable to plant tree species with good growth rates in multi-layered and cluster structures in which herbs, shrubs, and trees overlap.</t>
  </si>
  <si>
    <t>diameter, age, total height, tree species composition, crown height, shrub species composition, vertical layer assessment, stem density, tree layer, ground layer</t>
  </si>
  <si>
    <t>Grass = ground layer
Deciduous/coniferous coefficient
Discuss vertical planting structures
Age = in equation for C uptake/emissison</t>
  </si>
  <si>
    <t>F112</t>
  </si>
  <si>
    <t>Wood and Dupras (2021)</t>
  </si>
  <si>
    <t>Wood SLR, Dupras J. Increasing functional diversity of the urban canopy for climate resilience: Potential tradeoffs with ecosystem services? Urban Forestry &amp; Urban Greening. 2021;58:126972.</t>
  </si>
  <si>
    <t>Wood SLR, Dupras J.</t>
  </si>
  <si>
    <t>Increasing functional diversity of the urban canopy for climate resilience: Potential tradeoffs with ecosystem services?</t>
  </si>
  <si>
    <t>sylvia.wood@eco2urb.com</t>
  </si>
  <si>
    <t>Quebec</t>
  </si>
  <si>
    <t>The city has a population of ~532,000 inhabitants and its landuse is characterizedby low-density urban structures with a number of large highways and green spaces cutting across the city.</t>
  </si>
  <si>
    <t>52° 53' 60''</t>
  </si>
  <si>
    <t>73° 30' 0''</t>
  </si>
  <si>
    <t>For each stem in the inventory data was available on the species name, diameter at breast height (DBH), geo-location, estimated date of planting, whether it was a street tree, and if so, its relative placement, and a unique identifier. This data was used as the baseline dataset for further analysis.</t>
  </si>
  <si>
    <t>We used the United States Forest Service UFORE urban tree model (i-Tree Eco v6, 2018) to estimate the provisioning of ecosystem services from the current municipal canopy and across runs for each of the three replanting scenarios.</t>
  </si>
  <si>
    <t>Our scenarios suggest that service provisioning could change by +1.8 % to -66 % in the first10 years after arrival of EAB, depending on the service and the replanting approach adopted. On a per stem basis, conifers may provide a higher annual level of service provisioning than deciduous species in temperate climates as they keep their needles year-round</t>
  </si>
  <si>
    <t>We find that improving the functional diversity of municipal street trees and parkland trees in Quebec City, with an eye to improving climate-tolerance of the canopy, could have important near-term impacts on the delivery of ecosystem services. Overall, replacing ash trees lost to EAB with coniferous species provided the greatest recovery in provisioning of many ecosystem services. Adopting a stratified replanting approach across functional groups was most effective in increasing the spatial diversity of trees and reducing vulnerability to pests, while still maintaining higher levels of service provisioning than a business-as-usual approach.</t>
  </si>
  <si>
    <t>tree species composition, age, tree layer, diameter, plant functional types</t>
  </si>
  <si>
    <t>Age = estimated date of planting
Created scenarios for future planting
Tree layer = canopy cover</t>
  </si>
  <si>
    <t>F113</t>
  </si>
  <si>
    <t>Mexia et al. (2018)</t>
  </si>
  <si>
    <t>Mexia T, Vieira J, Príncipe A, Anjos A, Silva P, Lopes N, et al. Ecosystem services: Urban parks under a magnifying glass. Environmental Research. 2018;160:469–78.</t>
  </si>
  <si>
    <t>Mexia T, Vieira J, Príncipe A, Anjos A, Silva P, Lopes N, et al.</t>
  </si>
  <si>
    <t>Ecosystem services: Urban parks under a magnifying glass.</t>
  </si>
  <si>
    <t>Environmental Research</t>
  </si>
  <si>
    <t>teresa.mexia@gmail.com</t>
  </si>
  <si>
    <t>Almada</t>
  </si>
  <si>
    <t>The study area was an urban park (“Parque da Paz”) with approx. 44 ha located in the city of Almada, Portugal.</t>
  </si>
  <si>
    <t>38°9.771′</t>
  </si>
  <si>
    <t>9°9.828′W</t>
  </si>
  <si>
    <t>Land-cover characterization of the park (see Fig. 1) was based on the general municipality cartography of the park.</t>
  </si>
  <si>
    <t>Above and below-ground woody species’ dry-weight biomass was calculated using allometric equations from the literature.</t>
  </si>
  <si>
    <t>The park's total carbon stock was 4040Mg, with a greater contribution from areas with the highest tree density (forest and grassland with high tree density). When all services were standardized and integrated, it was evident that the mixed forest area had the maximum total supply of all tested ES and carbon stock was clearly dependent on tree density,</t>
  </si>
  <si>
    <t>stem density, tree layer, shrub layer, shrub species composition, diameter, tree species composition, total height, ground layer</t>
  </si>
  <si>
    <t>Litter carbon content was assessed through literature values (not measured, so not included)</t>
  </si>
  <si>
    <t>F114</t>
  </si>
  <si>
    <t>Gomez-Villarino et al. (2021)</t>
  </si>
  <si>
    <t>Gómez-Villarino MT, Gómez Villarino M, Ruiz-Garcia L. Implementation of Urban Green Infrastructures in Peri-Urban Areas: A Case Study of Climate Change Mitigation in Madrid. Agronomy. Multidisciplinary Digital Publishing Institute; 2021;11:31.</t>
  </si>
  <si>
    <t>Gómez-Villarino MT, Gómez Villarino M, Ruiz-Garcia L.</t>
  </si>
  <si>
    <t>Implementation of Urban Green Infrastructures in Peri-Urban Areas: A Case Study of Climate Change Mitigation in Madrid.</t>
  </si>
  <si>
    <t>Agronomy</t>
  </si>
  <si>
    <t>teresa.gomez.villarino@upm.es</t>
  </si>
  <si>
    <t>The study area is located in the peri-urban area of the city of Madrid, covering 200 hectares distributed on both banks of the Manzanares River (Figure 1). Madrid is the capital of Spain, a country in the south of Europe. Madrid has 6.642 million people, occupies 604 square kilometers, and is divided into 21 districts. The Manzanares River crosses the city of Madrid from the northwest to the south, along a 30 km stretch.</t>
  </si>
  <si>
    <t>Native species, Composition, Land use type</t>
  </si>
  <si>
    <t>The Manzanares restoration project includes different actions with the objective of increasing urban resilience and sustainability: (i) restoration of the riverbank forest; (ii) demonstration of urban biomass production; (iii) creation of a forest park mainly with native tree, bush, and shrub species representative of Madrid habitats; (iv) creation of a didactic area for fruticulture; (v) establishment of urban edible gardens with native horticultural varieties from Madrid, and (vi) establishment of a cereal area for landscaping, cultural, and educational purposes. Description of these actions are shown in Table 1.</t>
  </si>
  <si>
    <t>Calculation of CO2-eq absorption and biocapacity of the different interventions. The annual CO2 capture rate by urban forestry action has been calculated based on a methodology of the Spanish Ministry of Agriculture, Food, and Environment [37]. This methodology calculates the CO2-eq absorptions of new forest plantations in line with the Intergovernmental Panel on Climate Change guidelines and good practice guidance.ific species. According to this guide, the estimated absorptions of the species selected in the project vary between 0.05 and 1.3 t CO2/specimen over a 40-year horizon.</t>
  </si>
  <si>
    <t>Figure 3 illustrates two additional results. The first one is the different behavior between agricultural and forestry actions. Biocapacity of herbaceous species is lower than that of forest species. This is because agricultural species are herbaceous, and therefore have a lower aerial and subterranean biomass, and are harvested periodically. Consequently, the effectiveness of urban agriculture action in the storage of carbon per hectare is lower than that of any of the other forestry actions. Nevertheless, as long as growth is high, agricultural crops are carbon sinks and, therefore, urban agriculture is, much like tree plantations, an effective mechanism to mitigate the increase of atmospheric CO2 [38]. Secondly, the figure also shows that reforestation of natural areas is more effective in storing carbon than parks, tree cultivation, or other urban green areas.</t>
  </si>
  <si>
    <t>The implementation of any type of UGI in the city is positive from a climate change mitigation standpoint, but its effectiveness will depend on the chosen typology. Taking advantage of degraded areas that often characterize the surroundings of the city to recover natural spaces, such as riverbanks or native forests, or to recover and enhance agricultural activity, is a good option for counteracting urban warming and contributing to urban sustainability.</t>
  </si>
  <si>
    <t>shrub species composition, tree species composition</t>
  </si>
  <si>
    <t>Weird paper, not sure what to do.
It mentions tree and shrub species, and includes fruit trees and crops.</t>
  </si>
  <si>
    <t>F115</t>
  </si>
  <si>
    <t>Gratani and Varone (2013)</t>
  </si>
  <si>
    <t>Gratani L, Varone L. Carbon sequestration and noise attenuation provided by hedges in Rome: the contribution of hedge traits in decreasing pollution levels. Atmospheric Pollution Research. 2013;4:315–22.</t>
  </si>
  <si>
    <t>Gratani L, Varone L.</t>
  </si>
  <si>
    <t>Carbon sequestration and noise attenuation provided by hedges in Rome: the contribution of hedge traits in decreasing pollution levels.</t>
  </si>
  <si>
    <t>Atmospheric Pollution Research</t>
  </si>
  <si>
    <t>The_x0003_ study_x0003_ was_x0003_ carried_x0003_ out_x0003_ in_x0003_ the_x0003_ city_x0003_ of_x0003_ Rome_x0003_ in_x0003_ the_x0003_ period_x0003_ January–July_x0003_ 2011_x0003_ in_x0003_ order_x0003_ to_x0003_ analyze_x0003_ variations_x0003_ in_x0003_ CO2_x0003_ concentration_x0003_ and_x0003_ noise_x0003_ level_x0003_ in_x0003_ relation_x0003_ to_x0003_ traffic_x0003_ density._x0003_</t>
  </si>
  <si>
    <t>The most representative species traditionally used for hedges in Rome [Laurus nobilis L, Nerium oleander L, Pittosporum tobira (Thunb.) Aiton, and Pyracantha coccinea M. Roem.] were analyzed.</t>
  </si>
  <si>
    <t>The_x0003_ total_x0003_ photosynthesis_x0003_per_x0003_hedge_x0003_(TP,_x0003_μmol_x0003_CO2_x0003_m–2_x0003_s–1)_x0003_was_x0003_calculated_x0003_by_x0003_ multiplying_x0003_ TLA_x0003_ by_x0003_ the_x0003_ mean_x0003_ maximum_x0003_ PN_x0003_ rates_x0003_ for_x0003_ each_x0003_ sampling_x0003_ occasion,_x0003_ according_x0003_ to_x0003_ Gratani_x0003_ and_x0003_ Varone_x0003_ (2006)._x0003_ The_x0003_ monthly_x0003_ CO2_x0003_ sequestration_x0003_ (MSC,_x0003_ μmol_x0003_ CO2_x0003_ month–1)_x0003_ per_x0003_ each_x0003_ hedge_x0003_ type_x0003_ was_x0003_ calculated_x0003_ multiplying_x0003_ TP_x0003_ by_x0003_ the_x0003_ total_x0003_ photosynthetic_x0003_ activity_x0003_ time_x0003_(in_x0003_hours)_x0003_per_x0003_month,_x0003_according_x0003_to_x0003_Gratani_x0003_and_x0003_Varone_x0003_(2006)._x0003_ The_x0003_ yearly_x0003_ CO2_x0003_ sequestration_x0003_ per_x0003_ each_x0003_ hedge_x0003_ type_x0003_ was_x0003_ also_x0003_ calculated.</t>
  </si>
  <si>
    <t>Among the considered species, P. tobira and L.nobilis had the highest MCS (31.6±2.8 and 25.4±2.4 Kg CO2 month–1, respectively), followed by N. oleander (17.3±2.4 Kg CO2 month–1) and P. coccinea (11.8±0.6 Kg CO2 month–1). The total yearly sequestration capacity was 142, 208, 305 and 379, kg CO2 y–1 in P. coccinea, N. oleander, L. nobilis and P. tobira, respectively. Our results on the whole underline_x0003_ that_x0003_ the_x0003_ considered_x0003_ hedges_x0003_ have_x0003_ a_x0003_ different_x0003_ CO2_x0003_ sequestration_x0003_ and_x0003_ noise_x0003_ attenuation_x0003_ capability as related to the species and hedge leaf traits, becoming important elements in urban greening.</t>
  </si>
  <si>
    <t>Moreover,_x0003_ according_x0003_ to_x0003_ Fang_x0003_and_x0003_Ling_x0003_(2003), the use of hedges planted under trees in the_x0003_ high_x0003_ traffic_x0003_ avenues_x0003_ of_x0003_ a_x0003_ city_x0003_ seems_x0003_ to_x0003_ be_x0003_ the_x0003_ best_x0003_ solution_x0003_ to_x0003_ decrease_x0003_ noise_x0003_ and_x0003_ CO2_x0003_ concentration._x0003_ Plant_x0003_ species_x0003_ should_x0003_ be_x0003_ selected considering pollution reduction effects in addition to their_x0003_ ecological_x0003_ and_x0003_ aesthetical_x0003_ features_x0003_ (Booth,_x0003_ 1991)_x0003_ and_x0003_ all_x0003_ their_x0003_ characteristics_x0003_ which_x0003_ are_x0003_ suitable_x0003_ for_x0003_ the_x0003_ specific_x0003_ environmental_x0003_ conditions_x0003_(Maleki_x0003_et_x0003_al.,_x0003_2010)._x0003_ Moreover, it is important to consider that the hedges under study,_x0003_ being_x0003_ evergreen,_x0003_ are_x0003_ active_x0003_ also_x0003_ in_x0003_ winter_x0003_ when_x0003_ traffic_x0003_ peaks._x0003_ Among the considered hedge types, L. nobilis and P. tobira are the_x0003_ most_x0003_ efficient_x0003_ in_x0003_ both_x0003_ carbon_x0003_ dioxide_x0003_ sequestration_x0003_ and_x0003_ noise_x0003_ attenuation_x0003_ capability,_x0003_ considering_x0003_ also_x0003_ that_x0003_ they_x0003_ have_x0003_ a_x0003_ greater_x0003_ tolerance_x0003_ to_x0003_ severe_x0003_ pruning_x0003_ and_x0003_ a_x0003_ large_x0003_ ability_x0003_ to_x0003_ maintain_x0003_ high_x0003_ shoot_x0003_density_x0003_and_x0003_basal_x0003_foliage._x0003_</t>
  </si>
  <si>
    <t>shrub species composition</t>
  </si>
  <si>
    <t>Lookeds at leaf morphological traits.</t>
  </si>
  <si>
    <t>F116</t>
  </si>
  <si>
    <t>Zhao et al. (2010)</t>
  </si>
  <si>
    <t>Zhao M, Kong Z, Escobedo FJ, Gao J. Impacts of urban forests on offsetting carbon emissions from industrial energy use in Hangzhou, China. Journal of Environmental Management. 2010;91:807–13.</t>
  </si>
  <si>
    <t>Zhao M, Kong Z, Escobedo FJ, Gao J.</t>
  </si>
  <si>
    <t>Impacts of urban forests on offsetting carbon emissions from industrial energy use in Hangzhou, China.</t>
  </si>
  <si>
    <t>This study was conducted in Hangzhou, which lies in eastern China (30_x000e_2505300 North, 120_x000e_1608900 East) along the Yangtze River Delta Region (Fig. 1). The Hangzhou region contains the Hangzhou metropolitan area, surrounding cities, districts and counties. The total study area is 16,900 km2 and the topography of the region is characterized by hills that cover about 73% of the study area. The urban forest cover in the study area is approximately 54.6% of the total land area.</t>
  </si>
  <si>
    <t>A forest inventory was carried out for the entire region of Hanghzou including the urban area during 1991–1996, following methods and standards developed by the Chinese Ministry of Forestry (Zhao and Zhou, 2005). The age classes used for the inventory are based on national guidelines for forest resource surveys (Table 1)(MOF, 1982). 1 represents Pinus massoniana and other tropical pine forests, 2 is Cunnighamia lanceolata forest, 3 is evergreen broadleaf forest, and 4 is bamboo forest).</t>
  </si>
  <si>
    <t>Dry-weight biomass for the different urban forest types was calculated using a series of volume-derived biomass equations (Zhao and Zhou, 2005, 2006; Pan et al., 2004)(Table 2). Carbon storage for urban forests was calculated by multiplying tree dryweight biomass by 0.5 (Zhao and Zhou, 2006). Carbon sequestration is the annual ratio of C fixation in Net Primary Production (NPP).</t>
  </si>
  <si>
    <t>Estimated urban forest C storage in Hangzhou was approximately 11.74 Tg C (1 Tg ¼ 1012 g) (Table 3), and varied for different forest types and different age classes (Table 4). For example, carbon storage for P. massoniana and other tropical pines, C. lanceolata forest, and evergreen broad-leaved forest was about 3.29 Tg C, 4.21 Tg C, and 1.90 Tg C, respectively. Table 3 shows that average C storage per ha (i.e. carbon density) by Hangzhou’s urban forests was estimated at 30.25 t C/ha, and varied from 18.22 t C/ha for the P. massoniana and other tropical pine type to 35.87 t C/ha for Bamboo forests. Mean C sequestration for C. lanceolata forests was 0.49 t C/ ha/yr, whereas it was 3.06 t C/ha/yr in the broad-leaved evergreen forest type.</t>
  </si>
  <si>
    <t>n Hangzhou’s subtropical climate, subtropical evergreen broad-leaves are most common. Hence, selecting the proper native evergreen species should improve urban forest carbon storage in Hangzhou. At the same time, improving urban forest biodiversity and urban forest ayers (including grasses, shrubs, and trees) is also an important management practice for improving carbon storage (Iverson et al., 2008). Planting long-lived, low maintenance species in energy-conserving locations (Jo, 2002; Nowak et al., 2002) and minimizing fossil fuel use related to management and maintenance activities (Nowak et al., 2002) will maximize the carbon dioxide offset benefits of urban forests.</t>
  </si>
  <si>
    <t>tree species composition, plant functional types, diameter, stem density, age</t>
  </si>
  <si>
    <t>Number of bamboo stalks per hectare = stem density</t>
  </si>
  <si>
    <t>F118</t>
  </si>
  <si>
    <t>Fu et al. (2019)</t>
  </si>
  <si>
    <t>Fu D, Bu B, Wu J, Singh RP. Investigation on the carbon sequestration capacity of vegetation along a heavy traffic load expressway. Journal of Environmental Management. 2019;241:549–57.</t>
  </si>
  <si>
    <t>Fu D, Bu B, Wu J, Singh RP.</t>
  </si>
  <si>
    <t>Investigation on the carbon sequestration capacity of vegetation along a heavy traffic load expressway.</t>
  </si>
  <si>
    <t>rajupsc@seu.edu.cn</t>
  </si>
  <si>
    <t>Shanghai-Nanjing</t>
  </si>
  <si>
    <t>The Shanghai-Nanjing G42 expressway in eastern China with a total length of 274 km was selected for the current study. This expressway is the one of the busiest expressways in China with a carrying capacity of more than 60,000 vehicles per day.</t>
  </si>
  <si>
    <t>Vegetation along this expressway was divided into three categories, including trees, shrubs and herbs. Vegetation was mostly distributed along the road, with a small part concentrated in the toll booth station area, service area and management office. The vegetation outside the expressway isolation column was not included in the statistics.</t>
  </si>
  <si>
    <t>Assimilation method was used for the calculation of the carbon sequestration of trees and shrubs. The flow chart of carbon sequestration calculation by assimilation method is presented in Fig. 3(b). The net assimilation per plant leaf area per day can be obtained by measuring the net photosynthesis rate per leaf area of the plant.</t>
  </si>
  <si>
    <t>A total of 199 tree and 293 shrub species were investigated in the current study. Results reveal that the carbon sequestration capacity of trees, shrubs and herbs was 74.87%, 24.96%, and 0.17%. The annual carbon sequestration of trees was approximately 73,160 tons, while the annual carbon sequestration of shrubs was approximately 24,389 tons. It indicated that the trees could be divided into three categories based on carbon sequestration capacity of different plants in unit land area. The first category was the tree species with γ value greater than 70 kg m−2·a−1, only included Koelreuteria paniculate. The second category was tree species with γ value between 16.04 and 37.64 kg m−2·a−1, including Ligustrum lucidum, Cinnamomum camphora, Lagerstroemia indica, etc. The remaining 11 species could be combined as the third category with γ value between 1.5 and 10.26 kg m−2·a−1. Tables including species (trees/shrubs) and their carbon capacity.</t>
  </si>
  <si>
    <t>(1) Planting the tree or shrub species with strong carbon sequestration capacity during the process of construction and conservation under the premise of rich tree species preservation. Although some plant varieties had obvious advantages in carbon sequestration, we cannot use a single variety of plants, reasonable combinations to enhance plant species richness need to be made. In terms of trees, the newly constructed expressway should increase the proportion of the first and second types of trees, such as: Koelreuteria paniculate, Ligustrum lucidu, Cinnamomum camphora, Lagerstroemia indica, etc. It is also preferable to use these tree species for replanting in the management and maintenance operation of the completed expressway. At the same time, these strategies were equally applicable to the greening of urban roads.
(2) Making full use of space in vertical manner to realize the community structure of "herbs + shrubs + trees" from bottom to top to maximize the use of limited land space. In the construction design stage, plant growth should be fully considered. The excessive density of plants is not conducive to the improvement of carbon sequestration capacity.</t>
  </si>
  <si>
    <t>shrub species composition, diameter, shrub layer, crown width/area, tree species composition, total height, tree layer</t>
  </si>
  <si>
    <t>Look at herbs as well, but they did npt sequester a large amount of C--did not find their area of cover.</t>
  </si>
  <si>
    <t>F119</t>
  </si>
  <si>
    <t>Saini (2017)</t>
  </si>
  <si>
    <t>Saini D. Screening and evaluation of candidate trees for terrestrial carbon storage in regions with high air pollution and water stress. Carbon Management. Taylor &amp; Francis; 2017;8:445–56.</t>
  </si>
  <si>
    <t>Saini D.</t>
  </si>
  <si>
    <t>Screening and evaluation of candidate trees for terrestrial carbon storage in regions with high air pollution and water stress.</t>
  </si>
  <si>
    <t>Carbon Management</t>
  </si>
  <si>
    <t>dsaini@csub.edu</t>
  </si>
  <si>
    <t>However, more than 90% of the tree species in Southern California’s urban forests are non-native and exotic [8], and some species even originate from tropical environments, requiring substantial irrigation [114]. Now, researchers are aiming to study the benefits of historic ornamentals, the drought-tolerant trees of the future, and native California species in order to identify urban trees that can survive in a warmer, drier Southern California, and that would require a lower amount of water [114].</t>
  </si>
  <si>
    <t>The first step involved the identification of trees that are native to California, drought-resistant and long living (&gt; 50 years). Table 1 provides a list of 37 trees that are native to California, drought-resistant, and long lived (40–150 years). This list was prepared using the ‘SelecTree’, a tree selection database maintained by the Urban Forest Ecosystems Institute at California Polytechnic State University, San Luis Obispo [115].</t>
  </si>
  <si>
    <t>Finally, the National Tree Benefit Calculator developed by Casey Trees and Davey Tree Expert Co. [118] was used in order to obtain more robust estimates of atmospheric carbon (in terms of CO2) removed by each of the top candidate tree species. The calculator requires the tree’s diameter and the land-use type in the tree’s vicinity as input data in order to calculate the overall benefits, including air quality and amounts of CO2 removed from atmosphere.</t>
  </si>
  <si>
    <t>Based on the four criteria discussed above, this list of the 37 trees that were initially identified was further reduced to 12 (Table 2). From these 12 short-listed trees. Based on the above-mentioned distinct features and characteristics, seven trees – the mountain ironwood, the California ash, the desert willow, the tecate cypress, the blue palo verde, the little leaf palo verde and the smoke tree (Figure 2) – were determined to be the top candidates for future large-scale terrestrial carbon storage projects. (Table 3)</t>
  </si>
  <si>
    <t>Based on the methodology used in this study, it is estimated that 753 km2 of new forest comprising the seven top candidate trees identified in this study will be able to offset 482,000 T CO2e (0.48 MMT CO2e) GHG emissions per year resulting from non-point sources within 10 years of forestation, which is equivalent to the emissions offset by a large-scale integrated carbon capture and storage project LSIP.</t>
  </si>
  <si>
    <t>total height, crown width/area, tree species composition, age, stem density, diameter</t>
  </si>
  <si>
    <t>Plant functional types mentionned, but not assessed explicitly.</t>
  </si>
  <si>
    <t>F120</t>
  </si>
  <si>
    <t>Whittinghill et al. (2014)</t>
  </si>
  <si>
    <t>Whittinghill LJ, Rowe DB, Schutzki R, Cregg BM. Quantifying carbon sequestration of various green roof and ornamental landscape systems. Landscape and Urban Planning. 2014;123:41–8.</t>
  </si>
  <si>
    <t>Whittinghill LJ, Rowe DB, Schutzki R, Cregg BM.</t>
  </si>
  <si>
    <t>Quantifying carbon sequestration of various green roof and ornamental landscape systems.</t>
  </si>
  <si>
    <t>lw2507@columbia.edu</t>
  </si>
  <si>
    <t>East Lansing</t>
  </si>
  <si>
    <t>This study examined the carbon content of thirteen ornamental landscape systems of varying complexity over the course of three years at the Michigan State University Horticulture Teaching and Research Center (HTRC) in East Lansing, MI.</t>
  </si>
  <si>
    <t>The landscape systems examined at ground level included (1) Kentucky bluegrass lawn, (2) native prairie mix, (3) succulent rock garden consisting of Sedum, (4) woody ground covers, (5) herbaceous perennials and grasses, (6) deciduous shrubs, (7) broad-leaf evergreen shrubs, (8) narrow-leaf evergreen shrubs, and (9) vegetable and herb garden.</t>
  </si>
  <si>
    <t>Soil, Below-ground biomass, Above-ground biomass</t>
  </si>
  <si>
    <t>Above-ground biomass in the herbaceous perennial and grasses, deciduous, broad-leaf evergreen, and narrow-leaf evergreen shrubs, and ornamental green roofs were estimated from plant dimensions based on allometric equations developed from destructive sub-sampling in a companion study.</t>
  </si>
  <si>
    <t>Broad-leaf evergreen shrubs, deciduous shrubs, and the ornamental green roof landscape systems did, however, have the lowest below-ground carbon contents during both growing seasons (0.10, 0.14, and 0.18 kg m−2 in 2011, respectively). All results for above-ground carbon content are presented in Table 4. The three shrub landscape systems, the herbaceous perennials and grasses and ornamental green roof had the highest amount of carbon in above ground biomass in both years followed by the native prairie mix. The landscape systems that were able to sequester the most carbon contained higher amounts of woody plant structures and higher plant biomass volumes, such as the three shrub landscape systems and the herbaceous perennial and grasses, native prairie mix, and ornamental green roof landscape systems.</t>
  </si>
  <si>
    <t>shrub layer, ground layer, tree layer, crown width/area, shrub species composition, tree species composition, total height</t>
  </si>
  <si>
    <t>F121</t>
  </si>
  <si>
    <t>Jo H-K, Park H-M, Kim J-Y. Carbon Offset Service and Design Guideline of Tree Planting for Multifamily Residential Sites in Korea. Sustainability. Multidisciplinary Digital Publishing Institute; 2019;11:3543.</t>
  </si>
  <si>
    <t>Jo H-K, Park H-M, Kim J-Y.</t>
  </si>
  <si>
    <t>Carbon Offset Service and Design Guideline of Tree Planting for Multifamily Residential Sites in Korea.</t>
  </si>
  <si>
    <t>Seoul, Daejeon, Daegu</t>
  </si>
  <si>
    <t>The cities selected for study included Seoul (the capital of south Korea, located in the north), Daejeon (located in the middle), and Daegu (located in the south) (Figure 2).</t>
  </si>
  <si>
    <t>The field survey tree data included the species, height, crown width, stem diameter at a breast height of 1.2 m (dbh) for trees and at a height of 15 cm above ground for shrubs, vertical structure and size of planting area.</t>
  </si>
  <si>
    <t>The annual direct carbon uptake was estimated by residential trees using quantitative models developed for the urban open-grown trees of each species [26,28–34] (Table 1). These quantitative models in which the stem diameter was the most important independent variable were derived from either seasonal CO2 exchange rate measurements or the direct harvesting method of urban trees.</t>
  </si>
  <si>
    <t>Multi-layered structures from natural forests, in which there is an overlap of upper (large trees), middle (large shrubs and small trees), and lower layers (herbs and small shrub) would increase carbon storage per unit area [26]. This planting structure is effective in maximizing carbon uptake in urban areas with limited planting space. The annual direct carbon reduction per unit of crown cover of the planted trees in the study MRS ranged from 0.2 to 0.9 kg/m2/year with an average of 0.5 ± 0.0 kg/m2/year.</t>
  </si>
  <si>
    <t>It would be desirable to expand the planting space by amending the minimum mandatory planting area to the previous third of the lot area in MRS to enhance the carbon offset service by tree planting in urban areas. The large impervious areas in MRS should be decreased to improve tree planting by minimizing the square with no specified purpose of use and by creating underground parking, while trees should be actively planted in potential planting spaces. . It is necessary to maintain the productive growth of the planted trees to improve the performance of the carbon offset service. It would be desirable to apply a multi-layered and clustered planting model (Figure 7) in the large planting space of the backyard instead of single-layered planting, because multi-layered planting is more effective for obtaining the maximum tree biomass and carbon uptake per unit area [26]. The carbon uptake per unit area in multi-layered and clustered planting was approximately two times higher than that for single-layered planting.</t>
  </si>
  <si>
    <t>tree layer, shrub layer, diameter, vertical layer assessment, shrub species composition, ground layer, crown width/area, tree species composition, total height, stem density</t>
  </si>
  <si>
    <t>Tree-shrub layer, grass-bare ground layer
Vertical layer assessment (describe the layers, though there are only two -- they desire more layers)</t>
  </si>
  <si>
    <t>F122</t>
  </si>
  <si>
    <t>Li et al. (2019)</t>
  </si>
  <si>
    <t>Li Y, Gao J, Dong S, Zheng J, Jia X. Study of CO 2 Emissions from Traffic and CO 2 Sequestration by Vegetation Based on Eddy Covariance Flux Measurements in Suburb of Beijing, China. Pol J Environ Stud. HARD Publishing s.c. Jerzy Radecki, Hanna Radecka; 2019;29:727–38.</t>
  </si>
  <si>
    <t>Li Y, Gao J, Dong S, Zheng J, Jia X.</t>
  </si>
  <si>
    <t>Study of CO 2 Emissions from Traffic and CO 2 Sequestration by Vegetation Based on Eddy Covariance Flux Measurements in Suburb of Beijing, China.</t>
  </si>
  <si>
    <t>Polish Journal of Environmental Studies</t>
  </si>
  <si>
    <t>gaojingcrystal@126.com</t>
  </si>
  <si>
    <t>The study area is in Badaling Forest in Yanqing County, Beijing, China at an elevation of 535 m.</t>
  </si>
  <si>
    <t>40°22.38′N</t>
  </si>
  <si>
    <t>115°56.65′E</t>
  </si>
  <si>
    <t>The forest density was 975 stems/ha, and the trees averaged 7 years in age with an average height of 6.0 m and an average DBH of 29.0 cm.</t>
  </si>
  <si>
    <t>The daily C stored by the plants was calculated from the diurnal variation in the net photosynthetic rate of each tree species combined with the total leaf area per plant</t>
  </si>
  <si>
    <t>In this study, the net photosynthetic C fixation was used to measure the C sequestration capacity of different tree species, which mainly occurred in the morning, and the order was Mono maple &gt; Amur cork tree &gt; Goldenrain &gt; Chinese ash &gt; Chinese pine &gt; Ginkgo during the daytime monitoring period (7:00-17:00) of plant-growing season (May-October). main factors controlling photosynthetic C sequestration were photosynthetically active radiation, traffic volume and relative humidity, which accounted for 92.3% of the total C sequestered by the vegetation, and sequestration was positively correlated with photosynthetically active radiation and traffic flow but negatively correlated with relative humidity.</t>
  </si>
  <si>
    <t>It is therefore necessary to promote the planting of trees with a high capacity for C sequestration, such as Mono maple and Amur cork tree, on both sides of roads.</t>
  </si>
  <si>
    <t>tree species composition</t>
  </si>
  <si>
    <t>Leaf area index</t>
  </si>
  <si>
    <t>F123</t>
  </si>
  <si>
    <t>Mngadi et al. 2022</t>
  </si>
  <si>
    <t>Mngadi M, Odindi J, Mutanga O, Sibanda M. Estimating aboveground net primary productivity of reforested trees in an urban landscape using biophysical variables and remotely sensed data. Science of The Total Environment. 2022;802:149958.</t>
  </si>
  <si>
    <t>Mngadi M, Odindi J, Mutanga O, Sibanda M.</t>
  </si>
  <si>
    <t>Estimating aboveground net primary productivity of reforested trees in an urban landscape using biophysical variables and remotely sensed data.</t>
  </si>
  <si>
    <t>212518076@stu.ukzn.ac.za</t>
  </si>
  <si>
    <t>Durban</t>
  </si>
  <si>
    <t>The study area is situated at Buffelsdraai landfill site, within the city of Durban in KwaZulu-Natal province, South Africa (Fig. 1). A reforestation project was initiated within the landfill buffer zone of approximately 800 ha, with the landfill site currently occupying about 117 ha of the total area.</t>
  </si>
  <si>
    <t>South</t>
  </si>
  <si>
    <t>Landfill site. The reforestation program began in 2009 and aimed at offsetting carbon emission that were anticipated in the infrastructural set-up for 2010 FIFA World-cup.</t>
  </si>
  <si>
    <t>Since 2009, over 500 ha has been reforested with indigenous trees of mainly Acacia (i.e. caffra and robusta), Syzygium cordatum (water berry), Bridelia (i.e. micrantha), Dalbergia (i.e. obovate),Erythrina(i.e. caffra)andSilver oak species. Their planting is strategically mixed in order to allow maximum ecological diversity or heterogeneity.</t>
  </si>
  <si>
    <t>The absorption of photosynthetic active radiation (APAR) by vegetation canopy is directly related to the total amount of carbon (C) sequestered during photosynthesis process, thus the estimates of APAR is linearly related to gross primary production (GPP). Literature indicates that photosynthetic response of APAR is an important driver of simulated carbon stock, which is expressed as grams of C per unit of APAR. In this study, the APAR was estimated following Pachavo and Murwira (2014) and Goetz et al. (1999) equations:</t>
  </si>
  <si>
    <t>. For individual tree species, deciduous trees such as Acacia caffra and Dalbergia obovate yielded higher NPP between 7.58 and 7.62 Mg C ha−1with accuracy performance (R2) of 0.83 and 0.98, and error rate (RMSE) of 1.77 Mg ha−1 (25.9%) and 0.47 Mg ha−1 (7.12%). The evergreen Syzygium cordatum,deciduous Albizia adianthofolia and shrub Artemisia afra species achieved lower NPP of 4.54 to 5.26 Mg C ha−1, with the R2 of between 0.95 and 0.99, andRMSEof0.22to0.73Mgha−1 (17.9%).</t>
  </si>
  <si>
    <t>However, the present study provides great detail and insight of species-specificcontributionintheglobal carbon cycle and trigger sound decision making for local-scale management and monitoring of urban forests.</t>
  </si>
  <si>
    <t>Ecological footprint study</t>
  </si>
  <si>
    <t>F125</t>
  </si>
  <si>
    <t>Dai et al. (2013)</t>
  </si>
  <si>
    <t>Dai Y, Guo S, Wu Y. STUDY ON CARBON STORAGE OF URBAN GARDEN VEGETATION------A CASE STUDY OF JIANGNAN UNIVERSITY. Atlantis Press; 2013 p. 1030–4.</t>
  </si>
  <si>
    <t>Dai Y, Guo S, Wu Y.</t>
  </si>
  <si>
    <t>STUDY ON CARBON STORAGE OF URBAN GARDEN VEGETATION------A CASE STUDY OF JIANGNAN UNIVERSITY.</t>
  </si>
  <si>
    <t>Atlantis Press</t>
  </si>
  <si>
    <t>Workshop Paper</t>
  </si>
  <si>
    <t>Jiangnan</t>
  </si>
  <si>
    <t>rovince (latitude 31 °7 'to 32 °2' N, 119 °33 'to 120 °38'), in the hinterland of the Yangtze River Delta, belonging the subtropical humid areas affected by the subtropical monsoon climate, mild climate, and rain is abundant.</t>
  </si>
  <si>
    <t>31 °7 'to 32 °2' N</t>
  </si>
  <si>
    <t>119 °33 'to 120 °38'E</t>
  </si>
  <si>
    <t>University covers an area of 3,200 acres, more than 100 million square meters of construction area. The majority of the trees are evergreen broad-leaved forest. The main tree species are such as camphor, beech and others.</t>
  </si>
  <si>
    <t>Aboveground biomass and belowground biomass can not be omitted under any circumstances. Because litter, dead wood accounted relatively smaller when measuring the carbon stocks and the human management in Jiangnan University garden environment. These parts can be neglected. The method measure the representative plants DBH, tree height, crown size, high value under live branches, layered cut the plants, measure organ fresh weight.</t>
  </si>
  <si>
    <t>After the measurement, we calculated that the total carbon stock of Jiangnan University’s evergreen trees, evergreen shrubs, deciduous trees and deciduous shrubs were 534.504t 120.834t, 34.839t and 40.070t. Average carbon stocks for four sorts per plant were 0.041t / plant, 0.045t / plant, 0.0008 t / m² and 0.0013t / m². Evergreen vegetation in Jiangnan University grows better, which camphor is adapted better, denser, faster growth and have the largest carbon stocks in the evergreen trees. Deciduous arbors have larger carbon stocks per plant, in addition to the weeping willow, and Huangshan Luan tree.</t>
  </si>
  <si>
    <t>Under the same condition, plantings trees, especially the top ten ranked tree species in carbon stocks can do more for the environment purification.</t>
  </si>
  <si>
    <t>crown width/area, plant functional types, diameter, total height, shrub species composition, tree species composition</t>
  </si>
  <si>
    <t>Crown width/area = crown size</t>
  </si>
  <si>
    <t>F127</t>
  </si>
  <si>
    <t>Zhang et al. (2022)</t>
  </si>
  <si>
    <t>Zhang Y, Meng W, Yun H, Xu W, Hu B, He M, et al. Is urban green space a carbon sink or source? - A case study of China based on LCA method. Environmental Impact Assessment Review. 2022;94:106766.</t>
  </si>
  <si>
    <t>Zhang Y, Meng W, Yun H, Xu W, Hu B, He M, et al.</t>
  </si>
  <si>
    <t>Is urban green space a carbon sink or source? - A case study of China based on LCA method.</t>
  </si>
  <si>
    <t>Environmental Impact Assessment</t>
  </si>
  <si>
    <t>mengweiqing@tjnu.edu.cn</t>
  </si>
  <si>
    <t>Tianjin</t>
  </si>
  <si>
    <t>We did not extend the life cycle time over 50 years because of increasing uncertainty will influence the result. The parks we selected were Water Park, Shuixi Park, Lingang Wetland Park and Nancuiping Park in Tianjin, China.</t>
  </si>
  <si>
    <t>The plants data were obtained by a field survey. Based on a comprehensive understanding of the typical UGS, we set different typical green space units and took the dominant species as the unit according to the research goals. Urban trees, shrubs and lawn plots were sampled via 10 × 10 m quadrats,2 × 2 m quadratsand 1 × 1 m quadrat, respectively.</t>
  </si>
  <si>
    <t>In our study, growth curves were used to simplify the calculation of carbon sequestration. We chose three typical ages to calculate the amount of carbon sequestration by obtaining their biomass.</t>
  </si>
  <si>
    <t>Due to the great carbon sequestration potential of trees, the longer the time is, the greater the increase in carbon sequestration is. Shrubs are not like this; they increase quickly when they are young and gradually stabilize in the following years. esides species, area may also be a necessary factor. For example, the carbon sequestration of P. orientalis in China is 0.06 Mg p 1a 1 and 0.15 Mg p 1a 1 in Los Angeles (McPherson et al., 2015). It can be seen that P. orientalis is more suitable in Los Angeles. Therefore, we should choose native plants that are more suitable for local soil, climate and other conditions. In this study, UGS is a carbon sink but not always a sink. The net carbon sequestration of trees is continuallyincreased, shrubs first decreasedand then remained balanced, and lawns continually decreased according to the LCA. The total carbon sequestration value of trees and shrubs was 11,972.08 and 5758.07 MgCO2e ha 1, respectively, and the value of lawns was 149.15 MgCO2 e ha 1 after 50 years.</t>
  </si>
  <si>
    <t>To garden managers,two of the crucial points are plant selectionand irrigation water management. Thus, planting high biomass trees and taking energy-efficient measures are essential to achieve sustainable development in UGS. If the carbon emissions by construction and maintenance more than the carbon se questrated by photosynthesis, green space will become a carbon source. Therefore, we should choose suitable tree species and materials to build low carbon green space with low energy input.</t>
  </si>
  <si>
    <t>total height, crown width/area, shrub species composition, stem density, age, diameter, tree species composition</t>
  </si>
  <si>
    <t>Lawns included in C sequestration/emission calculation (but cannot count as ground layer bc cover was not assessed)</t>
  </si>
  <si>
    <t>F128</t>
  </si>
  <si>
    <t>Blair et al. (2017)</t>
  </si>
  <si>
    <t>Blair J, Roldan C, Ghosh S, Yung S-H. Greening Rail Infrastructure for Carbon Benefits. Procedia Engineering. 2017;180:1716–24.</t>
  </si>
  <si>
    <t>Blair J, Roldan C, Ghosh S, Yung S-H.</t>
  </si>
  <si>
    <t>Greening Rail Infrastructure for Carbon Benefits.</t>
  </si>
  <si>
    <t>Procedia Engineering</t>
  </si>
  <si>
    <t>j.blair@unsw.edu.au</t>
  </si>
  <si>
    <t>A pilot study was completed in 2016 on Sydney’s Bankstown Line, on the north side of the rail corridor, one kilometre in length between Belmore and Lakemba Stations</t>
  </si>
  <si>
    <t>The pilot study was carried out in the selected section of the corridor jointly by TfNSW, the University of New South Wales (UNSW) and University of Technology Sydney (UTS) using a combination of field observation within and outside the easemen</t>
  </si>
  <si>
    <t>Above-ground biomass, Below-ground biomass, Soil</t>
  </si>
  <si>
    <t>The CS&amp;S characteristics were gained by inputting the vegetation data from the vegetation survey in Item (i) into an on -line carbon calculator † since i-Tree Eco</t>
  </si>
  <si>
    <t>Some 158 trees, representing 507 individual plants in i -Tree Eco, store 8,488 kg of carbon and have a carbon sequestration rate of 979 kg per year. Casuarina glauca is the dominant species on the project site. Acacia parramattensis has the highest carbon sequestration potential per tree, equal to 21 kg/year while Cinnamomum camphora has the highest annual carbon storage potential per tree equal to 340 kg. Many of the species in this category are woody and low growing perennials and there is considerable potential for carbon intensification by selecting low growing tree species. The area currently vegetated with bushes and trees holds some 27,000kg as soil carbon (see Table 4), on the basis of 6.93kg of below ground carbon per m2. Root mass is accounted for in i-Tree Eco’s above-ground carbon count but still exists in the balance of the plants (523) not accommodated by the software. It is a very minor amount, however – 141kg.</t>
  </si>
  <si>
    <t>ground layer, tree layer, total height, shrub layer, tree species composition, shrub species composition, diameter</t>
  </si>
  <si>
    <t>iTree eco (but used more uniquely)</t>
  </si>
  <si>
    <t>F129</t>
  </si>
  <si>
    <t>Yu et al. (2017)</t>
  </si>
  <si>
    <t>Yu X, Wang H, Cai W, Han Y. ANALYSIS OF URBAN FOREST CARBON SEQUESTRATION CAPACITY: A CASE STUDY OF ZENGDU, SUIZHOU. ISPRS - International Archives of the Photogrammetry, Remote Sensing and Spatial Information Sciences. 2017;XLII-2/W7:1423–6.</t>
  </si>
  <si>
    <t>Yu X, Wang H, Cai W, Han Y.</t>
  </si>
  <si>
    <t>ANALYSIS OF URBAN FOREST CARBON SEQUESTRATION CAPACITY: A CASE STUDY OF ZENGDU, SUIZHOU.</t>
  </si>
  <si>
    <t>Remote Sensing and Spatial Information Sciences</t>
  </si>
  <si>
    <t>Zengdu</t>
  </si>
  <si>
    <t>The forest classification data of the f irst national geographic census results in Zengdu is used in this paper as the input data of CITYGREEN model.</t>
  </si>
  <si>
    <t>Assuming that sparse shrub, artificial young plantation, and sparse forest are type 1, high forest, shrub wood, shrub and mixed forest, and bamboo are type 2, greenland is typ e 3, under the CITYGREEN model , carbon storage and carbon sequestration annual rate of Zengdu and its towns are shown in Table 2. And Carbon sequestration status about each town of Zengdu is qualitatively demonstrated in Figure 1 and Figure 2.</t>
  </si>
  <si>
    <t>CITYGREEN uses these multipliers to estimate carbon storage capacity and carbon sequestration rates.</t>
  </si>
  <si>
    <t>As we can see from Table 2, carbon storage is proportional to the regional forest area. The larger the woodland area, the higher the carbon storage. Regional carbon sequestration annual rate is not only closely related to the forest area, but also the composition and types of forest land. From table 3, we can see that regional carbon sequestration potential of the forest returned from farmland is proportional to the newly added forest land area. After returning farmland to forest, the carbon storage of Zengdu will increase about 230.47 tons 0.36% of total carbon storage. And carbon sequestration annual rate will increase 1.79 tons/year with growth rate of 0.81%. Carbon sequestration protential about each town of Zengdu after returning farmland to forest is qualitatively showedn in Figure 3 and Figure4.</t>
  </si>
  <si>
    <t>addition, the structure of forest land (a combination of trees at different age) is also an important factor influencing forest carbo n sequestration. Therefore, in order to promote the forest carbon sequestration capacity and improve the regional ecological environment, we need to select the forest types with carbon sequestration advantage, and make good planning and management of forest land when enlarging the forest area and increasing the tree cover percentage. Last but not least strictly following the national policy of returning farmland to forest can also effectively help us improve the regional carbon sequestration capacity.</t>
  </si>
  <si>
    <t>DBH as a proxy for age</t>
  </si>
  <si>
    <t>F130</t>
  </si>
  <si>
    <t>Thompson et al. (2004)</t>
  </si>
  <si>
    <t>Thompson JR, Nowak DJ, Crane DE, Hunkins JA. Iowa, U.S., communities benefit from a tree-planting program: characteristics of recently planted trees. Journal of Aboriculture 30(1): January 2004 [Internet]. 2004 [cited 2023 Mar 9]; Available from: https://www.fs.usda.gov/research/treesearch/7003</t>
  </si>
  <si>
    <t>Thompson JR, Nowak DJ, Crane DE, Hunkins JA.</t>
  </si>
  <si>
    <t>Iowa, U.S., communities benefit from a tree-planting program: characteristics of recently planted trees.</t>
  </si>
  <si>
    <t>Journal of Aboriculture</t>
  </si>
  <si>
    <t>To obtain a representative sample of communities with newly planted trees in Iowa, a stratified random sampling scheme was used to identify 20 communitiesof differing sizes that had participated in utility-fundedtree planting.</t>
  </si>
  <si>
    <t>Arandom cluster sampling technique was used to identify project sites and trees within sites,based on planting records provided by community volunteers or by Trees Forever personnel.</t>
  </si>
  <si>
    <t>Estimates of carbon storage per tree were calculated from species and genera-specific allometric equations based on measured tree dbh and height, along with a measured adjustment factor to compensate for differences in biomass between forest and street trees.</t>
  </si>
  <si>
    <t>Total C stored by the population of trees was estimated at 2,252 kg (4,954 lb), or about 2.7 kg (5.9 lb) per tree. Total C sequestrationwas estimated at 568 kg yrl (1,250 lb) or about 0.68 kg yrl (1.5 lb) per tree. The ornamental species (crabapple, pear, and tree lilac) that were abundant in this study probably will not contribute significantlyto carbon storage due to their relatively small stature at maturity However, a number of the other species (approximately 40% of the taxa) that were also commonly planted will mature to be medlurrl- to large-sized trees, and are mediumto long-lived; for example, green ash, red maple. basswood, honeylocust,and red oak.</t>
  </si>
  <si>
    <t>total height, tree species composition, diameter, crown width/area, tree condition</t>
  </si>
  <si>
    <t>F132</t>
  </si>
  <si>
    <t>Schmidt K and Walz A. (2021)</t>
  </si>
  <si>
    <t>Schmidt K, Walz A. Ecosystem-based adaptation to climate change through residential urban green structures: co-benefits to thermal comfort, biodiversity, carbon storage and social interaction. One Ecosystem. Pensoft Publishers; 2021;6:e65706.</t>
  </si>
  <si>
    <t>Schmidt K, Walz A.</t>
  </si>
  <si>
    <t>Ecosystem-based adaptation to climate change through residential urban green structures: co-benefits to thermal comfort, biodiversity, carbon storage and social interaction.</t>
  </si>
  <si>
    <t>One Ecosystem</t>
  </si>
  <si>
    <t>schmikat@uni-potsdam.de</t>
  </si>
  <si>
    <t>Potsdam</t>
  </si>
  <si>
    <t>Located in the south-east of the north-eastern German city of Potsdam, Potsdam-Drewitz, built in 1988, contains one of the last housing estates in the former GDR. To quantify co-benefits of urban green infrastructure, we compare four courtyards with similar built structures, but varying green structures (Fig. 1). While the selected courtyards slightly differ in size (2609 – 3158 m²), the buildings in courtyards 1 and 3, as well as 2 and 4, are similarly orientated with the opening of the building being located either at the northeastern (courtyards 1 and 3) or north-western corner (courtyards 2 and 4). The courtyards all, yet to a varying extent, predominantly consist of unsealed surfaces, such as soil, grass, shrubs, plant beds and trees and are managed by different housing associations.</t>
  </si>
  <si>
    <t>First, we quantify tree crown volume to classify courtyards according to their level of greenness. To address research question 1, we then conduct biophysical assessments for the benefits ”thermal comfort”, “biodiversity”, “carbon storage” and “social interaction”, using on-site measurements and satellite image-based mapping.</t>
  </si>
  <si>
    <t>First, we quantify tree crown volume to classify courtyards according to their level of greenness. To address research question 1, we then conduct biophysical assessments for the benefits ”thermal comfort”, “biodiversity”, “carbon storage” and “social interaction”, using on-site measurements and satellite image-based mapping. we converted the above-ground biomass to a carbon estimate by multiplying by 0.5.</t>
  </si>
  <si>
    <t>Most trees are located in courtyards 2 and 3, but trees, on average, are more than 5m higher in courtyard 2 (Fig. 6, Table 7). Taking into account the varying area of the courtyards, courtyard 2 with highest crown volumes provides the largest capacity to store carbon. Courtyards 1 and 4 have fewer trees and mostly smaller trees. Most carbon is stored in larger trees (Fig. 6). our results reveal that more carbon is stored in those residential yards with more and larger trees.</t>
  </si>
  <si>
    <t>Several of these measures can be implemented in residential yard management, such as the targeted planting of suitable species, applying low-maintenance activities (e.g. watering, tree-cut) and planting trees in energy-conserving locations around buildings. They may even generate synergies, for instance, if activities are low-maintenance, they can be carried out by residents, which may result in social bonding, as well as financial savings. Though the differences in biodiversity, carbon storage and potential for social interaction reveal fewer, possibly more predictable results, our analysis highlights that a deliberate management strategy, possibly on neighbourhood-scale, could enhance co-benefits and contribute to a more sustainable urban development.</t>
  </si>
  <si>
    <t>diameter, crown height, crown width/area, tree species composition</t>
  </si>
  <si>
    <t>F133</t>
  </si>
  <si>
    <t>Papagiannopoulou D. et al (2019)</t>
  </si>
  <si>
    <t>Papagiannopoulou D, Tsitsoni T, Kontogianni AB. The contribution of the park trees to the adaptation of a city to climate change: The case of Thessaloniki. Sustainable Mediterranean Construction. 2019;145–50.</t>
  </si>
  <si>
    <t>Papagiannopoulou D, Tsitsoni T, Kontogianni AB.</t>
  </si>
  <si>
    <t>The contribution of the park trees to the adaptation of a city to climate change: The case of Thessaloniki.</t>
  </si>
  <si>
    <t>Sustainable Mediterranean Construction</t>
  </si>
  <si>
    <t>Thessaloniki</t>
  </si>
  <si>
    <t>Three urban parks were selected for this research, which are located in the municipality of Thessaloniki and they have special importance for the city and its inhabitants. The first which is called Kirillos and Methodios Park, is characterized as a neighborhood park approximately 0.52 ha and is located in the eastern part of the city. The second one is called Mina Patrikiou Park, and is also characterized as a neighborhood park, is 0.36 ha and is located in eastern Thessaloniki. The third one is Y.M.C.A. Park, which and could be characterized as a metropolitan park, as it is 2.5 ha and is located in the center of the city.</t>
  </si>
  <si>
    <t>Composition, Native species, Canopy cover</t>
  </si>
  <si>
    <t>For every single tree and potential tree site (pit) of the above mentioned urban parks a set of specific data was registered in order to develop an urban tree inventory, in which qualitative and quantitative information was included. Breast diameter, tree and crown height were measured directly in the field with calipers and laser range finder/electronic hypsometer. Tree crown projection was calculated using ellipse equation and using the crown’s four radii. The crown volume was calculated using standard geometric equations (Troxel et al. 2013; Tsitsoni et al.2015a).</t>
  </si>
  <si>
    <t>The sequestered carbon was calculated with the Chavan &amp; Rasal (2010) equation based on the model of allometric equations of Brown et al.(1989) As tree dry biomass contains almost 50% carbon, the calculated park tree biomass was multiplied with 0.50 in order to calculate the sequestrated carbon (Tigges et al. 2017, Velasco et al. 2013, Aguaron and McPherson 2011, Nowak et al. 2008).</t>
  </si>
  <si>
    <t>The results showed that the three parks consist 661 trees. The 638 alive individuals belong to 27 plant families. Table 1 shows the 10 dominant species. It is noteworthy that the number of deciduous species (65%) is greater than the evergreen species (35%). Furthermore, 44.5 % of the species are indigenous. The total biomass is 319 tons and the sequestrated carbon 159, 5 tons. The species that absorb more C per individual are shown in the Table 4. According to a comparison between park trees and street trees, there has been found that trees in urban parks sequestrate more carbon than street trees, because they can reach higher dimensions (Tsitsoni et. al. 2015a).</t>
  </si>
  <si>
    <t>The proposals for the parks of the Municipality of hTessaloniki are listed below: • Use of native species as they have already adapted to the specific environmental conditions, while they are aesthetically compatible with the landscape. • Regular maintenance of trees to provide their maximum benefits. • Filling empty pits and replacing dead individuals for increasing the number of trees in the parks and consequently more carbon storage</t>
  </si>
  <si>
    <t>diameter, crown height, crown width/area, total height, tree condition, tree species composition</t>
  </si>
  <si>
    <t>F134</t>
  </si>
  <si>
    <t>Ningal et al. (2010)</t>
  </si>
  <si>
    <t>Ningal T, Mills G, Smithwick P. An inventory of trees in Dublin city centre. Irish geography : bulletin of the Geographical Society of Ireland. 2010;43:161–76.</t>
  </si>
  <si>
    <t>Ningal T, Mills G, Smithwick P.</t>
  </si>
  <si>
    <t>An inventory of trees in Dublin city centre.</t>
  </si>
  <si>
    <t>Irish Geography</t>
  </si>
  <si>
    <t>gerald.mills@ucd.ie</t>
  </si>
  <si>
    <t>Dublin</t>
  </si>
  <si>
    <t>The study area comprises the city centre of Dublin, defined as the area that lies between the Grand and Royal canals, an area of 14.4 km2 (Figure 2).</t>
  </si>
  <si>
    <t>Detailed information on some of Dublin’s trees was obtained through fieldwork. We can crudely divide the tree population into those located in private and those in public spaces.</t>
  </si>
  <si>
    <t>Carbon (C) stored in the tree is evident in its woody biomass, which can be estimated from the measurements of DBH presented here. Nowak (1994) presented a simple relationship between categories of DBH and both total C stored (kg per tree) and the annual rate at which C is sequestered (kg per tree per year) (Table 6). Note that both the carbon stored and the carbon sequestration rates increases exponentially with size of tree _x0002_ a large healthy tree (DBH _x0015_77 cm) stores 1000 times more carbon, at rate 90 times that of a sm</t>
  </si>
  <si>
    <t>The total amount of C stored in Dublin’s street trees is 1,072,157 kg (or nearly 745 kg ha _x001c_1) and 42,047 kg of C is sequestered per year (29.2 kg ha_x001c_1 yr_x001c_1). The majority of the stored carbon (82%) is held by just 22% of the tree stock comprising trees that have DBH values over 46 cm (Table 6). As most of these large trees are London Plane it is not surprising that this tree species is responsible for 81% of stored C (Table 7).</t>
  </si>
  <si>
    <t>tree species composition, diameter, crown width/area, crown height, total height</t>
  </si>
  <si>
    <t>F136</t>
  </si>
  <si>
    <t>Ning et al. (2011)</t>
  </si>
  <si>
    <t>Ning M, Wei C, Xingyuan H. Structure and Ecological Benefits Evaluation of Street Trees in Shenyang Based on i-Tree (STRATUM) Model. 2011 International Conference on Computer Distributed Control and Intelligent Environmental Monitoring. 2011. p. 1295–8.</t>
  </si>
  <si>
    <t>Ning M, Wei C, Xingyuan H.</t>
  </si>
  <si>
    <t>Structure and Ecological Benefits Evaluation of Street Trees in Shenyang Based on i-Tree (STRATUM) Model.</t>
  </si>
  <si>
    <t>Institute of Electrical and Electronics Engineers</t>
  </si>
  <si>
    <t>maning200443707@163.com</t>
  </si>
  <si>
    <t>This study focused on street trees in the area within Second RIng Road of Shenyang City.</t>
  </si>
  <si>
    <t>41 46'</t>
  </si>
  <si>
    <t>123 26'</t>
  </si>
  <si>
    <t>Street trees information was collected by the sample inventory during the leaf-on seaon of 61 main roads' street trees data were collected.</t>
  </si>
  <si>
    <t>Data included tree species, diameter, height, wood conditions, crown conditions, and the highest priority tasks to be performed by the trees. Then using i-Tree (STRATUM) model to estimate the ecological benefits produced by different species and total species.</t>
  </si>
  <si>
    <t>The amount of carbon annually sequestered is increase with healthier trees and large diameter trees. Shenyang's street trees net sequestration is about 192,858kg of carbon per year with an associated value of $3,189. Of all species sampled, Populus alba sequesters the most carbon followed by Fraxinus chinesis nd Sophora japonica. In this study, Ulmus pumila accounted for only 4.6% of the street tree population, but produces 20.2% of all ecological benefits.</t>
  </si>
  <si>
    <t>Increased planting of Ulmus pumila is warranted. There are too many younf trees, the proportion of them reached 80.89% so managers should reduce the reconstruction of roads and focus on retention.</t>
  </si>
  <si>
    <t>tree species composition, total height, crown width/area, tree condition, diameter, crown height</t>
  </si>
  <si>
    <t>F137</t>
  </si>
  <si>
    <t>Kim et al. (2021)</t>
  </si>
  <si>
    <t>Kim J-Y, Jo H-K, Park H-M. Improvement of the Planting Method to Increase the Carbon Reduction Capacity of Urban Street Trees. Journal of People, Plants, and Environment. 2021;24:219–27.</t>
  </si>
  <si>
    <t>Kim J-Y, Jo H-K, Park H-M.</t>
  </si>
  <si>
    <t>Improvement of the Planting Method to Increase the Carbon Reduction Capacity of Urban Street Trees.</t>
  </si>
  <si>
    <t>Journal of People, Plants and Environment</t>
  </si>
  <si>
    <t>jhk@kangwon.ac.kr,</t>
  </si>
  <si>
    <t>We selected total 155 sites including 51 in Sejong, 47 in Chungju, and 57 in Jeonju through systematic sampling.</t>
  </si>
  <si>
    <t>We examined tree species and their horizontal and vertical structures including diameter at breast height (DBH), diameter at root collar (DRC), tree height, crown width, population, and layer, as well as the street environment such as the number of lanes, sidewalk width, and planter width on each site.</t>
  </si>
  <si>
    <t>Therefore, this study calculated the carbon uptake and storage of street trees by applying the quantification model for each tree species developed for urban landscape trees including street trees.</t>
  </si>
  <si>
    <t>The carbon uptake per street tree in the study cities was 3.2 (Sejong)-12.8 kg/tree/year (Jeonju) depending on the city, and average 7.2 ± 0.6 kg/tree/year(Table 3). The carbon storage per street tree was 23.9-146.2 kg/tree depending on the city, and average 87.1 ± 10.2 kg/tree. The average carbon storage per unit area by trees planted in the streets of Korea was 0.6 ton/ha/year (Jo et al., 2020a), showing that the cities in this study were approximately 1.3 times higher.</t>
  </si>
  <si>
    <t>Therefore, it is necessary to promote the diversity of street tree species and carbon uptake capacity by operating a street tree nursery led by each local government and producing trees that are suitable for each cities environment and that also have high carbon uptake capacity.</t>
  </si>
  <si>
    <t>tree species composition, total height, diameter, crown width/area</t>
  </si>
  <si>
    <t>F138</t>
  </si>
  <si>
    <t>Guda et al. (2020)</t>
  </si>
  <si>
    <t>Guda MA, Obaid JK, Alduhaidahawi F j, Alkurdi HJA, alkareemaw HGL, Salih HM, et al. The role of street and park trees to CO2 removal and improving air quality and climate in urban areas in Najaf (Iraq). IOP Conf Ser: Mater Sci Eng. IOP Publishing; 2020;870:012087.</t>
  </si>
  <si>
    <t>Guda MA, Obaid JK, Alduhaidahawi F j, Alkurdi HJA, alkareemaw HGL, Salih HM, et al.</t>
  </si>
  <si>
    <t>Iraq</t>
  </si>
  <si>
    <t>The role of street and park trees to CO2 removal and improving air quality and climate in urban areas in Najaf (Iraq)</t>
  </si>
  <si>
    <t>Materials Science and Engineering</t>
  </si>
  <si>
    <t>Muthikabd1@gmail.com</t>
  </si>
  <si>
    <t>Najaf</t>
  </si>
  <si>
    <t>It is one of 18 Iraq provinces of the Middle Euphrates and located in the line of length 44 and latitude 32.The center is Najaf city.</t>
  </si>
  <si>
    <t>The data was collected by conducting a full census of trees in the field, produced during the vegetation period of 2017 and 2018, with the application of the ITE model protocol (i-Tree, 2017). Photographing features of streets and parks in the study area is also required. The tree height , the vegetative growth base (crown) height and diameters were measured.</t>
  </si>
  <si>
    <t>The broadest and most appropriate use internationally is ITE model (UFORE - Urban Forest Effects Model) (i-Tree Eco, Streets, Hydro, Design), It is a collection of units dealing with environmental services related to air quality and urban pollution</t>
  </si>
  <si>
    <t>Trees in the Najaf Sea and parks showed the lowest values compared to the rest of the regions, the total amount of carbon stored in the park trees, 5.7 kg / tree and the total carbon consumed 1.7 kg / year worth $ 0.01 and the rate of removal of 8.5 g./ year per tree. This study showed the “worst” case of two species (Washingtunia filifera and Ficus spp.) , in urban trees in downtown Najaf .Can use this information for species selection ,indicating their low tolerance in urban areas, and larger need for more specific studies of this plants. While , the good state of growing plants (Conocarpus erectus, Eucalyptus spp, and Phoenix dactylifera contribute to the high leaf area, a common species grown mainly in Iraq and many countries in Asia.</t>
  </si>
  <si>
    <t>crown width/area, total height, diameter, tree species composition, crown height, tree condition</t>
  </si>
  <si>
    <t>F140</t>
  </si>
  <si>
    <t>Raciti et al. (2012)</t>
  </si>
  <si>
    <t>Raciti SM, Hutyra LR, Rao P, Finzi AC. Inconsistent definitions of “urban” result in different conclusions about the size of urban carbon and nitrogen stocks. Ecological Applications. 2012;22:1015–35.</t>
  </si>
  <si>
    <t>Raciti SM, Hutyra LR, Rao P, Finzi AC.</t>
  </si>
  <si>
    <t>Inconsistent definitions of “urban” result in different conclusions about the size of urban carbon and nitrogen stocks.</t>
  </si>
  <si>
    <t>raciti@bu.edu</t>
  </si>
  <si>
    <t>Boston, Massachusetts (see Plate 1, panel A), is the northernmost city of the largest megalopolis in the United States, the so-called "BosWash Corridor." Its geographical position as an end member of this nationally important corridor makes this a key study area for an urban region that contains almost 20% of the U.S. population</t>
  </si>
  <si>
    <t>The Boston regional landscape has a long history of human management starting with extensive agriculture (1630-1850), urban/industrial development (1800s-1950s), and currently, the region is experiencing urban renewal and has a service, technology, and financial services-based economy (1950s-present).</t>
  </si>
  <si>
    <t>We established two transects across the study area (Fig. la). Both transects extend westward from the City of Boston, but demonstrate contrasting patterns of development. The northern transect begins in downtown Boston, continues through high-density suburbs, less dense suburbs, and then through rural areas beyond them. The southern transect, by contrast, follows a major transportation corridor from the City of Boston, through the smaller cities of Framingham and Worces ter, Massachusetts. The natural vegetation in the Boston MSA is dominated by deciduous and mixed deciduous and evergreen forests, but also contains considerable areas of herba ceous and forested wetlands.</t>
  </si>
  <si>
    <t>Dead wood/organic matter, Above-ground biomass, Below-ground biomass, Soil</t>
  </si>
  <si>
    <t>Biomass of live trees was estimated using published allometric equations relating plant diameter to dry mass. Species-specific equations were used where possible. . The most specific equation possible was applied in all cases; where species or genus level equations were unavailable, we applied the Jenkins et al. (2003) miscellaneous hardwood or softwood equations. One half of live plant biomass was assumed to be carbon, and biomass is reported in units of dry mass carbon, kg C/m2.</t>
  </si>
  <si>
    <t>We found that, depending on the definition used, urban areas in the Boston MSA can contain large stocks of aboveground biomass, which have the potential to alter the C balance of the region due to trajectories of forest loss. Forests held the largest proportion of aboveground biomass (11.6 ± 0.5 kg C/m2), but trees in residential (4.6 ± 0.5 kg C/m2) and other developed areas (2.0 ± 0.4 kg C/m2) still contained significant C stocks. Forested wetlands covered 8.5% of the land area of the MSA and contained an estimated 6.2 Tg C. Overall, developed areas contained 18.5% of the total aboveground C stocks in the MSA and covered 35.8% of the land area. ). Urban forest, residential, and other developed land uses contained 10.3 ± 0.6, 3.4 ± 0.4, and 1.3 ± 0.3 kg C/m2, respectively, compared o 11.7 ± 0.5, 5.2 ± 0.6, and 2.8 ± 0.5 kg C/m2, for nmurban areas of the same land use type, respectively (Table 4).</t>
  </si>
  <si>
    <t>standing dead trees, tree species composition, diameter, stem density, coarse woody debris layer</t>
  </si>
  <si>
    <t>F141</t>
  </si>
  <si>
    <t>McPherson et al. (2016)</t>
  </si>
  <si>
    <t>McPherson EG, van Doorn N, de Goede J. Structure, function and value of street trees in California, USA. Urban Forestry &amp; Urban Greening. 2016;17:104–15.</t>
  </si>
  <si>
    <t>McPherson EG, van Doorn N, de Goede J.</t>
  </si>
  <si>
    <t>Structure, function and value of street trees in California, USA.</t>
  </si>
  <si>
    <t>Maco and McPherson (2003) and (McPherson et al., 2005)</t>
  </si>
  <si>
    <t>For purposes of i-Tree modeling (McPherson, 2010) California was subdivided into six climate zones based largely on aggregation of Sunset National Garden Book’s 45 climate zones (Brenzel,1997) and ecoregion boundaries delineated by Bailey (2002) and Breckle (1999) (Figure 1). Extensive tree size measurements were made in a reference city in each climate zone, with growth equations used for benefit modeling in the i-Tree Streets application (McPherson and Peper, 2012; Peper et al., 2001).</t>
  </si>
  <si>
    <t>Fifty-six tree inventories were obtained from CAL FIRE, who has funded inventories and management plans in many California communities. To be included in this study the inventory had to: include all publicly managed trees,contain data for each tree on species and diameter at breast height (dbh),be conducted after 2005.Each inventory was pre-processed to eliminate park trees and other trees that were not street trees. Any tree labeled as stump, planting site, vacant or unsuitable site was removed from the database. In total, the final 49 California inventories comprised 908,304 trees. Tree data were prepared for entry into i-Tree Streets by matching species to those in the i-Tree database. If species did not match directly, they were assigned using a species in the same genus with similar growth characteristics.</t>
  </si>
  <si>
    <t>Above-ground biomass, Dead wood/organic matter</t>
  </si>
  <si>
    <t>Descriptions of the numerical models used to calculate effects of trees on energy use, carbon storage, air pollutant uptake, rainfall interception and residential property values are found in Maco and McPherson (2003) and (McPherson et al., 2005). This study used i-Tree Streets (v.5.1.5) and existing inventories of street trees to evaluate current ecosystem services and management needs.</t>
  </si>
  <si>
    <t>Approximately 7.78 million t CO2 is stored in the state’s 9.1 million street trees. They remove and avoid 567,748 t of CO2 emissions annually, equivalent to removing 120,000 cars from the road. On an average annual per tree basis, street trees sequester and avoid 34.7 and 28.2 kg of CO2, respectively. The amount sequestered is less than values previously reported for California 558 cities (41-96 kg year-1) and the amount avoided falls within the range reported in other states and cities (18-36 kg year-1). The average annual value of CO2 removal is $1.13 per tree, more than $0.20 and $0.82 in Wisconsin and Indiana, but less than $2.75 in Missouri.</t>
  </si>
  <si>
    <t>There is clear need to begin planting the state’s 16 million vacant sites and replacing every removed street tree. State-wide, London planetree (10.5%) is the only species that accounts for over 10% of the population, suggesting that species diversity provides an adequate buffer from catastrophic loss. Species whose planting along streets could be reduced include London plane, sweetgum, Chinese pistache, velvet ash and Callery pear. It is time to initiate evaluation programs that test the adaptability of less frequently used cultivars in street-side settings. Such knowledge can guide a transition to a new palette of climate-ready trees</t>
  </si>
  <si>
    <t>tree species composition, diameter</t>
  </si>
  <si>
    <t>F142</t>
  </si>
  <si>
    <t>McPherson (2014)</t>
  </si>
  <si>
    <t>McPherson EG. Monitoring Million Trees LA: Tree performance during the early years and future benefits. Journal of Arboriculture &amp; Urban Forestry. 2014;40:285–300.</t>
  </si>
  <si>
    <t>McPherson EG.</t>
  </si>
  <si>
    <t>Monitoring Million Trees LA: Tree performance during the early years and future benefits.</t>
  </si>
  <si>
    <t>Journal of Arboriculture &amp; Urban Forestry</t>
  </si>
  <si>
    <t>The study area covers 1,022 km2 of urban land in Los Angeles, California (latitude: 34°06’36”N, longitude: 118°24’40”W). The climate of Los Angeles is Mediterranean, characterized by hot, dry summers and cool, rainy winters from October through April.</t>
  </si>
  <si>
    <t>34 06' 36" N</t>
  </si>
  <si>
    <t>118 24' 40" W</t>
  </si>
  <si>
    <t>Random samples of 98 street and 96 yard trees were surveyed during summer 2011 by LACC arborists. Street trees were planted between June 2006 and December 2007, while yard trees were planted between February and December 2006. Tree status was recorded as: present (same species as planted originally), present but different species, present but dead, not present but evidence it was planted, not present and no evidence tree was planted, and address not accessible. The DBH was measured for all live trees with a tape at 1.37 m above the ground to the closest 1.3 cm. Tree crown diameter was measured parallel and perpendicular to the nearest street or building with a tape to the nearest 0.3 m. Tree height was recorded, but data were found to be unreliable and were not used in the analysis.</t>
  </si>
  <si>
    <t>Each planted species was matched to one of the 20 or 22 species that were intensively studied in the reference cities following methods reported previously (McPherson et al. 2013). Correctly matching species planted to their corresponding reference city species ensured that the appropriate allometric and growth equations were applied to calculate biomass and annual sequestration rates. To calculate biomass and CO2 stored in each tree planted, climate zone, species name, and DBH were used with 26 species-specific equations for trees growing in open, urban conditions.</t>
  </si>
  <si>
    <t>The estimated amount of CO2 stored over the 40year period was 73,703 metric tonnes (t), valued at $1 million, assuming a price of $14 per t (Table 5). Projected amounts of CO2 stored over the 40-year period varied among species (Figure 2). For example, 187 Quercus agrifolia planted in the Coastal streets location were projected to store 221 t CO2, or over twice the amount (92 t) stored by 523 Pyrus calleryana. Species that stored the most CO2 per tree planted were Platanus racemosa and Q. agrifolia (3.0 t), Pinus canariensis (3.3 t), and Fraxinus uhdei (5.4 t). Lagerstroemia indica (0.1 t) and Pistacia chinensis (0.4 t) stored the least.</t>
  </si>
  <si>
    <t>On average, park trees stored much more CO2 per tree planted (1.68 t) than street (0.72 t) and yard (0.54 t) trees. Selecting large-stature trees with high wood densities will maximize these benefits. Although smaller-stature yard trees stored the least CO2, they provided substantial energy savings and avoided emissions per tree planted (1.26 t). These benefits can be increased by strategically locating yard trees to shade the west walls of air conditioned buildings. There is more potential to plant largestature trees along streets than in yards. The CO2 storage potential of street trees can be actualized through planting such trees where space permits. This strategy will promote energy savings as well, except when evergreen street trees are planted south of buildings and winter irradiance is attenuated.</t>
  </si>
  <si>
    <t>merchantable height, total height, crown width/area, tree species composition, diameter</t>
  </si>
  <si>
    <t>G18</t>
  </si>
  <si>
    <t>Baró et al. (2014)</t>
  </si>
  <si>
    <t>Baró F, Chaparro L, Gómez-Baggethun E, Langemeyer J, Nowak DJ, Terradas J. Contribution of Ecosystem Services to Air Quality and Climate Change Mitigation Policies: The Case of Urban Forests in Barcelona, Spain. AMBIO. 2014;43:466–79.</t>
  </si>
  <si>
    <t>Baró F, Chaparro L, Gómez-Baggethun E, Langemeyer J, Nowak DJ, Terradas J.</t>
  </si>
  <si>
    <t>Contribution of Ecosystem Services to Air Quality and Climate Change Mitigation Policies: The Case of Urban Forests in Barcelona, Spain.</t>
  </si>
  <si>
    <t>Ambio</t>
  </si>
  <si>
    <t>Book Chapter</t>
  </si>
  <si>
    <t>Nowak, D.J., D.E. Crane, J.C. Stevens, R.E. Hoehn, and J.T. Walton. 2008a. A ground-based method of assessing urban forest structure and ecosystem services. Arboriculture &amp; Urban Forestry 34: 347–358.</t>
  </si>
  <si>
    <t>We conducted our research within the administrative boundaries of the municipality of Barcelona, Spain (Fig. 1). With 1.62 million inhabitants in an area of 101.21 km2 (Barcelona City Council Statistical Yearbook 2012), Barcelona is the second largest city in Spain and one of the most densely populated cities in Europe (16 016 inhabitants km-2). The total green space1 within the municipality of Barcelona amounts to 28.93 km2 representing 28.59 % of the municipal area and a ratio of 17.91 m2 per inhabitant (Barcelona City Council Statistical Yearbook 2012). Most of this green space, however, corresponds to the peri-urban forest of Collserola (protected as a natural park). The innercity of Barcelona (excluding Collserola) embeds only 10.98 km2 of green space (Barcelona City Council Statistical Yearbook 2012), which amounts to 10.85 % of the municipal area and a ratio of 6.80 m2 of green space per inhabitant.</t>
  </si>
  <si>
    <t>The general information collected from each visited plot included, among other parameters, date of visit, GPS coordinates, actual land use (and percent of land uses if the plot fell in more than one land use class), and percents of tree cover, shrub cover, plantable space, and ground cover. Main data on shrubs included the identification of species (genus at a minimum), average height, and percent area relative to total ground area. These data were collected for shrub masses (same species and height) and not at the individual level. Main data on trees included the identification of species, diameter at breast height (DBH), total height, height to crown base, crown width, percent of canopy missing (relative to crown volume), percent of impervious soil beneath canopy, percent of shrub cover beneath the canopy, and light exposure of the crown (see Nowak et al. 2008a for a complete list of data measures).</t>
  </si>
  <si>
    <t>The ecosystem service of climate regulation was calculated based on the modeling results of gross carbon sequestration, net carbon sequestration (i.e., estimated net carbon effect after accounting for decomposition emission of carbon from dead trees), and carbon storage. The i-Tree Eco model calculates the biomass for each measured tree using allometric equations from the literature. Biomass estimates are combined with base growth rates, based on length of growing season, tree condition, and tree competition, to derive annual biophysical accounts for carbon storage and carbon sequestration</t>
  </si>
  <si>
    <t>The total biophysical value of net carbon sequestration is estimated at 5187 t C year-1 (19 036 t CO2eq year-1)withan economic value of 407 000 USD year-1 (Table 2). In absolute terms urban green, natural green, and high-density residential are the land use strata contributing the most to total net carbon sequestration (19, 39, and 24 %, respectively). oncentrations. Our results show that the overall annual air purification rate by urban forests in Barcelona (9.3 g m-2 of canopy cover year-1). our findings show that direct net carbon sequestration in Barcelona makes a very modest contribution to climate change mitigation</t>
  </si>
  <si>
    <t>We conclude that, in order to be effective, green infrastructure-based strategies to abate pollution in cities should be implemented at broader spatial scales (i.e., metropolitan area). However, it is critical that policy-makers consider an integrated approach in green infrastructure management, where possible trade-offs with other ecosystems services, disservices, and urban sustainability goals are fully acknowledged.</t>
  </si>
  <si>
    <t>Not great forest management recomendations.</t>
  </si>
  <si>
    <t>shrub layer, ground layer, diameter, tree species composition, tree layer, stem density, crown height, crown width/area, shrub species composition, tree condition, total height</t>
  </si>
  <si>
    <t>F143</t>
  </si>
  <si>
    <t>McPherson et al. (2005)</t>
  </si>
  <si>
    <t>McPherson EG, Simpson JR, Peper PJ, Maco SE, Xiao Q. Municipal forest benefits and costs in five U.S. cities. Journal of Forestry 103(8): 411-416. 2005;103:411–6.</t>
  </si>
  <si>
    <t>McPherson EG, Simpson JR, Peper PJ, Maco SE, Xiao Q.</t>
  </si>
  <si>
    <t>Municipal Forest Benefits and Costs in Five US Cities</t>
  </si>
  <si>
    <t>Journal of Forestry</t>
  </si>
  <si>
    <t>"These five cities, Fort Collins, Colorado; Cheyenne, Wyoming; Bismarck, North Dakota; Berkeley, Califor­ nia; and Glendale, Arizona, were among the first studied as part of the STRATUM refer­ ence city program and were not intended to be representative of the United States."</t>
  </si>
  <si>
    <t>"A sample of approximately 30 –70 ran­ domly selected trees from each of the most abundant species was surveyed in each city to (1) establish relations between tree age, size, leaf area, and biomass; (2) estimate growth rates; and (3) collect other data on tree health, site conditions, and sidewalk damage."</t>
  </si>
  <si>
    <t>"Se­questration, the net rate of CO2 storage in above- and belowground biomass over the course of one growing season, was calculated with tree growth data and biomass equations for urban trees (Pillsbury et al. 1998)."</t>
  </si>
  <si>
    <t>"Annual atmospheric CO2-reduction benefits and air quality benefits were rela­ tively small, averaging $1–2/tree. Per-tree CO2-reduction benefits were greatest in Cheyenne ($1.71, 228 lb) and Bismarck ($1.53, 204 lb)."
"In Cheyenne, average per tree avoided emissions (132 lb) from energy savings exceeded sequestered CO2 (121 lb) because of, largely, high percentages of coal in electric power plant fuel mixes. CO2 re­ leased due to mortality-related decomposi­ tion (19 lb) and tree-care activities (6 lb) in Cheyenne totaled 10% of CO2 sequestered and avoided."</t>
  </si>
  <si>
    <t>tree condition, merchantable height, total height, diameter, tree species composition, planting arrangement, crown width/area</t>
  </si>
  <si>
    <t>F144</t>
  </si>
  <si>
    <t>Soares et al. (2011)</t>
  </si>
  <si>
    <t>Soares AL, Rego FC, McPherson EG, Simpson JR, Peper PJ, Xiao Q. Benefits and costs of street trees in Lisbon, Portugal. Urban Forestry &amp; Urban Greening. 2011;10:69–78.</t>
  </si>
  <si>
    <t>Soares AL, Rego FC, McPherson EG, Simpson JR, Peper PJ, Xiao Q.</t>
  </si>
  <si>
    <t>Benefits and costs of street trees in Lisbon, Portugal</t>
  </si>
  <si>
    <t>alsoares@isa.utl.pt</t>
  </si>
  <si>
    <t>"Lisbon, the capital city of Portugal, occupies an area of 8477 ha with a resident population of 564,000 as reported for 2001 by the Portuguese National Statistical Institute."</t>
  </si>
  <si>
    <t>"The population of interest is all street trees in the city of Lisbon. An inventory of all 33,232 trees was completed in 2003 under supervision of the Gardens Department of the Municipality of Lisbon."</t>
  </si>
  <si>
    <t>"Sequestration, the net rate of CO2 storage in above- and belowground biomass over the course of one growing season, was calculated with tree growth data and biomass equations for urban trees (Pillsbury and Thompson, 1998; McHale et al., 2009)."</t>
  </si>
  <si>
    <t>"Sequestration, the net rate of CO2 storage in above- and belowground biomass over the course of one growing season, was calculated with tree growth data and biomass equations for urban trees (Pillsbury and Thompson, 1998; McHale et al., 2009)."
"Emission reductions were calculated as the product of energy savings and CO2 emission factors for electricity and heating. Heating fuel was natural gas, while the fuel mix for electrical generation was 36% coal, 30% hydro, 19% oil, and 15% natural gas (Tirone, 2005) The value of CO2 reductions was $2.04/metric tonne CO2 (Pearce, 2003)."
"The total benefit of street trees to the city of Lisbon is $8,432,779 annually (Table 4). Tree services were unevenly distributed among species and benefit types (Table 5)."</t>
  </si>
  <si>
    <t>"From a management perspective, overreliance on Celtis, Tilia, and Jacaranda is of concern because of the possibility of heavy losses from outbreaks of pests and disease or other stressors that are specific to these genera."
"However, 72% of total benefits are produced by the top five tree species, a rather perilous situation. To sustain this high level of benefits for future generations Lisbon should increase the diversity of its tree population, and increase stocking levels by planting more trees and prolonging the lifespan of its mature trees."</t>
  </si>
  <si>
    <t>diameter, tree condition, tree species composition</t>
  </si>
  <si>
    <t>F146</t>
  </si>
  <si>
    <t>Kuittinen et al. (2016)</t>
  </si>
  <si>
    <t>Kuittinen M, Moinel C, Adalgeirsdottir K. Carbon sequestration through urban ecosystem services: A case study from Finland. Science of The Total Environment. 2016;563–564:623–32.</t>
  </si>
  <si>
    <t>Kuittinen M, Moinel C, Adalgeirsdottir K.</t>
  </si>
  <si>
    <t>Carbon sequestration through urban ecosystem services: A case study from Finland.</t>
  </si>
  <si>
    <t>matti.kuittinen@aalto.fi</t>
  </si>
  <si>
    <t>Espoo</t>
  </si>
  <si>
    <t>"The data are collected from seven residential areas in the city of Espoo, southern Finland. Choosing a Nordic example provides insight into the carbon sequestration potential of boreal urban gardens."</t>
  </si>
  <si>
    <t>"(1) grey infrastructure, which includes buildings, traffic areas and paved surfaces; (2) green infrastructure, which includes herbaceous and grass surfaces, trees and woody vegetation; and (3) natural areas,which includes forestland, shrub land and grassland within a residential area."
"Seven residential areas were analysed in Espoo, Southern Finland. These areas included two townhouses, two apartment blocks, two mixed housing areas and one single-family house."</t>
  </si>
  <si>
    <t>Soil, Above-ground biomass</t>
  </si>
  <si>
    <t xml:space="preserve">"The evaluation of the carbon sequestered in the biomass of trees required calculating their stem volume, estimating their moisture content and calculating the amount of carbon in dry mass. The stem volume equations used are from Zianis et al. (2005) and corrected with estimations of the volume of roots and branches by a correction factor of 1.24, which is based on studying the morphology of tree species in the study."
</t>
  </si>
  <si>
    <t>"The results reveal that in most cases the sinks are larger than the emissions within the study period of 50 years. The largest carbon sinks are found in the single-family house site, as the building is small and the garden large. However, even in the apartment block site the sinks are quite large. Trees are the largest contributor to the carbon uptake of gardens. They have a dominant role in five out of seven areas. Their potential has a considerable range of variability, from 16.8% to 64.4% of the measured total sequestration. As we look at the share of soils in carbon uptake potential, the results show very volatile, case-specific variation. In some projects the uptake in soils can even reach 50.2% of the total carbon sequestered in gardens (project no. 5), whereas in others it only reaches 0.4% (project no. 4). The more grass soil there is, the larger the uptake may be."
"How big is the uptake of carbon in gardens if it is compared to the construction and use of buildings for 50 years? The results (Fig. 3) reveal that the gardens seem to play a rather small role in the overall emissions of most of the studied residential areas. The majority of the emissions are caused by the operative energy use of the buildings. They have far more importance in the GHG balance of the studied buildings than all the other factors together over a 50-year life cycle with the current GHG intensity of the locally available energy. The carbon uptake potential in the gardens was found to vary between 1.2% and 11.9% of the total emissions (Table 2)."
"In addition, the carbon accumulation in urban soils seems to possess significant potential. The accumulation is strong under trees and woody vegetation. Thus rows of trees should ideally be planted on open soils instead of under perforated surfaces."</t>
  </si>
  <si>
    <t>"– Use plenty of trees on sites and along roads. Ideally trees should be positioned so that they help provide shade in summertime and wind protection in wintertime. Trees can also be used as noise barriers between residential areas and prevailing noise sources. – Include mandatory green zones within sites in the city plan. Add a minimum number of trees into the specification text of the city plan. – Green zones within a site boundary should be spacious enough for trees to reach their full size and thus maximize their carbon uptake potential. – Soils possess good potential for accumulating SOC. This potential should be taken into account in urban zones. To enable SOC accumulation to reach its optimum, mowable lawns should be avoided and non-maintained herbaceous areas favored instead. – The carbonation of yard structures does not seem to have significant potential in affecting the overall uptake of carbon. An ideal environment for carbonation can be found in sheltered outdoor spaces (e.g. car parks or non-heated storage rooms) where concrete surfaces can be favored if functional reasons require sealed surfaces or traffic areas. – If there are needs for embankments or rocky land coverings, consider using crushed concrete rubble instead of natural stones. Concrete rubble is a feasible material for creating an effective, passive carbon sink, as the external area of concrete is multiplied compared to concrete structures and thus the impact of carbonation is increased. The visual appearance of crushed and sorted concrete is not far from the appearance of crushed natural stone."</t>
  </si>
  <si>
    <t>shrub species composition, tree species composition, stem density, diameter</t>
  </si>
  <si>
    <t>F151</t>
  </si>
  <si>
    <t>Tang et al. (2016)</t>
  </si>
  <si>
    <t>Tang Y, Chen A, Zhao S. Carbon Storage and Sequestration of Urban Street Trees in Beijing, China. Frontiers in Ecology and Evolution. 2016 [cited 2023 Jul 14];4. Available from: https://www.frontiersin.org/articles/10.3389/fevo.2016.00053</t>
  </si>
  <si>
    <t>Tang Y, Chen A, Zhao S.</t>
  </si>
  <si>
    <t>Carbon Storage and Sequestration of Urban Street Trees in Beijing, China.</t>
  </si>
  <si>
    <t>sqzhao@urban.pku.edu.cn</t>
  </si>
  <si>
    <t>"Beijing is located in the North China Plain between longitudes 115◦25′–117◦30′E, and latitudes 39◦28′–41◦25′N. It has a typical warm temperate continental monsoon climate with four distinct seasons."</t>
  </si>
  <si>
    <t>39◦28′–41◦25′N</t>
  </si>
  <si>
    <t>115◦25′–117◦30′E</t>
  </si>
  <si>
    <t>"We randomly selected 10 trees per street. According to our survey, most roads only have a single tree species and two rows of trees."</t>
  </si>
  <si>
    <t>"Ci is the carbon storage or sequestration of a measured individual tree; lgreen is the total greening length of the sampled street; lsample is the distance between neighboring trees; Cj is the carbon storage or sequestration of one road; lentire is the greening length of all roads in the entire area or a given district; Centire is the carbon storage or sequestration of the entire area or a given district; and Cdensity is the density of carbon storage or sequestration of the entire area or a given district. Sarea is the total road area of the entire study area or a given district."</t>
  </si>
  <si>
    <t>"The vegetation carbon storage of street trees in Beijing urban districts is 77.1 ± 4.1 Gg C with a sequestration rate of 3.1 ± 1.8 Gg C yr−1. The C density of street trees is 13.9 ± 0.7 Mg C ha−1 with a rate of 0.5 ± 0.3 Mg C ha−1 yr−1."
"Our results suggest that urban street trees in Beijing are C sinks. The total vegetation C storage and C sequestration rate of Beijing city’s street trees are 77.1 ± 4.1 Gg C and 3.1 ± 1.8 Gg C yr−1, respectively. The C density (13.9 ± 0.7 Mg C ha−1) and C sequestration rate (0.5 ± 0.3 Mg C ha−1 yr−1) in Beijing’s urban street trees were about 1/3∼1/2 of the corresponding magnitudes (40.1 Mg C ha−1 and 1.07 Mg C ha−1 yr−1) of non-urban forests in China (Zhang et al., 2013)."
"The C sequestration of street trees per unit area in Beijing is comparable in order of magnitude to that of non-urban forests. However, the annual net carbon sequestration in urban street trees across the entirety of Beijing’s urban districts is equal to only 0.2% of its annual CO2-equivalent emissions from total energy consumption. It should be realized that the C sequestration of street trees becomes insignificant when compared with the total anthropogenic CO2 emissions and therefore should not be considered as an effective mechanism to offset CO2 emissions in Beijing."</t>
  </si>
  <si>
    <t>diameter, tree species composition, total height, planting arrangement</t>
  </si>
  <si>
    <t>F152</t>
  </si>
  <si>
    <t>Riley et al. (2018)</t>
  </si>
  <si>
    <t>Riley CB, Herms DA, Gardiner MM. Exotic trees contribute to urban forest diversity and ecosystem services in inner-city Cleveland, OH. Urban Forestry &amp; Urban Greening. 2018;29:367–76.</t>
  </si>
  <si>
    <t>Riley CB, Herms DA, Gardiner MM.</t>
  </si>
  <si>
    <t>Exotic trees contribute to urban forest diversity and ecosystem services in inner-city Cleveland, OH.</t>
  </si>
  <si>
    <t>riley.595@osu.edu</t>
  </si>
  <si>
    <t>"The study was carried out within Cleveland, OH (41.49◦N, 81.69◦W) and surrounding suburbs in Cuyahoga County from April – August 2015 (Fig. 1)."</t>
  </si>
  <si>
    <t>41.49◦N,</t>
  </si>
  <si>
    <t>81.69◦W</t>
  </si>
  <si>
    <t>Composition, Land use type, Exotic/invasive species</t>
  </si>
  <si>
    <t>"We used our survey data with i-Tree Eco to model forest composition (proportion of each species) and structure (physical characteristics of trees and forest) of each property type."</t>
  </si>
  <si>
    <t>"Ecosystem services and their monetary values provided by trees on each property type were also modeled on a per hectare basis from survey data by i-Tree Eco, including carbon sequestration, carbon storage, and oxygen production. Energy effects and savings, avoided stormwater runoff and savings, and atmospheric pollutant removal values were estimated for the cumulative area of each property type, and were standardized on a per hectare basis in order to compare the three property types."</t>
  </si>
  <si>
    <t>"Carbon sequestration, carbon storage, oxygen production, carbon emissions avoided through energy savings, and stormwater runoff avoided were greater on inner-city vacant lots than on the two residential property types (Table 4)."
"Trees on inner-city vacant lots provided a greater quantity of regulating ecosystem services including carbon sequestration and storage, oxygen production, energy savings, stormwater runoff reduction, and the removal of atmospheric pollutants such as carbon monoxide and particulate matter on a per hectare basis than did trees on suburban and inner-city residential lots."
"Although i-Tree Eco does not provide the user with monetary values for carbon sequestration and storage and oxygen production, their output and presumably their economic value was also greater on vacant lots. Zipperer (2002) also found that carbon storage and sequestration by urban trees was greater on vacant land than on residential properties."</t>
  </si>
  <si>
    <t>stem density, tree species composition, crown height, diameter, total height, crown width/area, tree condition, tree layer, ground layer, standing dead trees, shrub layer</t>
  </si>
  <si>
    <t>*DISSERTATIONS REMOVED FROM CARBON SUBSET BY COREY. 21 Nov 2024. Decided not to include</t>
  </si>
  <si>
    <t>G1</t>
  </si>
  <si>
    <t>Tenneson (2013)</t>
  </si>
  <si>
    <t>Tenneson K. The Residential Urban Forest: Linking structure, function and management [Internet] [Thesis]. 2014 [cited 2023 Feb 7]. Available from: https://digital.lib.washington.edu:443/researchworks/handle/1773/25053</t>
  </si>
  <si>
    <t>Tenneson, Karis</t>
  </si>
  <si>
    <t>The Residential Urban Forest: Linking structure, function and management</t>
  </si>
  <si>
    <t>Universtity of Washington</t>
  </si>
  <si>
    <t>PhD Thesis</t>
  </si>
  <si>
    <t>"This research I focused on the most populous county, King County. An estimated 3.5 million people live in the Seattle MSA, 2 million of whom are located in King County (U.S. Census, 2010)."</t>
  </si>
  <si>
    <t>"I measured and recorded vegetative characteristics at each property. Vegetation measurements included DBH and the identity of all trees to the species level (some horticultural cultivars were only identified to the genus level), and trees were defined as woody-stemmed vegetation with a 5-cm or greater DBH."</t>
  </si>
  <si>
    <t>"I used the measurements from the vegetation survey to derive carbon storage estimates from allometric models. To estimate above-ground plant biomass patterns of the residential urban forest in urban and suburban lots, I used published regional, allometric equations (described in Hutyra et al., 2011) and the structural characterization of the urban forest (described in Chapter 1). The allometric models I used to estimate tree biomass were developed in traditional closed canopy forests (Gholz et al., 1975; Binkley, 1983; Singh, 1984; Jenkins et al., 2003)."</t>
  </si>
  <si>
    <t>individual tree</t>
  </si>
  <si>
    <t>"There was significantly more carbon stored in above-ground live plant biomass per parcel in the suburban area than in the urban core (Fig. 2.2a), which was expected because there are more trees in the yards of suburban homes compared with urban residences (Fig. 2.3a). It is surprising, however, that the trend is also observed after normalizing by area (per acre) (Fig. 2.2b), considering that tree densities are not significantly different between the urban and suburban areas once the parcel area is taken into account (Fig. 2.3b)." "Reported management behavior showed no net change in overall tree abundance per yard, or per acre, since past tree planting rates have been keeping up with tree removal rates between the urban and suburban areas."</t>
  </si>
  <si>
    <t>Conservation; Management</t>
  </si>
  <si>
    <t>"Residential landscapes with high densities of native conifer species could offer substantial gains in carbon storage, but maintaining high densities of large trees in an urban environment comes with other costs and trade-offs." "Examples of potential land management programs aimed at maintaining and increasing carbon storage capacity in suburban lawns include developing neighborhood forest easements, offering subsidies or tax incentives to homeowners for planting trees, and financing tree planting programs."</t>
  </si>
  <si>
    <t>Not in Rayyan. Grey literature/phd thesis. Corey to find from Zotero.</t>
  </si>
  <si>
    <t>G2</t>
  </si>
  <si>
    <t>Nowak (1991)</t>
  </si>
  <si>
    <t>Nowak DJ. Urban forest development and structure: Analysis of Oakland, California [Internet] [Ph.D.]. [United States -- California]: University of California, Berkeley; 1991 [cited 2023 Feb 15]. Available from: https://www.proquest.com/docview/303914893/abstract/4E8FAB4DB7494DPQ/1</t>
  </si>
  <si>
    <t>Nowak, DJ</t>
  </si>
  <si>
    <t>Urban forest development and structure: Analysis of Oakland, California</t>
  </si>
  <si>
    <t>University of California, Berkley</t>
  </si>
  <si>
    <t>Oakland</t>
  </si>
  <si>
    <t>The area chosen to study urban forest development and structure is the area within the political boundaries of Oakland, California. Incorporated in 1852, Oakland is today one of the major urban centers in the San Francisco Bay area with a population of 372,242</t>
  </si>
  <si>
    <t>"To characterize Oakland's current urban forest struc­ture, the city was divided into three strata with each strata being sampled with a different sampling scheme. The first scheme sampled city block fronts to characterize vegetation found on residential, commercial and industrial lots, and small transportational lots. The second scheme sampled relatively small institutional lands (e.g., schools, colleges, small parks, etc.). The last scheme sampled wild­ land areas, large institutional areas (e.g., golf courses, cemeteries), and large transportational and miscellaneous areas. Sampling was completed in 1989."</t>
  </si>
  <si>
    <t>"Biomass for each tree sampled was calculated using allometric equations derived from the literature (Table 5). If no allometric equation could be found for an individual species, then the genera average was substituted, or if no genera equations were found, the average of conifer or hardwood equations was used."</t>
  </si>
  <si>
    <t>"The urban forest of Oakland stores approximately 161,000 tons of carbon (357,000 tons of dry biomass), an average of 4.9 tons of carbon per acre (10.9 tons of dry biomass per acre) (Table 41). Wildlands and residential areas contain the largest amounts of stored tree carbon. The carbon storage is most concentrated in wildlands, especially in redwood, eucalyptus and oak/bay stands (Table 41)."</t>
  </si>
  <si>
    <t>"Besides the many benefits of increasing tree cover (e.g., carbon storage, wildlife habitat, increasing land values, environment modification), managers must consider the associated costs (e.g., water use, fire potential, planting and maintenance)."</t>
  </si>
  <si>
    <t>CH4,5,6</t>
  </si>
  <si>
    <t>G4</t>
  </si>
  <si>
    <t>Mejía (2022)</t>
  </si>
  <si>
    <t>Mejía G. Nutrient Dynamics and Ecosystem Development of Urban Forests [Internet] [Ph.D.]. [United States -- New York]: City University of New York; 2022 [cited 2023 Feb 27]. Available from: https://www.proquest.com/docview/2703402689/abstract/142BDAB03A4B42E8PQ/1</t>
  </si>
  <si>
    <t>Mejía, Gisselle</t>
  </si>
  <si>
    <t>Nutrient Dynamics and Ecosystem Development of Urban Forests</t>
  </si>
  <si>
    <t>City University of New York</t>
  </si>
  <si>
    <t>NYC metropolitan area</t>
  </si>
  <si>
    <t>40.7128° N</t>
  </si>
  <si>
    <t>74.0060° W</t>
  </si>
  <si>
    <t>"The 10 study sites differed in soil composition, disturbance history and landscape context (Fig.2.S1-S10)." "Human development of the landscape has modified much of the native
glacial till from which natural forest soils developed in the northeast U.S. (NYC Parks 2014). Extensive modification has also resulted in new parent material associated with 19th and 20th century coal ash dumps, excavated material from construction projects, and other anthropogenic contributions (e.g., construction debris; Pregitzer et al. 2016)."</t>
  </si>
  <si>
    <t>"Experimental forest plots measuring 900 m2 were established in 2009 at 10 different sites within NYC Parklands (McPhearson et al. 2011). Some of the afforestation plots were set up within NYC’s 2,497 ha of natural area forest containing relatively “natural” soils, while others were located on highly modified and disturbed soils in urban parks. Afforestation treatments focused on variation in tree species diversity (2 versus 6 planted species) and the presence/absence of understory plantings."</t>
  </si>
  <si>
    <t>Soil</t>
  </si>
  <si>
    <t>"Microbial biomass C and N was measured using the chloroform (CHCl3) fumigation-incubation method developed by Jenkinson and Powlson (1976)."</t>
  </si>
  <si>
    <t>"Microbial biomass C was significantly higher at high success afforestation sites at the whole-core (p &lt; 0.01; Fig. 2.3i) and 0-30 cm level, and this difference was most marked at the 10-30cm depth." "There were no significant differences in microbial biomass C and respiration between high and low diversity treatments at the whole-core or 0-30 cm level
(Fig. 2.4)."</t>
  </si>
  <si>
    <t>"Our results over a two-year period show that rates of C and N cycling are closely linked to afforestation success (Fig. 2.5). This suggests that more intensive restoration techniques including top-soil replacement in highly disturbed sites may improve afforestation outcomes."</t>
  </si>
  <si>
    <t>CH2</t>
  </si>
  <si>
    <t>G5</t>
  </si>
  <si>
    <t>Mejía G. Nutrient Dynamics and Ecosystem Development of Urban Forests [Internet] [Ph.D.]. [United States -- New York]: City University of New York; 2022 [cited 2023 Feb 27]. Available from: https://www.proquest.com/docview/2703402689/abstract/142BDAB03A4B42E8PQ/2</t>
  </si>
  <si>
    <t>Boston, Baltimore, Los Angeles, Miami, Minneapolis-St. Paul, Phoenix</t>
  </si>
  <si>
    <t>"We sampled native reference and interstitial sites in six major U.S. Metropolitan Statistical Areas (i.e. cities): Boston, MA (BOS), Baltimore, MD (BAL), Los Angeles, CA (LAX), Miami, FL (MIA), Minneapolis-St. Paul, MN (MSP) and Phoenix, AZ (PHX) that represent six different ecological biomes and/or major climatic regions across the U.S. (Trammell et al. 2016). Within each city, between four and six natural areas that represented the dominant ecological biome were selected."</t>
  </si>
  <si>
    <t>"Microbial biomass C and N content were measured using the chloroform fumigation-incubation method (Jenkinson and Powlson 1976)."</t>
  </si>
  <si>
    <t>"Overall cities, we did not observe significant differences between interstitial and reference sites for any C cycling variables. However, there were significant patterns in different cities that suggest important relationships between soil C dynamics and tree community composition." "In both site types, high quality organic matter
appears to support microbial biomass and respiration. These C dynamics are controlled to a large
extent by abiotic factors, such as temperature and moisture, that vary geographically."</t>
  </si>
  <si>
    <t>"Our results support the idea that the quantity of C in urban ecosystems can be significant compared to native ecosystems, and has been underestimated."</t>
  </si>
  <si>
    <t>CH3</t>
  </si>
  <si>
    <t>G9</t>
  </si>
  <si>
    <t>Spiegel (2015)</t>
  </si>
  <si>
    <t>Spiegel E. Estimating Above and Below Ground Vegetation Biomass and Carbon Storage Across an Intra-Urban Land-Use Gradient in Mid-Missouri [Internet] [M.S.]. [United States -- Missouri]: University of Missouri - Columbia; [cited 2023 Apr 3]. Available from: https://www.proquest.com/pqdtglobal/docview/2190232415/abstract/7C912CED9DF840CBPQ/1</t>
  </si>
  <si>
    <t>Spiegel, Elizabeth</t>
  </si>
  <si>
    <t>Estimating Above and Below Ground Vegetation Biomass and Carbon Storage Across an Intra-Urban Land-Use Gradient in Mid-Missouri</t>
  </si>
  <si>
    <t>University of Missouri-Columbia</t>
  </si>
  <si>
    <t>MSc Thesis</t>
  </si>
  <si>
    <t>Columbia</t>
  </si>
  <si>
    <t>"Columbia, Missouri is located in the north temperate climate zone, an area with mild temperatures in comparison to the warmer temperatures of the sub tropic and the tropic, and the cooler temperatures of the more northern boreal zone."</t>
  </si>
  <si>
    <t>"[...] six intra-urban 50m2 plots were surveyed for vegetation characteristics such as species richness, basal area, proportion invasive species, and species morphometrics."</t>
  </si>
  <si>
    <t>"DBH measurements collected for each stem plus species information were used to allometrically calculate dry weight biomass using an equation suggested from a synthesis of species-specific equations proposed by Jenkins et al. (2004)."</t>
  </si>
  <si>
    <t>"The [Upland Hardwood Forest] UHF plot (allometric =24673.49 kg , i-Tree Eco = 17206.03 kg) and [Bottomland Hardwood Forest] BHF plot (allometric = 38990.16 kg, i-Tree Eco = 30975.37 kg) sites contained the largest vegetative carbon storage and had the largest average canopy height and diameter at breast height measurements."</t>
  </si>
  <si>
    <t>"Future urban forest planning and management strategies should take into account the effects of urban land use on species composition and potential biomass and carbon storage."</t>
  </si>
  <si>
    <t>G10</t>
  </si>
  <si>
    <t>Oh (2018)</t>
  </si>
  <si>
    <t>Oh YK. Climate change adaptation in london through resilient ecosystem services management [Internet] [Ph.D.]. [England]: University of London, King’s College (United Kingdom); [cited 2023 Apr 4]. Available from: https://www.proquest.com/pqdtglobal/docview/2116929703/8F93EFED5F044577PQ/1</t>
  </si>
  <si>
    <t>Oh, Yu Kyung</t>
  </si>
  <si>
    <t>Climate change adaptation in london through resilient ecosystem services management</t>
  </si>
  <si>
    <t>Kings College London</t>
  </si>
  <si>
    <t>"This thesis focuses on not only large-scale open spaces in Greater London, but also small-scale green spaces in Business Improvement Districts."</t>
  </si>
  <si>
    <t>"Sampling locations across eleven [Business Improvement Discrict] BIDs in central Inner London were selected based on stratified sampling techniques: street trees were surveyed along commercial/industrial, transportation, and residential land use, and in small patches of green space such as squares, small gardens or parks, and churchyards."</t>
  </si>
  <si>
    <t>"[...] data processing in i-Tree programme for carbon storage and sequestration calculations."</t>
  </si>
  <si>
    <t>"In this chapter, carbon storage and sequestration from street trees in economically active areas was evaluated which also proves three initial hypothesis; differences in tree composition and density leading to differential ecosystem service provision; correlation between per capita CO2 emission in the corresponding four boroughs, and carbon storage and sequestration estimates influenced by DBH, number and species of trees in BIDs; and diverse estimates of carbon storage and sequestration allowing urban planners determine tree management and delivery practices."</t>
  </si>
  <si>
    <t>"This research indicates that street trees should be enhanced in London to improve climate resilience potential, in particular those that may have potential for increased carbon storage; that BIDs may be effective units for achieving this as there is capacity in such areas and there are clear economic benefits; and also that when green space creation/enhancement is being considered, trees should be incorporated as far as possible."</t>
  </si>
  <si>
    <t>Ch5</t>
  </si>
  <si>
    <t>G11</t>
  </si>
  <si>
    <t>Carne (2013)</t>
  </si>
  <si>
    <t>Carne DJ. A comparison of carbon sequestration potential and photosynthetic efficiency in evergreen and deciduous oaks growing in contrasting environments in the Southwest UK [Internet] [Thesis]. University of Plymouth; 2013 [cited 2023 Apr 19]. Available from: https://pearl.plymouth.ac.uk/handle/10026.1/1598</t>
  </si>
  <si>
    <t>Carne, Demelza</t>
  </si>
  <si>
    <t>A comparison of carbon sequestration potential and photosynthetic efficiency in evergreen and deciduous oaks growing in contrasting environments in the Southwest UK</t>
  </si>
  <si>
    <t>University of Plymouth</t>
  </si>
  <si>
    <t>Dartmoor, Devon Dartmoor, Totnes, Plymouth,</t>
  </si>
  <si>
    <t>Southwest England</t>
  </si>
  <si>
    <t>"Forty saplings of each species were planted at each site in a three-factor block design, where SPECIES, SITE and SOIL CONDITION were factors and soil condition had two levels: field grown (G) and potted (P)."</t>
  </si>
  <si>
    <t>Below-ground biomass, Above-ground biomass, Soil</t>
  </si>
  <si>
    <t>"After drying, oven dry weights were calculated for each of the fractions and total biomass (TB), above ground biomass (AGB), total leaf area (TLA) and SLA were calculated to enable calibration of allometric equations using biomass, leaf area, and height and diameter data."</t>
  </si>
  <si>
    <t>"Results showed that Q. ilex allocated relatively more carbon to branches and leaves as a sapling which in turn increased growth rate and whole tree assimilation rates to larger values than the deciduous oak despite Q. robur being able to increase maximum assimilation rates in response to increasing temperatures. This gives Q. ilex the advantage and overall biomass was higher at all sites than Q. robur apart from the upland site where there were no differences in biomass accumulation between species." "The potential for Q. ilex to perform well at sapling stage is due to its morphological plasticity and drought tolerance. This species may become more prevalent within the Southwest as local climates continue to push it northwards from its natural Mediterranean range. In contrast, if Q. robur continues to suffer from defoliation and fungal attack and this may leave it more vulnerable to competition throughout less fertile and drier areas of its natural range."</t>
  </si>
  <si>
    <t>"In order to fully evaluate productivity and invasiveness potential of Querus ilex, germination
success in relation to environment studies would need to be completed alongside more intensive
work to draw out the effects of pollution from the effects of water stress."</t>
  </si>
  <si>
    <t>G14</t>
  </si>
  <si>
    <t>Chambers (2015)</t>
  </si>
  <si>
    <t>Chambers RLL. Urban forest structure and ecosystem services assessment in the Scotlandville Community for better planning and sustainable management [Internet] [Ph.D.]. [United States -- Louisiana]: Southern University and Agricultural and Mechanical College; 2015 [cited 2023 Apr 19]. Available from: https://www.proquest.com/pqdtglobal/docview/1679279025/abstract/A2746117439D4EA3PQ/1</t>
  </si>
  <si>
    <t>Chambers, Robert LeSheldon Lamar</t>
  </si>
  <si>
    <t>Urban forest structure and ecosystem services assessment in the Scotlandville Community for better planning and sustainable management</t>
  </si>
  <si>
    <t>Southern University and A&amp;M College</t>
  </si>
  <si>
    <t>"The Scotlandville community located in the northern part of the City of Baton Rouge, Louisiana consists of twenty-one distinct sub-communities as identified by the Scotlandville Comprehensive Community Development Plan (SCCDP)."</t>
  </si>
  <si>
    <t>"Data from the 170 field plots located throughout Scotlandville community forest were analyzed using the i-Tree Eco
model developed by the U.S. Forest Service, Northern Research Station." "The sample plots were stratified by land cover
type. The 2006 USGS National Land Cover Database (NLCD) data was employed for
these strata."</t>
  </si>
  <si>
    <t>"To calculate current carbon storage, biomass for each tree was calculated using
equations from the literature and measured tree data."</t>
  </si>
  <si>
    <t>"This infrastructure was estimated to contain 97, 900 tons
of carbon storage valued at $6.97 million, sequester an additional 3,880 tons of C02 a year."</t>
  </si>
  <si>
    <t>"1. Increase tree canopy from 23.7% to 30%. 2. Plant native tree species. 3. Promote home energy savings by utilizing i-Tree Design to calculate energy savings and evaluate tree effects on building energy use."</t>
  </si>
  <si>
    <t>G17</t>
  </si>
  <si>
    <t>McHale (2007)</t>
  </si>
  <si>
    <t>McHale MR. Carbon storage in urban forests along the Colorado Front Range: An analysis of urban trees in carbon credit markets and the allometric relationships for determining urban forest biomass [Internet] [Ph.D.]. [United States -- Colorado]: Colorado State University; 2007 [cited 2023 Apr 19]. Available from: https://www.proquest.com/pqdtglobal/docview/304861549/abstract/6343F56A9DC04901PQ/1</t>
  </si>
  <si>
    <t>McHale, Melissa R</t>
  </si>
  <si>
    <t>Carbon storage in urban forests along the Colorado Front Range: An analysis of urban trees in carbon credit markets and the allometric relationships for determining urban forest biomass</t>
  </si>
  <si>
    <t>Colorado State University</t>
  </si>
  <si>
    <t>Fort Collins</t>
  </si>
  <si>
    <t>"Fort Collins is the most northern city along the Colorado Front Range (latitude: 40.6N, longitude: 105.1 W). The city lies within a semi-arid region, receiving 38.5 cm of precipitation on average per year, with an average temperature of 8.9 ° C (100 year record at Colorado State University, CO USA)."</t>
  </si>
  <si>
    <t>40.6N</t>
  </si>
  <si>
    <t>105.1W</t>
  </si>
  <si>
    <t>"My goals were [...] 2) To analyze the effects of tree density (trees/ha) and urban forest age (young, middle aged
and mature forests) on carbon storage capacity for this region."</t>
  </si>
  <si>
    <t>"I used volume equations developed for the 11 dominant tree species in Fort Collins (McHale et al., in prep, Chapter 3 of this dissertation) to calculate biomass and carbon."</t>
  </si>
  <si>
    <t>"My results show that under maximum density and maturity potential carbon storage could reach almost 11,000 gC/m2 along the Front Range (Figure 5.1)."</t>
  </si>
  <si>
    <t>CH5</t>
  </si>
  <si>
    <t>tree species composition, plant functional types, total height, perch height</t>
  </si>
  <si>
    <t>change perch heigh to "perch or nest height."  ALso included species diversity (shannon's index)</t>
  </si>
  <si>
    <t>diameter, fruit metrics, plant functional types, tree density, vertical layer assessment, tree species composition, total height, age</t>
  </si>
  <si>
    <t>used the total heights to conudct a forest structural complexity index -- is this a metric that should be accounted for in this study? or just looking for what they measured, since not including all the various indices used.</t>
  </si>
  <si>
    <t>stem density, tree species composition, perch/nest height, diameter, ground cover, total height, tree layer, shrub layer</t>
  </si>
  <si>
    <t>change perch heigh to "perch or nest height."</t>
  </si>
  <si>
    <t>stem density, shrub layer</t>
  </si>
  <si>
    <t>also did soil samples. Did carbon and birds.</t>
  </si>
  <si>
    <t>DeGraaf &amp; Wentworth (1986</t>
  </si>
  <si>
    <r>
      <rPr>
        <rFont val="Times New Roman"/>
        <color theme="1"/>
        <sz val="11.0"/>
      </rPr>
      <t xml:space="preserve">Authorities should manage the area in the future in a way that maximizes the provision of high capacity ES (like regulating) which is facilitated by the appraisal of the area's potential. What is equally important in terms of management is shifting from soley biodiversity delivery to ES delivery and the need to identify tradeoffs between ES. Study highlights the importance of </t>
    </r>
    <r>
      <rPr>
        <rFont val="Times New Roman"/>
        <b/>
        <color theme="1"/>
        <sz val="11.0"/>
      </rPr>
      <t xml:space="preserve">site-based </t>
    </r>
    <r>
      <rPr>
        <rFont val="Times New Roman"/>
        <color theme="1"/>
        <sz val="11.0"/>
      </rPr>
      <t>assessment for ecosystem services delivered in protected areas.</t>
    </r>
  </si>
  <si>
    <t>carbon estimation factor</t>
  </si>
  <si>
    <t>COREY TO REVISIT</t>
  </si>
  <si>
    <t>crown width, diameter, standing dead trees, tree species composition, tree density, plant functional types, total height, age</t>
  </si>
  <si>
    <t>Includes Mean Annual Increment, which is calculated with stand volume and age (no need to add as a metric)</t>
  </si>
  <si>
    <t>diameter, age, tree species composition, total height</t>
  </si>
  <si>
    <t>age was for their consideration of forest stage. used allometric equations.</t>
  </si>
  <si>
    <t>shrub density, tree cover, coarse woody debris cover, tree density, diameter, tree species composition, standing dead trees, shrub cover</t>
  </si>
  <si>
    <t>maybe change to stem density, instead of separating tree and shrub, since most will calculate with a size cut off</t>
  </si>
  <si>
    <t>add estimated tree volume, unsure about diameter</t>
  </si>
  <si>
    <t>tree species composition, crown width, diameter, total height</t>
  </si>
  <si>
    <t>diameter, crown width, tree species composition, stem density, standing dead trees, total height, crown height</t>
  </si>
  <si>
    <t>planting arrangement, tree species composition, diameter</t>
  </si>
  <si>
    <t>Recorded tree height and type (conifer or broadleaf). Tree species used to determine nesting preferences. Measured the foliage density of broadleafed trees (by LBR). Calculated the % of available trees and the % used for nesting.</t>
  </si>
  <si>
    <t xml:space="preserve">Selected forest stands of different developmental ages. Recorded DBH of all trees equal to or greater than 5 cm. Created DBH size classes. Set fruit and seed traps to find the number of fruits removed by birds and fruit abundance. Calculated stems/ha, total basal area, and cover of the dominant tree species and tree type for each stand.
</t>
  </si>
  <si>
    <t>total height, tree species composition, shrub layer, diameter, ground layer, vertical layer assessment, tree layer, overall canopy cover, perch/nest height, stem density</t>
  </si>
  <si>
    <t>Measured: canopy cover (%), canopy height (m), shrub cover (shrub density), ground cover (%) and composition, and tree species rich-ness, count, and diameter-at-breast-height (dbh). Recorded ground cover height (vertical layer assessment).
Is canopy height = total height?</t>
  </si>
  <si>
    <t>shrub species composition, tree layer, diameter, tree species composition, shrub layer, stem density</t>
  </si>
  <si>
    <t xml:space="preserve">Recorded species of trees, woody understory plants, and understory shrubs. Monitored and tagged fledglings in their nests. To assess microhabitat use, they estimated percent cover of Amur honeysuckle and native shrubs and counted the number of saplings (3–8 cm DBH) and mature trees (&gt;8 cm DBH) at relocation points. Used aerial photos to assess habitat fragmentation (= planting arrangement?). </t>
  </si>
  <si>
    <t>stem density, crown width, shrub species composition, tree layer, shrub layer, crown height, vertical layer assessment</t>
  </si>
  <si>
    <t>Recorded habitat variables at each farmland site: hedgerow bank height, hedgerow bank width, basal (non-woody) vegetation height, basal vegetation (non-woody) width, mid-layer (shrubs, grasses) height, % of hedgerow points with shrubs, % of hedgerow points with trees, % hedgerow sites with Whitethorn, hedge density (m/ha).
Do shrubs have crowns? Is woody vs. non-woody a plant functional type? is hedge density = stem density?</t>
  </si>
  <si>
    <t>coarse woody debris layer, plant functional types, tree species composition, stem density, diameter, leaf litter layer, total height</t>
  </si>
  <si>
    <t>Defined two main ecosystems based on tree species: Holm Oak Wood and Mixed Wood. Recorded tree species, DBH, presence, size and quality of deadwood, and estimated tree height and density. Estimated the density of fresh and dead wood. Sampled soil and litter. Evaluated species diversity for forest stands and bird communities using the  Shannon-Wiener diversity index.</t>
  </si>
  <si>
    <r>
      <rPr>
        <rFont val="Times New Roman"/>
        <color theme="1"/>
        <sz val="11.0"/>
      </rPr>
      <t xml:space="preserve">Average canopy height of dominant vegetation = total height
Density of </t>
    </r>
    <r>
      <rPr>
        <rFont val="Times New Roman"/>
        <i/>
        <color theme="1"/>
        <sz val="11.0"/>
      </rPr>
      <t>A. saligna</t>
    </r>
    <r>
      <rPr>
        <rFont val="Times New Roman"/>
        <color theme="1"/>
        <sz val="11.0"/>
      </rPr>
      <t xml:space="preserve"> measured. Used acacia presence or absence to divide sites.</t>
    </r>
  </si>
  <si>
    <t>plant functional types, total height, crown height, merchantable height, shrub species composition, diameter, crown width/area, shrub layer, tree layer, tree species composition, ground layer</t>
  </si>
  <si>
    <r>
      <rPr>
        <rFont val="Times New Roman"/>
        <color theme="1"/>
        <sz val="11.0"/>
      </rPr>
      <t xml:space="preserve">Reeds &amp; lawns= ground cover.
</t>
    </r>
    <r>
      <rPr>
        <rFont val="Times New Roman"/>
        <b/>
        <color theme="1"/>
        <sz val="11.0"/>
      </rPr>
      <t>Clear bole height = merchantable bole height</t>
    </r>
    <r>
      <rPr>
        <rFont val="Times New Roman"/>
        <color theme="1"/>
        <sz val="11.0"/>
      </rPr>
      <t xml:space="preserve">
Canopy height = crown height
What is the difference between canopy height and total tree height?</t>
    </r>
  </si>
  <si>
    <r>
      <rPr>
        <rFont val="Times New Roman"/>
        <color theme="1"/>
        <sz val="11.0"/>
      </rPr>
      <t xml:space="preserve">Clearance of bushes, shrubs, and small trees.
Understory vegetation = ground layer??? </t>
    </r>
    <r>
      <rPr>
        <rFont val="Times New Roman"/>
        <b/>
        <color theme="1"/>
        <sz val="11.0"/>
      </rPr>
      <t>no</t>
    </r>
    <r>
      <rPr>
        <rFont val="Times New Roman"/>
        <color theme="1"/>
        <sz val="11.0"/>
      </rPr>
      <t xml:space="preserve">
What is the difference between a bush and a shrub?
</t>
    </r>
  </si>
  <si>
    <r>
      <rPr>
        <rFont val="Times New Roman"/>
        <color theme="1"/>
        <sz val="11.0"/>
      </rPr>
      <t xml:space="preserve">Authorities should manage the area in the future in a way that maximizes the provision of high capacity ES (like regulating) which is facilitated by the appraisal of the area's potential. What is equally important in terms of management is shifting from soley biodiversity delivery to ES delivery and the need to identify tradeoffs between ES. Study highlights the importance of </t>
    </r>
    <r>
      <rPr>
        <rFont val="Times New Roman"/>
        <b/>
        <color theme="1"/>
        <sz val="11.0"/>
      </rPr>
      <t xml:space="preserve">site-based </t>
    </r>
    <r>
      <rPr>
        <rFont val="Times New Roman"/>
        <color theme="1"/>
        <sz val="11.0"/>
      </rPr>
      <t>assessment for ecosystem services delivered in protected areas.</t>
    </r>
  </si>
  <si>
    <t>planting arrangement, diameter, age, standing dead trees, total height, plant functional types, crown width/area, tree species composition, stem density, crown height</t>
  </si>
  <si>
    <t>Planting arrangement = topographic position of stems. 
- they analyze plantation design
Measure crown depth (height) and width.</t>
  </si>
  <si>
    <t>tree species composition, ground layer, shrub layer, crown width/area, tree layer, crown height, diameter</t>
  </si>
  <si>
    <t>N/A.</t>
  </si>
  <si>
    <t>Stages of forest expansion by age gradient. Plot level analyses: sapling/seedling density (used dbh), gene diversity, Shannon diversity index for woody species. Individual level analyses: C storage (dbh, height) per hectare, % herbivory, biomass in thick medium branches per hectare. Forest density measured as basal area per hectare. Spatial connectivity inferred from % cover of broadleafed trees.
Tree condition = herbivory. Estimated biomass for each tree from thick and medium branches.</t>
  </si>
  <si>
    <t>Compared coniferous and mixed forest types. Measured the dbh and identified each tree. Used species/genus-specific equations to calculate above-ground biomass (using diameter). Recorded understory vegetation conditions. Digitized canopy cover area for all plots. Estimated density of coarse woody debris; used tree height, base diameter to estimate volume of decomposed standing dead trees. Measured stem density, not tree density.</t>
  </si>
  <si>
    <t>tree species composition, overall canopy cover, age, diameter</t>
  </si>
  <si>
    <t>From inventory: forest resource distribution maps, forest volume, tree species composition, tree age, and topographic maps of our study area. Determined vegetation cover and tree volume. Estimated carbon stock (per ha) and density from biomass. Recorded age classes of dominant tree species. Forest distribution maps showed the spatial distribution of different vegetation types. GIS spatial analysis calculated variations among different forest stands and different urbanized regions. 
Vegetation cover = canopy cover?</t>
  </si>
  <si>
    <t>tree species composition, crown height, diameter, total height, crown area, crown width</t>
  </si>
  <si>
    <t>Selected 5 major street tree species. Measured DBH, total tree height, crown diameter (from all directions), crown cover area. Calculated volume of the tree, then used species-specific values to find the biomass and carbon storage. Did not include trees in bad condition for carbon sequestration.</t>
  </si>
  <si>
    <t>total height, stem density, tree species composition, crown width, crown height, standing dead trees, diameter</t>
  </si>
  <si>
    <t xml:space="preserve">Recorded live and dead trees' basal area, species, and DBH. Used allometric equations to estimate biomass per unit area. Estimated tree density (DBH/ha). Additional measurements include tree height, crown base height, crown width for all trees. </t>
  </si>
  <si>
    <t>crown width, total height, coarse woody debris layer, tree species composition, standing dead trees, diameter</t>
  </si>
  <si>
    <t>Used climate zone, species, and DBH to calculate biomass and CO2 stored in each planted tree. Calculated crown prjection area from crown diameter and DBH to determine CO2 emissions fro irrigation. Used total height and DBH to determine total aboveground biomass. Counted dead trees to calculate CO2 for tree and stump grinding. Calculated CO2 emissions from mulch (coarse woody debris).</t>
  </si>
  <si>
    <r>
      <rPr>
        <rFont val="Times New Roman"/>
        <b val="0"/>
        <color theme="1"/>
        <sz val="11.0"/>
      </rPr>
      <t>Categorize trees as 'young' and 'mature' as a proxy for size = age (since the size metric is not clear)
% of lawn mown = ground layer
Large tree = &gt;12" DBH
Disposal of leaf litter layer.</t>
    </r>
    <r>
      <rPr>
        <rFont val="Times New Roman"/>
        <b/>
        <color theme="1"/>
        <sz val="11.0"/>
      </rPr>
      <t xml:space="preserve">
</t>
    </r>
    <r>
      <rPr>
        <rFont val="Times New Roman"/>
        <b val="0"/>
        <color theme="1"/>
        <sz val="11.0"/>
      </rPr>
      <t>Assesses planting arrangement</t>
    </r>
  </si>
  <si>
    <r>
      <rPr>
        <rFont val="Times New Roman"/>
        <color theme="1"/>
        <sz val="11.0"/>
      </rPr>
      <t xml:space="preserve">Height to crown base.
Use deciduous vs. coniferous in annual energy savings calculations.
</t>
    </r>
    <r>
      <rPr>
        <rFont val="Times New Roman"/>
        <b/>
        <color theme="1"/>
        <sz val="11.0"/>
      </rPr>
      <t>Do I count this? No</t>
    </r>
  </si>
  <si>
    <t>tree species composition, plant functional types, shrub layer</t>
  </si>
  <si>
    <r>
      <rPr>
        <rFont val="Times New Roman"/>
        <b val="0"/>
        <color theme="1"/>
        <sz val="11.0"/>
      </rPr>
      <t xml:space="preserve">Only included carbon outcomes, others are disregarded.
</t>
    </r>
    <r>
      <rPr>
        <rFont val="Times New Roman"/>
        <b/>
        <color theme="1"/>
        <sz val="11.0"/>
      </rPr>
      <t xml:space="preserve">remove shrub layer.
</t>
    </r>
    <r>
      <rPr>
        <rFont val="Times New Roman"/>
        <b val="0"/>
        <color theme="1"/>
        <sz val="11.0"/>
      </rPr>
      <t>WEIRD PAPER.</t>
    </r>
  </si>
  <si>
    <t># did not agree on</t>
  </si>
  <si>
    <t>% agreement</t>
  </si>
  <si>
    <t># did not agree on after combining crown width/area</t>
  </si>
  <si>
    <t>% agreement after combining crown width/area</t>
  </si>
  <si>
    <t>final answer</t>
  </si>
  <si>
    <t>stem density, tree species composition, perch/nest height, diameter, ground layer, total height, tree layer, shrub layer</t>
  </si>
  <si>
    <t>inter-rater reliability</t>
  </si>
  <si>
    <t>Cohens kappa</t>
  </si>
  <si>
    <t>total height</t>
  </si>
  <si>
    <t>crown height</t>
  </si>
  <si>
    <t>crown width/area</t>
  </si>
  <si>
    <t>merchantable height</t>
  </si>
  <si>
    <t>diameter</t>
  </si>
  <si>
    <t>stem density</t>
  </si>
  <si>
    <t>planting arrangement</t>
  </si>
  <si>
    <t>vertical layer assessment</t>
  </si>
  <si>
    <t>shrub layer</t>
  </si>
  <si>
    <t>ground layer</t>
  </si>
  <si>
    <t>vine layer</t>
  </si>
  <si>
    <t>leaf litter layer</t>
  </si>
  <si>
    <t>coarse woody debris layer</t>
  </si>
  <si>
    <t>tree condition</t>
  </si>
  <si>
    <t>standing dead trees</t>
  </si>
  <si>
    <t>cavity metrics</t>
  </si>
  <si>
    <t>fruit metrics</t>
  </si>
  <si>
    <t>age</t>
  </si>
  <si>
    <t>Category of composition metric</t>
  </si>
  <si>
    <t>Metrics to extract</t>
  </si>
  <si>
    <t>Details</t>
  </si>
  <si>
    <t>Exclude</t>
  </si>
  <si>
    <t>Justification</t>
  </si>
  <si>
    <t>size</t>
  </si>
  <si>
    <t>estimate or measurement of total tree or shrub height, exact or in classes</t>
  </si>
  <si>
    <t>habitat type</t>
  </si>
  <si>
    <t>considered in other metric of the original systematic map (e.g. LULC), so this dataset isn't correct for assessing habitat type</t>
  </si>
  <si>
    <t>height from base of crown to top of crown, or crown base height if also measured total height</t>
  </si>
  <si>
    <t>Canopy Cover</t>
  </si>
  <si>
    <t>**do not assess these metrics as they are already assessed as Forest Interventions by the first paper</t>
  </si>
  <si>
    <t>horizontal measurement of crown size, in one or multiple directions</t>
  </si>
  <si>
    <t>Connectivity</t>
  </si>
  <si>
    <t>bole height, height of portion of trunk that could be sold for usable lumber</t>
  </si>
  <si>
    <t>Diversity metric</t>
  </si>
  <si>
    <t>diameter measured as at a consistent height (i.e. DBH/DSH, diameter at base)</t>
  </si>
  <si>
    <t>Exotic/invasive species</t>
  </si>
  <si>
    <t>taxonomy</t>
  </si>
  <si>
    <t>using species or genus as variable of comparison</t>
  </si>
  <si>
    <t>Forested area</t>
  </si>
  <si>
    <t>Fragmentation</t>
  </si>
  <si>
    <t>species groupings by traits or functions e.g. deciduous/evergreen, conifer/broadleaf</t>
  </si>
  <si>
    <t>Individual tree management</t>
  </si>
  <si>
    <t>structure</t>
  </si>
  <si>
    <t>stems or individuals/area, and basal area per area (not included when its was just a count of individuals)</t>
  </si>
  <si>
    <t>Land use type</t>
  </si>
  <si>
    <t>compares spatial arrangement of stems or site design of planted stems (ex: how close stems are, what pattern they are in, etc.) (does not include spatial arangement with respect to other features e.g. distance to buildings)</t>
  </si>
  <si>
    <t>Native species</t>
  </si>
  <si>
    <t>assessment of numbers of vegetation layers, structural complexity, etc (must estimate or describe something about the layers)</t>
  </si>
  <si>
    <t>canopy cover from all vegetation layers (not just highest trees)</t>
  </si>
  <si>
    <t>vegetation layer type</t>
  </si>
  <si>
    <t>includes assessing presence of (Y/N) or extent of (% or area) cover that is trees</t>
  </si>
  <si>
    <t>includes assessing presence of or extent of cover that is shrub or understory</t>
  </si>
  <si>
    <t>includes assessing presence of or extent of cover that is ground cover</t>
  </si>
  <si>
    <t>includes assessing presence of or extent of cover that is vines</t>
  </si>
  <si>
    <t>includes assessing presence of or extent of cover that is leaf litter</t>
  </si>
  <si>
    <t>includes assessing presence of or extent of cover that is coarse woody debris</t>
  </si>
  <si>
    <t>tree characteristics</t>
  </si>
  <si>
    <t>assessment of tree health, including qualitative scales  (e.g. poor, fair, good) and quantitative estimates (e.g. percent of crown with dieback, percent herbivory)</t>
  </si>
  <si>
    <t>presence of or count of standing dead trees (also called snags)</t>
  </si>
  <si>
    <t>height to potential perch or nest</t>
  </si>
  <si>
    <t>any metric used to assess a tree cavity including presence of cavity, size, shape, etc.</t>
  </si>
  <si>
    <t>any assessment of fruits including fruit density</t>
  </si>
  <si>
    <t>includes age estimates, age classes, and age of a forest stand, etc.</t>
  </si>
  <si>
    <t>Does not assess any of the above UF composition metrics in relation to either avian or carbon outcomes</t>
  </si>
  <si>
    <t>Total</t>
  </si>
  <si>
    <t>Metric Inclusion Question</t>
  </si>
  <si>
    <t>Metric inclusion question: Does this paper measure X metric and explicitly use it to assess or compare carbon or avian outcomes?</t>
  </si>
  <si>
    <t>Check metrics they measured or estimated, not that they calculated</t>
  </si>
  <si>
    <t>If yes, then check the metrics that meet that standard</t>
  </si>
  <si>
    <t>If they assess composition in another way, reach out to Corey</t>
  </si>
  <si>
    <t>If none of the metrics do, check N/A (for example, they mention metric but don’t use it in relation to carbon or avian outcomes)</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</si>
</sst>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Arial"/>
      <scheme val="minor"/>
    </font>
    <font>
      <u/>
      <color theme="1"/>
      <name val="Arial"/>
      <scheme val="minor"/>
    </font>
    <font>
      <u/>
      <color rgb="FF0000FF"/>
    </font>
    <font>
      <b/>
      <sz val="11.0"/>
      <color theme="1"/>
      <name val="Times New Roman"/>
    </font>
    <font>
      <b/>
      <i/>
      <sz val="11.0"/>
      <color theme="1"/>
      <name val="Times New Roman"/>
    </font>
    <font>
      <sz val="11.0"/>
      <color theme="1"/>
      <name val="Times New Roman"/>
    </font>
    <font>
      <i/>
      <sz val="11.0"/>
      <color theme="1"/>
      <name val="Times New Roman"/>
    </font>
    <font>
      <sz val="10.0"/>
      <color theme="1"/>
      <name val="Times New Roman"/>
    </font>
    <font>
      <b/>
      <sz val="10.0"/>
      <color theme="1"/>
      <name val="Times New Roman"/>
    </font>
    <font>
      <sz val="11.0"/>
      <color theme="1"/>
      <name val="Calibri"/>
    </font>
    <font>
      <sz val="11.0"/>
      <color rgb="FF000000"/>
      <name val="&quot;Times New Roman&quot;"/>
    </font>
    <font>
      <u/>
      <sz val="11.0"/>
      <color theme="10"/>
      <name val="Times New Roman"/>
    </font>
    <font>
      <u/>
      <sz val="11.0"/>
      <color theme="10"/>
      <name val="Times New Roman"/>
    </font>
    <font>
      <color theme="1"/>
      <name val="Times New Roman"/>
    </font>
    <font>
      <b/>
      <sz val="11.0"/>
      <color theme="1"/>
      <name val="Calibri"/>
    </font>
    <font>
      <color theme="1"/>
      <name val="Arial"/>
    </font>
    <font>
      <b/>
      <sz val="11.0"/>
      <color theme="1"/>
      <name val="Arial"/>
    </font>
    <font>
      <sz val="11.0"/>
      <color theme="1"/>
      <name val="Arial"/>
    </font>
  </fonts>
  <fills count="16">
    <fill>
      <patternFill patternType="none"/>
    </fill>
    <fill>
      <patternFill patternType="lightGray"/>
    </fill>
    <fill>
      <patternFill patternType="solid">
        <fgColor rgb="FFD9EAD3"/>
        <bgColor rgb="FFD9EAD3"/>
      </patternFill>
    </fill>
    <fill>
      <patternFill patternType="solid">
        <fgColor rgb="FFF1C232"/>
        <bgColor rgb="FFF1C232"/>
      </patternFill>
    </fill>
    <fill>
      <patternFill patternType="solid">
        <fgColor rgb="FFEAD1DC"/>
        <bgColor rgb="FFEAD1DC"/>
      </patternFill>
    </fill>
    <fill>
      <patternFill patternType="solid">
        <fgColor rgb="FFC9DAF8"/>
        <bgColor rgb="FFC9DAF8"/>
      </patternFill>
    </fill>
    <fill>
      <patternFill patternType="solid">
        <fgColor rgb="FFFFFFFF"/>
        <bgColor rgb="FFFFFFFF"/>
      </patternFill>
    </fill>
    <fill>
      <patternFill patternType="solid">
        <fgColor rgb="FFFFF2CC"/>
        <bgColor rgb="FFFFF2CC"/>
      </patternFill>
    </fill>
    <fill>
      <patternFill patternType="solid">
        <fgColor rgb="FFFCFCFC"/>
        <bgColor rgb="FFFCFCFC"/>
      </patternFill>
    </fill>
    <fill>
      <patternFill patternType="solid">
        <fgColor rgb="FFD0E0E3"/>
        <bgColor rgb="FFD0E0E3"/>
      </patternFill>
    </fill>
    <fill>
      <patternFill patternType="solid">
        <fgColor rgb="FFCFE2F3"/>
        <bgColor rgb="FFCFE2F3"/>
      </patternFill>
    </fill>
    <fill>
      <patternFill patternType="solid">
        <fgColor rgb="FFD9D2E9"/>
        <bgColor rgb="FFD9D2E9"/>
      </patternFill>
    </fill>
    <fill>
      <patternFill patternType="solid">
        <fgColor rgb="FFFFFF00"/>
        <bgColor rgb="FFFFFF00"/>
      </patternFill>
    </fill>
    <fill>
      <patternFill patternType="solid">
        <fgColor rgb="FFFFE599"/>
        <bgColor rgb="FFFFE599"/>
      </patternFill>
    </fill>
    <fill>
      <patternFill patternType="solid">
        <fgColor rgb="FF9FC5E8"/>
        <bgColor rgb="FF9FC5E8"/>
      </patternFill>
    </fill>
    <fill>
      <patternFill patternType="solid">
        <fgColor rgb="FF00FF00"/>
        <bgColor rgb="FF00FF00"/>
      </patternFill>
    </fill>
  </fills>
  <borders count="19">
    <border/>
    <border>
      <left style="medium">
        <color rgb="FFCCCCCC"/>
      </left>
      <right style="thin">
        <color rgb="FF000000"/>
      </right>
      <top style="medium">
        <color rgb="FFCCCCCC"/>
      </top>
      <bottom style="thick">
        <color rgb="FF000000"/>
      </bottom>
    </border>
    <border>
      <left/>
      <right style="medium">
        <color rgb="FFCCCCCC"/>
      </right>
      <top style="medium">
        <color rgb="FFCCCCCC"/>
      </top>
      <bottom style="thick">
        <color rgb="FF000000"/>
      </bottom>
    </border>
    <border>
      <left style="medium">
        <color rgb="FFCCCCCC"/>
      </left>
      <right style="medium">
        <color rgb="FFCCCCCC"/>
      </right>
      <top style="medium">
        <color rgb="FFCCCCCC"/>
      </top>
      <bottom style="thick">
        <color rgb="FF000000"/>
      </bottom>
    </border>
    <border>
      <left style="medium">
        <color rgb="FFCCCCCC"/>
      </left>
      <right style="medium">
        <color rgb="FFCCCCCC"/>
      </right>
      <top style="medium">
        <color rgb="FFCCCCCC"/>
      </top>
      <bottom style="medium">
        <color rgb="FFCCCCCC"/>
      </bottom>
    </border>
    <border>
      <left style="medium">
        <color rgb="FFCCCCCC"/>
      </left>
      <right style="thin">
        <color rgb="FF000000"/>
      </right>
      <top style="medium">
        <color rgb="FFCCCCCC"/>
      </top>
      <bottom style="medium">
        <color rgb="FFCCCCCC"/>
      </bottom>
    </border>
    <border>
      <right style="medium">
        <color rgb="FFCCCCCC"/>
      </right>
      <top style="medium">
        <color rgb="FFCCCCCC"/>
      </top>
      <bottom style="medium">
        <color rgb="FFCCCCCC"/>
      </bottom>
    </border>
    <border>
      <left/>
      <right style="medium">
        <color rgb="FFCCCCCC"/>
      </right>
      <top style="medium">
        <color rgb="FFCCCCCC"/>
      </top>
      <bottom style="medium">
        <color rgb="FFCCCCCC"/>
      </bottom>
    </border>
    <border>
      <right style="thin">
        <color rgb="FF000000"/>
      </right>
      <top style="medium">
        <color rgb="FFCCCCCC"/>
      </top>
    </border>
    <border>
      <right style="medium">
        <color rgb="FFCCCCCC"/>
      </right>
      <top style="medium">
        <color rgb="FFCCCCCC"/>
      </top>
    </border>
    <border>
      <left style="medium">
        <color rgb="FFCCCCCC"/>
      </left>
      <right style="medium">
        <color rgb="FFCCCCCC"/>
      </right>
      <top style="medium">
        <color rgb="FFCCCCCC"/>
      </top>
    </border>
    <border>
      <right style="thin">
        <color rgb="FF000000"/>
      </right>
    </border>
    <border>
      <left style="medium">
        <color rgb="FFCCCCCC"/>
      </left>
      <right style="thin">
        <color rgb="FF000000"/>
      </right>
      <bottom style="medium">
        <color rgb="FFCCCCCC"/>
      </bottom>
    </border>
    <border>
      <right style="medium">
        <color rgb="FFCCCCCC"/>
      </right>
      <bottom style="medium">
        <color rgb="FFCCCCCC"/>
      </bottom>
    </border>
    <border>
      <left style="medium">
        <color rgb="FFCCCCCC"/>
      </left>
      <right style="medium">
        <color rgb="FFCCCCCC"/>
      </right>
      <bottom style="medium">
        <color rgb="FFCCCCCC"/>
      </bottom>
    </border>
    <border>
      <left/>
      <right/>
      <top/>
      <bottom/>
    </border>
    <border>
      <right style="thin">
        <color rgb="FF000000"/>
      </right>
      <top style="medium">
        <color rgb="FFCCCCCC"/>
      </top>
      <bottom style="thick">
        <color rgb="FF000000"/>
      </bottom>
    </border>
    <border>
      <right style="medium">
        <color rgb="FFCCCCCC"/>
      </right>
      <top style="medium">
        <color rgb="FFCCCCCC"/>
      </top>
      <bottom style="thick">
        <color rgb="FF000000"/>
      </bottom>
    </border>
    <border>
      <left style="medium">
        <color rgb="FFCCCCCC"/>
      </left>
      <right style="medium">
        <color rgb="FFCCCCCC"/>
      </right>
      <top/>
      <bottom style="medium">
        <color rgb="FFCCCCCC"/>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0"/>
    </xf>
    <xf borderId="0" fillId="0" fontId="3" numFmtId="0" xfId="0" applyAlignment="1" applyFont="1">
      <alignment readingOrder="0"/>
    </xf>
    <xf borderId="1" fillId="2" fontId="4" numFmtId="0" xfId="0" applyAlignment="1" applyBorder="1" applyFill="1" applyFont="1">
      <alignment shrinkToFit="0" vertical="top" wrapText="1"/>
    </xf>
    <xf borderId="2" fillId="2" fontId="4" numFmtId="0" xfId="0" applyAlignment="1" applyBorder="1" applyFont="1">
      <alignment shrinkToFit="0" vertical="top" wrapText="1"/>
    </xf>
    <xf borderId="3" fillId="2" fontId="4" numFmtId="0" xfId="0" applyAlignment="1" applyBorder="1" applyFont="1">
      <alignment shrinkToFit="0" vertical="top" wrapText="1"/>
    </xf>
    <xf borderId="3" fillId="2" fontId="4" numFmtId="0" xfId="0" applyAlignment="1" applyBorder="1" applyFont="1">
      <alignment shrinkToFit="0" vertical="top" wrapText="0"/>
    </xf>
    <xf borderId="3" fillId="2" fontId="4" numFmtId="0" xfId="0" applyAlignment="1" applyBorder="1" applyFont="1">
      <alignment horizontal="left" shrinkToFit="0" vertical="top" wrapText="1"/>
    </xf>
    <xf borderId="3" fillId="2" fontId="5" numFmtId="0" xfId="0" applyAlignment="1" applyBorder="1" applyFont="1">
      <alignment shrinkToFit="0" vertical="top" wrapText="1"/>
    </xf>
    <xf borderId="3" fillId="3" fontId="4" numFmtId="0" xfId="0" applyAlignment="1" applyBorder="1" applyFill="1" applyFont="1">
      <alignment readingOrder="0" shrinkToFit="0" vertical="top" wrapText="1"/>
    </xf>
    <xf borderId="4" fillId="3" fontId="4" numFmtId="0" xfId="0" applyAlignment="1" applyBorder="1" applyFont="1">
      <alignment readingOrder="0" shrinkToFit="0" vertical="top" wrapText="1"/>
    </xf>
    <xf borderId="0" fillId="3" fontId="4" numFmtId="0" xfId="0" applyAlignment="1" applyFont="1">
      <alignment readingOrder="0" shrinkToFit="0" vertical="top" wrapText="1"/>
    </xf>
    <xf borderId="5" fillId="4" fontId="4" numFmtId="0" xfId="0" applyAlignment="1" applyBorder="1" applyFill="1" applyFont="1">
      <alignment shrinkToFit="0" vertical="top" wrapText="1"/>
    </xf>
    <xf borderId="6" fillId="4" fontId="6" numFmtId="0" xfId="0" applyAlignment="1" applyBorder="1" applyFont="1">
      <alignment shrinkToFit="0" vertical="top" wrapText="1"/>
    </xf>
    <xf borderId="4" fillId="4" fontId="6" numFmtId="0" xfId="0" applyAlignment="1" applyBorder="1" applyFont="1">
      <alignment shrinkToFit="0" vertical="top" wrapText="1"/>
    </xf>
    <xf borderId="4" fillId="4" fontId="6" numFmtId="0" xfId="0" applyAlignment="1" applyBorder="1" applyFont="1">
      <alignment shrinkToFit="0" vertical="top" wrapText="0"/>
    </xf>
    <xf borderId="4" fillId="4" fontId="6" numFmtId="0" xfId="0" applyAlignment="1" applyBorder="1" applyFont="1">
      <alignment horizontal="left" shrinkToFit="0" vertical="top" wrapText="1"/>
    </xf>
    <xf borderId="4" fillId="4" fontId="7" numFmtId="0" xfId="0" applyAlignment="1" applyBorder="1" applyFont="1">
      <alignment shrinkToFit="0" vertical="top" wrapText="1"/>
    </xf>
    <xf borderId="4" fillId="4" fontId="8" numFmtId="0" xfId="0" applyAlignment="1" applyBorder="1" applyFont="1">
      <alignment shrinkToFit="0" vertical="top" wrapText="1"/>
    </xf>
    <xf borderId="4" fillId="4" fontId="6" numFmtId="0" xfId="0" applyAlignment="1" applyBorder="1" applyFont="1">
      <alignment readingOrder="0" shrinkToFit="0" vertical="top" wrapText="1"/>
    </xf>
    <xf borderId="0" fillId="4" fontId="6" numFmtId="0" xfId="0" applyAlignment="1" applyFont="1">
      <alignment readingOrder="0" shrinkToFit="0" vertical="top" wrapText="1"/>
    </xf>
    <xf borderId="5" fillId="5" fontId="4" numFmtId="0" xfId="0" applyAlignment="1" applyBorder="1" applyFill="1" applyFont="1">
      <alignment shrinkToFit="0" vertical="top" wrapText="1"/>
    </xf>
    <xf borderId="6" fillId="5" fontId="6" numFmtId="0" xfId="0" applyAlignment="1" applyBorder="1" applyFont="1">
      <alignment shrinkToFit="0" vertical="top" wrapText="1"/>
    </xf>
    <xf borderId="4" fillId="5" fontId="6" numFmtId="0" xfId="0" applyAlignment="1" applyBorder="1" applyFont="1">
      <alignment shrinkToFit="0" vertical="top" wrapText="1"/>
    </xf>
    <xf borderId="4" fillId="5" fontId="6" numFmtId="0" xfId="0" applyAlignment="1" applyBorder="1" applyFont="1">
      <alignment shrinkToFit="0" vertical="top" wrapText="0"/>
    </xf>
    <xf borderId="4" fillId="5" fontId="6" numFmtId="0" xfId="0" applyAlignment="1" applyBorder="1" applyFont="1">
      <alignment horizontal="left" shrinkToFit="0" vertical="top" wrapText="1"/>
    </xf>
    <xf borderId="4" fillId="5" fontId="7" numFmtId="0" xfId="0" applyAlignment="1" applyBorder="1" applyFont="1">
      <alignment shrinkToFit="0" vertical="top" wrapText="1"/>
    </xf>
    <xf borderId="4" fillId="5" fontId="6" numFmtId="0" xfId="0" applyAlignment="1" applyBorder="1" applyFont="1">
      <alignment readingOrder="0" shrinkToFit="0" vertical="top" wrapText="1"/>
    </xf>
    <xf borderId="0" fillId="5" fontId="6" numFmtId="0" xfId="0" applyAlignment="1" applyFont="1">
      <alignment readingOrder="0" shrinkToFit="0" vertical="top" wrapText="1"/>
    </xf>
    <xf borderId="4" fillId="5" fontId="8" numFmtId="0" xfId="0" applyAlignment="1" applyBorder="1" applyFont="1">
      <alignment shrinkToFit="0" vertical="top" wrapText="1"/>
    </xf>
    <xf borderId="7" fillId="5" fontId="6" numFmtId="0" xfId="0" applyAlignment="1" applyBorder="1" applyFont="1">
      <alignment shrinkToFit="0" vertical="top" wrapText="1"/>
    </xf>
    <xf borderId="5" fillId="0" fontId="4" numFmtId="0" xfId="0" applyAlignment="1" applyBorder="1" applyFont="1">
      <alignment shrinkToFit="0" vertical="top" wrapText="1"/>
    </xf>
    <xf borderId="6" fillId="0" fontId="6" numFmtId="0" xfId="0" applyAlignment="1" applyBorder="1" applyFont="1">
      <alignment shrinkToFit="0" vertical="top" wrapText="1"/>
    </xf>
    <xf borderId="4" fillId="0" fontId="6" numFmtId="0" xfId="0" applyAlignment="1" applyBorder="1" applyFont="1">
      <alignment shrinkToFit="0" vertical="top" wrapText="1"/>
    </xf>
    <xf borderId="4" fillId="0" fontId="6" numFmtId="0" xfId="0" applyAlignment="1" applyBorder="1" applyFont="1">
      <alignment shrinkToFit="0" vertical="top" wrapText="0"/>
    </xf>
    <xf borderId="4" fillId="0" fontId="6" numFmtId="0" xfId="0" applyAlignment="1" applyBorder="1" applyFont="1">
      <alignment horizontal="left" shrinkToFit="0" vertical="top" wrapText="1"/>
    </xf>
    <xf borderId="4" fillId="0" fontId="7" numFmtId="0" xfId="0" applyAlignment="1" applyBorder="1" applyFont="1">
      <alignment shrinkToFit="0" vertical="top" wrapText="1"/>
    </xf>
    <xf borderId="4" fillId="6" fontId="6" numFmtId="0" xfId="0" applyAlignment="1" applyBorder="1" applyFill="1" applyFont="1">
      <alignment shrinkToFit="0" vertical="top" wrapText="1"/>
    </xf>
    <xf borderId="4" fillId="0" fontId="8" numFmtId="0" xfId="0" applyAlignment="1" applyBorder="1" applyFont="1">
      <alignment shrinkToFit="0" vertical="top" wrapText="1"/>
    </xf>
    <xf borderId="4" fillId="7" fontId="6" numFmtId="0" xfId="0" applyAlignment="1" applyBorder="1" applyFill="1" applyFont="1">
      <alignment readingOrder="0" shrinkToFit="0" vertical="top" wrapText="1"/>
    </xf>
    <xf borderId="0" fillId="7" fontId="6" numFmtId="0" xfId="0" applyAlignment="1" applyFont="1">
      <alignment readingOrder="0" shrinkToFit="0" vertical="top" wrapText="1"/>
    </xf>
    <xf borderId="4" fillId="8" fontId="7" numFmtId="0" xfId="0" applyAlignment="1" applyBorder="1" applyFill="1" applyFont="1">
      <alignment shrinkToFit="0" vertical="top" wrapText="1"/>
    </xf>
    <xf borderId="4" fillId="6" fontId="6" numFmtId="0" xfId="0" applyAlignment="1" applyBorder="1" applyFont="1">
      <alignment shrinkToFit="0" vertical="top" wrapText="0"/>
    </xf>
    <xf borderId="0" fillId="7" fontId="6" numFmtId="0" xfId="0" applyAlignment="1" applyFont="1">
      <alignment shrinkToFit="0" vertical="top" wrapText="1"/>
    </xf>
    <xf borderId="0" fillId="7" fontId="4" numFmtId="0" xfId="0" applyAlignment="1" applyFont="1">
      <alignment readingOrder="0" shrinkToFit="0" vertical="top" wrapText="1"/>
    </xf>
    <xf borderId="4" fillId="6" fontId="7" numFmtId="0" xfId="0" applyAlignment="1" applyBorder="1" applyFont="1">
      <alignment shrinkToFit="0" vertical="top" wrapText="1"/>
    </xf>
    <xf borderId="4" fillId="0" fontId="6" numFmtId="0" xfId="0" applyAlignment="1" applyBorder="1" applyFont="1">
      <alignment readingOrder="0" shrinkToFit="0" vertical="top" wrapText="1"/>
    </xf>
    <xf borderId="4" fillId="2" fontId="6" numFmtId="0" xfId="0" applyAlignment="1" applyBorder="1" applyFont="1">
      <alignment readingOrder="0" shrinkToFit="0" vertical="top" wrapText="1"/>
    </xf>
    <xf borderId="0" fillId="2" fontId="6" numFmtId="0" xfId="0" applyAlignment="1" applyFont="1">
      <alignment readingOrder="0" shrinkToFit="0" vertical="top" wrapText="1"/>
    </xf>
    <xf borderId="0" fillId="2" fontId="6" numFmtId="0" xfId="0" applyAlignment="1" applyFont="1">
      <alignment shrinkToFit="0" vertical="top" wrapText="1"/>
    </xf>
    <xf borderId="4" fillId="9" fontId="6" numFmtId="0" xfId="0" applyAlignment="1" applyBorder="1" applyFill="1" applyFont="1">
      <alignment readingOrder="0" shrinkToFit="0" vertical="top" wrapText="1"/>
    </xf>
    <xf borderId="0" fillId="9" fontId="6" numFmtId="0" xfId="0" applyAlignment="1" applyFont="1">
      <alignment shrinkToFit="0" vertical="top" wrapText="1"/>
    </xf>
    <xf borderId="0" fillId="9" fontId="6" numFmtId="0" xfId="0" applyAlignment="1" applyFont="1">
      <alignment readingOrder="0" shrinkToFit="0" vertical="top" wrapText="1"/>
    </xf>
    <xf borderId="0" fillId="9" fontId="4" numFmtId="0" xfId="0" applyAlignment="1" applyFont="1">
      <alignment readingOrder="0" shrinkToFit="0" vertical="top" wrapText="1"/>
    </xf>
    <xf borderId="0" fillId="5" fontId="6" numFmtId="0" xfId="0" applyAlignment="1" applyFont="1">
      <alignment shrinkToFit="0" vertical="top" wrapText="1"/>
    </xf>
    <xf borderId="4" fillId="10" fontId="6" numFmtId="0" xfId="0" applyAlignment="1" applyBorder="1" applyFill="1" applyFont="1">
      <alignment readingOrder="0" shrinkToFit="0" vertical="top" wrapText="1"/>
    </xf>
    <xf borderId="0" fillId="10" fontId="6" numFmtId="0" xfId="0" applyAlignment="1" applyFont="1">
      <alignment shrinkToFit="0" vertical="top" wrapText="1"/>
    </xf>
    <xf borderId="0" fillId="10" fontId="6" numFmtId="0" xfId="0" applyAlignment="1" applyFont="1">
      <alignment readingOrder="0" shrinkToFit="0" vertical="top" wrapText="1"/>
    </xf>
    <xf borderId="4" fillId="11" fontId="6" numFmtId="0" xfId="0" applyAlignment="1" applyBorder="1" applyFill="1" applyFont="1">
      <alignment readingOrder="0" shrinkToFit="0" vertical="top" wrapText="1"/>
    </xf>
    <xf borderId="0" fillId="11" fontId="6" numFmtId="0" xfId="0" applyAlignment="1" applyFont="1">
      <alignment readingOrder="0" shrinkToFit="0" vertical="top" wrapText="1"/>
    </xf>
    <xf borderId="0" fillId="11" fontId="6" numFmtId="0" xfId="0" applyAlignment="1" applyFont="1">
      <alignment shrinkToFit="0" vertical="top" wrapText="1"/>
    </xf>
    <xf borderId="4" fillId="6" fontId="6" numFmtId="0" xfId="0" applyAlignment="1" applyBorder="1" applyFont="1">
      <alignment horizontal="left" shrinkToFit="0" vertical="top" wrapText="1"/>
    </xf>
    <xf borderId="0" fillId="4" fontId="6" numFmtId="0" xfId="0" applyAlignment="1" applyFont="1">
      <alignment shrinkToFit="0" vertical="top" wrapText="1"/>
    </xf>
    <xf borderId="5" fillId="12" fontId="4" numFmtId="0" xfId="0" applyAlignment="1" applyBorder="1" applyFill="1" applyFont="1">
      <alignment shrinkToFit="0" vertical="top" wrapText="1"/>
    </xf>
    <xf borderId="6" fillId="12" fontId="6" numFmtId="0" xfId="0" applyAlignment="1" applyBorder="1" applyFont="1">
      <alignment readingOrder="0" shrinkToFit="0" vertical="top" wrapText="1"/>
    </xf>
    <xf borderId="4" fillId="12" fontId="6" numFmtId="0" xfId="0" applyAlignment="1" applyBorder="1" applyFont="1">
      <alignment shrinkToFit="0" vertical="top" wrapText="1"/>
    </xf>
    <xf borderId="4" fillId="12" fontId="6" numFmtId="0" xfId="0" applyAlignment="1" applyBorder="1" applyFont="1">
      <alignment shrinkToFit="0" vertical="top" wrapText="0"/>
    </xf>
    <xf borderId="4" fillId="12" fontId="6" numFmtId="0" xfId="0" applyAlignment="1" applyBorder="1" applyFont="1">
      <alignment horizontal="left" shrinkToFit="0" vertical="top" wrapText="1"/>
    </xf>
    <xf borderId="4" fillId="12" fontId="7" numFmtId="0" xfId="0" applyAlignment="1" applyBorder="1" applyFont="1">
      <alignment shrinkToFit="0" vertical="top" wrapText="1"/>
    </xf>
    <xf borderId="4" fillId="12" fontId="8" numFmtId="0" xfId="0" applyAlignment="1" applyBorder="1" applyFont="1">
      <alignment shrinkToFit="0" vertical="top" wrapText="1"/>
    </xf>
    <xf borderId="0" fillId="12" fontId="6" numFmtId="0" xfId="0" applyAlignment="1" applyFont="1">
      <alignment readingOrder="0" shrinkToFit="0" vertical="top" wrapText="1"/>
    </xf>
    <xf borderId="8" fillId="4" fontId="4" numFmtId="0" xfId="0" applyAlignment="1" applyBorder="1" applyFont="1">
      <alignment shrinkToFit="0" vertical="top" wrapText="1"/>
    </xf>
    <xf borderId="9" fillId="4" fontId="6" numFmtId="0" xfId="0" applyAlignment="1" applyBorder="1" applyFont="1">
      <alignment shrinkToFit="0" vertical="top" wrapText="1"/>
    </xf>
    <xf borderId="10" fillId="4" fontId="6" numFmtId="0" xfId="0" applyAlignment="1" applyBorder="1" applyFont="1">
      <alignment shrinkToFit="0" vertical="top" wrapText="1"/>
    </xf>
    <xf borderId="10" fillId="4" fontId="6" numFmtId="0" xfId="0" applyAlignment="1" applyBorder="1" applyFont="1">
      <alignment shrinkToFit="0" vertical="top" wrapText="0"/>
    </xf>
    <xf borderId="10" fillId="4" fontId="6" numFmtId="0" xfId="0" applyAlignment="1" applyBorder="1" applyFont="1">
      <alignment horizontal="left" shrinkToFit="0" vertical="top" wrapText="1"/>
    </xf>
    <xf borderId="10" fillId="4" fontId="7" numFmtId="0" xfId="0" applyAlignment="1" applyBorder="1" applyFont="1">
      <alignment shrinkToFit="0" vertical="top" wrapText="1"/>
    </xf>
    <xf borderId="10" fillId="4" fontId="8" numFmtId="0" xfId="0" applyAlignment="1" applyBorder="1" applyFont="1">
      <alignment shrinkToFit="0" vertical="top" wrapText="1"/>
    </xf>
    <xf borderId="10" fillId="4" fontId="6" numFmtId="0" xfId="0" applyAlignment="1" applyBorder="1" applyFont="1">
      <alignment readingOrder="0" shrinkToFit="0" vertical="top" wrapText="1"/>
    </xf>
    <xf borderId="11" fillId="4" fontId="4" numFmtId="0" xfId="0" applyAlignment="1" applyBorder="1" applyFont="1">
      <alignment shrinkToFit="0" vertical="top" wrapText="1"/>
    </xf>
    <xf borderId="0" fillId="4" fontId="6" numFmtId="0" xfId="0" applyAlignment="1" applyFont="1">
      <alignment shrinkToFit="0" vertical="top" wrapText="0"/>
    </xf>
    <xf borderId="0" fillId="4" fontId="6" numFmtId="0" xfId="0" applyAlignment="1" applyFont="1">
      <alignment horizontal="left" shrinkToFit="0" vertical="top" wrapText="1"/>
    </xf>
    <xf borderId="0" fillId="4" fontId="7" numFmtId="0" xfId="0" applyAlignment="1" applyFont="1">
      <alignment shrinkToFit="0" vertical="top" wrapText="1"/>
    </xf>
    <xf borderId="0" fillId="4" fontId="8" numFmtId="0" xfId="0" applyAlignment="1" applyFont="1">
      <alignment shrinkToFit="0" wrapText="1"/>
    </xf>
    <xf borderId="0" fillId="4" fontId="8" numFmtId="0" xfId="0" applyAlignment="1" applyFont="1">
      <alignment shrinkToFit="0" vertical="top" wrapText="1"/>
    </xf>
    <xf borderId="12" fillId="0" fontId="9" numFmtId="0" xfId="0" applyAlignment="1" applyBorder="1" applyFont="1">
      <alignment shrinkToFit="0" vertical="top" wrapText="1"/>
    </xf>
    <xf borderId="13" fillId="0" fontId="8" numFmtId="0" xfId="0" applyAlignment="1" applyBorder="1" applyFont="1">
      <alignment shrinkToFit="0" vertical="top" wrapText="1"/>
    </xf>
    <xf borderId="14" fillId="0" fontId="8" numFmtId="0" xfId="0" applyAlignment="1" applyBorder="1" applyFont="1">
      <alignment shrinkToFit="0" vertical="top" wrapText="1"/>
    </xf>
    <xf borderId="14" fillId="0" fontId="8" numFmtId="0" xfId="0" applyAlignment="1" applyBorder="1" applyFont="1">
      <alignment shrinkToFit="0" vertical="top" wrapText="0"/>
    </xf>
    <xf borderId="14" fillId="0" fontId="8" numFmtId="0" xfId="0" applyAlignment="1" applyBorder="1" applyFont="1">
      <alignment horizontal="left" shrinkToFit="0" vertical="top" wrapText="1"/>
    </xf>
    <xf borderId="14" fillId="7" fontId="6" numFmtId="0" xfId="0" applyAlignment="1" applyBorder="1" applyFont="1">
      <alignment shrinkToFit="0" vertical="top" wrapText="1"/>
    </xf>
    <xf borderId="5" fillId="0" fontId="9" numFmtId="0" xfId="0" applyAlignment="1" applyBorder="1" applyFont="1">
      <alignment shrinkToFit="0" vertical="top" wrapText="1"/>
    </xf>
    <xf borderId="6" fillId="0" fontId="8" numFmtId="0" xfId="0" applyAlignment="1" applyBorder="1" applyFont="1">
      <alignment shrinkToFit="0" vertical="top" wrapText="1"/>
    </xf>
    <xf borderId="4" fillId="0" fontId="8" numFmtId="0" xfId="0" applyAlignment="1" applyBorder="1" applyFont="1">
      <alignment shrinkToFit="0" vertical="top" wrapText="0"/>
    </xf>
    <xf borderId="4" fillId="0" fontId="8" numFmtId="0" xfId="0" applyAlignment="1" applyBorder="1" applyFont="1">
      <alignment horizontal="left" shrinkToFit="0" vertical="top" wrapText="1"/>
    </xf>
    <xf borderId="4" fillId="7" fontId="6" numFmtId="0" xfId="0" applyAlignment="1" applyBorder="1" applyFont="1">
      <alignment shrinkToFit="0" vertical="top" wrapText="1"/>
    </xf>
    <xf borderId="0" fillId="0" fontId="8" numFmtId="0" xfId="0" applyAlignment="1" applyFont="1">
      <alignment horizontal="left" shrinkToFit="0" vertical="top" wrapText="1"/>
    </xf>
    <xf borderId="0" fillId="0" fontId="8" numFmtId="0" xfId="0" applyAlignment="1" applyFont="1">
      <alignment horizontal="left" shrinkToFit="0" vertical="top" wrapText="0"/>
    </xf>
    <xf borderId="0" fillId="7" fontId="6" numFmtId="0" xfId="0" applyAlignment="1" applyFont="1">
      <alignment horizontal="left" shrinkToFit="0" vertical="top" wrapText="1"/>
    </xf>
    <xf borderId="15" fillId="3" fontId="4" numFmtId="0" xfId="0" applyAlignment="1" applyBorder="1" applyFont="1">
      <alignment readingOrder="0" shrinkToFit="0" wrapText="1"/>
    </xf>
    <xf borderId="0" fillId="3" fontId="4" numFmtId="0" xfId="0" applyAlignment="1" applyFont="1">
      <alignment readingOrder="0" shrinkToFit="0" wrapText="1"/>
    </xf>
    <xf borderId="4" fillId="0" fontId="4" numFmtId="0" xfId="0" applyAlignment="1" applyBorder="1" applyFont="1">
      <alignment shrinkToFit="0" vertical="top" wrapText="1"/>
    </xf>
    <xf borderId="0" fillId="7" fontId="6" numFmtId="0" xfId="0" applyAlignment="1" applyFont="1">
      <alignment readingOrder="0" shrinkToFit="0" wrapText="1"/>
    </xf>
    <xf borderId="0" fillId="7" fontId="6" numFmtId="0" xfId="0" applyAlignment="1" applyFont="1">
      <alignment shrinkToFit="0" wrapText="1"/>
    </xf>
    <xf borderId="0" fillId="0" fontId="10" numFmtId="0" xfId="0" applyAlignment="1" applyFont="1">
      <alignment readingOrder="0" vertical="bottom"/>
    </xf>
    <xf borderId="4" fillId="4" fontId="4" numFmtId="0" xfId="0" applyAlignment="1" applyBorder="1" applyFont="1">
      <alignment shrinkToFit="0" vertical="top" wrapText="1"/>
    </xf>
    <xf borderId="0" fillId="4" fontId="6" numFmtId="0" xfId="0" applyAlignment="1" applyFont="1">
      <alignment readingOrder="0" shrinkToFit="0" wrapText="1"/>
    </xf>
    <xf borderId="4" fillId="5" fontId="4" numFmtId="0" xfId="0" applyAlignment="1" applyBorder="1" applyFont="1">
      <alignment shrinkToFit="0" vertical="top" wrapText="1"/>
    </xf>
    <xf borderId="0" fillId="5" fontId="6" numFmtId="0" xfId="0" applyAlignment="1" applyFont="1">
      <alignment readingOrder="0" shrinkToFit="0" wrapText="1"/>
    </xf>
    <xf borderId="0" fillId="7" fontId="11" numFmtId="0" xfId="0" applyAlignment="1" applyFont="1">
      <alignment horizontal="left" readingOrder="0" shrinkToFit="0" wrapText="1"/>
    </xf>
    <xf borderId="0" fillId="7" fontId="4" numFmtId="0" xfId="0" applyAlignment="1" applyFont="1">
      <alignment readingOrder="0" shrinkToFit="0" wrapText="1"/>
    </xf>
    <xf borderId="0" fillId="7" fontId="6" numFmtId="0" xfId="0" applyAlignment="1" applyFont="1">
      <alignment readingOrder="0" shrinkToFit="0" wrapText="1"/>
    </xf>
    <xf borderId="0" fillId="2" fontId="6" numFmtId="0" xfId="0" applyAlignment="1" applyFont="1">
      <alignment readingOrder="0" shrinkToFit="0" wrapText="1"/>
    </xf>
    <xf borderId="0" fillId="9" fontId="6" numFmtId="0" xfId="0" applyAlignment="1" applyFont="1">
      <alignment readingOrder="0" shrinkToFit="0" wrapText="1"/>
    </xf>
    <xf borderId="0" fillId="9" fontId="6" numFmtId="0" xfId="0" applyAlignment="1" applyFont="1">
      <alignment shrinkToFit="0" wrapText="1"/>
    </xf>
    <xf borderId="0" fillId="10" fontId="6" numFmtId="0" xfId="0" applyAlignment="1" applyFont="1">
      <alignment readingOrder="0" shrinkToFit="0" wrapText="1"/>
    </xf>
    <xf borderId="0" fillId="11" fontId="6" numFmtId="0" xfId="0" applyAlignment="1" applyFont="1">
      <alignment readingOrder="0" shrinkToFit="0" wrapText="1"/>
    </xf>
    <xf borderId="0" fillId="11" fontId="6" numFmtId="0" xfId="0" applyAlignment="1" applyFont="1">
      <alignment shrinkToFit="0" wrapText="1"/>
    </xf>
    <xf borderId="4" fillId="6" fontId="12" numFmtId="0" xfId="0" applyAlignment="1" applyBorder="1" applyFont="1">
      <alignment shrinkToFit="0" vertical="top" wrapText="0"/>
    </xf>
    <xf borderId="3" fillId="0" fontId="4" numFmtId="0" xfId="0" applyAlignment="1" applyBorder="1" applyFont="1">
      <alignment shrinkToFit="0" vertical="top" wrapText="1"/>
    </xf>
    <xf borderId="3" fillId="0" fontId="6" numFmtId="0" xfId="0" applyAlignment="1" applyBorder="1" applyFont="1">
      <alignment shrinkToFit="0" vertical="top" wrapText="1"/>
    </xf>
    <xf borderId="3" fillId="0" fontId="6" numFmtId="0" xfId="0" applyAlignment="1" applyBorder="1" applyFont="1">
      <alignment shrinkToFit="0" vertical="top" wrapText="0"/>
    </xf>
    <xf borderId="3" fillId="6" fontId="6" numFmtId="0" xfId="0" applyAlignment="1" applyBorder="1" applyFont="1">
      <alignment shrinkToFit="0" vertical="top" wrapText="0"/>
    </xf>
    <xf borderId="3" fillId="6" fontId="13" numFmtId="0" xfId="0" applyAlignment="1" applyBorder="1" applyFont="1">
      <alignment shrinkToFit="0" vertical="top" wrapText="0"/>
    </xf>
    <xf borderId="0" fillId="0" fontId="4" numFmtId="0" xfId="0" applyAlignment="1" applyFont="1">
      <alignment shrinkToFit="0" vertical="top" wrapText="1"/>
    </xf>
    <xf borderId="0" fillId="0" fontId="6" numFmtId="0" xfId="0" applyAlignment="1" applyFont="1">
      <alignment shrinkToFit="0" vertical="top" wrapText="1"/>
    </xf>
    <xf borderId="0" fillId="0" fontId="6" numFmtId="0" xfId="0" applyAlignment="1" applyFont="1">
      <alignment shrinkToFit="0" vertical="top" wrapText="0"/>
    </xf>
    <xf borderId="0" fillId="6" fontId="6" numFmtId="0" xfId="0" applyAlignment="1" applyFont="1">
      <alignment shrinkToFit="0" vertical="top" wrapText="1"/>
    </xf>
    <xf borderId="14" fillId="0" fontId="4" numFmtId="0" xfId="0" applyAlignment="1" applyBorder="1" applyFont="1">
      <alignment shrinkToFit="0" vertical="top" wrapText="1"/>
    </xf>
    <xf borderId="14" fillId="0" fontId="6" numFmtId="0" xfId="0" applyAlignment="1" applyBorder="1" applyFont="1">
      <alignment shrinkToFit="0" vertical="top" wrapText="1"/>
    </xf>
    <xf borderId="14" fillId="0" fontId="6" numFmtId="0" xfId="0" applyAlignment="1" applyBorder="1" applyFont="1">
      <alignment shrinkToFit="0" vertical="top" wrapText="0"/>
    </xf>
    <xf borderId="0" fillId="0" fontId="6" numFmtId="0" xfId="0" applyFont="1"/>
    <xf borderId="0" fillId="0" fontId="6" numFmtId="0" xfId="0" applyAlignment="1" applyFont="1">
      <alignment shrinkToFit="0" wrapText="0"/>
    </xf>
    <xf borderId="0" fillId="4" fontId="4" numFmtId="0" xfId="0" applyAlignment="1" applyFont="1">
      <alignment readingOrder="0" shrinkToFit="0" vertical="top" wrapText="0"/>
    </xf>
    <xf borderId="0" fillId="4" fontId="6" numFmtId="0" xfId="0" applyAlignment="1" applyFont="1">
      <alignment shrinkToFit="0" wrapText="1"/>
    </xf>
    <xf borderId="10" fillId="4" fontId="4" numFmtId="0" xfId="0" applyAlignment="1" applyBorder="1" applyFont="1">
      <alignment shrinkToFit="0" vertical="top" wrapText="1"/>
    </xf>
    <xf borderId="5" fillId="10" fontId="4" numFmtId="0" xfId="0" applyAlignment="1" applyBorder="1" applyFont="1">
      <alignment shrinkToFit="0" vertical="top" wrapText="1"/>
    </xf>
    <xf borderId="6" fillId="10" fontId="6" numFmtId="0" xfId="0" applyAlignment="1" applyBorder="1" applyFont="1">
      <alignment shrinkToFit="0" vertical="top" wrapText="1"/>
    </xf>
    <xf borderId="4" fillId="10" fontId="6" numFmtId="0" xfId="0" applyAlignment="1" applyBorder="1" applyFont="1">
      <alignment shrinkToFit="0" vertical="top" wrapText="1"/>
    </xf>
    <xf borderId="4" fillId="10" fontId="6" numFmtId="0" xfId="0" applyAlignment="1" applyBorder="1" applyFont="1">
      <alignment horizontal="left" shrinkToFit="0" vertical="top" wrapText="1"/>
    </xf>
    <xf borderId="4" fillId="10" fontId="7" numFmtId="0" xfId="0" applyAlignment="1" applyBorder="1" applyFont="1">
      <alignment shrinkToFit="0" vertical="top" wrapText="1"/>
    </xf>
    <xf borderId="4" fillId="10" fontId="8" numFmtId="0" xfId="0" applyAlignment="1" applyBorder="1" applyFont="1">
      <alignment shrinkToFit="0" vertical="top" wrapText="1"/>
    </xf>
    <xf borderId="7" fillId="10" fontId="6" numFmtId="0" xfId="0" applyAlignment="1" applyBorder="1" applyFont="1">
      <alignment shrinkToFit="0" vertical="top" wrapText="1"/>
    </xf>
    <xf borderId="16" fillId="0" fontId="4" numFmtId="0" xfId="0" applyAlignment="1" applyBorder="1" applyFont="1">
      <alignment shrinkToFit="0" vertical="top" wrapText="1"/>
    </xf>
    <xf borderId="17" fillId="0" fontId="6" numFmtId="0" xfId="0" applyAlignment="1" applyBorder="1" applyFont="1">
      <alignment shrinkToFit="0" vertical="top" wrapText="1"/>
    </xf>
    <xf borderId="3" fillId="6" fontId="6" numFmtId="0" xfId="0" applyAlignment="1" applyBorder="1" applyFont="1">
      <alignment shrinkToFit="0" vertical="top" wrapText="1"/>
    </xf>
    <xf borderId="3" fillId="0" fontId="6" numFmtId="0" xfId="0" applyAlignment="1" applyBorder="1" applyFont="1">
      <alignment horizontal="left" shrinkToFit="0" vertical="top" wrapText="1"/>
    </xf>
    <xf borderId="3" fillId="0" fontId="7" numFmtId="0" xfId="0" applyAlignment="1" applyBorder="1" applyFont="1">
      <alignment shrinkToFit="0" vertical="top" wrapText="1"/>
    </xf>
    <xf borderId="3" fillId="0" fontId="8" numFmtId="0" xfId="0" applyAlignment="1" applyBorder="1" applyFont="1">
      <alignment shrinkToFit="0" vertical="top" wrapText="1"/>
    </xf>
    <xf borderId="13" fillId="0" fontId="6" numFmtId="0" xfId="0" applyAlignment="1" applyBorder="1" applyFont="1">
      <alignment shrinkToFit="0" vertical="top" wrapText="1"/>
    </xf>
    <xf borderId="14" fillId="0" fontId="6" numFmtId="0" xfId="0" applyAlignment="1" applyBorder="1" applyFont="1">
      <alignment horizontal="left" shrinkToFit="0" vertical="top" wrapText="1"/>
    </xf>
    <xf borderId="14" fillId="0" fontId="7" numFmtId="0" xfId="0" applyAlignment="1" applyBorder="1" applyFont="1">
      <alignment shrinkToFit="0" vertical="top" wrapText="1"/>
    </xf>
    <xf borderId="14" fillId="0" fontId="8" numFmtId="0" xfId="0" applyAlignment="1" applyBorder="1" applyFont="1">
      <alignment shrinkToFit="0" wrapText="1"/>
    </xf>
    <xf borderId="0" fillId="5" fontId="6" numFmtId="0" xfId="0" applyAlignment="1" applyFont="1">
      <alignment shrinkToFit="0" wrapText="1"/>
    </xf>
    <xf borderId="10" fillId="0" fontId="6" numFmtId="0" xfId="0" applyAlignment="1" applyBorder="1" applyFont="1">
      <alignment shrinkToFit="0" vertical="top" wrapText="1"/>
    </xf>
    <xf borderId="10" fillId="0" fontId="6" numFmtId="0" xfId="0" applyAlignment="1" applyBorder="1" applyFont="1">
      <alignment shrinkToFit="0" vertical="top" wrapText="0"/>
    </xf>
    <xf borderId="10" fillId="7" fontId="6" numFmtId="0" xfId="0" applyAlignment="1" applyBorder="1" applyFont="1">
      <alignment shrinkToFit="0" vertical="top" wrapText="1"/>
    </xf>
    <xf borderId="3" fillId="7" fontId="6" numFmtId="0" xfId="0" applyAlignment="1" applyBorder="1" applyFont="1">
      <alignment shrinkToFit="0" vertical="top" wrapText="1"/>
    </xf>
    <xf borderId="18" fillId="6" fontId="6" numFmtId="0" xfId="0" applyAlignment="1" applyBorder="1" applyFont="1">
      <alignment shrinkToFit="0" vertical="top" wrapText="1"/>
    </xf>
    <xf borderId="0" fillId="0" fontId="6" numFmtId="0" xfId="0" applyAlignment="1" applyFont="1">
      <alignment shrinkToFit="0" wrapText="1"/>
    </xf>
    <xf borderId="6" fillId="0" fontId="6" numFmtId="0" xfId="0" applyAlignment="1" applyBorder="1" applyFont="1">
      <alignment readingOrder="0" shrinkToFit="0" vertical="top" wrapText="1"/>
    </xf>
    <xf borderId="15" fillId="3" fontId="4" numFmtId="0" xfId="0" applyAlignment="1" applyBorder="1" applyFont="1">
      <alignment readingOrder="0"/>
    </xf>
    <xf borderId="0" fillId="7" fontId="6" numFmtId="0" xfId="0" applyAlignment="1" applyFont="1">
      <alignment readingOrder="0"/>
    </xf>
    <xf borderId="0" fillId="7" fontId="6" numFmtId="0" xfId="0" applyFont="1"/>
    <xf borderId="0" fillId="0" fontId="10" numFmtId="0" xfId="0" applyAlignment="1" applyFont="1">
      <alignment vertical="bottom"/>
    </xf>
    <xf borderId="0" fillId="0" fontId="6" numFmtId="0" xfId="0" applyAlignment="1" applyFont="1">
      <alignment readingOrder="0" shrinkToFit="0" wrapText="1"/>
    </xf>
    <xf borderId="0" fillId="0" fontId="1" numFmtId="0" xfId="0" applyFont="1"/>
    <xf borderId="0" fillId="13" fontId="14" numFmtId="0" xfId="0" applyAlignment="1" applyFill="1" applyFont="1">
      <alignment readingOrder="0" shrinkToFit="0" wrapText="1"/>
    </xf>
    <xf borderId="0" fillId="14" fontId="6" numFmtId="0" xfId="0" applyAlignment="1" applyFill="1" applyFont="1">
      <alignment readingOrder="0" shrinkToFit="0" wrapText="1"/>
    </xf>
    <xf borderId="0" fillId="13" fontId="6" numFmtId="0" xfId="0" applyAlignment="1" applyFont="1">
      <alignment readingOrder="0" shrinkToFit="0" wrapText="1"/>
    </xf>
    <xf borderId="4" fillId="4" fontId="8" numFmtId="0" xfId="0" applyAlignment="1" applyBorder="1" applyFont="1">
      <alignment readingOrder="0" shrinkToFit="0" vertical="top" wrapText="1"/>
    </xf>
    <xf borderId="4" fillId="13" fontId="8" numFmtId="0" xfId="0" applyAlignment="1" applyBorder="1" applyFont="1">
      <alignment readingOrder="0" shrinkToFit="0" vertical="top" wrapText="1"/>
    </xf>
    <xf borderId="0" fillId="0" fontId="8" numFmtId="0" xfId="0" applyAlignment="1" applyFont="1">
      <alignment readingOrder="0" shrinkToFit="0" vertical="top" wrapText="1"/>
    </xf>
    <xf borderId="4" fillId="10" fontId="8" numFmtId="0" xfId="0" applyAlignment="1" applyBorder="1" applyFont="1">
      <alignment readingOrder="0" shrinkToFit="0" vertical="top" wrapText="1"/>
    </xf>
    <xf borderId="4" fillId="5" fontId="8" numFmtId="0" xfId="0" applyAlignment="1" applyBorder="1" applyFont="1">
      <alignment readingOrder="0" shrinkToFit="0" vertical="top" wrapText="1"/>
    </xf>
    <xf borderId="0" fillId="15" fontId="10" numFmtId="0" xfId="0" applyAlignment="1" applyFill="1" applyFont="1">
      <alignment vertical="bottom"/>
    </xf>
    <xf borderId="0" fillId="0" fontId="10" numFmtId="0" xfId="0" applyAlignment="1" applyFont="1">
      <alignment vertical="bottom"/>
    </xf>
    <xf borderId="0" fillId="0" fontId="15" numFmtId="0" xfId="0" applyAlignment="1" applyFont="1">
      <alignment vertical="bottom"/>
    </xf>
    <xf borderId="0" fillId="0" fontId="16" numFmtId="0" xfId="0" applyAlignment="1" applyFont="1">
      <alignment vertical="bottom"/>
    </xf>
    <xf borderId="0" fillId="12" fontId="10" numFmtId="0" xfId="0" applyAlignment="1" applyFont="1">
      <alignment vertical="bottom"/>
    </xf>
    <xf borderId="0" fillId="12" fontId="10" numFmtId="0" xfId="0" applyAlignment="1" applyFont="1">
      <alignment vertical="bottom"/>
    </xf>
    <xf borderId="0" fillId="0" fontId="10" numFmtId="0" xfId="0" applyAlignment="1" applyFont="1">
      <alignment horizontal="right" vertical="bottom"/>
    </xf>
    <xf borderId="0" fillId="0" fontId="17" numFmtId="0" xfId="0" applyAlignment="1" applyFont="1">
      <alignment vertical="bottom"/>
    </xf>
    <xf borderId="0" fillId="0" fontId="18" numFmtId="0" xfId="0" applyAlignment="1" applyFont="1">
      <alignment vertical="bottom"/>
    </xf>
    <xf borderId="0" fillId="0" fontId="16"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gPeOo-iBK-f25qxPnB9CabJiQ3U2ShircKU2sjO8nfs/edit?gid=642089424" TargetMode="External"/><Relationship Id="rId2" Type="http://schemas.openxmlformats.org/officeDocument/2006/relationships/hyperlink" Target="https://www.freecodecamp.org/news/google-sheets-multiple-data-validation-selections/"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gmcpherson@fs.fed.us" TargetMode="External"/><Relationship Id="rId2" Type="http://schemas.openxmlformats.org/officeDocument/2006/relationships/hyperlink" Target="mailto:gmcpherson@fs.fed.us"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gmcpherson@fs.fed.us" TargetMode="External"/><Relationship Id="rId2" Type="http://schemas.openxmlformats.org/officeDocument/2006/relationships/hyperlink" Target="mailto:gmcpherson@fs.fed.us"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gmcpherson@fs.fed.us" TargetMode="External"/><Relationship Id="rId2" Type="http://schemas.openxmlformats.org/officeDocument/2006/relationships/hyperlink" Target="mailto:gmcpherson@fs.fed.us"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8"/>
  </cols>
  <sheetData>
    <row r="1">
      <c r="A1" s="1" t="s">
        <v>0</v>
      </c>
    </row>
    <row r="2">
      <c r="A2" s="2" t="s">
        <v>1</v>
      </c>
    </row>
    <row r="7">
      <c r="A7" s="1" t="s">
        <v>2</v>
      </c>
    </row>
    <row r="17">
      <c r="A17" s="3" t="s">
        <v>3</v>
      </c>
    </row>
  </sheetData>
  <hyperlinks>
    <hyperlink r:id="rId1" location="gid=642089424" ref="A2"/>
    <hyperlink r:id="rId2" ref="A1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0" topLeftCell="U1" activePane="topRight" state="frozen"/>
      <selection activeCell="V2" sqref="V2" pane="topRight"/>
    </sheetView>
  </sheetViews>
  <sheetFormatPr customHeight="1" defaultColWidth="12.63" defaultRowHeight="15.75"/>
  <cols>
    <col customWidth="1" min="1" max="1" width="3.75"/>
    <col customWidth="1" min="2" max="2" width="9.38"/>
    <col customWidth="1" min="3" max="3" width="4.38"/>
    <col customWidth="1" min="4" max="4" width="9.38"/>
    <col customWidth="1" hidden="1" min="5" max="5" width="9.38"/>
    <col customWidth="1" hidden="1" min="6" max="6" width="7.75"/>
    <col customWidth="1" min="7" max="7" width="20.5"/>
    <col customWidth="1" hidden="1" min="8" max="8" width="9.38"/>
    <col customWidth="1" hidden="1" min="9" max="9" width="9.5"/>
    <col customWidth="1" hidden="1" min="10" max="19" width="9.38"/>
    <col customWidth="1" hidden="1" min="20" max="20" width="24.63"/>
    <col customWidth="1" min="21" max="21" width="52.75"/>
    <col customWidth="1" hidden="1" min="22" max="40" width="9.38"/>
    <col customWidth="1" hidden="1" min="41" max="41" width="20.88"/>
    <col customWidth="1" hidden="1" min="42" max="42" width="25.75"/>
    <col customWidth="1" min="43" max="43" width="23.88"/>
    <col customWidth="1" min="44" max="44" width="7.13"/>
    <col customWidth="1" min="45" max="45" width="27.63"/>
  </cols>
  <sheetData>
    <row r="1">
      <c r="A1" s="4" t="s">
        <v>4</v>
      </c>
      <c r="B1" s="5" t="s">
        <v>5</v>
      </c>
      <c r="C1" s="6" t="s">
        <v>6</v>
      </c>
      <c r="D1" s="6" t="s">
        <v>7</v>
      </c>
      <c r="E1" s="6" t="s">
        <v>8</v>
      </c>
      <c r="F1" s="6" t="s">
        <v>9</v>
      </c>
      <c r="G1" s="7" t="s">
        <v>10</v>
      </c>
      <c r="H1" s="8" t="s">
        <v>11</v>
      </c>
      <c r="I1" s="6" t="s">
        <v>12</v>
      </c>
      <c r="J1" s="6" t="s">
        <v>13</v>
      </c>
      <c r="K1" s="6" t="s">
        <v>14</v>
      </c>
      <c r="L1" s="6" t="s">
        <v>15</v>
      </c>
      <c r="M1" s="6" t="s">
        <v>16</v>
      </c>
      <c r="N1" s="6" t="s">
        <v>17</v>
      </c>
      <c r="O1" s="6" t="s">
        <v>18</v>
      </c>
      <c r="P1" s="6" t="s">
        <v>19</v>
      </c>
      <c r="Q1" s="6" t="s">
        <v>20</v>
      </c>
      <c r="R1" s="6" t="s">
        <v>21</v>
      </c>
      <c r="S1" s="6" t="s">
        <v>22</v>
      </c>
      <c r="T1" s="6" t="s">
        <v>23</v>
      </c>
      <c r="U1" s="7" t="s">
        <v>24</v>
      </c>
      <c r="V1" s="6" t="s">
        <v>25</v>
      </c>
      <c r="W1" s="6" t="s">
        <v>26</v>
      </c>
      <c r="X1" s="9" t="s">
        <v>27</v>
      </c>
      <c r="Y1" s="6" t="s">
        <v>28</v>
      </c>
      <c r="Z1" s="6" t="s">
        <v>29</v>
      </c>
      <c r="AA1" s="6" t="s">
        <v>30</v>
      </c>
      <c r="AB1" s="6" t="s">
        <v>31</v>
      </c>
      <c r="AC1" s="6" t="s">
        <v>32</v>
      </c>
      <c r="AD1" s="6" t="s">
        <v>33</v>
      </c>
      <c r="AE1" s="6" t="s">
        <v>34</v>
      </c>
      <c r="AF1" s="6" t="s">
        <v>35</v>
      </c>
      <c r="AG1" s="6" t="s">
        <v>36</v>
      </c>
      <c r="AH1" s="6" t="s">
        <v>37</v>
      </c>
      <c r="AI1" s="6" t="s">
        <v>38</v>
      </c>
      <c r="AJ1" s="6" t="s">
        <v>39</v>
      </c>
      <c r="AK1" s="6" t="s">
        <v>40</v>
      </c>
      <c r="AL1" s="6" t="s">
        <v>41</v>
      </c>
      <c r="AM1" s="6" t="s">
        <v>42</v>
      </c>
      <c r="AN1" s="6" t="s">
        <v>43</v>
      </c>
      <c r="AO1" s="6" t="s">
        <v>44</v>
      </c>
      <c r="AP1" s="6" t="s">
        <v>45</v>
      </c>
      <c r="AQ1" s="10" t="s">
        <v>46</v>
      </c>
      <c r="AR1" s="11" t="s">
        <v>47</v>
      </c>
      <c r="AS1" s="12" t="s">
        <v>48</v>
      </c>
    </row>
    <row r="2">
      <c r="A2" s="13">
        <v>5.0</v>
      </c>
      <c r="B2" s="14">
        <v>3.64027039E8</v>
      </c>
      <c r="C2" s="15" t="s">
        <v>49</v>
      </c>
      <c r="D2" s="15" t="s">
        <v>50</v>
      </c>
      <c r="E2" s="15" t="s">
        <v>51</v>
      </c>
      <c r="F2" s="15" t="s">
        <v>52</v>
      </c>
      <c r="G2" s="16" t="s">
        <v>53</v>
      </c>
      <c r="H2" s="17">
        <v>2002.0</v>
      </c>
      <c r="I2" s="15" t="s">
        <v>54</v>
      </c>
      <c r="J2" s="15" t="s">
        <v>55</v>
      </c>
      <c r="K2" s="15" t="s">
        <v>56</v>
      </c>
      <c r="L2" s="15" t="s">
        <v>57</v>
      </c>
      <c r="M2" s="15" t="s">
        <v>52</v>
      </c>
      <c r="N2" s="15" t="s">
        <v>58</v>
      </c>
      <c r="O2" s="15" t="s">
        <v>59</v>
      </c>
      <c r="P2" s="15" t="s">
        <v>60</v>
      </c>
      <c r="Q2" s="15" t="s">
        <v>61</v>
      </c>
      <c r="R2" s="15" t="s">
        <v>62</v>
      </c>
      <c r="S2" s="15" t="s">
        <v>63</v>
      </c>
      <c r="T2" s="15" t="s">
        <v>64</v>
      </c>
      <c r="U2" s="16" t="s">
        <v>65</v>
      </c>
      <c r="V2" s="15" t="s">
        <v>66</v>
      </c>
      <c r="W2" s="15" t="s">
        <v>67</v>
      </c>
      <c r="X2" s="18" t="s">
        <v>68</v>
      </c>
      <c r="Y2" s="15" t="s">
        <v>69</v>
      </c>
      <c r="Z2" s="15" t="s">
        <v>70</v>
      </c>
      <c r="AA2" s="15">
        <v>1999.0</v>
      </c>
      <c r="AB2" s="15">
        <v>2000.0</v>
      </c>
      <c r="AC2" s="15" t="s">
        <v>71</v>
      </c>
      <c r="AD2" s="15" t="s">
        <v>72</v>
      </c>
      <c r="AE2" s="15" t="s">
        <v>73</v>
      </c>
      <c r="AF2" s="15" t="s">
        <v>74</v>
      </c>
      <c r="AG2" s="15" t="s">
        <v>75</v>
      </c>
      <c r="AH2" s="15" t="s">
        <v>76</v>
      </c>
      <c r="AI2" s="15" t="s">
        <v>77</v>
      </c>
      <c r="AJ2" s="15" t="s">
        <v>77</v>
      </c>
      <c r="AK2" s="15" t="s">
        <v>78</v>
      </c>
      <c r="AL2" s="15" t="s">
        <v>79</v>
      </c>
      <c r="AM2" s="15" t="s">
        <v>57</v>
      </c>
      <c r="AN2" s="15" t="s">
        <v>80</v>
      </c>
      <c r="AO2" s="19"/>
      <c r="AP2" s="15" t="s">
        <v>81</v>
      </c>
      <c r="AQ2" s="20" t="s">
        <v>82</v>
      </c>
      <c r="AR2" s="20" t="s">
        <v>83</v>
      </c>
      <c r="AS2" s="21"/>
    </row>
    <row r="3">
      <c r="A3" s="13">
        <v>9.0</v>
      </c>
      <c r="B3" s="14">
        <v>3.64025374E8</v>
      </c>
      <c r="C3" s="15" t="s">
        <v>84</v>
      </c>
      <c r="D3" s="15" t="s">
        <v>85</v>
      </c>
      <c r="E3" s="15" t="s">
        <v>86</v>
      </c>
      <c r="F3" s="15" t="s">
        <v>87</v>
      </c>
      <c r="G3" s="16" t="s">
        <v>88</v>
      </c>
      <c r="H3" s="17">
        <v>2016.0</v>
      </c>
      <c r="I3" s="15" t="s">
        <v>89</v>
      </c>
      <c r="J3" s="15" t="s">
        <v>55</v>
      </c>
      <c r="K3" s="15" t="s">
        <v>90</v>
      </c>
      <c r="L3" s="15" t="s">
        <v>57</v>
      </c>
      <c r="M3" s="15" t="s">
        <v>87</v>
      </c>
      <c r="N3" s="15" t="s">
        <v>91</v>
      </c>
      <c r="O3" s="15" t="s">
        <v>92</v>
      </c>
      <c r="P3" s="15" t="s">
        <v>93</v>
      </c>
      <c r="Q3" s="15" t="s">
        <v>94</v>
      </c>
      <c r="R3" s="15" t="s">
        <v>95</v>
      </c>
      <c r="S3" s="15" t="s">
        <v>96</v>
      </c>
      <c r="T3" s="15" t="s">
        <v>97</v>
      </c>
      <c r="U3" s="16" t="s">
        <v>98</v>
      </c>
      <c r="V3" s="15" t="s">
        <v>99</v>
      </c>
      <c r="W3" s="15" t="s">
        <v>100</v>
      </c>
      <c r="X3" s="18" t="s">
        <v>100</v>
      </c>
      <c r="Y3" s="15" t="s">
        <v>69</v>
      </c>
      <c r="Z3" s="15" t="s">
        <v>101</v>
      </c>
      <c r="AA3" s="15">
        <v>2010.0</v>
      </c>
      <c r="AB3" s="15">
        <v>2014.0</v>
      </c>
      <c r="AC3" s="15" t="s">
        <v>102</v>
      </c>
      <c r="AD3" s="15" t="s">
        <v>103</v>
      </c>
      <c r="AE3" s="15" t="s">
        <v>69</v>
      </c>
      <c r="AF3" s="15" t="s">
        <v>74</v>
      </c>
      <c r="AG3" s="15" t="s">
        <v>104</v>
      </c>
      <c r="AH3" s="15" t="s">
        <v>105</v>
      </c>
      <c r="AI3" s="15" t="s">
        <v>106</v>
      </c>
      <c r="AJ3" s="15" t="s">
        <v>107</v>
      </c>
      <c r="AK3" s="15" t="s">
        <v>108</v>
      </c>
      <c r="AL3" s="15" t="s">
        <v>79</v>
      </c>
      <c r="AM3" s="15" t="s">
        <v>57</v>
      </c>
      <c r="AN3" s="15" t="s">
        <v>80</v>
      </c>
      <c r="AO3" s="19"/>
      <c r="AP3" s="15" t="s">
        <v>109</v>
      </c>
      <c r="AQ3" s="20" t="s">
        <v>110</v>
      </c>
      <c r="AR3" s="20" t="s">
        <v>83</v>
      </c>
      <c r="AS3" s="21"/>
    </row>
    <row r="4">
      <c r="A4" s="13">
        <v>11.0</v>
      </c>
      <c r="B4" s="14">
        <v>3.64026754E8</v>
      </c>
      <c r="C4" s="15" t="s">
        <v>111</v>
      </c>
      <c r="D4" s="15" t="s">
        <v>112</v>
      </c>
      <c r="E4" s="15" t="s">
        <v>113</v>
      </c>
      <c r="F4" s="15" t="s">
        <v>114</v>
      </c>
      <c r="G4" s="16" t="s">
        <v>115</v>
      </c>
      <c r="H4" s="17">
        <v>2016.0</v>
      </c>
      <c r="I4" s="15" t="s">
        <v>116</v>
      </c>
      <c r="J4" s="15" t="s">
        <v>55</v>
      </c>
      <c r="K4" s="15" t="s">
        <v>117</v>
      </c>
      <c r="L4" s="15" t="s">
        <v>57</v>
      </c>
      <c r="M4" s="15" t="s">
        <v>114</v>
      </c>
      <c r="N4" s="15" t="s">
        <v>118</v>
      </c>
      <c r="O4" s="15" t="s">
        <v>119</v>
      </c>
      <c r="P4" s="15" t="s">
        <v>93</v>
      </c>
      <c r="Q4" s="15" t="s">
        <v>57</v>
      </c>
      <c r="R4" s="15" t="s">
        <v>57</v>
      </c>
      <c r="S4" s="15" t="s">
        <v>63</v>
      </c>
      <c r="T4" s="15" t="s">
        <v>64</v>
      </c>
      <c r="U4" s="16" t="s">
        <v>120</v>
      </c>
      <c r="V4" s="15" t="s">
        <v>99</v>
      </c>
      <c r="W4" s="15" t="s">
        <v>121</v>
      </c>
      <c r="X4" s="18" t="s">
        <v>122</v>
      </c>
      <c r="Y4" s="15" t="s">
        <v>69</v>
      </c>
      <c r="Z4" s="15" t="s">
        <v>123</v>
      </c>
      <c r="AA4" s="15">
        <v>2013.0</v>
      </c>
      <c r="AB4" s="15">
        <v>2015.0</v>
      </c>
      <c r="AC4" s="15" t="s">
        <v>57</v>
      </c>
      <c r="AD4" s="15" t="s">
        <v>57</v>
      </c>
      <c r="AE4" s="15" t="s">
        <v>57</v>
      </c>
      <c r="AF4" s="15" t="s">
        <v>74</v>
      </c>
      <c r="AG4" s="15" t="s">
        <v>124</v>
      </c>
      <c r="AH4" s="15" t="s">
        <v>125</v>
      </c>
      <c r="AI4" s="15" t="s">
        <v>126</v>
      </c>
      <c r="AJ4" s="15" t="s">
        <v>107</v>
      </c>
      <c r="AK4" s="15" t="s">
        <v>127</v>
      </c>
      <c r="AL4" s="15" t="s">
        <v>128</v>
      </c>
      <c r="AM4" s="15" t="s">
        <v>129</v>
      </c>
      <c r="AN4" s="15" t="s">
        <v>130</v>
      </c>
      <c r="AO4" s="19"/>
      <c r="AP4" s="15" t="s">
        <v>81</v>
      </c>
      <c r="AQ4" s="20" t="s">
        <v>131</v>
      </c>
      <c r="AR4" s="20" t="s">
        <v>83</v>
      </c>
      <c r="AS4" s="21"/>
    </row>
    <row r="5">
      <c r="A5" s="22">
        <v>12.0</v>
      </c>
      <c r="B5" s="23">
        <v>3.64025386E8</v>
      </c>
      <c r="C5" s="24" t="s">
        <v>132</v>
      </c>
      <c r="D5" s="24" t="s">
        <v>133</v>
      </c>
      <c r="E5" s="24" t="s">
        <v>134</v>
      </c>
      <c r="F5" s="24" t="s">
        <v>114</v>
      </c>
      <c r="G5" s="25" t="s">
        <v>135</v>
      </c>
      <c r="H5" s="26">
        <v>2013.0</v>
      </c>
      <c r="I5" s="24" t="s">
        <v>136</v>
      </c>
      <c r="J5" s="24" t="s">
        <v>55</v>
      </c>
      <c r="K5" s="24" t="s">
        <v>137</v>
      </c>
      <c r="L5" s="24" t="s">
        <v>57</v>
      </c>
      <c r="M5" s="24" t="s">
        <v>114</v>
      </c>
      <c r="N5" s="24" t="s">
        <v>138</v>
      </c>
      <c r="O5" s="24" t="s">
        <v>139</v>
      </c>
      <c r="P5" s="24" t="s">
        <v>93</v>
      </c>
      <c r="Q5" s="24" t="s">
        <v>57</v>
      </c>
      <c r="R5" s="24" t="s">
        <v>57</v>
      </c>
      <c r="S5" s="24" t="s">
        <v>96</v>
      </c>
      <c r="T5" s="24" t="s">
        <v>140</v>
      </c>
      <c r="U5" s="25" t="s">
        <v>141</v>
      </c>
      <c r="V5" s="24" t="s">
        <v>99</v>
      </c>
      <c r="W5" s="24" t="s">
        <v>142</v>
      </c>
      <c r="X5" s="27" t="s">
        <v>143</v>
      </c>
      <c r="Y5" s="24" t="s">
        <v>74</v>
      </c>
      <c r="Z5" s="24" t="s">
        <v>57</v>
      </c>
      <c r="AA5" s="24">
        <v>2008.0</v>
      </c>
      <c r="AB5" s="24">
        <v>2009.0</v>
      </c>
      <c r="AC5" s="24" t="s">
        <v>144</v>
      </c>
      <c r="AD5" s="24" t="s">
        <v>102</v>
      </c>
      <c r="AE5" s="24" t="s">
        <v>69</v>
      </c>
      <c r="AF5" s="24" t="s">
        <v>69</v>
      </c>
      <c r="AG5" s="24" t="s">
        <v>75</v>
      </c>
      <c r="AH5" s="24" t="s">
        <v>145</v>
      </c>
      <c r="AI5" s="24" t="s">
        <v>146</v>
      </c>
      <c r="AJ5" s="24" t="s">
        <v>147</v>
      </c>
      <c r="AK5" s="24" t="s">
        <v>148</v>
      </c>
      <c r="AL5" s="24" t="s">
        <v>79</v>
      </c>
      <c r="AM5" s="24" t="s">
        <v>57</v>
      </c>
      <c r="AN5" s="24" t="s">
        <v>57</v>
      </c>
      <c r="AO5" s="24" t="s">
        <v>149</v>
      </c>
      <c r="AP5" s="24" t="s">
        <v>109</v>
      </c>
      <c r="AQ5" s="28" t="s">
        <v>150</v>
      </c>
      <c r="AR5" s="28" t="s">
        <v>83</v>
      </c>
      <c r="AS5" s="29"/>
    </row>
    <row r="6">
      <c r="A6" s="22">
        <v>21.0</v>
      </c>
      <c r="B6" s="23">
        <v>3.64025399E8</v>
      </c>
      <c r="C6" s="24" t="s">
        <v>151</v>
      </c>
      <c r="D6" s="24" t="s">
        <v>152</v>
      </c>
      <c r="E6" s="24" t="s">
        <v>153</v>
      </c>
      <c r="F6" s="24" t="s">
        <v>154</v>
      </c>
      <c r="G6" s="25" t="s">
        <v>155</v>
      </c>
      <c r="H6" s="26">
        <v>2006.0</v>
      </c>
      <c r="I6" s="24" t="s">
        <v>156</v>
      </c>
      <c r="J6" s="24" t="s">
        <v>157</v>
      </c>
      <c r="K6" s="24" t="s">
        <v>158</v>
      </c>
      <c r="L6" s="24" t="s">
        <v>57</v>
      </c>
      <c r="M6" s="24" t="s">
        <v>154</v>
      </c>
      <c r="N6" s="24" t="s">
        <v>159</v>
      </c>
      <c r="O6" s="24" t="s">
        <v>160</v>
      </c>
      <c r="P6" s="24" t="s">
        <v>93</v>
      </c>
      <c r="Q6" s="24" t="s">
        <v>57</v>
      </c>
      <c r="R6" s="24" t="s">
        <v>57</v>
      </c>
      <c r="S6" s="24" t="s">
        <v>96</v>
      </c>
      <c r="T6" s="24" t="s">
        <v>161</v>
      </c>
      <c r="U6" s="25" t="s">
        <v>162</v>
      </c>
      <c r="V6" s="24" t="s">
        <v>66</v>
      </c>
      <c r="W6" s="24" t="s">
        <v>163</v>
      </c>
      <c r="X6" s="27" t="s">
        <v>164</v>
      </c>
      <c r="Y6" s="24" t="s">
        <v>74</v>
      </c>
      <c r="Z6" s="24" t="s">
        <v>57</v>
      </c>
      <c r="AA6" s="24">
        <v>1999.0</v>
      </c>
      <c r="AB6" s="24">
        <v>1999.0</v>
      </c>
      <c r="AC6" s="24" t="s">
        <v>57</v>
      </c>
      <c r="AD6" s="24" t="s">
        <v>57</v>
      </c>
      <c r="AE6" s="24" t="s">
        <v>57</v>
      </c>
      <c r="AF6" s="24" t="s">
        <v>74</v>
      </c>
      <c r="AG6" s="24" t="s">
        <v>75</v>
      </c>
      <c r="AH6" s="24" t="s">
        <v>165</v>
      </c>
      <c r="AI6" s="24" t="s">
        <v>166</v>
      </c>
      <c r="AJ6" s="24" t="s">
        <v>166</v>
      </c>
      <c r="AK6" s="24" t="s">
        <v>167</v>
      </c>
      <c r="AL6" s="24" t="s">
        <v>79</v>
      </c>
      <c r="AM6" s="24" t="s">
        <v>57</v>
      </c>
      <c r="AN6" s="24" t="s">
        <v>57</v>
      </c>
      <c r="AO6" s="30"/>
      <c r="AP6" s="24" t="s">
        <v>109</v>
      </c>
      <c r="AQ6" s="28" t="s">
        <v>168</v>
      </c>
      <c r="AR6" s="28" t="s">
        <v>83</v>
      </c>
      <c r="AS6" s="29"/>
    </row>
    <row r="7">
      <c r="A7" s="22">
        <v>25.0</v>
      </c>
      <c r="B7" s="31">
        <v>3.64025426E8</v>
      </c>
      <c r="C7" s="24" t="s">
        <v>169</v>
      </c>
      <c r="D7" s="24" t="s">
        <v>170</v>
      </c>
      <c r="E7" s="24" t="s">
        <v>171</v>
      </c>
      <c r="F7" s="24" t="s">
        <v>172</v>
      </c>
      <c r="G7" s="25" t="s">
        <v>173</v>
      </c>
      <c r="H7" s="26">
        <v>2019.0</v>
      </c>
      <c r="I7" s="24" t="s">
        <v>174</v>
      </c>
      <c r="J7" s="24" t="s">
        <v>55</v>
      </c>
      <c r="K7" s="24" t="s">
        <v>175</v>
      </c>
      <c r="L7" s="24" t="s">
        <v>57</v>
      </c>
      <c r="M7" s="24" t="s">
        <v>172</v>
      </c>
      <c r="N7" s="24" t="s">
        <v>176</v>
      </c>
      <c r="O7" s="24" t="s">
        <v>177</v>
      </c>
      <c r="P7" s="24" t="s">
        <v>93</v>
      </c>
      <c r="Q7" s="24" t="s">
        <v>57</v>
      </c>
      <c r="R7" s="24" t="s">
        <v>57</v>
      </c>
      <c r="S7" s="24" t="s">
        <v>96</v>
      </c>
      <c r="T7" s="24" t="s">
        <v>178</v>
      </c>
      <c r="U7" s="25" t="s">
        <v>179</v>
      </c>
      <c r="V7" s="24" t="s">
        <v>99</v>
      </c>
      <c r="W7" s="24" t="s">
        <v>100</v>
      </c>
      <c r="X7" s="27" t="s">
        <v>100</v>
      </c>
      <c r="Y7" s="24" t="s">
        <v>74</v>
      </c>
      <c r="Z7" s="24" t="s">
        <v>57</v>
      </c>
      <c r="AA7" s="24">
        <v>2016.0</v>
      </c>
      <c r="AB7" s="24">
        <v>2016.0</v>
      </c>
      <c r="AC7" s="24" t="s">
        <v>144</v>
      </c>
      <c r="AD7" s="24" t="s">
        <v>180</v>
      </c>
      <c r="AE7" s="24" t="s">
        <v>74</v>
      </c>
      <c r="AF7" s="24" t="s">
        <v>74</v>
      </c>
      <c r="AG7" s="24" t="s">
        <v>104</v>
      </c>
      <c r="AH7" s="24" t="s">
        <v>105</v>
      </c>
      <c r="AI7" s="24" t="s">
        <v>181</v>
      </c>
      <c r="AJ7" s="24" t="s">
        <v>107</v>
      </c>
      <c r="AK7" s="24" t="s">
        <v>182</v>
      </c>
      <c r="AL7" s="24" t="s">
        <v>128</v>
      </c>
      <c r="AM7" s="24" t="s">
        <v>129</v>
      </c>
      <c r="AN7" s="24" t="s">
        <v>183</v>
      </c>
      <c r="AO7" s="30"/>
      <c r="AP7" s="24" t="s">
        <v>184</v>
      </c>
      <c r="AQ7" s="28" t="s">
        <v>185</v>
      </c>
      <c r="AR7" s="28" t="s">
        <v>83</v>
      </c>
      <c r="AS7" s="29"/>
    </row>
    <row r="8">
      <c r="A8" s="32">
        <v>27.0</v>
      </c>
      <c r="B8" s="33">
        <v>3.64025872E8</v>
      </c>
      <c r="C8" s="34" t="s">
        <v>186</v>
      </c>
      <c r="D8" s="34" t="s">
        <v>187</v>
      </c>
      <c r="E8" s="34" t="s">
        <v>188</v>
      </c>
      <c r="F8" s="34" t="s">
        <v>114</v>
      </c>
      <c r="G8" s="35" t="s">
        <v>189</v>
      </c>
      <c r="H8" s="36">
        <v>2005.0</v>
      </c>
      <c r="I8" s="34" t="s">
        <v>136</v>
      </c>
      <c r="J8" s="34" t="s">
        <v>55</v>
      </c>
      <c r="K8" s="34" t="s">
        <v>190</v>
      </c>
      <c r="L8" s="34" t="s">
        <v>57</v>
      </c>
      <c r="M8" s="34" t="s">
        <v>114</v>
      </c>
      <c r="N8" s="34" t="s">
        <v>191</v>
      </c>
      <c r="O8" s="34" t="s">
        <v>192</v>
      </c>
      <c r="P8" s="34" t="s">
        <v>93</v>
      </c>
      <c r="Q8" s="34" t="s">
        <v>57</v>
      </c>
      <c r="R8" s="34" t="s">
        <v>57</v>
      </c>
      <c r="S8" s="34" t="s">
        <v>193</v>
      </c>
      <c r="T8" s="34" t="s">
        <v>194</v>
      </c>
      <c r="U8" s="35" t="s">
        <v>195</v>
      </c>
      <c r="V8" s="34" t="s">
        <v>99</v>
      </c>
      <c r="W8" s="34" t="s">
        <v>100</v>
      </c>
      <c r="X8" s="37" t="s">
        <v>100</v>
      </c>
      <c r="Y8" s="34" t="s">
        <v>74</v>
      </c>
      <c r="Z8" s="34" t="s">
        <v>57</v>
      </c>
      <c r="AA8" s="34">
        <v>2001.0</v>
      </c>
      <c r="AB8" s="34">
        <v>2003.0</v>
      </c>
      <c r="AC8" s="34" t="s">
        <v>103</v>
      </c>
      <c r="AD8" s="34" t="s">
        <v>144</v>
      </c>
      <c r="AE8" s="34" t="s">
        <v>69</v>
      </c>
      <c r="AF8" s="34" t="s">
        <v>69</v>
      </c>
      <c r="AG8" s="34" t="s">
        <v>104</v>
      </c>
      <c r="AH8" s="34" t="s">
        <v>105</v>
      </c>
      <c r="AI8" s="34" t="s">
        <v>196</v>
      </c>
      <c r="AJ8" s="34" t="s">
        <v>147</v>
      </c>
      <c r="AK8" s="38" t="s">
        <v>197</v>
      </c>
      <c r="AL8" s="34" t="s">
        <v>128</v>
      </c>
      <c r="AM8" s="34" t="s">
        <v>198</v>
      </c>
      <c r="AN8" s="34" t="s">
        <v>199</v>
      </c>
      <c r="AO8" s="39"/>
      <c r="AP8" s="39"/>
      <c r="AQ8" s="40" t="s">
        <v>200</v>
      </c>
      <c r="AR8" s="40" t="s">
        <v>201</v>
      </c>
      <c r="AS8" s="41" t="s">
        <v>202</v>
      </c>
    </row>
    <row r="9">
      <c r="A9" s="32">
        <v>28.0</v>
      </c>
      <c r="B9" s="33">
        <v>3.64025874E8</v>
      </c>
      <c r="C9" s="34" t="s">
        <v>203</v>
      </c>
      <c r="D9" s="34" t="s">
        <v>204</v>
      </c>
      <c r="E9" s="34" t="s">
        <v>205</v>
      </c>
      <c r="F9" s="34" t="s">
        <v>114</v>
      </c>
      <c r="G9" s="35" t="s">
        <v>206</v>
      </c>
      <c r="H9" s="36">
        <v>2013.0</v>
      </c>
      <c r="I9" s="34" t="s">
        <v>207</v>
      </c>
      <c r="J9" s="34" t="s">
        <v>55</v>
      </c>
      <c r="K9" s="34" t="s">
        <v>57</v>
      </c>
      <c r="L9" s="34" t="s">
        <v>57</v>
      </c>
      <c r="M9" s="34" t="s">
        <v>114</v>
      </c>
      <c r="N9" s="34" t="s">
        <v>208</v>
      </c>
      <c r="O9" s="34" t="s">
        <v>209</v>
      </c>
      <c r="P9" s="34" t="s">
        <v>93</v>
      </c>
      <c r="Q9" s="34" t="s">
        <v>57</v>
      </c>
      <c r="R9" s="34" t="s">
        <v>57</v>
      </c>
      <c r="S9" s="34" t="s">
        <v>63</v>
      </c>
      <c r="T9" s="34" t="s">
        <v>210</v>
      </c>
      <c r="U9" s="35" t="s">
        <v>211</v>
      </c>
      <c r="V9" s="34" t="s">
        <v>66</v>
      </c>
      <c r="W9" s="34" t="s">
        <v>212</v>
      </c>
      <c r="X9" s="42" t="s">
        <v>213</v>
      </c>
      <c r="Y9" s="34" t="s">
        <v>74</v>
      </c>
      <c r="Z9" s="34" t="s">
        <v>57</v>
      </c>
      <c r="AA9" s="34">
        <v>2008.0</v>
      </c>
      <c r="AB9" s="34">
        <v>2009.0</v>
      </c>
      <c r="AC9" s="34" t="s">
        <v>214</v>
      </c>
      <c r="AD9" s="34" t="s">
        <v>102</v>
      </c>
      <c r="AE9" s="34" t="s">
        <v>69</v>
      </c>
      <c r="AF9" s="34" t="s">
        <v>69</v>
      </c>
      <c r="AG9" s="34" t="s">
        <v>215</v>
      </c>
      <c r="AH9" s="34" t="s">
        <v>76</v>
      </c>
      <c r="AI9" s="34" t="s">
        <v>216</v>
      </c>
      <c r="AJ9" s="34" t="s">
        <v>216</v>
      </c>
      <c r="AK9" s="38" t="s">
        <v>217</v>
      </c>
      <c r="AL9" s="34" t="s">
        <v>128</v>
      </c>
      <c r="AM9" s="34" t="s">
        <v>129</v>
      </c>
      <c r="AN9" s="34" t="s">
        <v>218</v>
      </c>
      <c r="AO9" s="39"/>
      <c r="AP9" s="34" t="s">
        <v>184</v>
      </c>
      <c r="AQ9" s="40" t="s">
        <v>219</v>
      </c>
      <c r="AR9" s="40" t="s">
        <v>201</v>
      </c>
      <c r="AS9" s="41" t="s">
        <v>220</v>
      </c>
    </row>
    <row r="10">
      <c r="A10" s="32">
        <v>30.0</v>
      </c>
      <c r="B10" s="33">
        <v>3.64025922E8</v>
      </c>
      <c r="C10" s="34" t="s">
        <v>221</v>
      </c>
      <c r="D10" s="34" t="s">
        <v>222</v>
      </c>
      <c r="E10" s="34" t="s">
        <v>223</v>
      </c>
      <c r="F10" s="34" t="s">
        <v>114</v>
      </c>
      <c r="G10" s="35" t="s">
        <v>224</v>
      </c>
      <c r="H10" s="36">
        <v>2018.0</v>
      </c>
      <c r="I10" s="34" t="s">
        <v>225</v>
      </c>
      <c r="J10" s="34" t="s">
        <v>55</v>
      </c>
      <c r="K10" s="34" t="s">
        <v>226</v>
      </c>
      <c r="L10" s="34" t="s">
        <v>57</v>
      </c>
      <c r="M10" s="34" t="s">
        <v>114</v>
      </c>
      <c r="N10" s="34" t="s">
        <v>227</v>
      </c>
      <c r="O10" s="34" t="s">
        <v>228</v>
      </c>
      <c r="P10" s="34" t="s">
        <v>93</v>
      </c>
      <c r="Q10" s="34" t="s">
        <v>57</v>
      </c>
      <c r="R10" s="34" t="s">
        <v>57</v>
      </c>
      <c r="S10" s="34" t="s">
        <v>96</v>
      </c>
      <c r="T10" s="34" t="s">
        <v>229</v>
      </c>
      <c r="U10" s="35" t="s">
        <v>230</v>
      </c>
      <c r="V10" s="34" t="s">
        <v>66</v>
      </c>
      <c r="W10" s="34" t="s">
        <v>231</v>
      </c>
      <c r="X10" s="37" t="s">
        <v>232</v>
      </c>
      <c r="Y10" s="34" t="s">
        <v>74</v>
      </c>
      <c r="Z10" s="34" t="s">
        <v>57</v>
      </c>
      <c r="AA10" s="34">
        <v>2001.0</v>
      </c>
      <c r="AB10" s="34">
        <v>2002.0</v>
      </c>
      <c r="AC10" s="34" t="s">
        <v>214</v>
      </c>
      <c r="AD10" s="34" t="s">
        <v>180</v>
      </c>
      <c r="AE10" s="34" t="s">
        <v>69</v>
      </c>
      <c r="AF10" s="34" t="s">
        <v>69</v>
      </c>
      <c r="AG10" s="34" t="s">
        <v>215</v>
      </c>
      <c r="AH10" s="34" t="s">
        <v>233</v>
      </c>
      <c r="AI10" s="34" t="s">
        <v>234</v>
      </c>
      <c r="AJ10" s="34" t="s">
        <v>107</v>
      </c>
      <c r="AK10" s="34" t="s">
        <v>235</v>
      </c>
      <c r="AL10" s="34" t="s">
        <v>128</v>
      </c>
      <c r="AM10" s="34" t="s">
        <v>129</v>
      </c>
      <c r="AN10" s="34" t="s">
        <v>236</v>
      </c>
      <c r="AO10" s="39"/>
      <c r="AP10" s="34" t="s">
        <v>184</v>
      </c>
      <c r="AQ10" s="40" t="s">
        <v>237</v>
      </c>
      <c r="AR10" s="40" t="s">
        <v>201</v>
      </c>
      <c r="AS10" s="41" t="s">
        <v>238</v>
      </c>
    </row>
    <row r="11">
      <c r="A11" s="32">
        <v>31.0</v>
      </c>
      <c r="B11" s="33">
        <v>3.6402575E8</v>
      </c>
      <c r="C11" s="34" t="s">
        <v>239</v>
      </c>
      <c r="D11" s="34" t="s">
        <v>240</v>
      </c>
      <c r="E11" s="34" t="s">
        <v>241</v>
      </c>
      <c r="F11" s="34" t="s">
        <v>114</v>
      </c>
      <c r="G11" s="35" t="s">
        <v>242</v>
      </c>
      <c r="H11" s="36">
        <v>2018.0</v>
      </c>
      <c r="I11" s="34" t="s">
        <v>207</v>
      </c>
      <c r="J11" s="34" t="s">
        <v>55</v>
      </c>
      <c r="K11" s="34" t="s">
        <v>243</v>
      </c>
      <c r="L11" s="34" t="s">
        <v>57</v>
      </c>
      <c r="M11" s="34" t="s">
        <v>114</v>
      </c>
      <c r="N11" s="34" t="s">
        <v>191</v>
      </c>
      <c r="O11" s="34" t="s">
        <v>244</v>
      </c>
      <c r="P11" s="34" t="s">
        <v>93</v>
      </c>
      <c r="Q11" s="34" t="s">
        <v>57</v>
      </c>
      <c r="R11" s="34" t="s">
        <v>57</v>
      </c>
      <c r="S11" s="34" t="s">
        <v>63</v>
      </c>
      <c r="T11" s="34" t="s">
        <v>64</v>
      </c>
      <c r="U11" s="35" t="s">
        <v>245</v>
      </c>
      <c r="V11" s="34">
        <v>1.0</v>
      </c>
      <c r="W11" s="34" t="s">
        <v>246</v>
      </c>
      <c r="X11" s="37" t="s">
        <v>247</v>
      </c>
      <c r="Y11" s="34" t="s">
        <v>74</v>
      </c>
      <c r="Z11" s="34" t="s">
        <v>57</v>
      </c>
      <c r="AA11" s="34">
        <v>2011.0</v>
      </c>
      <c r="AB11" s="34">
        <v>2011.0</v>
      </c>
      <c r="AC11" s="34" t="s">
        <v>214</v>
      </c>
      <c r="AD11" s="34" t="s">
        <v>102</v>
      </c>
      <c r="AE11" s="34" t="s">
        <v>74</v>
      </c>
      <c r="AF11" s="34" t="s">
        <v>69</v>
      </c>
      <c r="AG11" s="34" t="s">
        <v>75</v>
      </c>
      <c r="AH11" s="34" t="s">
        <v>248</v>
      </c>
      <c r="AI11" s="34" t="s">
        <v>249</v>
      </c>
      <c r="AJ11" s="34" t="s">
        <v>147</v>
      </c>
      <c r="AK11" s="34" t="s">
        <v>250</v>
      </c>
      <c r="AL11" s="34" t="s">
        <v>79</v>
      </c>
      <c r="AM11" s="34" t="s">
        <v>57</v>
      </c>
      <c r="AN11" s="34" t="s">
        <v>57</v>
      </c>
      <c r="AO11" s="39"/>
      <c r="AP11" s="34" t="s">
        <v>81</v>
      </c>
      <c r="AQ11" s="40" t="s">
        <v>251</v>
      </c>
      <c r="AR11" s="40" t="s">
        <v>201</v>
      </c>
      <c r="AS11" s="41" t="s">
        <v>252</v>
      </c>
    </row>
    <row r="12">
      <c r="A12" s="32">
        <v>32.0</v>
      </c>
      <c r="B12" s="33">
        <v>3.64026065E8</v>
      </c>
      <c r="C12" s="34" t="s">
        <v>253</v>
      </c>
      <c r="D12" s="34" t="s">
        <v>254</v>
      </c>
      <c r="E12" s="34" t="s">
        <v>255</v>
      </c>
      <c r="F12" s="34" t="s">
        <v>114</v>
      </c>
      <c r="G12" s="35" t="s">
        <v>256</v>
      </c>
      <c r="H12" s="36">
        <v>2015.0</v>
      </c>
      <c r="I12" s="34" t="s">
        <v>207</v>
      </c>
      <c r="J12" s="34" t="s">
        <v>55</v>
      </c>
      <c r="K12" s="34" t="s">
        <v>257</v>
      </c>
      <c r="L12" s="34" t="s">
        <v>57</v>
      </c>
      <c r="M12" s="34" t="s">
        <v>114</v>
      </c>
      <c r="N12" s="34" t="s">
        <v>258</v>
      </c>
      <c r="O12" s="34" t="s">
        <v>259</v>
      </c>
      <c r="P12" s="34" t="s">
        <v>93</v>
      </c>
      <c r="Q12" s="34" t="s">
        <v>260</v>
      </c>
      <c r="R12" s="34" t="s">
        <v>261</v>
      </c>
      <c r="S12" s="34" t="s">
        <v>63</v>
      </c>
      <c r="T12" s="34" t="s">
        <v>262</v>
      </c>
      <c r="U12" s="35" t="s">
        <v>263</v>
      </c>
      <c r="V12" s="34" t="s">
        <v>99</v>
      </c>
      <c r="W12" s="34" t="s">
        <v>57</v>
      </c>
      <c r="X12" s="37" t="s">
        <v>57</v>
      </c>
      <c r="Y12" s="34" t="s">
        <v>74</v>
      </c>
      <c r="Z12" s="34" t="s">
        <v>57</v>
      </c>
      <c r="AA12" s="34">
        <v>2012.0</v>
      </c>
      <c r="AB12" s="34">
        <v>2013.0</v>
      </c>
      <c r="AC12" s="34" t="s">
        <v>264</v>
      </c>
      <c r="AD12" s="34" t="s">
        <v>103</v>
      </c>
      <c r="AE12" s="34" t="s">
        <v>74</v>
      </c>
      <c r="AF12" s="34" t="s">
        <v>69</v>
      </c>
      <c r="AG12" s="34" t="s">
        <v>57</v>
      </c>
      <c r="AH12" s="34" t="s">
        <v>57</v>
      </c>
      <c r="AI12" s="34" t="s">
        <v>57</v>
      </c>
      <c r="AJ12" s="34" t="s">
        <v>57</v>
      </c>
      <c r="AK12" s="34" t="s">
        <v>265</v>
      </c>
      <c r="AL12" s="34" t="s">
        <v>128</v>
      </c>
      <c r="AM12" s="34" t="s">
        <v>129</v>
      </c>
      <c r="AN12" s="34" t="s">
        <v>266</v>
      </c>
      <c r="AO12" s="34" t="s">
        <v>267</v>
      </c>
      <c r="AP12" s="34" t="s">
        <v>184</v>
      </c>
      <c r="AQ12" s="40" t="s">
        <v>268</v>
      </c>
      <c r="AR12" s="40" t="s">
        <v>201</v>
      </c>
      <c r="AS12" s="41" t="s">
        <v>269</v>
      </c>
    </row>
    <row r="13">
      <c r="A13" s="32">
        <v>34.0</v>
      </c>
      <c r="B13" s="33">
        <v>3.64025615E8</v>
      </c>
      <c r="C13" s="34" t="s">
        <v>270</v>
      </c>
      <c r="D13" s="34" t="s">
        <v>271</v>
      </c>
      <c r="E13" s="34" t="s">
        <v>272</v>
      </c>
      <c r="F13" s="34" t="s">
        <v>273</v>
      </c>
      <c r="G13" s="35" t="s">
        <v>274</v>
      </c>
      <c r="H13" s="36">
        <v>2001.0</v>
      </c>
      <c r="I13" s="34" t="s">
        <v>275</v>
      </c>
      <c r="J13" s="34" t="s">
        <v>55</v>
      </c>
      <c r="K13" s="34" t="s">
        <v>276</v>
      </c>
      <c r="L13" s="34" t="s">
        <v>57</v>
      </c>
      <c r="M13" s="34" t="s">
        <v>273</v>
      </c>
      <c r="N13" s="34" t="s">
        <v>277</v>
      </c>
      <c r="O13" s="34" t="s">
        <v>278</v>
      </c>
      <c r="P13" s="34" t="s">
        <v>93</v>
      </c>
      <c r="Q13" s="34" t="s">
        <v>279</v>
      </c>
      <c r="R13" s="34" t="s">
        <v>280</v>
      </c>
      <c r="S13" s="34" t="s">
        <v>63</v>
      </c>
      <c r="T13" s="34" t="s">
        <v>281</v>
      </c>
      <c r="U13" s="35" t="s">
        <v>282</v>
      </c>
      <c r="V13" s="34" t="s">
        <v>99</v>
      </c>
      <c r="W13" s="34" t="s">
        <v>283</v>
      </c>
      <c r="X13" s="37" t="s">
        <v>284</v>
      </c>
      <c r="Y13" s="34" t="s">
        <v>74</v>
      </c>
      <c r="Z13" s="34" t="s">
        <v>57</v>
      </c>
      <c r="AA13" s="34">
        <v>1998.0</v>
      </c>
      <c r="AB13" s="34">
        <v>1998.0</v>
      </c>
      <c r="AC13" s="34" t="s">
        <v>144</v>
      </c>
      <c r="AD13" s="34" t="s">
        <v>72</v>
      </c>
      <c r="AE13" s="34" t="s">
        <v>74</v>
      </c>
      <c r="AF13" s="34" t="s">
        <v>74</v>
      </c>
      <c r="AG13" s="34" t="s">
        <v>104</v>
      </c>
      <c r="AH13" s="34" t="s">
        <v>285</v>
      </c>
      <c r="AI13" s="34" t="s">
        <v>286</v>
      </c>
      <c r="AJ13" s="34" t="s">
        <v>286</v>
      </c>
      <c r="AK13" s="34" t="s">
        <v>287</v>
      </c>
      <c r="AL13" s="34" t="s">
        <v>128</v>
      </c>
      <c r="AM13" s="34" t="s">
        <v>129</v>
      </c>
      <c r="AN13" s="34" t="s">
        <v>288</v>
      </c>
      <c r="AO13" s="39"/>
      <c r="AP13" s="34" t="s">
        <v>81</v>
      </c>
      <c r="AQ13" s="40" t="s">
        <v>289</v>
      </c>
      <c r="AR13" s="40" t="s">
        <v>201</v>
      </c>
      <c r="AS13" s="41"/>
    </row>
    <row r="14">
      <c r="A14" s="32">
        <v>36.0</v>
      </c>
      <c r="B14" s="33">
        <v>3.64026199E8</v>
      </c>
      <c r="C14" s="34" t="s">
        <v>290</v>
      </c>
      <c r="D14" s="34" t="s">
        <v>291</v>
      </c>
      <c r="E14" s="34" t="s">
        <v>292</v>
      </c>
      <c r="F14" s="34" t="s">
        <v>293</v>
      </c>
      <c r="G14" s="35" t="s">
        <v>294</v>
      </c>
      <c r="H14" s="36">
        <v>2017.0</v>
      </c>
      <c r="I14" s="34" t="s">
        <v>295</v>
      </c>
      <c r="J14" s="34" t="s">
        <v>55</v>
      </c>
      <c r="K14" s="34" t="s">
        <v>296</v>
      </c>
      <c r="L14" s="34" t="s">
        <v>57</v>
      </c>
      <c r="M14" s="34" t="s">
        <v>293</v>
      </c>
      <c r="N14" s="34" t="s">
        <v>297</v>
      </c>
      <c r="O14" s="34" t="s">
        <v>298</v>
      </c>
      <c r="P14" s="34" t="s">
        <v>93</v>
      </c>
      <c r="Q14" s="34" t="s">
        <v>299</v>
      </c>
      <c r="R14" s="34" t="s">
        <v>300</v>
      </c>
      <c r="S14" s="34" t="s">
        <v>301</v>
      </c>
      <c r="T14" s="34" t="s">
        <v>302</v>
      </c>
      <c r="U14" s="35" t="s">
        <v>303</v>
      </c>
      <c r="V14" s="34" t="s">
        <v>66</v>
      </c>
      <c r="W14" s="34" t="s">
        <v>304</v>
      </c>
      <c r="X14" s="37" t="s">
        <v>68</v>
      </c>
      <c r="Y14" s="34" t="s">
        <v>69</v>
      </c>
      <c r="Z14" s="34" t="s">
        <v>305</v>
      </c>
      <c r="AA14" s="34">
        <v>1991.0</v>
      </c>
      <c r="AB14" s="34">
        <v>2012.0</v>
      </c>
      <c r="AC14" s="34" t="s">
        <v>103</v>
      </c>
      <c r="AD14" s="34" t="s">
        <v>144</v>
      </c>
      <c r="AE14" s="34" t="s">
        <v>69</v>
      </c>
      <c r="AF14" s="34" t="s">
        <v>69</v>
      </c>
      <c r="AG14" s="34" t="s">
        <v>75</v>
      </c>
      <c r="AH14" s="34" t="s">
        <v>76</v>
      </c>
      <c r="AI14" s="34" t="s">
        <v>216</v>
      </c>
      <c r="AJ14" s="34" t="s">
        <v>216</v>
      </c>
      <c r="AK14" s="34" t="s">
        <v>306</v>
      </c>
      <c r="AL14" s="34" t="s">
        <v>128</v>
      </c>
      <c r="AM14" s="34" t="s">
        <v>307</v>
      </c>
      <c r="AN14" s="34" t="s">
        <v>308</v>
      </c>
      <c r="AO14" s="39"/>
      <c r="AP14" s="34" t="s">
        <v>184</v>
      </c>
      <c r="AQ14" s="40" t="s">
        <v>309</v>
      </c>
      <c r="AR14" s="40" t="s">
        <v>201</v>
      </c>
      <c r="AS14" s="41" t="s">
        <v>310</v>
      </c>
    </row>
    <row r="15">
      <c r="A15" s="32">
        <v>39.0</v>
      </c>
      <c r="B15" s="33">
        <v>3.64026331E8</v>
      </c>
      <c r="C15" s="34" t="s">
        <v>311</v>
      </c>
      <c r="D15" s="34" t="s">
        <v>312</v>
      </c>
      <c r="E15" s="34" t="s">
        <v>313</v>
      </c>
      <c r="F15" s="34" t="s">
        <v>114</v>
      </c>
      <c r="G15" s="35" t="s">
        <v>314</v>
      </c>
      <c r="H15" s="36">
        <v>2012.0</v>
      </c>
      <c r="I15" s="34" t="s">
        <v>207</v>
      </c>
      <c r="J15" s="34" t="s">
        <v>315</v>
      </c>
      <c r="K15" s="34" t="s">
        <v>316</v>
      </c>
      <c r="L15" s="34" t="s">
        <v>57</v>
      </c>
      <c r="M15" s="34" t="s">
        <v>114</v>
      </c>
      <c r="N15" s="34" t="s">
        <v>317</v>
      </c>
      <c r="O15" s="34" t="s">
        <v>318</v>
      </c>
      <c r="P15" s="34" t="s">
        <v>93</v>
      </c>
      <c r="Q15" s="34" t="s">
        <v>57</v>
      </c>
      <c r="R15" s="34" t="s">
        <v>57</v>
      </c>
      <c r="S15" s="34" t="s">
        <v>193</v>
      </c>
      <c r="T15" s="34" t="s">
        <v>319</v>
      </c>
      <c r="U15" s="35" t="s">
        <v>320</v>
      </c>
      <c r="V15" s="34" t="s">
        <v>99</v>
      </c>
      <c r="W15" s="34" t="s">
        <v>100</v>
      </c>
      <c r="X15" s="37" t="s">
        <v>100</v>
      </c>
      <c r="Y15" s="34" t="s">
        <v>69</v>
      </c>
      <c r="Z15" s="34" t="s">
        <v>321</v>
      </c>
      <c r="AA15" s="34">
        <v>2007.0</v>
      </c>
      <c r="AB15" s="34">
        <v>2008.0</v>
      </c>
      <c r="AC15" s="34" t="s">
        <v>144</v>
      </c>
      <c r="AD15" s="34" t="s">
        <v>72</v>
      </c>
      <c r="AE15" s="34" t="s">
        <v>128</v>
      </c>
      <c r="AF15" s="34" t="s">
        <v>69</v>
      </c>
      <c r="AG15" s="34" t="s">
        <v>104</v>
      </c>
      <c r="AH15" s="34" t="s">
        <v>165</v>
      </c>
      <c r="AI15" s="34" t="s">
        <v>322</v>
      </c>
      <c r="AJ15" s="34" t="s">
        <v>107</v>
      </c>
      <c r="AK15" s="34" t="s">
        <v>323</v>
      </c>
      <c r="AL15" s="34" t="s">
        <v>79</v>
      </c>
      <c r="AM15" s="34" t="s">
        <v>57</v>
      </c>
      <c r="AN15" s="34" t="s">
        <v>57</v>
      </c>
      <c r="AO15" s="39"/>
      <c r="AP15" s="34" t="s">
        <v>81</v>
      </c>
      <c r="AQ15" s="40" t="s">
        <v>324</v>
      </c>
      <c r="AR15" s="40" t="s">
        <v>201</v>
      </c>
      <c r="AS15" s="41" t="s">
        <v>325</v>
      </c>
    </row>
    <row r="16">
      <c r="A16" s="32">
        <v>42.0</v>
      </c>
      <c r="B16" s="33">
        <v>3.64026786E8</v>
      </c>
      <c r="C16" s="34" t="s">
        <v>326</v>
      </c>
      <c r="D16" s="34" t="s">
        <v>327</v>
      </c>
      <c r="E16" s="34" t="s">
        <v>328</v>
      </c>
      <c r="F16" s="34" t="s">
        <v>273</v>
      </c>
      <c r="G16" s="35" t="s">
        <v>329</v>
      </c>
      <c r="H16" s="36">
        <v>2014.0</v>
      </c>
      <c r="I16" s="34" t="s">
        <v>330</v>
      </c>
      <c r="J16" s="34" t="s">
        <v>315</v>
      </c>
      <c r="K16" s="34" t="s">
        <v>331</v>
      </c>
      <c r="L16" s="34" t="s">
        <v>57</v>
      </c>
      <c r="M16" s="34" t="s">
        <v>273</v>
      </c>
      <c r="N16" s="34" t="s">
        <v>332</v>
      </c>
      <c r="O16" s="34" t="s">
        <v>333</v>
      </c>
      <c r="P16" s="34" t="s">
        <v>93</v>
      </c>
      <c r="Q16" s="34" t="s">
        <v>57</v>
      </c>
      <c r="R16" s="34" t="s">
        <v>57</v>
      </c>
      <c r="S16" s="34" t="s">
        <v>193</v>
      </c>
      <c r="T16" s="34" t="s">
        <v>334</v>
      </c>
      <c r="U16" s="35" t="s">
        <v>335</v>
      </c>
      <c r="V16" s="34" t="s">
        <v>99</v>
      </c>
      <c r="W16" s="34" t="s">
        <v>100</v>
      </c>
      <c r="X16" s="37" t="s">
        <v>100</v>
      </c>
      <c r="Y16" s="34" t="s">
        <v>74</v>
      </c>
      <c r="Z16" s="34" t="s">
        <v>57</v>
      </c>
      <c r="AA16" s="34" t="s">
        <v>57</v>
      </c>
      <c r="AB16" s="34" t="s">
        <v>57</v>
      </c>
      <c r="AC16" s="34" t="s">
        <v>103</v>
      </c>
      <c r="AD16" s="34" t="s">
        <v>180</v>
      </c>
      <c r="AE16" s="34" t="s">
        <v>69</v>
      </c>
      <c r="AF16" s="34" t="s">
        <v>69</v>
      </c>
      <c r="AG16" s="34" t="s">
        <v>104</v>
      </c>
      <c r="AH16" s="34" t="s">
        <v>105</v>
      </c>
      <c r="AI16" s="34" t="s">
        <v>336</v>
      </c>
      <c r="AJ16" s="34" t="s">
        <v>336</v>
      </c>
      <c r="AK16" s="34" t="s">
        <v>337</v>
      </c>
      <c r="AL16" s="34" t="s">
        <v>128</v>
      </c>
      <c r="AM16" s="34" t="s">
        <v>129</v>
      </c>
      <c r="AN16" s="34" t="s">
        <v>338</v>
      </c>
      <c r="AO16" s="39"/>
      <c r="AP16" s="34" t="s">
        <v>184</v>
      </c>
      <c r="AQ16" s="40" t="s">
        <v>339</v>
      </c>
      <c r="AR16" s="40" t="s">
        <v>201</v>
      </c>
      <c r="AS16" s="41" t="s">
        <v>340</v>
      </c>
    </row>
    <row r="17">
      <c r="A17" s="32">
        <v>44.0</v>
      </c>
      <c r="B17" s="33">
        <v>3.64025824E8</v>
      </c>
      <c r="C17" s="34" t="s">
        <v>341</v>
      </c>
      <c r="D17" s="34" t="s">
        <v>342</v>
      </c>
      <c r="E17" s="34" t="s">
        <v>343</v>
      </c>
      <c r="F17" s="34" t="s">
        <v>172</v>
      </c>
      <c r="G17" s="35" t="s">
        <v>344</v>
      </c>
      <c r="H17" s="36">
        <v>2007.0</v>
      </c>
      <c r="I17" s="34" t="s">
        <v>345</v>
      </c>
      <c r="J17" s="34" t="s">
        <v>315</v>
      </c>
      <c r="K17" s="34" t="s">
        <v>346</v>
      </c>
      <c r="L17" s="34" t="s">
        <v>57</v>
      </c>
      <c r="M17" s="34" t="s">
        <v>172</v>
      </c>
      <c r="N17" s="34" t="s">
        <v>347</v>
      </c>
      <c r="O17" s="34" t="s">
        <v>348</v>
      </c>
      <c r="P17" s="34" t="s">
        <v>93</v>
      </c>
      <c r="Q17" s="34" t="s">
        <v>349</v>
      </c>
      <c r="R17" s="34" t="s">
        <v>350</v>
      </c>
      <c r="S17" s="34" t="s">
        <v>63</v>
      </c>
      <c r="T17" s="34" t="s">
        <v>351</v>
      </c>
      <c r="U17" s="35" t="s">
        <v>352</v>
      </c>
      <c r="V17" s="34" t="s">
        <v>99</v>
      </c>
      <c r="W17" s="34" t="s">
        <v>100</v>
      </c>
      <c r="X17" s="37" t="s">
        <v>100</v>
      </c>
      <c r="Y17" s="34" t="s">
        <v>74</v>
      </c>
      <c r="Z17" s="34" t="s">
        <v>57</v>
      </c>
      <c r="AA17" s="34">
        <v>1999.0</v>
      </c>
      <c r="AB17" s="34">
        <v>2004.0</v>
      </c>
      <c r="AC17" s="34" t="s">
        <v>103</v>
      </c>
      <c r="AD17" s="34" t="s">
        <v>72</v>
      </c>
      <c r="AE17" s="34" t="s">
        <v>74</v>
      </c>
      <c r="AF17" s="34" t="s">
        <v>69</v>
      </c>
      <c r="AG17" s="34" t="s">
        <v>104</v>
      </c>
      <c r="AH17" s="34" t="s">
        <v>105</v>
      </c>
      <c r="AI17" s="34" t="s">
        <v>166</v>
      </c>
      <c r="AJ17" s="34" t="s">
        <v>166</v>
      </c>
      <c r="AK17" s="34" t="s">
        <v>353</v>
      </c>
      <c r="AL17" s="34" t="s">
        <v>128</v>
      </c>
      <c r="AM17" s="34" t="s">
        <v>129</v>
      </c>
      <c r="AN17" s="34" t="s">
        <v>354</v>
      </c>
      <c r="AO17" s="39"/>
      <c r="AP17" s="34" t="s">
        <v>184</v>
      </c>
      <c r="AQ17" s="40" t="s">
        <v>355</v>
      </c>
      <c r="AR17" s="40" t="s">
        <v>201</v>
      </c>
      <c r="AS17" s="41" t="s">
        <v>356</v>
      </c>
    </row>
    <row r="18">
      <c r="A18" s="32">
        <v>45.0</v>
      </c>
      <c r="B18" s="33">
        <v>3.64026043E8</v>
      </c>
      <c r="C18" s="34" t="s">
        <v>357</v>
      </c>
      <c r="D18" s="34" t="s">
        <v>358</v>
      </c>
      <c r="E18" s="34" t="s">
        <v>359</v>
      </c>
      <c r="F18" s="34" t="s">
        <v>114</v>
      </c>
      <c r="G18" s="35" t="s">
        <v>360</v>
      </c>
      <c r="H18" s="36">
        <v>2016.0</v>
      </c>
      <c r="I18" s="34" t="s">
        <v>361</v>
      </c>
      <c r="J18" s="34" t="s">
        <v>315</v>
      </c>
      <c r="K18" s="34" t="s">
        <v>57</v>
      </c>
      <c r="L18" s="34" t="s">
        <v>57</v>
      </c>
      <c r="M18" s="34" t="s">
        <v>114</v>
      </c>
      <c r="N18" s="34" t="s">
        <v>362</v>
      </c>
      <c r="O18" s="34" t="s">
        <v>363</v>
      </c>
      <c r="P18" s="34" t="s">
        <v>93</v>
      </c>
      <c r="Q18" s="34" t="s">
        <v>364</v>
      </c>
      <c r="R18" s="34" t="s">
        <v>365</v>
      </c>
      <c r="S18" s="34" t="s">
        <v>63</v>
      </c>
      <c r="T18" s="34" t="s">
        <v>366</v>
      </c>
      <c r="U18" s="35" t="s">
        <v>367</v>
      </c>
      <c r="V18" s="34" t="s">
        <v>66</v>
      </c>
      <c r="W18" s="34" t="s">
        <v>368</v>
      </c>
      <c r="X18" s="37" t="s">
        <v>369</v>
      </c>
      <c r="Y18" s="34" t="s">
        <v>74</v>
      </c>
      <c r="Z18" s="34" t="s">
        <v>57</v>
      </c>
      <c r="AA18" s="34">
        <v>1973.0</v>
      </c>
      <c r="AB18" s="34">
        <v>2013.0</v>
      </c>
      <c r="AC18" s="34" t="s">
        <v>144</v>
      </c>
      <c r="AD18" s="34" t="s">
        <v>370</v>
      </c>
      <c r="AE18" s="34" t="s">
        <v>69</v>
      </c>
      <c r="AF18" s="34" t="s">
        <v>69</v>
      </c>
      <c r="AG18" s="34" t="s">
        <v>75</v>
      </c>
      <c r="AH18" s="34" t="s">
        <v>371</v>
      </c>
      <c r="AI18" s="34" t="s">
        <v>372</v>
      </c>
      <c r="AJ18" s="34" t="s">
        <v>147</v>
      </c>
      <c r="AK18" s="34" t="s">
        <v>373</v>
      </c>
      <c r="AL18" s="34" t="s">
        <v>128</v>
      </c>
      <c r="AM18" s="34" t="s">
        <v>374</v>
      </c>
      <c r="AN18" s="34" t="s">
        <v>375</v>
      </c>
      <c r="AO18" s="39"/>
      <c r="AP18" s="34" t="s">
        <v>184</v>
      </c>
      <c r="AQ18" s="40" t="s">
        <v>376</v>
      </c>
      <c r="AR18" s="40" t="s">
        <v>201</v>
      </c>
      <c r="AS18" s="41" t="s">
        <v>377</v>
      </c>
    </row>
    <row r="19">
      <c r="A19" s="32">
        <v>46.0</v>
      </c>
      <c r="B19" s="33">
        <v>3.64025505E8</v>
      </c>
      <c r="C19" s="34" t="s">
        <v>378</v>
      </c>
      <c r="D19" s="34" t="s">
        <v>379</v>
      </c>
      <c r="E19" s="34" t="s">
        <v>380</v>
      </c>
      <c r="F19" s="34" t="s">
        <v>381</v>
      </c>
      <c r="G19" s="35" t="s">
        <v>382</v>
      </c>
      <c r="H19" s="36">
        <v>2004.0</v>
      </c>
      <c r="I19" s="34" t="s">
        <v>54</v>
      </c>
      <c r="J19" s="34" t="s">
        <v>315</v>
      </c>
      <c r="K19" s="34" t="s">
        <v>383</v>
      </c>
      <c r="L19" s="34" t="s">
        <v>57</v>
      </c>
      <c r="M19" s="34" t="s">
        <v>381</v>
      </c>
      <c r="N19" s="34" t="s">
        <v>384</v>
      </c>
      <c r="O19" s="34" t="s">
        <v>385</v>
      </c>
      <c r="P19" s="34" t="s">
        <v>93</v>
      </c>
      <c r="Q19" s="34" t="s">
        <v>57</v>
      </c>
      <c r="R19" s="34" t="s">
        <v>57</v>
      </c>
      <c r="S19" s="34" t="s">
        <v>63</v>
      </c>
      <c r="T19" s="34" t="s">
        <v>386</v>
      </c>
      <c r="U19" s="35" t="s">
        <v>387</v>
      </c>
      <c r="V19" s="34" t="s">
        <v>66</v>
      </c>
      <c r="W19" s="34" t="s">
        <v>388</v>
      </c>
      <c r="X19" s="37" t="s">
        <v>389</v>
      </c>
      <c r="Y19" s="34" t="s">
        <v>74</v>
      </c>
      <c r="Z19" s="34" t="s">
        <v>57</v>
      </c>
      <c r="AA19" s="34">
        <v>1997.0</v>
      </c>
      <c r="AB19" s="34">
        <v>2003.0</v>
      </c>
      <c r="AC19" s="34" t="s">
        <v>57</v>
      </c>
      <c r="AD19" s="34" t="s">
        <v>57</v>
      </c>
      <c r="AE19" s="34" t="s">
        <v>69</v>
      </c>
      <c r="AF19" s="34" t="s">
        <v>69</v>
      </c>
      <c r="AG19" s="34" t="s">
        <v>75</v>
      </c>
      <c r="AH19" s="34" t="s">
        <v>125</v>
      </c>
      <c r="AI19" s="34" t="s">
        <v>77</v>
      </c>
      <c r="AJ19" s="34" t="s">
        <v>77</v>
      </c>
      <c r="AK19" s="34" t="s">
        <v>390</v>
      </c>
      <c r="AL19" s="34" t="s">
        <v>79</v>
      </c>
      <c r="AM19" s="34" t="s">
        <v>57</v>
      </c>
      <c r="AN19" s="34" t="s">
        <v>57</v>
      </c>
      <c r="AO19" s="39"/>
      <c r="AP19" s="34" t="s">
        <v>81</v>
      </c>
      <c r="AQ19" s="40" t="s">
        <v>391</v>
      </c>
      <c r="AR19" s="40" t="s">
        <v>201</v>
      </c>
      <c r="AS19" s="41" t="s">
        <v>392</v>
      </c>
    </row>
    <row r="20">
      <c r="A20" s="32">
        <v>48.0</v>
      </c>
      <c r="B20" s="33">
        <v>3.64025482E8</v>
      </c>
      <c r="C20" s="34" t="s">
        <v>393</v>
      </c>
      <c r="D20" s="34" t="s">
        <v>394</v>
      </c>
      <c r="E20" s="38" t="s">
        <v>395</v>
      </c>
      <c r="F20" s="34" t="s">
        <v>396</v>
      </c>
      <c r="G20" s="43" t="s">
        <v>397</v>
      </c>
      <c r="H20" s="36">
        <v>1993.0</v>
      </c>
      <c r="I20" s="34" t="s">
        <v>156</v>
      </c>
      <c r="J20" s="34" t="s">
        <v>55</v>
      </c>
      <c r="K20" s="34" t="s">
        <v>398</v>
      </c>
      <c r="L20" s="34" t="s">
        <v>57</v>
      </c>
      <c r="M20" s="34" t="s">
        <v>399</v>
      </c>
      <c r="N20" s="34" t="s">
        <v>400</v>
      </c>
      <c r="O20" s="34" t="s">
        <v>401</v>
      </c>
      <c r="P20" s="34" t="s">
        <v>93</v>
      </c>
      <c r="Q20" s="34" t="s">
        <v>57</v>
      </c>
      <c r="R20" s="34" t="s">
        <v>57</v>
      </c>
      <c r="S20" s="34" t="s">
        <v>96</v>
      </c>
      <c r="T20" s="34" t="s">
        <v>366</v>
      </c>
      <c r="U20" s="35" t="s">
        <v>402</v>
      </c>
      <c r="V20" s="34" t="s">
        <v>99</v>
      </c>
      <c r="W20" s="34" t="s">
        <v>100</v>
      </c>
      <c r="X20" s="37" t="s">
        <v>100</v>
      </c>
      <c r="Y20" s="34" t="s">
        <v>74</v>
      </c>
      <c r="Z20" s="34" t="s">
        <v>57</v>
      </c>
      <c r="AA20" s="34">
        <v>1988.0</v>
      </c>
      <c r="AB20" s="34">
        <v>1989.0</v>
      </c>
      <c r="AC20" s="34" t="s">
        <v>403</v>
      </c>
      <c r="AD20" s="34" t="s">
        <v>144</v>
      </c>
      <c r="AE20" s="34" t="s">
        <v>69</v>
      </c>
      <c r="AF20" s="34" t="s">
        <v>74</v>
      </c>
      <c r="AG20" s="34" t="s">
        <v>215</v>
      </c>
      <c r="AH20" s="34" t="s">
        <v>105</v>
      </c>
      <c r="AI20" s="34" t="s">
        <v>166</v>
      </c>
      <c r="AJ20" s="34" t="s">
        <v>166</v>
      </c>
      <c r="AK20" s="34" t="s">
        <v>404</v>
      </c>
      <c r="AL20" s="34" t="s">
        <v>79</v>
      </c>
      <c r="AM20" s="34" t="s">
        <v>57</v>
      </c>
      <c r="AN20" s="34" t="s">
        <v>57</v>
      </c>
      <c r="AO20" s="39"/>
      <c r="AP20" s="34" t="s">
        <v>109</v>
      </c>
      <c r="AQ20" s="40" t="s">
        <v>405</v>
      </c>
      <c r="AR20" s="40" t="s">
        <v>201</v>
      </c>
      <c r="AS20" s="41" t="s">
        <v>406</v>
      </c>
    </row>
    <row r="21">
      <c r="A21" s="32">
        <v>49.0</v>
      </c>
      <c r="B21" s="33">
        <v>3.64026317E8</v>
      </c>
      <c r="C21" s="34" t="s">
        <v>407</v>
      </c>
      <c r="D21" s="34" t="s">
        <v>408</v>
      </c>
      <c r="E21" s="34" t="s">
        <v>409</v>
      </c>
      <c r="F21" s="34" t="s">
        <v>114</v>
      </c>
      <c r="G21" s="35" t="s">
        <v>410</v>
      </c>
      <c r="H21" s="36">
        <v>2002.0</v>
      </c>
      <c r="I21" s="34" t="s">
        <v>411</v>
      </c>
      <c r="J21" s="34" t="s">
        <v>55</v>
      </c>
      <c r="K21" s="34" t="s">
        <v>276</v>
      </c>
      <c r="L21" s="34" t="s">
        <v>57</v>
      </c>
      <c r="M21" s="34" t="s">
        <v>273</v>
      </c>
      <c r="N21" s="34" t="s">
        <v>277</v>
      </c>
      <c r="O21" s="34" t="s">
        <v>277</v>
      </c>
      <c r="P21" s="34" t="s">
        <v>93</v>
      </c>
      <c r="Q21" s="34" t="s">
        <v>57</v>
      </c>
      <c r="R21" s="34" t="s">
        <v>57</v>
      </c>
      <c r="S21" s="34" t="s">
        <v>96</v>
      </c>
      <c r="T21" s="34" t="s">
        <v>412</v>
      </c>
      <c r="U21" s="35" t="s">
        <v>413</v>
      </c>
      <c r="V21" s="34" t="s">
        <v>99</v>
      </c>
      <c r="W21" s="34" t="s">
        <v>100</v>
      </c>
      <c r="X21" s="37" t="s">
        <v>100</v>
      </c>
      <c r="Y21" s="34" t="s">
        <v>74</v>
      </c>
      <c r="Z21" s="34" t="s">
        <v>57</v>
      </c>
      <c r="AA21" s="34">
        <v>1997.0</v>
      </c>
      <c r="AB21" s="34">
        <v>1998.0</v>
      </c>
      <c r="AC21" s="34" t="s">
        <v>103</v>
      </c>
      <c r="AD21" s="34" t="s">
        <v>180</v>
      </c>
      <c r="AE21" s="34" t="s">
        <v>69</v>
      </c>
      <c r="AF21" s="34" t="s">
        <v>69</v>
      </c>
      <c r="AG21" s="34" t="s">
        <v>104</v>
      </c>
      <c r="AH21" s="34" t="s">
        <v>105</v>
      </c>
      <c r="AI21" s="34" t="s">
        <v>414</v>
      </c>
      <c r="AJ21" s="34" t="s">
        <v>107</v>
      </c>
      <c r="AK21" s="34" t="s">
        <v>415</v>
      </c>
      <c r="AL21" s="34" t="s">
        <v>128</v>
      </c>
      <c r="AM21" s="34" t="s">
        <v>374</v>
      </c>
      <c r="AN21" s="34" t="s">
        <v>416</v>
      </c>
      <c r="AO21" s="39"/>
      <c r="AP21" s="34" t="s">
        <v>184</v>
      </c>
      <c r="AQ21" s="40" t="s">
        <v>417</v>
      </c>
      <c r="AR21" s="40" t="s">
        <v>201</v>
      </c>
      <c r="AS21" s="41" t="s">
        <v>418</v>
      </c>
    </row>
    <row r="22">
      <c r="A22" s="32">
        <v>51.0</v>
      </c>
      <c r="B22" s="33">
        <v>7.99026014E8</v>
      </c>
      <c r="C22" s="34" t="s">
        <v>419</v>
      </c>
      <c r="D22" s="34" t="s">
        <v>420</v>
      </c>
      <c r="E22" s="34" t="s">
        <v>421</v>
      </c>
      <c r="F22" s="34" t="s">
        <v>396</v>
      </c>
      <c r="G22" s="35" t="s">
        <v>422</v>
      </c>
      <c r="H22" s="36">
        <v>2006.0</v>
      </c>
      <c r="I22" s="34" t="s">
        <v>423</v>
      </c>
      <c r="J22" s="34" t="s">
        <v>55</v>
      </c>
      <c r="K22" s="34" t="s">
        <v>424</v>
      </c>
      <c r="L22" s="34" t="s">
        <v>57</v>
      </c>
      <c r="M22" s="34" t="s">
        <v>425</v>
      </c>
      <c r="N22" s="34" t="s">
        <v>426</v>
      </c>
      <c r="O22" s="34" t="s">
        <v>427</v>
      </c>
      <c r="P22" s="34" t="s">
        <v>93</v>
      </c>
      <c r="Q22" s="34" t="s">
        <v>428</v>
      </c>
      <c r="R22" s="34" t="s">
        <v>429</v>
      </c>
      <c r="S22" s="34" t="s">
        <v>96</v>
      </c>
      <c r="T22" s="34" t="s">
        <v>64</v>
      </c>
      <c r="U22" s="35" t="s">
        <v>430</v>
      </c>
      <c r="V22" s="34" t="s">
        <v>99</v>
      </c>
      <c r="W22" s="34" t="s">
        <v>100</v>
      </c>
      <c r="X22" s="37" t="s">
        <v>100</v>
      </c>
      <c r="Y22" s="34" t="s">
        <v>74</v>
      </c>
      <c r="Z22" s="34" t="s">
        <v>57</v>
      </c>
      <c r="AA22" s="34">
        <v>2004.0</v>
      </c>
      <c r="AB22" s="34">
        <v>2004.0</v>
      </c>
      <c r="AC22" s="34" t="s">
        <v>103</v>
      </c>
      <c r="AD22" s="34" t="s">
        <v>370</v>
      </c>
      <c r="AE22" s="34" t="s">
        <v>74</v>
      </c>
      <c r="AF22" s="34" t="s">
        <v>69</v>
      </c>
      <c r="AG22" s="34" t="s">
        <v>104</v>
      </c>
      <c r="AH22" s="34" t="s">
        <v>285</v>
      </c>
      <c r="AI22" s="34" t="s">
        <v>431</v>
      </c>
      <c r="AJ22" s="34" t="s">
        <v>431</v>
      </c>
      <c r="AK22" s="34" t="s">
        <v>432</v>
      </c>
      <c r="AL22" s="34" t="s">
        <v>128</v>
      </c>
      <c r="AM22" s="34" t="s">
        <v>129</v>
      </c>
      <c r="AN22" s="34" t="s">
        <v>433</v>
      </c>
      <c r="AO22" s="39"/>
      <c r="AP22" s="34" t="s">
        <v>184</v>
      </c>
      <c r="AQ22" s="40" t="s">
        <v>434</v>
      </c>
      <c r="AR22" s="40" t="s">
        <v>201</v>
      </c>
      <c r="AS22" s="41" t="s">
        <v>435</v>
      </c>
    </row>
    <row r="23">
      <c r="A23" s="32">
        <v>53.0</v>
      </c>
      <c r="B23" s="33">
        <v>3.64026463E8</v>
      </c>
      <c r="C23" s="34" t="s">
        <v>436</v>
      </c>
      <c r="D23" s="34" t="s">
        <v>437</v>
      </c>
      <c r="E23" s="34" t="s">
        <v>438</v>
      </c>
      <c r="F23" s="34" t="s">
        <v>439</v>
      </c>
      <c r="G23" s="35" t="s">
        <v>440</v>
      </c>
      <c r="H23" s="36">
        <v>2015.0</v>
      </c>
      <c r="I23" s="34" t="s">
        <v>207</v>
      </c>
      <c r="J23" s="34" t="s">
        <v>441</v>
      </c>
      <c r="K23" s="34" t="s">
        <v>442</v>
      </c>
      <c r="L23" s="34" t="s">
        <v>57</v>
      </c>
      <c r="M23" s="34" t="s">
        <v>443</v>
      </c>
      <c r="N23" s="34" t="s">
        <v>444</v>
      </c>
      <c r="O23" s="34" t="s">
        <v>445</v>
      </c>
      <c r="P23" s="34" t="s">
        <v>93</v>
      </c>
      <c r="Q23" s="34" t="s">
        <v>57</v>
      </c>
      <c r="R23" s="34" t="s">
        <v>57</v>
      </c>
      <c r="S23" s="34" t="s">
        <v>193</v>
      </c>
      <c r="T23" s="34" t="s">
        <v>446</v>
      </c>
      <c r="U23" s="35" t="s">
        <v>447</v>
      </c>
      <c r="V23" s="34" t="s">
        <v>99</v>
      </c>
      <c r="W23" s="34" t="s">
        <v>100</v>
      </c>
      <c r="X23" s="37" t="s">
        <v>100</v>
      </c>
      <c r="Y23" s="34" t="s">
        <v>74</v>
      </c>
      <c r="Z23" s="34" t="s">
        <v>57</v>
      </c>
      <c r="AA23" s="34">
        <v>2012.0</v>
      </c>
      <c r="AB23" s="34">
        <v>2012.0</v>
      </c>
      <c r="AC23" s="34" t="s">
        <v>103</v>
      </c>
      <c r="AD23" s="34" t="s">
        <v>403</v>
      </c>
      <c r="AE23" s="34" t="s">
        <v>69</v>
      </c>
      <c r="AF23" s="34" t="s">
        <v>69</v>
      </c>
      <c r="AG23" s="34" t="s">
        <v>104</v>
      </c>
      <c r="AH23" s="34" t="s">
        <v>105</v>
      </c>
      <c r="AI23" s="34" t="s">
        <v>448</v>
      </c>
      <c r="AJ23" s="34" t="s">
        <v>107</v>
      </c>
      <c r="AK23" s="34" t="s">
        <v>449</v>
      </c>
      <c r="AL23" s="34" t="s">
        <v>128</v>
      </c>
      <c r="AM23" s="34" t="s">
        <v>129</v>
      </c>
      <c r="AN23" s="34" t="s">
        <v>450</v>
      </c>
      <c r="AO23" s="39"/>
      <c r="AP23" s="34" t="s">
        <v>184</v>
      </c>
      <c r="AQ23" s="40" t="s">
        <v>451</v>
      </c>
      <c r="AR23" s="40" t="s">
        <v>201</v>
      </c>
      <c r="AS23" s="41" t="s">
        <v>452</v>
      </c>
    </row>
    <row r="24">
      <c r="A24" s="32">
        <v>57.0</v>
      </c>
      <c r="B24" s="33">
        <v>3.64026428E8</v>
      </c>
      <c r="C24" s="34" t="s">
        <v>453</v>
      </c>
      <c r="D24" s="34" t="s">
        <v>454</v>
      </c>
      <c r="E24" s="34" t="s">
        <v>455</v>
      </c>
      <c r="F24" s="34" t="s">
        <v>456</v>
      </c>
      <c r="G24" s="35" t="s">
        <v>457</v>
      </c>
      <c r="H24" s="36">
        <v>2022.0</v>
      </c>
      <c r="I24" s="34" t="s">
        <v>207</v>
      </c>
      <c r="J24" s="34" t="s">
        <v>441</v>
      </c>
      <c r="K24" s="34" t="s">
        <v>458</v>
      </c>
      <c r="L24" s="34" t="s">
        <v>57</v>
      </c>
      <c r="M24" s="34" t="s">
        <v>456</v>
      </c>
      <c r="N24" s="34" t="s">
        <v>459</v>
      </c>
      <c r="O24" s="34" t="s">
        <v>460</v>
      </c>
      <c r="P24" s="34" t="s">
        <v>93</v>
      </c>
      <c r="Q24" s="34" t="s">
        <v>461</v>
      </c>
      <c r="R24" s="34" t="s">
        <v>462</v>
      </c>
      <c r="S24" s="34" t="s">
        <v>63</v>
      </c>
      <c r="T24" s="34" t="s">
        <v>463</v>
      </c>
      <c r="U24" s="35" t="s">
        <v>464</v>
      </c>
      <c r="V24" s="34" t="s">
        <v>99</v>
      </c>
      <c r="W24" s="34" t="s">
        <v>100</v>
      </c>
      <c r="X24" s="37" t="s">
        <v>100</v>
      </c>
      <c r="Y24" s="34" t="s">
        <v>74</v>
      </c>
      <c r="Z24" s="34" t="s">
        <v>57</v>
      </c>
      <c r="AA24" s="34">
        <v>2018.0</v>
      </c>
      <c r="AB24" s="34">
        <v>2019.0</v>
      </c>
      <c r="AC24" s="34" t="s">
        <v>214</v>
      </c>
      <c r="AD24" s="34" t="s">
        <v>264</v>
      </c>
      <c r="AE24" s="34" t="s">
        <v>69</v>
      </c>
      <c r="AF24" s="34" t="s">
        <v>69</v>
      </c>
      <c r="AG24" s="34" t="s">
        <v>104</v>
      </c>
      <c r="AH24" s="34" t="s">
        <v>105</v>
      </c>
      <c r="AI24" s="34" t="s">
        <v>465</v>
      </c>
      <c r="AJ24" s="34" t="s">
        <v>465</v>
      </c>
      <c r="AK24" s="34" t="s">
        <v>466</v>
      </c>
      <c r="AL24" s="34" t="s">
        <v>128</v>
      </c>
      <c r="AM24" s="34" t="s">
        <v>129</v>
      </c>
      <c r="AN24" s="34" t="s">
        <v>467</v>
      </c>
      <c r="AO24" s="39"/>
      <c r="AP24" s="34" t="s">
        <v>184</v>
      </c>
      <c r="AQ24" s="40" t="s">
        <v>468</v>
      </c>
      <c r="AR24" s="40" t="s">
        <v>201</v>
      </c>
      <c r="AS24" s="41" t="s">
        <v>469</v>
      </c>
    </row>
    <row r="25">
      <c r="A25" s="32">
        <v>58.0</v>
      </c>
      <c r="B25" s="33">
        <v>3.64026891E8</v>
      </c>
      <c r="C25" s="34" t="s">
        <v>470</v>
      </c>
      <c r="D25" s="34" t="s">
        <v>471</v>
      </c>
      <c r="E25" s="34" t="s">
        <v>472</v>
      </c>
      <c r="F25" s="34" t="s">
        <v>456</v>
      </c>
      <c r="G25" s="35" t="s">
        <v>473</v>
      </c>
      <c r="H25" s="36">
        <v>2014.0</v>
      </c>
      <c r="I25" s="34" t="s">
        <v>474</v>
      </c>
      <c r="J25" s="34" t="s">
        <v>441</v>
      </c>
      <c r="K25" s="34" t="s">
        <v>475</v>
      </c>
      <c r="L25" s="34" t="s">
        <v>57</v>
      </c>
      <c r="M25" s="34" t="s">
        <v>456</v>
      </c>
      <c r="N25" s="34" t="s">
        <v>476</v>
      </c>
      <c r="O25" s="34" t="s">
        <v>477</v>
      </c>
      <c r="P25" s="34" t="s">
        <v>93</v>
      </c>
      <c r="Q25" s="34" t="s">
        <v>478</v>
      </c>
      <c r="R25" s="34" t="s">
        <v>479</v>
      </c>
      <c r="S25" s="34" t="s">
        <v>96</v>
      </c>
      <c r="T25" s="34" t="s">
        <v>64</v>
      </c>
      <c r="U25" s="35" t="s">
        <v>480</v>
      </c>
      <c r="V25" s="34" t="s">
        <v>66</v>
      </c>
      <c r="W25" s="34" t="s">
        <v>481</v>
      </c>
      <c r="X25" s="37" t="s">
        <v>482</v>
      </c>
      <c r="Y25" s="34" t="s">
        <v>74</v>
      </c>
      <c r="Z25" s="34" t="s">
        <v>57</v>
      </c>
      <c r="AA25" s="34">
        <v>2007.0</v>
      </c>
      <c r="AB25" s="34">
        <v>2007.0</v>
      </c>
      <c r="AC25" s="34" t="s">
        <v>71</v>
      </c>
      <c r="AD25" s="34" t="s">
        <v>144</v>
      </c>
      <c r="AE25" s="34" t="s">
        <v>74</v>
      </c>
      <c r="AF25" s="34" t="s">
        <v>69</v>
      </c>
      <c r="AG25" s="34" t="s">
        <v>215</v>
      </c>
      <c r="AH25" s="34" t="s">
        <v>76</v>
      </c>
      <c r="AI25" s="34" t="s">
        <v>483</v>
      </c>
      <c r="AJ25" s="34" t="s">
        <v>147</v>
      </c>
      <c r="AK25" s="34" t="s">
        <v>484</v>
      </c>
      <c r="AL25" s="34" t="s">
        <v>79</v>
      </c>
      <c r="AM25" s="34" t="s">
        <v>57</v>
      </c>
      <c r="AN25" s="34" t="s">
        <v>57</v>
      </c>
      <c r="AO25" s="39"/>
      <c r="AP25" s="34" t="s">
        <v>184</v>
      </c>
      <c r="AQ25" s="40" t="s">
        <v>485</v>
      </c>
      <c r="AR25" s="40" t="s">
        <v>201</v>
      </c>
      <c r="AS25" s="44"/>
    </row>
    <row r="26">
      <c r="A26" s="32">
        <v>60.0</v>
      </c>
      <c r="B26" s="33">
        <v>3.64025503E8</v>
      </c>
      <c r="C26" s="34" t="s">
        <v>486</v>
      </c>
      <c r="D26" s="34" t="s">
        <v>487</v>
      </c>
      <c r="E26" s="38" t="s">
        <v>488</v>
      </c>
      <c r="F26" s="34" t="s">
        <v>489</v>
      </c>
      <c r="G26" s="43" t="s">
        <v>490</v>
      </c>
      <c r="H26" s="36">
        <v>2017.0</v>
      </c>
      <c r="I26" s="34" t="s">
        <v>491</v>
      </c>
      <c r="J26" s="34" t="s">
        <v>441</v>
      </c>
      <c r="K26" s="34" t="s">
        <v>492</v>
      </c>
      <c r="L26" s="34" t="s">
        <v>57</v>
      </c>
      <c r="M26" s="34" t="s">
        <v>489</v>
      </c>
      <c r="N26" s="34" t="s">
        <v>493</v>
      </c>
      <c r="O26" s="34" t="s">
        <v>494</v>
      </c>
      <c r="P26" s="34" t="s">
        <v>93</v>
      </c>
      <c r="Q26" s="34" t="s">
        <v>57</v>
      </c>
      <c r="R26" s="34" t="s">
        <v>57</v>
      </c>
      <c r="S26" s="34" t="s">
        <v>63</v>
      </c>
      <c r="T26" s="34" t="s">
        <v>64</v>
      </c>
      <c r="U26" s="35" t="s">
        <v>495</v>
      </c>
      <c r="V26" s="34" t="s">
        <v>66</v>
      </c>
      <c r="W26" s="34" t="s">
        <v>496</v>
      </c>
      <c r="X26" s="37" t="s">
        <v>497</v>
      </c>
      <c r="Y26" s="34" t="s">
        <v>74</v>
      </c>
      <c r="Z26" s="34" t="s">
        <v>57</v>
      </c>
      <c r="AA26" s="34">
        <v>2009.0</v>
      </c>
      <c r="AB26" s="34">
        <v>2016.0</v>
      </c>
      <c r="AC26" s="34" t="s">
        <v>57</v>
      </c>
      <c r="AD26" s="34" t="s">
        <v>57</v>
      </c>
      <c r="AE26" s="34" t="s">
        <v>74</v>
      </c>
      <c r="AF26" s="34" t="s">
        <v>69</v>
      </c>
      <c r="AG26" s="34" t="s">
        <v>215</v>
      </c>
      <c r="AH26" s="34" t="s">
        <v>498</v>
      </c>
      <c r="AI26" s="34" t="s">
        <v>499</v>
      </c>
      <c r="AJ26" s="34" t="s">
        <v>107</v>
      </c>
      <c r="AK26" s="34" t="s">
        <v>500</v>
      </c>
      <c r="AL26" s="34" t="s">
        <v>79</v>
      </c>
      <c r="AM26" s="34" t="s">
        <v>57</v>
      </c>
      <c r="AN26" s="34" t="s">
        <v>57</v>
      </c>
      <c r="AO26" s="39"/>
      <c r="AP26" s="34" t="s">
        <v>109</v>
      </c>
      <c r="AQ26" s="40" t="s">
        <v>501</v>
      </c>
      <c r="AR26" s="40" t="s">
        <v>201</v>
      </c>
      <c r="AS26" s="45"/>
    </row>
    <row r="27">
      <c r="A27" s="32">
        <v>61.0</v>
      </c>
      <c r="B27" s="33">
        <v>3.64025516E8</v>
      </c>
      <c r="C27" s="34" t="s">
        <v>502</v>
      </c>
      <c r="D27" s="34" t="s">
        <v>503</v>
      </c>
      <c r="E27" s="38" t="s">
        <v>504</v>
      </c>
      <c r="F27" s="34" t="s">
        <v>381</v>
      </c>
      <c r="G27" s="43" t="s">
        <v>505</v>
      </c>
      <c r="H27" s="36">
        <v>2004.0</v>
      </c>
      <c r="I27" s="34" t="s">
        <v>506</v>
      </c>
      <c r="J27" s="34" t="s">
        <v>441</v>
      </c>
      <c r="K27" s="34" t="s">
        <v>507</v>
      </c>
      <c r="L27" s="34" t="s">
        <v>57</v>
      </c>
      <c r="M27" s="34" t="s">
        <v>381</v>
      </c>
      <c r="N27" s="34" t="s">
        <v>384</v>
      </c>
      <c r="O27" s="34" t="s">
        <v>508</v>
      </c>
      <c r="P27" s="34" t="s">
        <v>93</v>
      </c>
      <c r="Q27" s="34" t="s">
        <v>57</v>
      </c>
      <c r="R27" s="34" t="s">
        <v>57</v>
      </c>
      <c r="S27" s="34" t="s">
        <v>96</v>
      </c>
      <c r="T27" s="34" t="s">
        <v>229</v>
      </c>
      <c r="U27" s="35" t="s">
        <v>509</v>
      </c>
      <c r="V27" s="34" t="s">
        <v>66</v>
      </c>
      <c r="W27" s="34" t="s">
        <v>388</v>
      </c>
      <c r="X27" s="46" t="s">
        <v>389</v>
      </c>
      <c r="Y27" s="34" t="s">
        <v>74</v>
      </c>
      <c r="Z27" s="34" t="s">
        <v>57</v>
      </c>
      <c r="AA27" s="34">
        <v>1997.0</v>
      </c>
      <c r="AB27" s="34">
        <v>2000.0</v>
      </c>
      <c r="AC27" s="34" t="s">
        <v>57</v>
      </c>
      <c r="AD27" s="34" t="s">
        <v>57</v>
      </c>
      <c r="AE27" s="34" t="s">
        <v>57</v>
      </c>
      <c r="AF27" s="34" t="s">
        <v>74</v>
      </c>
      <c r="AG27" s="34" t="s">
        <v>215</v>
      </c>
      <c r="AH27" s="34" t="s">
        <v>105</v>
      </c>
      <c r="AI27" s="34" t="s">
        <v>166</v>
      </c>
      <c r="AJ27" s="34" t="s">
        <v>166</v>
      </c>
      <c r="AK27" s="34" t="s">
        <v>510</v>
      </c>
      <c r="AL27" s="34" t="s">
        <v>79</v>
      </c>
      <c r="AM27" s="34" t="s">
        <v>57</v>
      </c>
      <c r="AN27" s="34" t="s">
        <v>57</v>
      </c>
      <c r="AO27" s="39"/>
      <c r="AP27" s="34" t="s">
        <v>109</v>
      </c>
      <c r="AQ27" s="40" t="s">
        <v>511</v>
      </c>
      <c r="AR27" s="40" t="s">
        <v>201</v>
      </c>
      <c r="AS27" s="41" t="s">
        <v>512</v>
      </c>
    </row>
    <row r="28">
      <c r="A28" s="32">
        <v>65.0</v>
      </c>
      <c r="B28" s="33">
        <v>3.64025552E8</v>
      </c>
      <c r="C28" s="34" t="s">
        <v>513</v>
      </c>
      <c r="D28" s="34" t="s">
        <v>514</v>
      </c>
      <c r="E28" s="38" t="s">
        <v>515</v>
      </c>
      <c r="F28" s="34" t="s">
        <v>381</v>
      </c>
      <c r="G28" s="43" t="s">
        <v>516</v>
      </c>
      <c r="H28" s="36">
        <v>2010.0</v>
      </c>
      <c r="I28" s="34" t="s">
        <v>517</v>
      </c>
      <c r="J28" s="34" t="s">
        <v>518</v>
      </c>
      <c r="K28" s="34" t="s">
        <v>519</v>
      </c>
      <c r="L28" s="34" t="s">
        <v>57</v>
      </c>
      <c r="M28" s="34" t="s">
        <v>381</v>
      </c>
      <c r="N28" s="34" t="s">
        <v>520</v>
      </c>
      <c r="O28" s="34" t="s">
        <v>521</v>
      </c>
      <c r="P28" s="34" t="s">
        <v>93</v>
      </c>
      <c r="Q28" s="34" t="s">
        <v>57</v>
      </c>
      <c r="R28" s="34" t="s">
        <v>57</v>
      </c>
      <c r="S28" s="34" t="s">
        <v>63</v>
      </c>
      <c r="T28" s="34" t="s">
        <v>302</v>
      </c>
      <c r="U28" s="35" t="s">
        <v>522</v>
      </c>
      <c r="V28" s="34" t="s">
        <v>66</v>
      </c>
      <c r="W28" s="34" t="s">
        <v>523</v>
      </c>
      <c r="X28" s="37" t="s">
        <v>68</v>
      </c>
      <c r="Y28" s="34" t="s">
        <v>69</v>
      </c>
      <c r="Z28" s="34" t="s">
        <v>524</v>
      </c>
      <c r="AA28" s="34">
        <v>2004.0</v>
      </c>
      <c r="AB28" s="34">
        <v>2004.0</v>
      </c>
      <c r="AC28" s="34" t="s">
        <v>103</v>
      </c>
      <c r="AD28" s="34" t="s">
        <v>103</v>
      </c>
      <c r="AE28" s="34" t="s">
        <v>57</v>
      </c>
      <c r="AF28" s="34" t="s">
        <v>74</v>
      </c>
      <c r="AG28" s="34" t="s">
        <v>215</v>
      </c>
      <c r="AH28" s="34" t="s">
        <v>76</v>
      </c>
      <c r="AI28" s="34" t="s">
        <v>77</v>
      </c>
      <c r="AJ28" s="34" t="s">
        <v>77</v>
      </c>
      <c r="AK28" s="34" t="s">
        <v>525</v>
      </c>
      <c r="AL28" s="34" t="s">
        <v>79</v>
      </c>
      <c r="AM28" s="34" t="s">
        <v>57</v>
      </c>
      <c r="AN28" s="34" t="s">
        <v>57</v>
      </c>
      <c r="AO28" s="39"/>
      <c r="AP28" s="34" t="s">
        <v>109</v>
      </c>
      <c r="AQ28" s="40" t="s">
        <v>526</v>
      </c>
      <c r="AR28" s="40" t="s">
        <v>201</v>
      </c>
      <c r="AS28" s="41" t="s">
        <v>527</v>
      </c>
    </row>
    <row r="29">
      <c r="A29" s="32">
        <v>66.0</v>
      </c>
      <c r="B29" s="33">
        <v>3.64025555E8</v>
      </c>
      <c r="C29" s="34" t="s">
        <v>528</v>
      </c>
      <c r="D29" s="34" t="s">
        <v>529</v>
      </c>
      <c r="E29" s="38" t="s">
        <v>530</v>
      </c>
      <c r="F29" s="34" t="s">
        <v>443</v>
      </c>
      <c r="G29" s="43" t="s">
        <v>531</v>
      </c>
      <c r="H29" s="36">
        <v>2013.0</v>
      </c>
      <c r="I29" s="34" t="s">
        <v>532</v>
      </c>
      <c r="J29" s="34" t="s">
        <v>533</v>
      </c>
      <c r="K29" s="34" t="s">
        <v>534</v>
      </c>
      <c r="L29" s="34" t="s">
        <v>57</v>
      </c>
      <c r="M29" s="34" t="s">
        <v>443</v>
      </c>
      <c r="N29" s="34" t="s">
        <v>444</v>
      </c>
      <c r="O29" s="34" t="s">
        <v>535</v>
      </c>
      <c r="P29" s="34" t="s">
        <v>93</v>
      </c>
      <c r="Q29" s="34" t="s">
        <v>57</v>
      </c>
      <c r="R29" s="34" t="s">
        <v>57</v>
      </c>
      <c r="S29" s="34" t="s">
        <v>63</v>
      </c>
      <c r="T29" s="34" t="s">
        <v>536</v>
      </c>
      <c r="U29" s="35" t="s">
        <v>537</v>
      </c>
      <c r="V29" s="34" t="s">
        <v>538</v>
      </c>
      <c r="W29" s="34" t="s">
        <v>539</v>
      </c>
      <c r="X29" s="46" t="s">
        <v>540</v>
      </c>
      <c r="Y29" s="34" t="s">
        <v>69</v>
      </c>
      <c r="Z29" s="34" t="s">
        <v>541</v>
      </c>
      <c r="AA29" s="34">
        <v>2006.0</v>
      </c>
      <c r="AB29" s="34">
        <v>2011.0</v>
      </c>
      <c r="AC29" s="34" t="s">
        <v>542</v>
      </c>
      <c r="AD29" s="34" t="s">
        <v>370</v>
      </c>
      <c r="AE29" s="34" t="s">
        <v>69</v>
      </c>
      <c r="AF29" s="34" t="s">
        <v>74</v>
      </c>
      <c r="AG29" s="34" t="s">
        <v>215</v>
      </c>
      <c r="AH29" s="34" t="s">
        <v>105</v>
      </c>
      <c r="AI29" s="34" t="s">
        <v>166</v>
      </c>
      <c r="AJ29" s="34" t="s">
        <v>166</v>
      </c>
      <c r="AK29" s="34" t="s">
        <v>543</v>
      </c>
      <c r="AL29" s="34" t="s">
        <v>79</v>
      </c>
      <c r="AM29" s="34" t="s">
        <v>57</v>
      </c>
      <c r="AN29" s="34" t="s">
        <v>57</v>
      </c>
      <c r="AO29" s="39"/>
      <c r="AP29" s="34" t="s">
        <v>109</v>
      </c>
      <c r="AQ29" s="40" t="s">
        <v>544</v>
      </c>
      <c r="AR29" s="40" t="s">
        <v>201</v>
      </c>
      <c r="AS29" s="44"/>
    </row>
    <row r="30">
      <c r="A30" s="32">
        <v>67.0</v>
      </c>
      <c r="B30" s="33">
        <v>3.64026459E8</v>
      </c>
      <c r="C30" s="34" t="s">
        <v>545</v>
      </c>
      <c r="D30" s="34" t="s">
        <v>546</v>
      </c>
      <c r="E30" s="34" t="s">
        <v>547</v>
      </c>
      <c r="F30" s="34" t="s">
        <v>548</v>
      </c>
      <c r="G30" s="35" t="s">
        <v>549</v>
      </c>
      <c r="H30" s="36">
        <v>2018.0</v>
      </c>
      <c r="I30" s="34" t="s">
        <v>550</v>
      </c>
      <c r="J30" s="34" t="s">
        <v>518</v>
      </c>
      <c r="K30" s="34" t="s">
        <v>551</v>
      </c>
      <c r="L30" s="34" t="s">
        <v>57</v>
      </c>
      <c r="M30" s="34" t="s">
        <v>548</v>
      </c>
      <c r="N30" s="34" t="s">
        <v>552</v>
      </c>
      <c r="O30" s="34" t="s">
        <v>553</v>
      </c>
      <c r="P30" s="34" t="s">
        <v>554</v>
      </c>
      <c r="Q30" s="34" t="s">
        <v>555</v>
      </c>
      <c r="R30" s="34" t="s">
        <v>556</v>
      </c>
      <c r="S30" s="34" t="s">
        <v>63</v>
      </c>
      <c r="T30" s="34" t="s">
        <v>210</v>
      </c>
      <c r="U30" s="35" t="s">
        <v>557</v>
      </c>
      <c r="V30" s="34" t="s">
        <v>99</v>
      </c>
      <c r="W30" s="34" t="s">
        <v>100</v>
      </c>
      <c r="X30" s="37" t="s">
        <v>100</v>
      </c>
      <c r="Y30" s="34" t="s">
        <v>69</v>
      </c>
      <c r="Z30" s="34" t="s">
        <v>558</v>
      </c>
      <c r="AA30" s="34">
        <v>2013.0</v>
      </c>
      <c r="AB30" s="34">
        <v>2013.0</v>
      </c>
      <c r="AC30" s="34" t="s">
        <v>102</v>
      </c>
      <c r="AD30" s="34" t="s">
        <v>102</v>
      </c>
      <c r="AE30" s="34" t="s">
        <v>74</v>
      </c>
      <c r="AF30" s="34" t="s">
        <v>69</v>
      </c>
      <c r="AG30" s="34" t="s">
        <v>104</v>
      </c>
      <c r="AH30" s="34" t="s">
        <v>165</v>
      </c>
      <c r="AI30" s="34" t="s">
        <v>559</v>
      </c>
      <c r="AJ30" s="34" t="s">
        <v>147</v>
      </c>
      <c r="AK30" s="34" t="s">
        <v>560</v>
      </c>
      <c r="AL30" s="34" t="s">
        <v>128</v>
      </c>
      <c r="AM30" s="34" t="s">
        <v>374</v>
      </c>
      <c r="AN30" s="34" t="s">
        <v>561</v>
      </c>
      <c r="AO30" s="39"/>
      <c r="AP30" s="34" t="s">
        <v>184</v>
      </c>
      <c r="AQ30" s="40" t="s">
        <v>562</v>
      </c>
      <c r="AR30" s="40" t="s">
        <v>201</v>
      </c>
      <c r="AS30" s="41" t="s">
        <v>563</v>
      </c>
    </row>
    <row r="31">
      <c r="A31" s="32">
        <v>68.0</v>
      </c>
      <c r="B31" s="33">
        <v>3.64026739E8</v>
      </c>
      <c r="C31" s="34" t="s">
        <v>564</v>
      </c>
      <c r="D31" s="34" t="s">
        <v>565</v>
      </c>
      <c r="E31" s="38" t="s">
        <v>566</v>
      </c>
      <c r="F31" s="34" t="s">
        <v>548</v>
      </c>
      <c r="G31" s="35" t="s">
        <v>567</v>
      </c>
      <c r="H31" s="36">
        <v>2021.0</v>
      </c>
      <c r="I31" s="34" t="s">
        <v>207</v>
      </c>
      <c r="J31" s="34" t="s">
        <v>518</v>
      </c>
      <c r="K31" s="34" t="s">
        <v>568</v>
      </c>
      <c r="L31" s="34" t="s">
        <v>57</v>
      </c>
      <c r="M31" s="34" t="s">
        <v>548</v>
      </c>
      <c r="N31" s="34" t="s">
        <v>569</v>
      </c>
      <c r="O31" s="34" t="s">
        <v>570</v>
      </c>
      <c r="P31" s="34" t="s">
        <v>554</v>
      </c>
      <c r="Q31" s="34" t="s">
        <v>571</v>
      </c>
      <c r="R31" s="34" t="s">
        <v>572</v>
      </c>
      <c r="S31" s="34" t="s">
        <v>96</v>
      </c>
      <c r="T31" s="34" t="s">
        <v>229</v>
      </c>
      <c r="U31" s="35" t="s">
        <v>573</v>
      </c>
      <c r="V31" s="34" t="s">
        <v>99</v>
      </c>
      <c r="W31" s="34" t="s">
        <v>100</v>
      </c>
      <c r="X31" s="37" t="s">
        <v>100</v>
      </c>
      <c r="Y31" s="34" t="s">
        <v>74</v>
      </c>
      <c r="Z31" s="34" t="s">
        <v>57</v>
      </c>
      <c r="AA31" s="34">
        <v>2016.0</v>
      </c>
      <c r="AB31" s="34">
        <v>2017.0</v>
      </c>
      <c r="AC31" s="34" t="s">
        <v>102</v>
      </c>
      <c r="AD31" s="34" t="s">
        <v>102</v>
      </c>
      <c r="AE31" s="34" t="s">
        <v>74</v>
      </c>
      <c r="AF31" s="34" t="s">
        <v>69</v>
      </c>
      <c r="AG31" s="34" t="s">
        <v>104</v>
      </c>
      <c r="AH31" s="34" t="s">
        <v>105</v>
      </c>
      <c r="AI31" s="34" t="s">
        <v>336</v>
      </c>
      <c r="AJ31" s="34" t="s">
        <v>336</v>
      </c>
      <c r="AK31" s="34" t="s">
        <v>574</v>
      </c>
      <c r="AL31" s="34" t="s">
        <v>128</v>
      </c>
      <c r="AM31" s="34" t="s">
        <v>129</v>
      </c>
      <c r="AN31" s="34" t="s">
        <v>575</v>
      </c>
      <c r="AO31" s="39"/>
      <c r="AP31" s="34" t="s">
        <v>184</v>
      </c>
      <c r="AQ31" s="40" t="s">
        <v>576</v>
      </c>
      <c r="AR31" s="40" t="s">
        <v>201</v>
      </c>
      <c r="AS31" s="41" t="s">
        <v>577</v>
      </c>
    </row>
    <row r="32">
      <c r="A32" s="32">
        <v>71.0</v>
      </c>
      <c r="B32" s="33">
        <v>3.64026585E8</v>
      </c>
      <c r="C32" s="34" t="s">
        <v>578</v>
      </c>
      <c r="D32" s="34" t="s">
        <v>579</v>
      </c>
      <c r="E32" s="34" t="s">
        <v>580</v>
      </c>
      <c r="F32" s="34" t="s">
        <v>581</v>
      </c>
      <c r="G32" s="35" t="s">
        <v>582</v>
      </c>
      <c r="H32" s="36">
        <v>2020.0</v>
      </c>
      <c r="I32" s="34" t="s">
        <v>583</v>
      </c>
      <c r="J32" s="34" t="s">
        <v>55</v>
      </c>
      <c r="K32" s="34" t="s">
        <v>584</v>
      </c>
      <c r="L32" s="34" t="s">
        <v>57</v>
      </c>
      <c r="M32" s="34" t="s">
        <v>581</v>
      </c>
      <c r="N32" s="34" t="s">
        <v>585</v>
      </c>
      <c r="O32" s="34" t="s">
        <v>586</v>
      </c>
      <c r="P32" s="34" t="s">
        <v>554</v>
      </c>
      <c r="Q32" s="34" t="s">
        <v>57</v>
      </c>
      <c r="R32" s="34" t="s">
        <v>57</v>
      </c>
      <c r="S32" s="34" t="s">
        <v>63</v>
      </c>
      <c r="T32" s="34" t="s">
        <v>587</v>
      </c>
      <c r="U32" s="35" t="s">
        <v>588</v>
      </c>
      <c r="V32" s="34" t="s">
        <v>99</v>
      </c>
      <c r="W32" s="34" t="s">
        <v>100</v>
      </c>
      <c r="X32" s="37" t="s">
        <v>100</v>
      </c>
      <c r="Y32" s="34" t="s">
        <v>69</v>
      </c>
      <c r="Z32" s="34" t="s">
        <v>589</v>
      </c>
      <c r="AA32" s="34">
        <v>2016.0</v>
      </c>
      <c r="AB32" s="34">
        <v>2016.0</v>
      </c>
      <c r="AC32" s="34" t="s">
        <v>57</v>
      </c>
      <c r="AD32" s="34" t="s">
        <v>57</v>
      </c>
      <c r="AE32" s="34" t="s">
        <v>74</v>
      </c>
      <c r="AF32" s="34" t="s">
        <v>69</v>
      </c>
      <c r="AG32" s="34" t="s">
        <v>104</v>
      </c>
      <c r="AH32" s="34" t="s">
        <v>105</v>
      </c>
      <c r="AI32" s="34" t="s">
        <v>465</v>
      </c>
      <c r="AJ32" s="34" t="s">
        <v>465</v>
      </c>
      <c r="AK32" s="34" t="s">
        <v>590</v>
      </c>
      <c r="AL32" s="34" t="s">
        <v>128</v>
      </c>
      <c r="AM32" s="34" t="s">
        <v>129</v>
      </c>
      <c r="AN32" s="34" t="s">
        <v>591</v>
      </c>
      <c r="AO32" s="39"/>
      <c r="AP32" s="34" t="s">
        <v>184</v>
      </c>
      <c r="AQ32" s="40" t="s">
        <v>592</v>
      </c>
      <c r="AR32" s="40" t="s">
        <v>201</v>
      </c>
      <c r="AS32" s="41" t="s">
        <v>593</v>
      </c>
    </row>
    <row r="33">
      <c r="A33" s="32">
        <v>73.0</v>
      </c>
      <c r="B33" s="33">
        <v>3.64025595E8</v>
      </c>
      <c r="C33" s="34" t="s">
        <v>594</v>
      </c>
      <c r="D33" s="38" t="s">
        <v>595</v>
      </c>
      <c r="E33" s="38" t="s">
        <v>596</v>
      </c>
      <c r="F33" s="34" t="s">
        <v>597</v>
      </c>
      <c r="G33" s="43" t="s">
        <v>598</v>
      </c>
      <c r="H33" s="36">
        <v>2005.0</v>
      </c>
      <c r="I33" s="34" t="s">
        <v>599</v>
      </c>
      <c r="J33" s="34" t="s">
        <v>55</v>
      </c>
      <c r="K33" s="34" t="s">
        <v>600</v>
      </c>
      <c r="L33" s="34" t="s">
        <v>57</v>
      </c>
      <c r="M33" s="34" t="s">
        <v>601</v>
      </c>
      <c r="N33" s="34" t="s">
        <v>400</v>
      </c>
      <c r="O33" s="34" t="s">
        <v>602</v>
      </c>
      <c r="P33" s="34" t="s">
        <v>93</v>
      </c>
      <c r="Q33" s="34" t="s">
        <v>57</v>
      </c>
      <c r="R33" s="34" t="s">
        <v>57</v>
      </c>
      <c r="S33" s="34" t="s">
        <v>301</v>
      </c>
      <c r="T33" s="34" t="s">
        <v>229</v>
      </c>
      <c r="U33" s="35" t="s">
        <v>603</v>
      </c>
      <c r="V33" s="34" t="s">
        <v>99</v>
      </c>
      <c r="W33" s="34" t="s">
        <v>100</v>
      </c>
      <c r="X33" s="37" t="s">
        <v>100</v>
      </c>
      <c r="Y33" s="34" t="s">
        <v>74</v>
      </c>
      <c r="Z33" s="34" t="s">
        <v>57</v>
      </c>
      <c r="AA33" s="34">
        <v>2001.0</v>
      </c>
      <c r="AB33" s="34">
        <v>2001.0</v>
      </c>
      <c r="AC33" s="34" t="s">
        <v>144</v>
      </c>
      <c r="AD33" s="34" t="s">
        <v>180</v>
      </c>
      <c r="AE33" s="34" t="s">
        <v>69</v>
      </c>
      <c r="AF33" s="34" t="s">
        <v>69</v>
      </c>
      <c r="AG33" s="34" t="s">
        <v>75</v>
      </c>
      <c r="AH33" s="34" t="s">
        <v>604</v>
      </c>
      <c r="AI33" s="34" t="s">
        <v>77</v>
      </c>
      <c r="AJ33" s="34" t="s">
        <v>77</v>
      </c>
      <c r="AK33" s="34" t="s">
        <v>605</v>
      </c>
      <c r="AL33" s="34" t="s">
        <v>79</v>
      </c>
      <c r="AM33" s="34" t="s">
        <v>57</v>
      </c>
      <c r="AN33" s="34" t="s">
        <v>57</v>
      </c>
      <c r="AO33" s="39"/>
      <c r="AP33" s="34" t="s">
        <v>109</v>
      </c>
      <c r="AQ33" s="40" t="s">
        <v>606</v>
      </c>
      <c r="AR33" s="40" t="s">
        <v>201</v>
      </c>
      <c r="AS33" s="41" t="s">
        <v>607</v>
      </c>
    </row>
    <row r="34">
      <c r="A34" s="32">
        <v>74.0</v>
      </c>
      <c r="B34" s="33">
        <v>3.64026208E8</v>
      </c>
      <c r="C34" s="34" t="s">
        <v>608</v>
      </c>
      <c r="D34" s="34" t="s">
        <v>609</v>
      </c>
      <c r="E34" s="34" t="s">
        <v>610</v>
      </c>
      <c r="F34" s="34" t="s">
        <v>114</v>
      </c>
      <c r="G34" s="35" t="s">
        <v>611</v>
      </c>
      <c r="H34" s="36">
        <v>2007.0</v>
      </c>
      <c r="I34" s="34" t="s">
        <v>295</v>
      </c>
      <c r="J34" s="34" t="s">
        <v>55</v>
      </c>
      <c r="K34" s="34" t="s">
        <v>612</v>
      </c>
      <c r="L34" s="34" t="s">
        <v>57</v>
      </c>
      <c r="M34" s="34" t="s">
        <v>114</v>
      </c>
      <c r="N34" s="34" t="s">
        <v>613</v>
      </c>
      <c r="O34" s="34" t="s">
        <v>614</v>
      </c>
      <c r="P34" s="34" t="s">
        <v>93</v>
      </c>
      <c r="Q34" s="34" t="s">
        <v>57</v>
      </c>
      <c r="R34" s="34" t="s">
        <v>57</v>
      </c>
      <c r="S34" s="34" t="s">
        <v>301</v>
      </c>
      <c r="T34" s="34" t="s">
        <v>161</v>
      </c>
      <c r="U34" s="35" t="s">
        <v>615</v>
      </c>
      <c r="V34" s="34" t="s">
        <v>99</v>
      </c>
      <c r="W34" s="34" t="s">
        <v>100</v>
      </c>
      <c r="X34" s="37" t="s">
        <v>100</v>
      </c>
      <c r="Y34" s="34" t="s">
        <v>69</v>
      </c>
      <c r="Z34" s="34" t="s">
        <v>616</v>
      </c>
      <c r="AA34" s="34">
        <v>2002.0</v>
      </c>
      <c r="AB34" s="34">
        <v>2003.0</v>
      </c>
      <c r="AC34" s="34" t="s">
        <v>144</v>
      </c>
      <c r="AD34" s="34" t="s">
        <v>180</v>
      </c>
      <c r="AE34" s="34" t="s">
        <v>69</v>
      </c>
      <c r="AF34" s="34" t="s">
        <v>69</v>
      </c>
      <c r="AG34" s="34" t="s">
        <v>104</v>
      </c>
      <c r="AH34" s="34" t="s">
        <v>105</v>
      </c>
      <c r="AI34" s="34" t="s">
        <v>166</v>
      </c>
      <c r="AJ34" s="34" t="s">
        <v>166</v>
      </c>
      <c r="AK34" s="34" t="s">
        <v>617</v>
      </c>
      <c r="AL34" s="34" t="s">
        <v>128</v>
      </c>
      <c r="AM34" s="34" t="s">
        <v>129</v>
      </c>
      <c r="AN34" s="34" t="s">
        <v>618</v>
      </c>
      <c r="AO34" s="39"/>
      <c r="AP34" s="34" t="s">
        <v>81</v>
      </c>
      <c r="AQ34" s="40" t="s">
        <v>619</v>
      </c>
      <c r="AR34" s="40" t="s">
        <v>201</v>
      </c>
      <c r="AS34" s="41" t="s">
        <v>620</v>
      </c>
    </row>
    <row r="35">
      <c r="A35" s="32">
        <v>75.0</v>
      </c>
      <c r="B35" s="33">
        <v>3.640256E8</v>
      </c>
      <c r="C35" s="34" t="s">
        <v>621</v>
      </c>
      <c r="D35" s="34" t="s">
        <v>622</v>
      </c>
      <c r="E35" s="38" t="s">
        <v>623</v>
      </c>
      <c r="F35" s="34" t="s">
        <v>396</v>
      </c>
      <c r="G35" s="43" t="s">
        <v>624</v>
      </c>
      <c r="H35" s="36">
        <v>2009.0</v>
      </c>
      <c r="I35" s="34" t="s">
        <v>625</v>
      </c>
      <c r="J35" s="34" t="s">
        <v>55</v>
      </c>
      <c r="K35" s="34" t="s">
        <v>626</v>
      </c>
      <c r="L35" s="34" t="s">
        <v>57</v>
      </c>
      <c r="M35" s="34" t="s">
        <v>396</v>
      </c>
      <c r="N35" s="34" t="s">
        <v>627</v>
      </c>
      <c r="O35" s="34" t="s">
        <v>628</v>
      </c>
      <c r="P35" s="34" t="s">
        <v>93</v>
      </c>
      <c r="Q35" s="34" t="s">
        <v>57</v>
      </c>
      <c r="R35" s="34" t="s">
        <v>57</v>
      </c>
      <c r="S35" s="34" t="s">
        <v>63</v>
      </c>
      <c r="T35" s="34" t="s">
        <v>161</v>
      </c>
      <c r="U35" s="35" t="s">
        <v>629</v>
      </c>
      <c r="V35" s="34" t="s">
        <v>99</v>
      </c>
      <c r="W35" s="34" t="s">
        <v>630</v>
      </c>
      <c r="X35" s="37" t="s">
        <v>631</v>
      </c>
      <c r="Y35" s="34" t="s">
        <v>74</v>
      </c>
      <c r="Z35" s="34" t="s">
        <v>57</v>
      </c>
      <c r="AA35" s="34">
        <v>2005.0</v>
      </c>
      <c r="AB35" s="34">
        <v>2007.0</v>
      </c>
      <c r="AC35" s="34" t="s">
        <v>214</v>
      </c>
      <c r="AD35" s="34" t="s">
        <v>72</v>
      </c>
      <c r="AE35" s="34" t="s">
        <v>69</v>
      </c>
      <c r="AF35" s="34" t="s">
        <v>74</v>
      </c>
      <c r="AG35" s="34" t="s">
        <v>215</v>
      </c>
      <c r="AH35" s="34" t="s">
        <v>76</v>
      </c>
      <c r="AI35" s="34" t="s">
        <v>632</v>
      </c>
      <c r="AJ35" s="34" t="s">
        <v>107</v>
      </c>
      <c r="AK35" s="34" t="s">
        <v>633</v>
      </c>
      <c r="AL35" s="34" t="s">
        <v>79</v>
      </c>
      <c r="AM35" s="34" t="s">
        <v>57</v>
      </c>
      <c r="AN35" s="34" t="s">
        <v>57</v>
      </c>
      <c r="AO35" s="39"/>
      <c r="AP35" s="34" t="s">
        <v>109</v>
      </c>
      <c r="AQ35" s="40" t="s">
        <v>634</v>
      </c>
      <c r="AR35" s="40" t="s">
        <v>201</v>
      </c>
      <c r="AS35" s="41" t="s">
        <v>635</v>
      </c>
    </row>
    <row r="36">
      <c r="A36" s="32">
        <v>78.0</v>
      </c>
      <c r="B36" s="33">
        <v>3.64026266E8</v>
      </c>
      <c r="C36" s="34" t="s">
        <v>636</v>
      </c>
      <c r="D36" s="34" t="s">
        <v>637</v>
      </c>
      <c r="E36" s="34" t="s">
        <v>638</v>
      </c>
      <c r="F36" s="34" t="s">
        <v>639</v>
      </c>
      <c r="G36" s="35" t="s">
        <v>640</v>
      </c>
      <c r="H36" s="36">
        <v>2018.0</v>
      </c>
      <c r="I36" s="34" t="s">
        <v>345</v>
      </c>
      <c r="J36" s="34" t="s">
        <v>55</v>
      </c>
      <c r="K36" s="34" t="s">
        <v>641</v>
      </c>
      <c r="L36" s="34" t="s">
        <v>57</v>
      </c>
      <c r="M36" s="34" t="s">
        <v>639</v>
      </c>
      <c r="N36" s="34" t="s">
        <v>642</v>
      </c>
      <c r="O36" s="34" t="s">
        <v>643</v>
      </c>
      <c r="P36" s="34" t="s">
        <v>93</v>
      </c>
      <c r="Q36" s="34" t="s">
        <v>57</v>
      </c>
      <c r="R36" s="34" t="s">
        <v>57</v>
      </c>
      <c r="S36" s="34" t="s">
        <v>301</v>
      </c>
      <c r="T36" s="34" t="s">
        <v>64</v>
      </c>
      <c r="U36" s="35" t="s">
        <v>644</v>
      </c>
      <c r="V36" s="34" t="s">
        <v>99</v>
      </c>
      <c r="W36" s="34" t="s">
        <v>100</v>
      </c>
      <c r="X36" s="37" t="s">
        <v>100</v>
      </c>
      <c r="Y36" s="34" t="s">
        <v>74</v>
      </c>
      <c r="Z36" s="34" t="s">
        <v>57</v>
      </c>
      <c r="AA36" s="34">
        <v>2013.0</v>
      </c>
      <c r="AB36" s="34">
        <v>2014.0</v>
      </c>
      <c r="AC36" s="34" t="s">
        <v>72</v>
      </c>
      <c r="AD36" s="34" t="s">
        <v>71</v>
      </c>
      <c r="AE36" s="34" t="s">
        <v>69</v>
      </c>
      <c r="AF36" s="34" t="s">
        <v>69</v>
      </c>
      <c r="AG36" s="34" t="s">
        <v>104</v>
      </c>
      <c r="AH36" s="34" t="s">
        <v>105</v>
      </c>
      <c r="AI36" s="34" t="s">
        <v>336</v>
      </c>
      <c r="AJ36" s="34" t="s">
        <v>336</v>
      </c>
      <c r="AK36" s="34" t="s">
        <v>645</v>
      </c>
      <c r="AL36" s="34" t="s">
        <v>79</v>
      </c>
      <c r="AM36" s="34" t="s">
        <v>57</v>
      </c>
      <c r="AN36" s="34" t="s">
        <v>57</v>
      </c>
      <c r="AO36" s="39"/>
      <c r="AP36" s="34" t="s">
        <v>184</v>
      </c>
      <c r="AQ36" s="40" t="s">
        <v>646</v>
      </c>
      <c r="AR36" s="40" t="s">
        <v>201</v>
      </c>
      <c r="AS36" s="44"/>
    </row>
    <row r="37">
      <c r="A37" s="32">
        <v>79.0</v>
      </c>
      <c r="B37" s="33">
        <v>3.64025648E8</v>
      </c>
      <c r="C37" s="34" t="s">
        <v>647</v>
      </c>
      <c r="D37" s="34" t="s">
        <v>648</v>
      </c>
      <c r="E37" s="34" t="s">
        <v>649</v>
      </c>
      <c r="F37" s="34" t="s">
        <v>650</v>
      </c>
      <c r="G37" s="35" t="s">
        <v>651</v>
      </c>
      <c r="H37" s="36">
        <v>2004.0</v>
      </c>
      <c r="I37" s="34" t="s">
        <v>345</v>
      </c>
      <c r="J37" s="34" t="s">
        <v>55</v>
      </c>
      <c r="K37" s="34" t="s">
        <v>652</v>
      </c>
      <c r="L37" s="34" t="s">
        <v>57</v>
      </c>
      <c r="M37" s="34" t="s">
        <v>650</v>
      </c>
      <c r="N37" s="34" t="s">
        <v>653</v>
      </c>
      <c r="O37" s="34" t="s">
        <v>654</v>
      </c>
      <c r="P37" s="34" t="s">
        <v>93</v>
      </c>
      <c r="Q37" s="34" t="s">
        <v>57</v>
      </c>
      <c r="R37" s="34" t="s">
        <v>57</v>
      </c>
      <c r="S37" s="34" t="s">
        <v>63</v>
      </c>
      <c r="T37" s="34" t="s">
        <v>64</v>
      </c>
      <c r="U37" s="35" t="s">
        <v>655</v>
      </c>
      <c r="V37" s="34" t="s">
        <v>66</v>
      </c>
      <c r="W37" s="34" t="s">
        <v>656</v>
      </c>
      <c r="X37" s="37" t="s">
        <v>657</v>
      </c>
      <c r="Y37" s="34" t="s">
        <v>69</v>
      </c>
      <c r="Z37" s="34" t="s">
        <v>658</v>
      </c>
      <c r="AA37" s="34">
        <v>2001.0</v>
      </c>
      <c r="AB37" s="34">
        <v>2002.0</v>
      </c>
      <c r="AC37" s="34" t="s">
        <v>103</v>
      </c>
      <c r="AD37" s="34" t="s">
        <v>144</v>
      </c>
      <c r="AE37" s="34" t="s">
        <v>69</v>
      </c>
      <c r="AF37" s="34" t="s">
        <v>69</v>
      </c>
      <c r="AG37" s="34" t="s">
        <v>215</v>
      </c>
      <c r="AH37" s="34" t="s">
        <v>659</v>
      </c>
      <c r="AI37" s="34" t="s">
        <v>660</v>
      </c>
      <c r="AJ37" s="34" t="s">
        <v>147</v>
      </c>
      <c r="AK37" s="34" t="s">
        <v>661</v>
      </c>
      <c r="AL37" s="34" t="s">
        <v>128</v>
      </c>
      <c r="AM37" s="34" t="s">
        <v>129</v>
      </c>
      <c r="AN37" s="34" t="s">
        <v>662</v>
      </c>
      <c r="AO37" s="39"/>
      <c r="AP37" s="34" t="s">
        <v>184</v>
      </c>
      <c r="AQ37" s="40" t="s">
        <v>663</v>
      </c>
      <c r="AR37" s="40" t="s">
        <v>201</v>
      </c>
      <c r="AS37" s="41" t="s">
        <v>664</v>
      </c>
    </row>
    <row r="38">
      <c r="A38" s="32">
        <v>80.0</v>
      </c>
      <c r="B38" s="33">
        <v>3.64025617E8</v>
      </c>
      <c r="C38" s="34" t="s">
        <v>665</v>
      </c>
      <c r="D38" s="34" t="s">
        <v>666</v>
      </c>
      <c r="E38" s="38" t="s">
        <v>667</v>
      </c>
      <c r="F38" s="34" t="s">
        <v>396</v>
      </c>
      <c r="G38" s="43" t="s">
        <v>668</v>
      </c>
      <c r="H38" s="36">
        <v>2008.0</v>
      </c>
      <c r="I38" s="34" t="s">
        <v>669</v>
      </c>
      <c r="J38" s="34" t="s">
        <v>55</v>
      </c>
      <c r="K38" s="34" t="s">
        <v>626</v>
      </c>
      <c r="L38" s="34" t="s">
        <v>57</v>
      </c>
      <c r="M38" s="34" t="s">
        <v>396</v>
      </c>
      <c r="N38" s="34" t="s">
        <v>670</v>
      </c>
      <c r="O38" s="34" t="s">
        <v>671</v>
      </c>
      <c r="P38" s="34" t="s">
        <v>93</v>
      </c>
      <c r="Q38" s="34" t="s">
        <v>57</v>
      </c>
      <c r="R38" s="34" t="s">
        <v>57</v>
      </c>
      <c r="S38" s="34" t="s">
        <v>63</v>
      </c>
      <c r="T38" s="34" t="s">
        <v>672</v>
      </c>
      <c r="U38" s="35" t="s">
        <v>673</v>
      </c>
      <c r="V38" s="34" t="s">
        <v>99</v>
      </c>
      <c r="W38" s="34" t="s">
        <v>674</v>
      </c>
      <c r="X38" s="37" t="s">
        <v>631</v>
      </c>
      <c r="Y38" s="34" t="s">
        <v>74</v>
      </c>
      <c r="Z38" s="34" t="s">
        <v>57</v>
      </c>
      <c r="AA38" s="34">
        <v>2003.0</v>
      </c>
      <c r="AB38" s="34">
        <v>2005.0</v>
      </c>
      <c r="AC38" s="34" t="s">
        <v>214</v>
      </c>
      <c r="AD38" s="34" t="s">
        <v>72</v>
      </c>
      <c r="AE38" s="34" t="s">
        <v>69</v>
      </c>
      <c r="AF38" s="34" t="s">
        <v>69</v>
      </c>
      <c r="AG38" s="34" t="s">
        <v>215</v>
      </c>
      <c r="AH38" s="34" t="s">
        <v>675</v>
      </c>
      <c r="AI38" s="34" t="s">
        <v>676</v>
      </c>
      <c r="AJ38" s="34" t="s">
        <v>147</v>
      </c>
      <c r="AK38" s="34" t="s">
        <v>677</v>
      </c>
      <c r="AL38" s="34" t="s">
        <v>128</v>
      </c>
      <c r="AM38" s="34" t="s">
        <v>129</v>
      </c>
      <c r="AN38" s="34" t="s">
        <v>678</v>
      </c>
      <c r="AO38" s="39"/>
      <c r="AP38" s="34" t="s">
        <v>109</v>
      </c>
      <c r="AQ38" s="40" t="s">
        <v>679</v>
      </c>
      <c r="AR38" s="40" t="s">
        <v>201</v>
      </c>
      <c r="AS38" s="41" t="s">
        <v>680</v>
      </c>
    </row>
    <row r="39">
      <c r="A39" s="32">
        <v>81.0</v>
      </c>
      <c r="B39" s="33">
        <v>3.64026752E8</v>
      </c>
      <c r="C39" s="34" t="s">
        <v>681</v>
      </c>
      <c r="D39" s="34" t="s">
        <v>682</v>
      </c>
      <c r="E39" s="34" t="s">
        <v>683</v>
      </c>
      <c r="F39" s="34" t="s">
        <v>684</v>
      </c>
      <c r="G39" s="35" t="s">
        <v>685</v>
      </c>
      <c r="H39" s="36">
        <v>2010.0</v>
      </c>
      <c r="I39" s="34" t="s">
        <v>686</v>
      </c>
      <c r="J39" s="34" t="s">
        <v>55</v>
      </c>
      <c r="K39" s="34" t="s">
        <v>687</v>
      </c>
      <c r="L39" s="34" t="s">
        <v>57</v>
      </c>
      <c r="M39" s="34" t="s">
        <v>684</v>
      </c>
      <c r="N39" s="34" t="s">
        <v>688</v>
      </c>
      <c r="O39" s="34" t="s">
        <v>689</v>
      </c>
      <c r="P39" s="34" t="s">
        <v>554</v>
      </c>
      <c r="Q39" s="34" t="s">
        <v>57</v>
      </c>
      <c r="R39" s="34" t="s">
        <v>57</v>
      </c>
      <c r="S39" s="34" t="s">
        <v>96</v>
      </c>
      <c r="T39" s="34" t="s">
        <v>210</v>
      </c>
      <c r="U39" s="35" t="s">
        <v>690</v>
      </c>
      <c r="V39" s="34" t="s">
        <v>99</v>
      </c>
      <c r="W39" s="34" t="s">
        <v>100</v>
      </c>
      <c r="X39" s="37" t="s">
        <v>100</v>
      </c>
      <c r="Y39" s="34" t="s">
        <v>69</v>
      </c>
      <c r="Z39" s="34" t="s">
        <v>691</v>
      </c>
      <c r="AA39" s="34">
        <v>2008.0</v>
      </c>
      <c r="AB39" s="34">
        <v>2009.0</v>
      </c>
      <c r="AC39" s="34" t="s">
        <v>692</v>
      </c>
      <c r="AD39" s="34" t="s">
        <v>542</v>
      </c>
      <c r="AE39" s="34" t="s">
        <v>74</v>
      </c>
      <c r="AF39" s="34" t="s">
        <v>69</v>
      </c>
      <c r="AG39" s="34" t="s">
        <v>104</v>
      </c>
      <c r="AH39" s="34" t="s">
        <v>165</v>
      </c>
      <c r="AI39" s="34" t="s">
        <v>465</v>
      </c>
      <c r="AJ39" s="34" t="s">
        <v>465</v>
      </c>
      <c r="AK39" s="34" t="s">
        <v>693</v>
      </c>
      <c r="AL39" s="34" t="s">
        <v>128</v>
      </c>
      <c r="AM39" s="34" t="s">
        <v>129</v>
      </c>
      <c r="AN39" s="34" t="s">
        <v>694</v>
      </c>
      <c r="AO39" s="39"/>
      <c r="AP39" s="34" t="s">
        <v>184</v>
      </c>
      <c r="AQ39" s="40" t="s">
        <v>695</v>
      </c>
      <c r="AR39" s="40" t="s">
        <v>201</v>
      </c>
      <c r="AS39" s="41" t="s">
        <v>696</v>
      </c>
    </row>
    <row r="40">
      <c r="A40" s="32">
        <v>84.0</v>
      </c>
      <c r="B40" s="33">
        <v>3.64025658E8</v>
      </c>
      <c r="C40" s="34" t="s">
        <v>697</v>
      </c>
      <c r="D40" s="34" t="s">
        <v>698</v>
      </c>
      <c r="E40" s="38" t="s">
        <v>699</v>
      </c>
      <c r="F40" s="34" t="s">
        <v>273</v>
      </c>
      <c r="G40" s="43" t="s">
        <v>700</v>
      </c>
      <c r="H40" s="36">
        <v>1997.0</v>
      </c>
      <c r="I40" s="34" t="s">
        <v>136</v>
      </c>
      <c r="J40" s="34" t="s">
        <v>55</v>
      </c>
      <c r="K40" s="34" t="s">
        <v>57</v>
      </c>
      <c r="L40" s="34" t="s">
        <v>57</v>
      </c>
      <c r="M40" s="34" t="s">
        <v>273</v>
      </c>
      <c r="N40" s="34" t="s">
        <v>701</v>
      </c>
      <c r="O40" s="34" t="s">
        <v>702</v>
      </c>
      <c r="P40" s="34" t="s">
        <v>93</v>
      </c>
      <c r="Q40" s="34" t="s">
        <v>57</v>
      </c>
      <c r="R40" s="34" t="s">
        <v>57</v>
      </c>
      <c r="S40" s="34" t="s">
        <v>63</v>
      </c>
      <c r="T40" s="34" t="s">
        <v>229</v>
      </c>
      <c r="U40" s="35" t="s">
        <v>703</v>
      </c>
      <c r="V40" s="34" t="s">
        <v>66</v>
      </c>
      <c r="W40" s="34" t="s">
        <v>704</v>
      </c>
      <c r="X40" s="46" t="s">
        <v>705</v>
      </c>
      <c r="Y40" s="34" t="s">
        <v>74</v>
      </c>
      <c r="Z40" s="34" t="s">
        <v>57</v>
      </c>
      <c r="AA40" s="34">
        <v>1992.0</v>
      </c>
      <c r="AB40" s="34">
        <v>1994.0</v>
      </c>
      <c r="AC40" s="34" t="s">
        <v>57</v>
      </c>
      <c r="AD40" s="34" t="s">
        <v>57</v>
      </c>
      <c r="AE40" s="34" t="s">
        <v>57</v>
      </c>
      <c r="AF40" s="34" t="s">
        <v>74</v>
      </c>
      <c r="AG40" s="34" t="s">
        <v>215</v>
      </c>
      <c r="AH40" s="34" t="s">
        <v>498</v>
      </c>
      <c r="AI40" s="34" t="s">
        <v>706</v>
      </c>
      <c r="AJ40" s="34" t="s">
        <v>107</v>
      </c>
      <c r="AK40" s="34" t="s">
        <v>707</v>
      </c>
      <c r="AL40" s="34" t="s">
        <v>79</v>
      </c>
      <c r="AM40" s="34" t="s">
        <v>57</v>
      </c>
      <c r="AN40" s="34" t="s">
        <v>57</v>
      </c>
      <c r="AO40" s="39"/>
      <c r="AP40" s="34" t="s">
        <v>109</v>
      </c>
      <c r="AQ40" s="40" t="s">
        <v>708</v>
      </c>
      <c r="AR40" s="40" t="s">
        <v>201</v>
      </c>
      <c r="AS40" s="41" t="s">
        <v>709</v>
      </c>
    </row>
    <row r="41">
      <c r="A41" s="32">
        <v>85.0</v>
      </c>
      <c r="B41" s="33">
        <v>3.64025679E8</v>
      </c>
      <c r="C41" s="34" t="s">
        <v>710</v>
      </c>
      <c r="D41" s="34" t="s">
        <v>711</v>
      </c>
      <c r="E41" s="34" t="s">
        <v>712</v>
      </c>
      <c r="F41" s="34" t="s">
        <v>114</v>
      </c>
      <c r="G41" s="35" t="s">
        <v>713</v>
      </c>
      <c r="H41" s="36">
        <v>2005.0</v>
      </c>
      <c r="I41" s="34" t="s">
        <v>136</v>
      </c>
      <c r="J41" s="34" t="s">
        <v>55</v>
      </c>
      <c r="K41" s="34" t="s">
        <v>714</v>
      </c>
      <c r="L41" s="34" t="s">
        <v>57</v>
      </c>
      <c r="M41" s="34" t="s">
        <v>114</v>
      </c>
      <c r="N41" s="34" t="s">
        <v>715</v>
      </c>
      <c r="O41" s="34" t="s">
        <v>716</v>
      </c>
      <c r="P41" s="34" t="s">
        <v>93</v>
      </c>
      <c r="Q41" s="34" t="s">
        <v>57</v>
      </c>
      <c r="R41" s="34" t="s">
        <v>57</v>
      </c>
      <c r="S41" s="34" t="s">
        <v>63</v>
      </c>
      <c r="T41" s="34" t="s">
        <v>161</v>
      </c>
      <c r="U41" s="35" t="s">
        <v>717</v>
      </c>
      <c r="V41" s="34" t="s">
        <v>99</v>
      </c>
      <c r="W41" s="34" t="s">
        <v>718</v>
      </c>
      <c r="X41" s="37" t="s">
        <v>719</v>
      </c>
      <c r="Y41" s="34" t="s">
        <v>74</v>
      </c>
      <c r="Z41" s="34" t="s">
        <v>57</v>
      </c>
      <c r="AA41" s="34">
        <v>2001.0</v>
      </c>
      <c r="AB41" s="34">
        <v>2001.0</v>
      </c>
      <c r="AC41" s="34" t="s">
        <v>103</v>
      </c>
      <c r="AD41" s="34" t="s">
        <v>72</v>
      </c>
      <c r="AE41" s="34" t="s">
        <v>74</v>
      </c>
      <c r="AF41" s="34" t="s">
        <v>69</v>
      </c>
      <c r="AG41" s="34" t="s">
        <v>104</v>
      </c>
      <c r="AH41" s="34" t="s">
        <v>498</v>
      </c>
      <c r="AI41" s="34" t="s">
        <v>720</v>
      </c>
      <c r="AJ41" s="34" t="s">
        <v>147</v>
      </c>
      <c r="AK41" s="34" t="s">
        <v>721</v>
      </c>
      <c r="AL41" s="34" t="s">
        <v>128</v>
      </c>
      <c r="AM41" s="34" t="s">
        <v>129</v>
      </c>
      <c r="AN41" s="34" t="s">
        <v>722</v>
      </c>
      <c r="AO41" s="39"/>
      <c r="AP41" s="34" t="s">
        <v>184</v>
      </c>
      <c r="AQ41" s="40" t="s">
        <v>723</v>
      </c>
      <c r="AR41" s="40" t="s">
        <v>201</v>
      </c>
      <c r="AS41" s="41" t="s">
        <v>724</v>
      </c>
    </row>
    <row r="42">
      <c r="A42" s="32">
        <v>86.0</v>
      </c>
      <c r="B42" s="33">
        <v>3.64025683E8</v>
      </c>
      <c r="C42" s="34" t="s">
        <v>725</v>
      </c>
      <c r="D42" s="34" t="s">
        <v>726</v>
      </c>
      <c r="E42" s="38" t="s">
        <v>727</v>
      </c>
      <c r="F42" s="34" t="s">
        <v>114</v>
      </c>
      <c r="G42" s="43" t="s">
        <v>728</v>
      </c>
      <c r="H42" s="36">
        <v>2011.0</v>
      </c>
      <c r="I42" s="34" t="s">
        <v>729</v>
      </c>
      <c r="J42" s="34" t="s">
        <v>730</v>
      </c>
      <c r="K42" s="34" t="s">
        <v>731</v>
      </c>
      <c r="L42" s="34" t="s">
        <v>57</v>
      </c>
      <c r="M42" s="34" t="s">
        <v>114</v>
      </c>
      <c r="N42" s="34" t="s">
        <v>732</v>
      </c>
      <c r="O42" s="34" t="s">
        <v>733</v>
      </c>
      <c r="P42" s="34" t="s">
        <v>93</v>
      </c>
      <c r="Q42" s="34" t="s">
        <v>734</v>
      </c>
      <c r="R42" s="34" t="s">
        <v>735</v>
      </c>
      <c r="S42" s="34" t="s">
        <v>96</v>
      </c>
      <c r="T42" s="34" t="s">
        <v>161</v>
      </c>
      <c r="U42" s="35" t="s">
        <v>736</v>
      </c>
      <c r="V42" s="34" t="s">
        <v>99</v>
      </c>
      <c r="W42" s="34" t="s">
        <v>100</v>
      </c>
      <c r="X42" s="37" t="s">
        <v>100</v>
      </c>
      <c r="Y42" s="34" t="s">
        <v>74</v>
      </c>
      <c r="Z42" s="34" t="s">
        <v>57</v>
      </c>
      <c r="AA42" s="34">
        <v>2009.0</v>
      </c>
      <c r="AB42" s="34">
        <v>2009.0</v>
      </c>
      <c r="AC42" s="34" t="s">
        <v>102</v>
      </c>
      <c r="AD42" s="34" t="s">
        <v>403</v>
      </c>
      <c r="AE42" s="34" t="s">
        <v>69</v>
      </c>
      <c r="AF42" s="34" t="s">
        <v>74</v>
      </c>
      <c r="AG42" s="34" t="s">
        <v>215</v>
      </c>
      <c r="AH42" s="34" t="s">
        <v>659</v>
      </c>
      <c r="AI42" s="34" t="s">
        <v>660</v>
      </c>
      <c r="AJ42" s="34" t="s">
        <v>107</v>
      </c>
      <c r="AK42" s="34" t="s">
        <v>737</v>
      </c>
      <c r="AL42" s="34" t="s">
        <v>128</v>
      </c>
      <c r="AM42" s="34" t="s">
        <v>129</v>
      </c>
      <c r="AN42" s="34" t="s">
        <v>738</v>
      </c>
      <c r="AO42" s="39"/>
      <c r="AP42" s="34" t="s">
        <v>109</v>
      </c>
      <c r="AQ42" s="40" t="s">
        <v>739</v>
      </c>
      <c r="AR42" s="40" t="s">
        <v>201</v>
      </c>
      <c r="AS42" s="41" t="s">
        <v>740</v>
      </c>
    </row>
    <row r="43">
      <c r="A43" s="32">
        <v>87.0</v>
      </c>
      <c r="B43" s="33">
        <v>3.64025685E8</v>
      </c>
      <c r="C43" s="34" t="s">
        <v>741</v>
      </c>
      <c r="D43" s="34" t="s">
        <v>742</v>
      </c>
      <c r="E43" s="38" t="s">
        <v>743</v>
      </c>
      <c r="F43" s="34" t="s">
        <v>114</v>
      </c>
      <c r="G43" s="43" t="s">
        <v>744</v>
      </c>
      <c r="H43" s="36">
        <v>2006.0</v>
      </c>
      <c r="I43" s="34" t="s">
        <v>745</v>
      </c>
      <c r="J43" s="34" t="s">
        <v>730</v>
      </c>
      <c r="K43" s="34" t="s">
        <v>746</v>
      </c>
      <c r="L43" s="34" t="s">
        <v>57</v>
      </c>
      <c r="M43" s="34" t="s">
        <v>114</v>
      </c>
      <c r="N43" s="34" t="s">
        <v>747</v>
      </c>
      <c r="O43" s="34" t="s">
        <v>748</v>
      </c>
      <c r="P43" s="34" t="s">
        <v>93</v>
      </c>
      <c r="Q43" s="34" t="s">
        <v>57</v>
      </c>
      <c r="R43" s="34" t="s">
        <v>57</v>
      </c>
      <c r="S43" s="34" t="s">
        <v>96</v>
      </c>
      <c r="T43" s="34" t="s">
        <v>749</v>
      </c>
      <c r="U43" s="35" t="s">
        <v>750</v>
      </c>
      <c r="V43" s="34" t="s">
        <v>66</v>
      </c>
      <c r="W43" s="34" t="s">
        <v>751</v>
      </c>
      <c r="X43" s="37" t="s">
        <v>752</v>
      </c>
      <c r="Y43" s="34" t="s">
        <v>74</v>
      </c>
      <c r="Z43" s="34" t="s">
        <v>57</v>
      </c>
      <c r="AA43" s="34">
        <v>2001.0</v>
      </c>
      <c r="AB43" s="34">
        <v>2002.0</v>
      </c>
      <c r="AC43" s="34" t="s">
        <v>144</v>
      </c>
      <c r="AD43" s="34" t="s">
        <v>370</v>
      </c>
      <c r="AE43" s="34" t="s">
        <v>69</v>
      </c>
      <c r="AF43" s="34" t="s">
        <v>74</v>
      </c>
      <c r="AG43" s="34" t="s">
        <v>215</v>
      </c>
      <c r="AH43" s="34" t="s">
        <v>105</v>
      </c>
      <c r="AI43" s="34" t="s">
        <v>166</v>
      </c>
      <c r="AJ43" s="34" t="s">
        <v>166</v>
      </c>
      <c r="AK43" s="34" t="s">
        <v>753</v>
      </c>
      <c r="AL43" s="34" t="s">
        <v>128</v>
      </c>
      <c r="AM43" s="34" t="s">
        <v>129</v>
      </c>
      <c r="AN43" s="34" t="s">
        <v>754</v>
      </c>
      <c r="AO43" s="39"/>
      <c r="AP43" s="34" t="s">
        <v>109</v>
      </c>
      <c r="AQ43" s="40" t="s">
        <v>755</v>
      </c>
      <c r="AR43" s="40" t="s">
        <v>201</v>
      </c>
      <c r="AS43" s="41" t="s">
        <v>756</v>
      </c>
    </row>
    <row r="44">
      <c r="A44" s="32">
        <v>88.0</v>
      </c>
      <c r="B44" s="33">
        <v>3.64025665E8</v>
      </c>
      <c r="C44" s="34" t="s">
        <v>757</v>
      </c>
      <c r="D44" s="34" t="s">
        <v>758</v>
      </c>
      <c r="E44" s="38" t="s">
        <v>759</v>
      </c>
      <c r="F44" s="34" t="s">
        <v>760</v>
      </c>
      <c r="G44" s="43" t="s">
        <v>761</v>
      </c>
      <c r="H44" s="36">
        <v>2013.0</v>
      </c>
      <c r="I44" s="38" t="s">
        <v>762</v>
      </c>
      <c r="J44" s="34" t="s">
        <v>730</v>
      </c>
      <c r="K44" s="34" t="s">
        <v>763</v>
      </c>
      <c r="L44" s="34" t="s">
        <v>57</v>
      </c>
      <c r="M44" s="34" t="s">
        <v>760</v>
      </c>
      <c r="N44" s="34" t="s">
        <v>764</v>
      </c>
      <c r="O44" s="34" t="s">
        <v>765</v>
      </c>
      <c r="P44" s="34" t="s">
        <v>93</v>
      </c>
      <c r="Q44" s="34" t="s">
        <v>57</v>
      </c>
      <c r="R44" s="34" t="s">
        <v>57</v>
      </c>
      <c r="S44" s="34" t="s">
        <v>96</v>
      </c>
      <c r="T44" s="34" t="s">
        <v>766</v>
      </c>
      <c r="U44" s="35" t="s">
        <v>767</v>
      </c>
      <c r="V44" s="34" t="s">
        <v>66</v>
      </c>
      <c r="W44" s="34" t="s">
        <v>768</v>
      </c>
      <c r="X44" s="46" t="s">
        <v>769</v>
      </c>
      <c r="Y44" s="34" t="s">
        <v>74</v>
      </c>
      <c r="Z44" s="34" t="s">
        <v>57</v>
      </c>
      <c r="AA44" s="34">
        <v>2006.0</v>
      </c>
      <c r="AB44" s="34">
        <v>2010.0</v>
      </c>
      <c r="AC44" s="34" t="s">
        <v>57</v>
      </c>
      <c r="AD44" s="34" t="s">
        <v>57</v>
      </c>
      <c r="AE44" s="34" t="s">
        <v>69</v>
      </c>
      <c r="AF44" s="34" t="s">
        <v>74</v>
      </c>
      <c r="AG44" s="34" t="s">
        <v>104</v>
      </c>
      <c r="AH44" s="34" t="s">
        <v>770</v>
      </c>
      <c r="AI44" s="34" t="s">
        <v>771</v>
      </c>
      <c r="AJ44" s="34" t="s">
        <v>107</v>
      </c>
      <c r="AK44" s="34" t="s">
        <v>772</v>
      </c>
      <c r="AL44" s="34" t="s">
        <v>79</v>
      </c>
      <c r="AM44" s="34" t="s">
        <v>57</v>
      </c>
      <c r="AN44" s="34" t="s">
        <v>57</v>
      </c>
      <c r="AO44" s="39"/>
      <c r="AP44" s="34" t="s">
        <v>109</v>
      </c>
      <c r="AQ44" s="40" t="s">
        <v>773</v>
      </c>
      <c r="AR44" s="40" t="s">
        <v>201</v>
      </c>
      <c r="AS44" s="41" t="s">
        <v>774</v>
      </c>
    </row>
    <row r="45">
      <c r="A45" s="32">
        <v>96.0</v>
      </c>
      <c r="B45" s="33">
        <v>3.64025694E8</v>
      </c>
      <c r="C45" s="34" t="s">
        <v>775</v>
      </c>
      <c r="D45" s="34" t="s">
        <v>776</v>
      </c>
      <c r="E45" s="38" t="s">
        <v>777</v>
      </c>
      <c r="F45" s="34" t="s">
        <v>87</v>
      </c>
      <c r="G45" s="43" t="s">
        <v>778</v>
      </c>
      <c r="H45" s="36">
        <v>2017.0</v>
      </c>
      <c r="I45" s="34" t="s">
        <v>779</v>
      </c>
      <c r="J45" s="34" t="s">
        <v>730</v>
      </c>
      <c r="K45" s="34" t="s">
        <v>780</v>
      </c>
      <c r="L45" s="34" t="s">
        <v>57</v>
      </c>
      <c r="M45" s="34" t="s">
        <v>87</v>
      </c>
      <c r="N45" s="34" t="s">
        <v>781</v>
      </c>
      <c r="O45" s="34" t="s">
        <v>782</v>
      </c>
      <c r="P45" s="34" t="s">
        <v>93</v>
      </c>
      <c r="Q45" s="38" t="s">
        <v>783</v>
      </c>
      <c r="R45" s="38" t="s">
        <v>784</v>
      </c>
      <c r="S45" s="34" t="s">
        <v>96</v>
      </c>
      <c r="T45" s="34" t="s">
        <v>229</v>
      </c>
      <c r="U45" s="35" t="s">
        <v>785</v>
      </c>
      <c r="V45" s="34" t="s">
        <v>99</v>
      </c>
      <c r="W45" s="34" t="s">
        <v>786</v>
      </c>
      <c r="X45" s="46" t="s">
        <v>787</v>
      </c>
      <c r="Y45" s="34" t="s">
        <v>74</v>
      </c>
      <c r="Z45" s="34" t="s">
        <v>57</v>
      </c>
      <c r="AA45" s="34">
        <v>2014.0</v>
      </c>
      <c r="AB45" s="34">
        <v>2015.0</v>
      </c>
      <c r="AC45" s="34" t="s">
        <v>144</v>
      </c>
      <c r="AD45" s="34" t="s">
        <v>71</v>
      </c>
      <c r="AE45" s="34" t="s">
        <v>69</v>
      </c>
      <c r="AF45" s="34" t="s">
        <v>69</v>
      </c>
      <c r="AG45" s="34" t="s">
        <v>215</v>
      </c>
      <c r="AH45" s="34" t="s">
        <v>285</v>
      </c>
      <c r="AI45" s="34" t="s">
        <v>431</v>
      </c>
      <c r="AJ45" s="34" t="s">
        <v>788</v>
      </c>
      <c r="AK45" s="34" t="s">
        <v>789</v>
      </c>
      <c r="AL45" s="34" t="s">
        <v>128</v>
      </c>
      <c r="AM45" s="34" t="s">
        <v>129</v>
      </c>
      <c r="AN45" s="34" t="s">
        <v>790</v>
      </c>
      <c r="AO45" s="39"/>
      <c r="AP45" s="34" t="s">
        <v>109</v>
      </c>
      <c r="AQ45" s="40" t="s">
        <v>791</v>
      </c>
      <c r="AR45" s="40" t="s">
        <v>201</v>
      </c>
      <c r="AS45" s="44"/>
    </row>
    <row r="46">
      <c r="A46" s="32">
        <v>97.0</v>
      </c>
      <c r="B46" s="33">
        <v>3.64026721E8</v>
      </c>
      <c r="C46" s="34" t="s">
        <v>792</v>
      </c>
      <c r="D46" s="34" t="s">
        <v>793</v>
      </c>
      <c r="E46" s="34" t="s">
        <v>794</v>
      </c>
      <c r="F46" s="34" t="s">
        <v>87</v>
      </c>
      <c r="G46" s="35" t="s">
        <v>795</v>
      </c>
      <c r="H46" s="36">
        <v>2016.0</v>
      </c>
      <c r="I46" s="34" t="s">
        <v>796</v>
      </c>
      <c r="J46" s="34" t="s">
        <v>730</v>
      </c>
      <c r="K46" s="34" t="s">
        <v>797</v>
      </c>
      <c r="L46" s="34" t="s">
        <v>57</v>
      </c>
      <c r="M46" s="34" t="s">
        <v>87</v>
      </c>
      <c r="N46" s="34" t="s">
        <v>798</v>
      </c>
      <c r="O46" s="34" t="s">
        <v>799</v>
      </c>
      <c r="P46" s="34" t="s">
        <v>93</v>
      </c>
      <c r="Q46" s="34" t="s">
        <v>800</v>
      </c>
      <c r="R46" s="34" t="s">
        <v>801</v>
      </c>
      <c r="S46" s="34" t="s">
        <v>96</v>
      </c>
      <c r="T46" s="34" t="s">
        <v>802</v>
      </c>
      <c r="U46" s="35" t="s">
        <v>803</v>
      </c>
      <c r="V46" s="34" t="s">
        <v>99</v>
      </c>
      <c r="W46" s="34" t="s">
        <v>804</v>
      </c>
      <c r="X46" s="37" t="s">
        <v>804</v>
      </c>
      <c r="Y46" s="34" t="s">
        <v>69</v>
      </c>
      <c r="Z46" s="34" t="s">
        <v>805</v>
      </c>
      <c r="AA46" s="34">
        <v>2011.0</v>
      </c>
      <c r="AB46" s="34">
        <v>2011.0</v>
      </c>
      <c r="AC46" s="34" t="s">
        <v>144</v>
      </c>
      <c r="AD46" s="34" t="s">
        <v>370</v>
      </c>
      <c r="AE46" s="34" t="s">
        <v>69</v>
      </c>
      <c r="AF46" s="34" t="s">
        <v>69</v>
      </c>
      <c r="AG46" s="34" t="s">
        <v>104</v>
      </c>
      <c r="AH46" s="34" t="s">
        <v>105</v>
      </c>
      <c r="AI46" s="34" t="s">
        <v>106</v>
      </c>
      <c r="AJ46" s="34" t="s">
        <v>107</v>
      </c>
      <c r="AK46" s="34" t="s">
        <v>806</v>
      </c>
      <c r="AL46" s="34" t="s">
        <v>128</v>
      </c>
      <c r="AM46" s="34" t="s">
        <v>129</v>
      </c>
      <c r="AN46" s="34" t="s">
        <v>807</v>
      </c>
      <c r="AO46" s="39"/>
      <c r="AP46" s="34" t="s">
        <v>184</v>
      </c>
      <c r="AQ46" s="40" t="s">
        <v>808</v>
      </c>
      <c r="AR46" s="40" t="s">
        <v>201</v>
      </c>
      <c r="AS46" s="41" t="s">
        <v>809</v>
      </c>
    </row>
    <row r="47">
      <c r="A47" s="32">
        <v>98.0</v>
      </c>
      <c r="B47" s="33">
        <v>3.64025792E8</v>
      </c>
      <c r="C47" s="34" t="s">
        <v>810</v>
      </c>
      <c r="D47" s="34" t="s">
        <v>811</v>
      </c>
      <c r="E47" s="38" t="s">
        <v>812</v>
      </c>
      <c r="F47" s="34" t="s">
        <v>489</v>
      </c>
      <c r="G47" s="43" t="s">
        <v>813</v>
      </c>
      <c r="H47" s="36">
        <v>2007.0</v>
      </c>
      <c r="I47" s="34" t="s">
        <v>295</v>
      </c>
      <c r="J47" s="34" t="s">
        <v>730</v>
      </c>
      <c r="K47" s="34" t="s">
        <v>814</v>
      </c>
      <c r="L47" s="34" t="s">
        <v>57</v>
      </c>
      <c r="M47" s="34" t="s">
        <v>489</v>
      </c>
      <c r="N47" s="34" t="s">
        <v>815</v>
      </c>
      <c r="O47" s="34" t="s">
        <v>816</v>
      </c>
      <c r="P47" s="34" t="s">
        <v>93</v>
      </c>
      <c r="Q47" s="34" t="s">
        <v>57</v>
      </c>
      <c r="R47" s="34" t="s">
        <v>57</v>
      </c>
      <c r="S47" s="34" t="s">
        <v>63</v>
      </c>
      <c r="T47" s="34" t="s">
        <v>210</v>
      </c>
      <c r="U47" s="35" t="s">
        <v>817</v>
      </c>
      <c r="V47" s="34" t="s">
        <v>66</v>
      </c>
      <c r="W47" s="34" t="s">
        <v>818</v>
      </c>
      <c r="X47" s="37" t="s">
        <v>819</v>
      </c>
      <c r="Y47" s="34" t="s">
        <v>74</v>
      </c>
      <c r="Z47" s="34" t="s">
        <v>57</v>
      </c>
      <c r="AA47" s="34">
        <v>2004.0</v>
      </c>
      <c r="AB47" s="34">
        <v>2004.0</v>
      </c>
      <c r="AC47" s="34" t="s">
        <v>542</v>
      </c>
      <c r="AD47" s="34" t="s">
        <v>71</v>
      </c>
      <c r="AE47" s="34" t="s">
        <v>69</v>
      </c>
      <c r="AF47" s="34" t="s">
        <v>74</v>
      </c>
      <c r="AG47" s="34" t="s">
        <v>215</v>
      </c>
      <c r="AH47" s="34" t="s">
        <v>498</v>
      </c>
      <c r="AI47" s="34" t="s">
        <v>820</v>
      </c>
      <c r="AJ47" s="34" t="s">
        <v>107</v>
      </c>
      <c r="AK47" s="34" t="s">
        <v>821</v>
      </c>
      <c r="AL47" s="34" t="s">
        <v>128</v>
      </c>
      <c r="AM47" s="34" t="s">
        <v>129</v>
      </c>
      <c r="AN47" s="38" t="s">
        <v>822</v>
      </c>
      <c r="AO47" s="39"/>
      <c r="AP47" s="34" t="s">
        <v>109</v>
      </c>
      <c r="AQ47" s="40" t="s">
        <v>823</v>
      </c>
      <c r="AR47" s="40" t="s">
        <v>201</v>
      </c>
      <c r="AS47" s="41" t="s">
        <v>824</v>
      </c>
    </row>
    <row r="48">
      <c r="A48" s="32">
        <v>99.0</v>
      </c>
      <c r="B48" s="33">
        <v>3.64025832E8</v>
      </c>
      <c r="C48" s="34" t="s">
        <v>825</v>
      </c>
      <c r="D48" s="34" t="s">
        <v>826</v>
      </c>
      <c r="E48" s="38" t="s">
        <v>827</v>
      </c>
      <c r="F48" s="34" t="s">
        <v>273</v>
      </c>
      <c r="G48" s="43" t="s">
        <v>828</v>
      </c>
      <c r="H48" s="36">
        <v>2002.0</v>
      </c>
      <c r="I48" s="34" t="s">
        <v>829</v>
      </c>
      <c r="J48" s="34" t="s">
        <v>730</v>
      </c>
      <c r="K48" s="34" t="s">
        <v>276</v>
      </c>
      <c r="L48" s="34" t="s">
        <v>57</v>
      </c>
      <c r="M48" s="34" t="s">
        <v>273</v>
      </c>
      <c r="N48" s="34" t="s">
        <v>277</v>
      </c>
      <c r="O48" s="34" t="s">
        <v>830</v>
      </c>
      <c r="P48" s="34" t="s">
        <v>93</v>
      </c>
      <c r="Q48" s="34" t="s">
        <v>57</v>
      </c>
      <c r="R48" s="34" t="s">
        <v>57</v>
      </c>
      <c r="S48" s="34" t="s">
        <v>96</v>
      </c>
      <c r="T48" s="34" t="s">
        <v>831</v>
      </c>
      <c r="U48" s="35" t="s">
        <v>832</v>
      </c>
      <c r="V48" s="34" t="s">
        <v>99</v>
      </c>
      <c r="W48" s="34" t="s">
        <v>833</v>
      </c>
      <c r="X48" s="37" t="s">
        <v>834</v>
      </c>
      <c r="Y48" s="34" t="s">
        <v>74</v>
      </c>
      <c r="Z48" s="34" t="s">
        <v>57</v>
      </c>
      <c r="AA48" s="34">
        <v>1998.0</v>
      </c>
      <c r="AB48" s="34">
        <v>1998.0</v>
      </c>
      <c r="AC48" s="34" t="s">
        <v>57</v>
      </c>
      <c r="AD48" s="34" t="s">
        <v>57</v>
      </c>
      <c r="AE48" s="34" t="s">
        <v>69</v>
      </c>
      <c r="AF48" s="34" t="s">
        <v>74</v>
      </c>
      <c r="AG48" s="34" t="s">
        <v>104</v>
      </c>
      <c r="AH48" s="34" t="s">
        <v>105</v>
      </c>
      <c r="AI48" s="34" t="s">
        <v>835</v>
      </c>
      <c r="AJ48" s="34" t="s">
        <v>107</v>
      </c>
      <c r="AK48" s="34" t="s">
        <v>836</v>
      </c>
      <c r="AL48" s="34" t="s">
        <v>79</v>
      </c>
      <c r="AM48" s="34" t="s">
        <v>57</v>
      </c>
      <c r="AN48" s="34" t="s">
        <v>57</v>
      </c>
      <c r="AO48" s="39"/>
      <c r="AP48" s="34" t="s">
        <v>109</v>
      </c>
      <c r="AQ48" s="40" t="s">
        <v>837</v>
      </c>
      <c r="AR48" s="40" t="s">
        <v>201</v>
      </c>
      <c r="AS48" s="41" t="s">
        <v>838</v>
      </c>
    </row>
    <row r="49">
      <c r="A49" s="32">
        <v>100.0</v>
      </c>
      <c r="B49" s="33">
        <v>3.64026742E8</v>
      </c>
      <c r="C49" s="34" t="s">
        <v>839</v>
      </c>
      <c r="D49" s="34" t="s">
        <v>840</v>
      </c>
      <c r="E49" s="34" t="s">
        <v>841</v>
      </c>
      <c r="F49" s="34" t="s">
        <v>842</v>
      </c>
      <c r="G49" s="35" t="s">
        <v>843</v>
      </c>
      <c r="H49" s="36">
        <v>2010.0</v>
      </c>
      <c r="I49" s="34" t="s">
        <v>844</v>
      </c>
      <c r="J49" s="34" t="s">
        <v>55</v>
      </c>
      <c r="K49" s="34" t="s">
        <v>845</v>
      </c>
      <c r="L49" s="34" t="s">
        <v>57</v>
      </c>
      <c r="M49" s="34" t="s">
        <v>842</v>
      </c>
      <c r="N49" s="34" t="s">
        <v>846</v>
      </c>
      <c r="O49" s="34" t="s">
        <v>847</v>
      </c>
      <c r="P49" s="34" t="s">
        <v>93</v>
      </c>
      <c r="Q49" s="34" t="s">
        <v>57</v>
      </c>
      <c r="R49" s="34" t="s">
        <v>57</v>
      </c>
      <c r="S49" s="34" t="s">
        <v>301</v>
      </c>
      <c r="T49" s="34" t="s">
        <v>848</v>
      </c>
      <c r="U49" s="35" t="s">
        <v>849</v>
      </c>
      <c r="V49" s="34" t="s">
        <v>99</v>
      </c>
      <c r="W49" s="34" t="s">
        <v>804</v>
      </c>
      <c r="X49" s="37" t="s">
        <v>804</v>
      </c>
      <c r="Y49" s="34" t="s">
        <v>69</v>
      </c>
      <c r="Z49" s="34" t="s">
        <v>850</v>
      </c>
      <c r="AA49" s="34">
        <v>2006.0</v>
      </c>
      <c r="AB49" s="34">
        <v>2008.0</v>
      </c>
      <c r="AC49" s="34" t="s">
        <v>103</v>
      </c>
      <c r="AD49" s="34" t="s">
        <v>180</v>
      </c>
      <c r="AE49" s="34" t="s">
        <v>69</v>
      </c>
      <c r="AF49" s="34" t="s">
        <v>69</v>
      </c>
      <c r="AG49" s="34" t="s">
        <v>104</v>
      </c>
      <c r="AH49" s="34" t="s">
        <v>851</v>
      </c>
      <c r="AI49" s="34" t="s">
        <v>852</v>
      </c>
      <c r="AJ49" s="34" t="s">
        <v>147</v>
      </c>
      <c r="AK49" s="34" t="s">
        <v>853</v>
      </c>
      <c r="AL49" s="34" t="s">
        <v>79</v>
      </c>
      <c r="AM49" s="34" t="s">
        <v>57</v>
      </c>
      <c r="AN49" s="34" t="s">
        <v>57</v>
      </c>
      <c r="AO49" s="39"/>
      <c r="AP49" s="34" t="s">
        <v>81</v>
      </c>
      <c r="AQ49" s="40" t="s">
        <v>854</v>
      </c>
      <c r="AR49" s="40" t="s">
        <v>201</v>
      </c>
      <c r="AS49" s="41" t="s">
        <v>855</v>
      </c>
    </row>
    <row r="50">
      <c r="A50" s="32">
        <v>101.0</v>
      </c>
      <c r="B50" s="33">
        <v>3.64026452E8</v>
      </c>
      <c r="C50" s="34" t="s">
        <v>856</v>
      </c>
      <c r="D50" s="34" t="s">
        <v>857</v>
      </c>
      <c r="E50" s="34" t="s">
        <v>858</v>
      </c>
      <c r="F50" s="34" t="s">
        <v>859</v>
      </c>
      <c r="G50" s="43" t="s">
        <v>860</v>
      </c>
      <c r="H50" s="36">
        <v>2015.0</v>
      </c>
      <c r="I50" s="34" t="s">
        <v>796</v>
      </c>
      <c r="J50" s="34" t="s">
        <v>55</v>
      </c>
      <c r="K50" s="34" t="s">
        <v>861</v>
      </c>
      <c r="L50" s="34" t="s">
        <v>57</v>
      </c>
      <c r="M50" s="34" t="s">
        <v>859</v>
      </c>
      <c r="N50" s="34" t="s">
        <v>862</v>
      </c>
      <c r="O50" s="34" t="s">
        <v>863</v>
      </c>
      <c r="P50" s="34" t="s">
        <v>93</v>
      </c>
      <c r="Q50" s="34" t="s">
        <v>864</v>
      </c>
      <c r="R50" s="34" t="s">
        <v>865</v>
      </c>
      <c r="S50" s="34" t="s">
        <v>63</v>
      </c>
      <c r="T50" s="34" t="s">
        <v>866</v>
      </c>
      <c r="U50" s="35" t="s">
        <v>867</v>
      </c>
      <c r="V50" s="34" t="s">
        <v>99</v>
      </c>
      <c r="W50" s="34" t="s">
        <v>100</v>
      </c>
      <c r="X50" s="37" t="s">
        <v>100</v>
      </c>
      <c r="Y50" s="34" t="s">
        <v>74</v>
      </c>
      <c r="Z50" s="34" t="s">
        <v>57</v>
      </c>
      <c r="AA50" s="34">
        <v>2012.0</v>
      </c>
      <c r="AB50" s="34">
        <v>2012.0</v>
      </c>
      <c r="AC50" s="34" t="s">
        <v>144</v>
      </c>
      <c r="AD50" s="34" t="s">
        <v>692</v>
      </c>
      <c r="AE50" s="34" t="s">
        <v>74</v>
      </c>
      <c r="AF50" s="34" t="s">
        <v>69</v>
      </c>
      <c r="AG50" s="34" t="s">
        <v>104</v>
      </c>
      <c r="AH50" s="34" t="s">
        <v>851</v>
      </c>
      <c r="AI50" s="34" t="s">
        <v>166</v>
      </c>
      <c r="AJ50" s="34" t="s">
        <v>166</v>
      </c>
      <c r="AK50" s="34" t="s">
        <v>868</v>
      </c>
      <c r="AL50" s="34" t="s">
        <v>128</v>
      </c>
      <c r="AM50" s="34" t="s">
        <v>129</v>
      </c>
      <c r="AN50" s="34" t="s">
        <v>869</v>
      </c>
      <c r="AO50" s="39"/>
      <c r="AP50" s="34" t="s">
        <v>81</v>
      </c>
      <c r="AQ50" s="40" t="s">
        <v>870</v>
      </c>
      <c r="AR50" s="40" t="s">
        <v>201</v>
      </c>
      <c r="AS50" s="41" t="s">
        <v>871</v>
      </c>
    </row>
    <row r="51">
      <c r="A51" s="32">
        <v>103.0</v>
      </c>
      <c r="B51" s="33">
        <v>3.64026356E8</v>
      </c>
      <c r="C51" s="34" t="s">
        <v>872</v>
      </c>
      <c r="D51" s="34" t="s">
        <v>873</v>
      </c>
      <c r="E51" s="34" t="s">
        <v>874</v>
      </c>
      <c r="F51" s="34" t="s">
        <v>859</v>
      </c>
      <c r="G51" s="35" t="s">
        <v>875</v>
      </c>
      <c r="H51" s="36">
        <v>2021.0</v>
      </c>
      <c r="I51" s="34" t="s">
        <v>796</v>
      </c>
      <c r="J51" s="34" t="s">
        <v>55</v>
      </c>
      <c r="K51" s="34" t="s">
        <v>876</v>
      </c>
      <c r="L51" s="34" t="s">
        <v>57</v>
      </c>
      <c r="M51" s="34" t="s">
        <v>859</v>
      </c>
      <c r="N51" s="34" t="s">
        <v>862</v>
      </c>
      <c r="O51" s="34" t="s">
        <v>877</v>
      </c>
      <c r="P51" s="34" t="s">
        <v>93</v>
      </c>
      <c r="Q51" s="34" t="s">
        <v>57</v>
      </c>
      <c r="R51" s="34" t="s">
        <v>57</v>
      </c>
      <c r="S51" s="34" t="s">
        <v>63</v>
      </c>
      <c r="T51" s="34" t="s">
        <v>366</v>
      </c>
      <c r="U51" s="35" t="s">
        <v>878</v>
      </c>
      <c r="V51" s="34" t="s">
        <v>99</v>
      </c>
      <c r="W51" s="34" t="s">
        <v>100</v>
      </c>
      <c r="X51" s="37" t="s">
        <v>100</v>
      </c>
      <c r="Y51" s="34" t="s">
        <v>69</v>
      </c>
      <c r="Z51" s="34" t="s">
        <v>879</v>
      </c>
      <c r="AA51" s="34">
        <v>2019.0</v>
      </c>
      <c r="AB51" s="34">
        <v>2019.0</v>
      </c>
      <c r="AC51" s="34" t="s">
        <v>103</v>
      </c>
      <c r="AD51" s="34" t="s">
        <v>692</v>
      </c>
      <c r="AE51" s="34" t="s">
        <v>74</v>
      </c>
      <c r="AF51" s="34" t="s">
        <v>69</v>
      </c>
      <c r="AG51" s="34" t="s">
        <v>104</v>
      </c>
      <c r="AH51" s="34" t="s">
        <v>105</v>
      </c>
      <c r="AI51" s="34" t="s">
        <v>106</v>
      </c>
      <c r="AJ51" s="34" t="s">
        <v>107</v>
      </c>
      <c r="AK51" s="38" t="s">
        <v>880</v>
      </c>
      <c r="AL51" s="34" t="s">
        <v>79</v>
      </c>
      <c r="AM51" s="34" t="s">
        <v>57</v>
      </c>
      <c r="AN51" s="34" t="s">
        <v>57</v>
      </c>
      <c r="AO51" s="39"/>
      <c r="AP51" s="34" t="s">
        <v>81</v>
      </c>
      <c r="AQ51" s="40" t="s">
        <v>881</v>
      </c>
      <c r="AR51" s="40" t="s">
        <v>201</v>
      </c>
      <c r="AS51" s="41" t="s">
        <v>882</v>
      </c>
    </row>
    <row r="52">
      <c r="A52" s="32">
        <v>105.0</v>
      </c>
      <c r="B52" s="33">
        <v>3.64027038E8</v>
      </c>
      <c r="C52" s="34" t="s">
        <v>883</v>
      </c>
      <c r="D52" s="34" t="s">
        <v>884</v>
      </c>
      <c r="E52" s="34" t="s">
        <v>885</v>
      </c>
      <c r="F52" s="34" t="s">
        <v>886</v>
      </c>
      <c r="G52" s="35" t="s">
        <v>887</v>
      </c>
      <c r="H52" s="36">
        <v>2022.0</v>
      </c>
      <c r="I52" s="34" t="s">
        <v>888</v>
      </c>
      <c r="J52" s="34" t="s">
        <v>55</v>
      </c>
      <c r="K52" s="34" t="s">
        <v>889</v>
      </c>
      <c r="L52" s="34" t="s">
        <v>57</v>
      </c>
      <c r="M52" s="34" t="s">
        <v>886</v>
      </c>
      <c r="N52" s="34" t="s">
        <v>890</v>
      </c>
      <c r="O52" s="34" t="s">
        <v>891</v>
      </c>
      <c r="P52" s="34" t="s">
        <v>93</v>
      </c>
      <c r="Q52" s="34" t="s">
        <v>57</v>
      </c>
      <c r="R52" s="34" t="s">
        <v>57</v>
      </c>
      <c r="S52" s="34" t="s">
        <v>63</v>
      </c>
      <c r="T52" s="34" t="s">
        <v>892</v>
      </c>
      <c r="U52" s="35" t="s">
        <v>893</v>
      </c>
      <c r="V52" s="34" t="s">
        <v>99</v>
      </c>
      <c r="W52" s="34" t="s">
        <v>100</v>
      </c>
      <c r="X52" s="37" t="s">
        <v>100</v>
      </c>
      <c r="Y52" s="34" t="s">
        <v>74</v>
      </c>
      <c r="Z52" s="34" t="s">
        <v>57</v>
      </c>
      <c r="AA52" s="34">
        <v>2019.0</v>
      </c>
      <c r="AB52" s="34">
        <v>2019.0</v>
      </c>
      <c r="AC52" s="34" t="s">
        <v>144</v>
      </c>
      <c r="AD52" s="34" t="s">
        <v>370</v>
      </c>
      <c r="AE52" s="34" t="s">
        <v>69</v>
      </c>
      <c r="AF52" s="34" t="s">
        <v>69</v>
      </c>
      <c r="AG52" s="34" t="s">
        <v>104</v>
      </c>
      <c r="AH52" s="34" t="s">
        <v>105</v>
      </c>
      <c r="AI52" s="34" t="s">
        <v>414</v>
      </c>
      <c r="AJ52" s="34" t="s">
        <v>107</v>
      </c>
      <c r="AK52" s="38" t="s">
        <v>894</v>
      </c>
      <c r="AL52" s="34" t="s">
        <v>128</v>
      </c>
      <c r="AM52" s="34" t="s">
        <v>895</v>
      </c>
      <c r="AN52" s="34" t="s">
        <v>896</v>
      </c>
      <c r="AO52" s="39"/>
      <c r="AP52" s="34" t="s">
        <v>184</v>
      </c>
      <c r="AQ52" s="40" t="s">
        <v>897</v>
      </c>
      <c r="AR52" s="40" t="s">
        <v>201</v>
      </c>
      <c r="AS52" s="44"/>
    </row>
    <row r="53">
      <c r="A53" s="32">
        <v>106.0</v>
      </c>
      <c r="B53" s="33">
        <v>3.64027035E8</v>
      </c>
      <c r="C53" s="34" t="s">
        <v>898</v>
      </c>
      <c r="D53" s="34" t="s">
        <v>899</v>
      </c>
      <c r="E53" s="34" t="s">
        <v>900</v>
      </c>
      <c r="F53" s="34" t="s">
        <v>114</v>
      </c>
      <c r="G53" s="35" t="s">
        <v>901</v>
      </c>
      <c r="H53" s="36">
        <v>2009.0</v>
      </c>
      <c r="I53" s="34" t="s">
        <v>207</v>
      </c>
      <c r="J53" s="34" t="s">
        <v>55</v>
      </c>
      <c r="K53" s="34" t="s">
        <v>902</v>
      </c>
      <c r="L53" s="34" t="s">
        <v>57</v>
      </c>
      <c r="M53" s="34" t="s">
        <v>114</v>
      </c>
      <c r="N53" s="34" t="s">
        <v>903</v>
      </c>
      <c r="O53" s="34" t="s">
        <v>904</v>
      </c>
      <c r="P53" s="34" t="s">
        <v>93</v>
      </c>
      <c r="Q53" s="34" t="s">
        <v>57</v>
      </c>
      <c r="R53" s="34" t="s">
        <v>57</v>
      </c>
      <c r="S53" s="34" t="s">
        <v>63</v>
      </c>
      <c r="T53" s="34" t="s">
        <v>210</v>
      </c>
      <c r="U53" s="35" t="s">
        <v>905</v>
      </c>
      <c r="V53" s="34" t="s">
        <v>99</v>
      </c>
      <c r="W53" s="34" t="s">
        <v>100</v>
      </c>
      <c r="X53" s="37" t="s">
        <v>100</v>
      </c>
      <c r="Y53" s="34" t="s">
        <v>69</v>
      </c>
      <c r="Z53" s="34" t="s">
        <v>906</v>
      </c>
      <c r="AA53" s="34">
        <v>2000.0</v>
      </c>
      <c r="AB53" s="34">
        <v>2002.0</v>
      </c>
      <c r="AC53" s="34" t="s">
        <v>180</v>
      </c>
      <c r="AD53" s="34" t="s">
        <v>180</v>
      </c>
      <c r="AE53" s="34" t="s">
        <v>69</v>
      </c>
      <c r="AF53" s="34" t="s">
        <v>69</v>
      </c>
      <c r="AG53" s="34" t="s">
        <v>104</v>
      </c>
      <c r="AH53" s="34" t="s">
        <v>907</v>
      </c>
      <c r="AI53" s="34" t="s">
        <v>908</v>
      </c>
      <c r="AJ53" s="34" t="s">
        <v>147</v>
      </c>
      <c r="AK53" s="34" t="s">
        <v>909</v>
      </c>
      <c r="AL53" s="34" t="s">
        <v>128</v>
      </c>
      <c r="AM53" s="34" t="s">
        <v>374</v>
      </c>
      <c r="AN53" s="34" t="s">
        <v>910</v>
      </c>
      <c r="AO53" s="39"/>
      <c r="AP53" s="34" t="s">
        <v>184</v>
      </c>
      <c r="AQ53" s="40" t="s">
        <v>911</v>
      </c>
      <c r="AR53" s="40" t="s">
        <v>201</v>
      </c>
      <c r="AS53" s="41" t="s">
        <v>912</v>
      </c>
    </row>
    <row r="54">
      <c r="A54" s="32">
        <v>108.0</v>
      </c>
      <c r="B54" s="33">
        <v>3.64027024E8</v>
      </c>
      <c r="C54" s="34" t="s">
        <v>913</v>
      </c>
      <c r="D54" s="34" t="s">
        <v>914</v>
      </c>
      <c r="E54" s="34" t="s">
        <v>915</v>
      </c>
      <c r="F54" s="34" t="s">
        <v>916</v>
      </c>
      <c r="G54" s="35" t="s">
        <v>917</v>
      </c>
      <c r="H54" s="36">
        <v>2017.0</v>
      </c>
      <c r="I54" s="34" t="s">
        <v>918</v>
      </c>
      <c r="J54" s="34" t="s">
        <v>55</v>
      </c>
      <c r="K54" s="34" t="s">
        <v>919</v>
      </c>
      <c r="L54" s="34" t="s">
        <v>57</v>
      </c>
      <c r="M54" s="34" t="s">
        <v>916</v>
      </c>
      <c r="N54" s="34" t="s">
        <v>920</v>
      </c>
      <c r="O54" s="34" t="s">
        <v>921</v>
      </c>
      <c r="P54" s="34" t="s">
        <v>93</v>
      </c>
      <c r="Q54" s="34" t="s">
        <v>57</v>
      </c>
      <c r="R54" s="34" t="s">
        <v>57</v>
      </c>
      <c r="S54" s="34" t="s">
        <v>96</v>
      </c>
      <c r="T54" s="34" t="s">
        <v>922</v>
      </c>
      <c r="U54" s="35" t="s">
        <v>923</v>
      </c>
      <c r="V54" s="34" t="s">
        <v>99</v>
      </c>
      <c r="W54" s="34" t="s">
        <v>100</v>
      </c>
      <c r="X54" s="37" t="s">
        <v>100</v>
      </c>
      <c r="Y54" s="34" t="s">
        <v>74</v>
      </c>
      <c r="Z54" s="34" t="s">
        <v>57</v>
      </c>
      <c r="AA54" s="34">
        <v>2016.0</v>
      </c>
      <c r="AB54" s="34">
        <v>2016.0</v>
      </c>
      <c r="AC54" s="34" t="s">
        <v>180</v>
      </c>
      <c r="AD54" s="34" t="s">
        <v>180</v>
      </c>
      <c r="AE54" s="34" t="s">
        <v>74</v>
      </c>
      <c r="AF54" s="34" t="s">
        <v>69</v>
      </c>
      <c r="AG54" s="34" t="s">
        <v>104</v>
      </c>
      <c r="AH54" s="34" t="s">
        <v>105</v>
      </c>
      <c r="AI54" s="34" t="s">
        <v>465</v>
      </c>
      <c r="AJ54" s="34" t="s">
        <v>465</v>
      </c>
      <c r="AK54" s="34" t="s">
        <v>924</v>
      </c>
      <c r="AL54" s="34" t="s">
        <v>79</v>
      </c>
      <c r="AM54" s="34" t="s">
        <v>57</v>
      </c>
      <c r="AN54" s="34" t="s">
        <v>57</v>
      </c>
      <c r="AO54" s="39"/>
      <c r="AP54" s="34" t="s">
        <v>184</v>
      </c>
      <c r="AQ54" s="40" t="s">
        <v>925</v>
      </c>
      <c r="AR54" s="40" t="s">
        <v>201</v>
      </c>
      <c r="AS54" s="41" t="s">
        <v>926</v>
      </c>
    </row>
    <row r="55">
      <c r="A55" s="32">
        <v>112.0</v>
      </c>
      <c r="B55" s="33">
        <v>3.64026657E8</v>
      </c>
      <c r="C55" s="34" t="s">
        <v>927</v>
      </c>
      <c r="D55" s="34" t="s">
        <v>928</v>
      </c>
      <c r="E55" s="34" t="s">
        <v>929</v>
      </c>
      <c r="F55" s="34" t="s">
        <v>859</v>
      </c>
      <c r="G55" s="35" t="s">
        <v>930</v>
      </c>
      <c r="H55" s="36">
        <v>2018.0</v>
      </c>
      <c r="I55" s="34" t="s">
        <v>796</v>
      </c>
      <c r="J55" s="34" t="s">
        <v>518</v>
      </c>
      <c r="K55" s="34" t="s">
        <v>931</v>
      </c>
      <c r="L55" s="34" t="s">
        <v>57</v>
      </c>
      <c r="M55" s="34" t="s">
        <v>859</v>
      </c>
      <c r="N55" s="34" t="s">
        <v>862</v>
      </c>
      <c r="O55" s="34" t="s">
        <v>863</v>
      </c>
      <c r="P55" s="34" t="s">
        <v>93</v>
      </c>
      <c r="Q55" s="34" t="s">
        <v>57</v>
      </c>
      <c r="R55" s="34" t="s">
        <v>57</v>
      </c>
      <c r="S55" s="34" t="s">
        <v>63</v>
      </c>
      <c r="T55" s="34" t="s">
        <v>932</v>
      </c>
      <c r="U55" s="35" t="s">
        <v>933</v>
      </c>
      <c r="V55" s="34" t="s">
        <v>99</v>
      </c>
      <c r="W55" s="34" t="s">
        <v>99</v>
      </c>
      <c r="X55" s="37" t="s">
        <v>99</v>
      </c>
      <c r="Y55" s="34" t="s">
        <v>69</v>
      </c>
      <c r="Z55" s="34" t="s">
        <v>934</v>
      </c>
      <c r="AA55" s="34">
        <v>1987.0</v>
      </c>
      <c r="AB55" s="34">
        <v>2014.0</v>
      </c>
      <c r="AC55" s="34" t="s">
        <v>57</v>
      </c>
      <c r="AD55" s="34" t="s">
        <v>57</v>
      </c>
      <c r="AE55" s="34" t="s">
        <v>69</v>
      </c>
      <c r="AF55" s="34" t="s">
        <v>69</v>
      </c>
      <c r="AG55" s="34" t="s">
        <v>104</v>
      </c>
      <c r="AH55" s="34" t="s">
        <v>851</v>
      </c>
      <c r="AI55" s="34" t="s">
        <v>935</v>
      </c>
      <c r="AJ55" s="34" t="s">
        <v>935</v>
      </c>
      <c r="AK55" s="34" t="s">
        <v>936</v>
      </c>
      <c r="AL55" s="34" t="s">
        <v>79</v>
      </c>
      <c r="AM55" s="34" t="s">
        <v>57</v>
      </c>
      <c r="AN55" s="34" t="s">
        <v>57</v>
      </c>
      <c r="AO55" s="39"/>
      <c r="AP55" s="34" t="s">
        <v>81</v>
      </c>
      <c r="AQ55" s="40" t="s">
        <v>937</v>
      </c>
      <c r="AR55" s="40" t="s">
        <v>201</v>
      </c>
      <c r="AS55" s="41" t="s">
        <v>938</v>
      </c>
    </row>
    <row r="56">
      <c r="A56" s="32">
        <v>115.0</v>
      </c>
      <c r="B56" s="33">
        <v>3.64026993E8</v>
      </c>
      <c r="C56" s="34" t="s">
        <v>939</v>
      </c>
      <c r="D56" s="47" t="s">
        <v>940</v>
      </c>
      <c r="E56" s="34" t="s">
        <v>941</v>
      </c>
      <c r="F56" s="34" t="s">
        <v>114</v>
      </c>
      <c r="G56" s="35" t="s">
        <v>942</v>
      </c>
      <c r="H56" s="36">
        <v>1986.0</v>
      </c>
      <c r="I56" s="34" t="s">
        <v>943</v>
      </c>
      <c r="J56" s="34" t="s">
        <v>55</v>
      </c>
      <c r="K56" s="34" t="s">
        <v>57</v>
      </c>
      <c r="L56" s="34" t="s">
        <v>57</v>
      </c>
      <c r="M56" s="34" t="s">
        <v>114</v>
      </c>
      <c r="N56" s="34" t="s">
        <v>944</v>
      </c>
      <c r="O56" s="34" t="s">
        <v>945</v>
      </c>
      <c r="P56" s="34" t="s">
        <v>93</v>
      </c>
      <c r="Q56" s="34" t="s">
        <v>57</v>
      </c>
      <c r="R56" s="34" t="s">
        <v>57</v>
      </c>
      <c r="S56" s="34" t="s">
        <v>63</v>
      </c>
      <c r="T56" s="34" t="s">
        <v>64</v>
      </c>
      <c r="U56" s="35" t="s">
        <v>946</v>
      </c>
      <c r="V56" s="34" t="s">
        <v>99</v>
      </c>
      <c r="W56" s="34" t="s">
        <v>100</v>
      </c>
      <c r="X56" s="37" t="s">
        <v>100</v>
      </c>
      <c r="Y56" s="34" t="s">
        <v>74</v>
      </c>
      <c r="Z56" s="34" t="s">
        <v>57</v>
      </c>
      <c r="AA56" s="34">
        <v>1975.0</v>
      </c>
      <c r="AB56" s="34">
        <v>1979.0</v>
      </c>
      <c r="AC56" s="34" t="s">
        <v>180</v>
      </c>
      <c r="AD56" s="34" t="s">
        <v>180</v>
      </c>
      <c r="AE56" s="34" t="s">
        <v>69</v>
      </c>
      <c r="AF56" s="34" t="s">
        <v>69</v>
      </c>
      <c r="AG56" s="34" t="s">
        <v>104</v>
      </c>
      <c r="AH56" s="34" t="s">
        <v>907</v>
      </c>
      <c r="AI56" s="34" t="s">
        <v>947</v>
      </c>
      <c r="AJ56" s="34" t="s">
        <v>107</v>
      </c>
      <c r="AK56" s="34" t="s">
        <v>948</v>
      </c>
      <c r="AL56" s="34" t="s">
        <v>128</v>
      </c>
      <c r="AM56" s="34" t="s">
        <v>129</v>
      </c>
      <c r="AN56" s="34" t="s">
        <v>949</v>
      </c>
      <c r="AO56" s="39"/>
      <c r="AP56" s="34" t="s">
        <v>184</v>
      </c>
      <c r="AQ56" s="40" t="s">
        <v>950</v>
      </c>
      <c r="AR56" s="40" t="s">
        <v>201</v>
      </c>
      <c r="AS56" s="41" t="s">
        <v>951</v>
      </c>
    </row>
    <row r="57">
      <c r="A57" s="32">
        <v>116.0</v>
      </c>
      <c r="B57" s="33">
        <v>3.64026991E8</v>
      </c>
      <c r="C57" s="34" t="s">
        <v>952</v>
      </c>
      <c r="D57" s="34" t="s">
        <v>953</v>
      </c>
      <c r="E57" s="34" t="s">
        <v>954</v>
      </c>
      <c r="F57" s="34" t="s">
        <v>114</v>
      </c>
      <c r="G57" s="35" t="s">
        <v>955</v>
      </c>
      <c r="H57" s="36">
        <v>1991.0</v>
      </c>
      <c r="I57" s="34" t="s">
        <v>295</v>
      </c>
      <c r="J57" s="34" t="s">
        <v>55</v>
      </c>
      <c r="K57" s="34" t="s">
        <v>956</v>
      </c>
      <c r="L57" s="34" t="s">
        <v>57</v>
      </c>
      <c r="M57" s="34" t="s">
        <v>114</v>
      </c>
      <c r="N57" s="34" t="s">
        <v>944</v>
      </c>
      <c r="O57" s="34" t="s">
        <v>945</v>
      </c>
      <c r="P57" s="34" t="s">
        <v>93</v>
      </c>
      <c r="Q57" s="34" t="s">
        <v>57</v>
      </c>
      <c r="R57" s="34" t="s">
        <v>57</v>
      </c>
      <c r="S57" s="34" t="s">
        <v>63</v>
      </c>
      <c r="T57" s="34" t="s">
        <v>64</v>
      </c>
      <c r="U57" s="35" t="s">
        <v>957</v>
      </c>
      <c r="V57" s="34" t="s">
        <v>99</v>
      </c>
      <c r="W57" s="34" t="s">
        <v>100</v>
      </c>
      <c r="X57" s="37" t="s">
        <v>100</v>
      </c>
      <c r="Y57" s="34" t="s">
        <v>74</v>
      </c>
      <c r="Z57" s="34" t="s">
        <v>57</v>
      </c>
      <c r="AA57" s="34">
        <v>1976.0</v>
      </c>
      <c r="AB57" s="34">
        <v>1980.0</v>
      </c>
      <c r="AC57" s="34" t="s">
        <v>542</v>
      </c>
      <c r="AD57" s="34" t="s">
        <v>542</v>
      </c>
      <c r="AE57" s="34" t="s">
        <v>69</v>
      </c>
      <c r="AF57" s="34" t="s">
        <v>69</v>
      </c>
      <c r="AG57" s="34" t="s">
        <v>104</v>
      </c>
      <c r="AH57" s="34" t="s">
        <v>105</v>
      </c>
      <c r="AI57" s="34" t="s">
        <v>958</v>
      </c>
      <c r="AJ57" s="34" t="s">
        <v>147</v>
      </c>
      <c r="AK57" s="34" t="s">
        <v>959</v>
      </c>
      <c r="AL57" s="34" t="s">
        <v>128</v>
      </c>
      <c r="AM57" s="34" t="s">
        <v>129</v>
      </c>
      <c r="AN57" s="34" t="s">
        <v>960</v>
      </c>
      <c r="AO57" s="39"/>
      <c r="AP57" s="34" t="s">
        <v>184</v>
      </c>
      <c r="AQ57" s="40" t="s">
        <v>961</v>
      </c>
      <c r="AR57" s="40" t="s">
        <v>201</v>
      </c>
      <c r="AS57" s="44"/>
    </row>
    <row r="58">
      <c r="A58" s="32">
        <v>117.0</v>
      </c>
      <c r="B58" s="33">
        <v>3.64026988E8</v>
      </c>
      <c r="C58" s="34" t="s">
        <v>962</v>
      </c>
      <c r="D58" s="34" t="s">
        <v>963</v>
      </c>
      <c r="E58" s="34" t="s">
        <v>964</v>
      </c>
      <c r="F58" s="34" t="s">
        <v>114</v>
      </c>
      <c r="G58" s="35" t="s">
        <v>965</v>
      </c>
      <c r="H58" s="36">
        <v>2018.0</v>
      </c>
      <c r="I58" s="34" t="s">
        <v>762</v>
      </c>
      <c r="J58" s="34" t="s">
        <v>55</v>
      </c>
      <c r="K58" s="34" t="s">
        <v>966</v>
      </c>
      <c r="L58" s="34" t="s">
        <v>57</v>
      </c>
      <c r="M58" s="34" t="s">
        <v>114</v>
      </c>
      <c r="N58" s="34" t="s">
        <v>967</v>
      </c>
      <c r="O58" s="34" t="s">
        <v>968</v>
      </c>
      <c r="P58" s="34" t="s">
        <v>93</v>
      </c>
      <c r="Q58" s="34" t="s">
        <v>57</v>
      </c>
      <c r="R58" s="34" t="s">
        <v>57</v>
      </c>
      <c r="S58" s="34" t="s">
        <v>63</v>
      </c>
      <c r="T58" s="34" t="s">
        <v>969</v>
      </c>
      <c r="U58" s="35" t="s">
        <v>970</v>
      </c>
      <c r="V58" s="34" t="s">
        <v>66</v>
      </c>
      <c r="W58" s="34" t="s">
        <v>971</v>
      </c>
      <c r="X58" s="37" t="s">
        <v>972</v>
      </c>
      <c r="Y58" s="34" t="s">
        <v>74</v>
      </c>
      <c r="Z58" s="34" t="s">
        <v>57</v>
      </c>
      <c r="AA58" s="34" t="s">
        <v>57</v>
      </c>
      <c r="AB58" s="34" t="s">
        <v>57</v>
      </c>
      <c r="AC58" s="34" t="s">
        <v>57</v>
      </c>
      <c r="AD58" s="34" t="s">
        <v>57</v>
      </c>
      <c r="AE58" s="34" t="s">
        <v>57</v>
      </c>
      <c r="AF58" s="34" t="s">
        <v>74</v>
      </c>
      <c r="AG58" s="34" t="s">
        <v>75</v>
      </c>
      <c r="AH58" s="34" t="s">
        <v>285</v>
      </c>
      <c r="AI58" s="34" t="s">
        <v>431</v>
      </c>
      <c r="AJ58" s="34" t="s">
        <v>431</v>
      </c>
      <c r="AK58" s="34" t="s">
        <v>973</v>
      </c>
      <c r="AL58" s="34" t="s">
        <v>79</v>
      </c>
      <c r="AM58" s="34" t="s">
        <v>57</v>
      </c>
      <c r="AN58" s="34" t="s">
        <v>57</v>
      </c>
      <c r="AO58" s="34" t="s">
        <v>974</v>
      </c>
      <c r="AP58" s="34" t="s">
        <v>184</v>
      </c>
      <c r="AQ58" s="40" t="s">
        <v>975</v>
      </c>
      <c r="AR58" s="40" t="s">
        <v>201</v>
      </c>
      <c r="AS58" s="41" t="s">
        <v>976</v>
      </c>
    </row>
    <row r="59">
      <c r="A59" s="32">
        <v>121.0</v>
      </c>
      <c r="B59" s="33">
        <v>3.64025837E8</v>
      </c>
      <c r="C59" s="34" t="s">
        <v>977</v>
      </c>
      <c r="D59" s="34" t="s">
        <v>978</v>
      </c>
      <c r="E59" s="38" t="s">
        <v>979</v>
      </c>
      <c r="F59" s="34" t="s">
        <v>114</v>
      </c>
      <c r="G59" s="43" t="s">
        <v>980</v>
      </c>
      <c r="H59" s="36">
        <v>2019.0</v>
      </c>
      <c r="I59" s="34" t="s">
        <v>779</v>
      </c>
      <c r="J59" s="34" t="s">
        <v>55</v>
      </c>
      <c r="K59" s="34" t="s">
        <v>981</v>
      </c>
      <c r="L59" s="34" t="s">
        <v>57</v>
      </c>
      <c r="M59" s="34" t="s">
        <v>114</v>
      </c>
      <c r="N59" s="34" t="s">
        <v>57</v>
      </c>
      <c r="O59" s="34" t="s">
        <v>982</v>
      </c>
      <c r="P59" s="34" t="s">
        <v>93</v>
      </c>
      <c r="Q59" s="34" t="s">
        <v>57</v>
      </c>
      <c r="R59" s="34" t="s">
        <v>57</v>
      </c>
      <c r="S59" s="34" t="s">
        <v>63</v>
      </c>
      <c r="T59" s="34" t="s">
        <v>366</v>
      </c>
      <c r="U59" s="35" t="s">
        <v>983</v>
      </c>
      <c r="V59" s="34" t="s">
        <v>66</v>
      </c>
      <c r="W59" s="34" t="s">
        <v>984</v>
      </c>
      <c r="X59" s="37" t="s">
        <v>985</v>
      </c>
      <c r="Y59" s="34" t="s">
        <v>74</v>
      </c>
      <c r="Z59" s="34" t="s">
        <v>57</v>
      </c>
      <c r="AA59" s="34">
        <v>2018.0</v>
      </c>
      <c r="AB59" s="34">
        <v>2018.0</v>
      </c>
      <c r="AC59" s="34" t="s">
        <v>542</v>
      </c>
      <c r="AD59" s="34" t="s">
        <v>103</v>
      </c>
      <c r="AE59" s="34" t="s">
        <v>69</v>
      </c>
      <c r="AF59" s="34" t="s">
        <v>69</v>
      </c>
      <c r="AG59" s="34" t="s">
        <v>215</v>
      </c>
      <c r="AH59" s="34" t="s">
        <v>105</v>
      </c>
      <c r="AI59" s="34" t="s">
        <v>166</v>
      </c>
      <c r="AJ59" s="34" t="s">
        <v>166</v>
      </c>
      <c r="AK59" s="34" t="s">
        <v>986</v>
      </c>
      <c r="AL59" s="34" t="s">
        <v>79</v>
      </c>
      <c r="AM59" s="34" t="s">
        <v>57</v>
      </c>
      <c r="AN59" s="34" t="s">
        <v>57</v>
      </c>
      <c r="AO59" s="39"/>
      <c r="AP59" s="34" t="s">
        <v>109</v>
      </c>
      <c r="AQ59" s="40" t="s">
        <v>987</v>
      </c>
      <c r="AR59" s="40" t="s">
        <v>201</v>
      </c>
      <c r="AS59" s="41" t="s">
        <v>988</v>
      </c>
    </row>
    <row r="60">
      <c r="A60" s="32">
        <v>122.0</v>
      </c>
      <c r="B60" s="33">
        <v>3.64025838E8</v>
      </c>
      <c r="C60" s="34" t="s">
        <v>989</v>
      </c>
      <c r="D60" s="34" t="s">
        <v>990</v>
      </c>
      <c r="E60" s="38" t="s">
        <v>991</v>
      </c>
      <c r="F60" s="34" t="s">
        <v>992</v>
      </c>
      <c r="G60" s="43" t="s">
        <v>993</v>
      </c>
      <c r="H60" s="36">
        <v>2011.0</v>
      </c>
      <c r="I60" s="34" t="s">
        <v>994</v>
      </c>
      <c r="J60" s="34" t="s">
        <v>55</v>
      </c>
      <c r="K60" s="34" t="s">
        <v>995</v>
      </c>
      <c r="L60" s="34" t="s">
        <v>57</v>
      </c>
      <c r="M60" s="34" t="s">
        <v>992</v>
      </c>
      <c r="N60" s="34" t="s">
        <v>996</v>
      </c>
      <c r="O60" s="34" t="s">
        <v>997</v>
      </c>
      <c r="P60" s="34" t="s">
        <v>554</v>
      </c>
      <c r="Q60" s="34" t="s">
        <v>57</v>
      </c>
      <c r="R60" s="34" t="s">
        <v>57</v>
      </c>
      <c r="S60" s="34" t="s">
        <v>63</v>
      </c>
      <c r="T60" s="34" t="s">
        <v>302</v>
      </c>
      <c r="U60" s="35" t="s">
        <v>998</v>
      </c>
      <c r="V60" s="34" t="s">
        <v>99</v>
      </c>
      <c r="W60" s="34" t="s">
        <v>100</v>
      </c>
      <c r="X60" s="37" t="s">
        <v>100</v>
      </c>
      <c r="Y60" s="34" t="s">
        <v>74</v>
      </c>
      <c r="Z60" s="34" t="s">
        <v>57</v>
      </c>
      <c r="AA60" s="34">
        <v>2008.0</v>
      </c>
      <c r="AB60" s="34">
        <v>2008.0</v>
      </c>
      <c r="AC60" s="34" t="s">
        <v>102</v>
      </c>
      <c r="AD60" s="34" t="s">
        <v>264</v>
      </c>
      <c r="AE60" s="34" t="s">
        <v>69</v>
      </c>
      <c r="AF60" s="34" t="s">
        <v>74</v>
      </c>
      <c r="AG60" s="34" t="s">
        <v>104</v>
      </c>
      <c r="AH60" s="34" t="s">
        <v>105</v>
      </c>
      <c r="AI60" s="34" t="s">
        <v>465</v>
      </c>
      <c r="AJ60" s="34" t="s">
        <v>465</v>
      </c>
      <c r="AK60" s="34" t="s">
        <v>999</v>
      </c>
      <c r="AL60" s="34" t="s">
        <v>79</v>
      </c>
      <c r="AM60" s="34" t="s">
        <v>57</v>
      </c>
      <c r="AN60" s="34" t="s">
        <v>57</v>
      </c>
      <c r="AO60" s="39"/>
      <c r="AP60" s="34" t="s">
        <v>109</v>
      </c>
      <c r="AQ60" s="40" t="s">
        <v>1000</v>
      </c>
      <c r="AR60" s="40" t="s">
        <v>201</v>
      </c>
      <c r="AS60" s="41" t="s">
        <v>1001</v>
      </c>
    </row>
    <row r="61">
      <c r="A61" s="32">
        <v>123.0</v>
      </c>
      <c r="B61" s="33">
        <v>3.64025841E8</v>
      </c>
      <c r="C61" s="34" t="s">
        <v>1002</v>
      </c>
      <c r="D61" s="34" t="s">
        <v>1003</v>
      </c>
      <c r="E61" s="38" t="s">
        <v>1004</v>
      </c>
      <c r="F61" s="34" t="s">
        <v>114</v>
      </c>
      <c r="G61" s="43" t="s">
        <v>1005</v>
      </c>
      <c r="H61" s="36">
        <v>2005.0</v>
      </c>
      <c r="I61" s="34" t="s">
        <v>225</v>
      </c>
      <c r="J61" s="34" t="s">
        <v>55</v>
      </c>
      <c r="K61" s="34" t="s">
        <v>1006</v>
      </c>
      <c r="L61" s="34" t="s">
        <v>57</v>
      </c>
      <c r="M61" s="34" t="s">
        <v>114</v>
      </c>
      <c r="N61" s="34" t="s">
        <v>1007</v>
      </c>
      <c r="O61" s="34" t="s">
        <v>1008</v>
      </c>
      <c r="P61" s="34" t="s">
        <v>93</v>
      </c>
      <c r="Q61" s="34" t="s">
        <v>1009</v>
      </c>
      <c r="R61" s="34" t="s">
        <v>1010</v>
      </c>
      <c r="S61" s="34" t="s">
        <v>96</v>
      </c>
      <c r="T61" s="34" t="s">
        <v>1011</v>
      </c>
      <c r="U61" s="35" t="s">
        <v>1012</v>
      </c>
      <c r="V61" s="34" t="s">
        <v>99</v>
      </c>
      <c r="W61" s="34" t="s">
        <v>100</v>
      </c>
      <c r="X61" s="37" t="s">
        <v>100</v>
      </c>
      <c r="Y61" s="34" t="s">
        <v>74</v>
      </c>
      <c r="Z61" s="34" t="s">
        <v>57</v>
      </c>
      <c r="AA61" s="34">
        <v>2000.0</v>
      </c>
      <c r="AB61" s="34">
        <v>2001.0</v>
      </c>
      <c r="AC61" s="34" t="s">
        <v>144</v>
      </c>
      <c r="AD61" s="34" t="s">
        <v>180</v>
      </c>
      <c r="AE61" s="34" t="s">
        <v>69</v>
      </c>
      <c r="AF61" s="34" t="s">
        <v>69</v>
      </c>
      <c r="AG61" s="34" t="s">
        <v>104</v>
      </c>
      <c r="AH61" s="34" t="s">
        <v>105</v>
      </c>
      <c r="AI61" s="34" t="s">
        <v>166</v>
      </c>
      <c r="AJ61" s="34" t="s">
        <v>166</v>
      </c>
      <c r="AK61" s="34" t="s">
        <v>1013</v>
      </c>
      <c r="AL61" s="34" t="s">
        <v>128</v>
      </c>
      <c r="AM61" s="34" t="s">
        <v>129</v>
      </c>
      <c r="AN61" s="34" t="s">
        <v>1014</v>
      </c>
      <c r="AO61" s="39"/>
      <c r="AP61" s="34" t="s">
        <v>109</v>
      </c>
      <c r="AQ61" s="40" t="s">
        <v>1015</v>
      </c>
      <c r="AR61" s="40" t="s">
        <v>201</v>
      </c>
      <c r="AS61" s="41" t="s">
        <v>1016</v>
      </c>
    </row>
    <row r="62">
      <c r="A62" s="32">
        <v>126.0</v>
      </c>
      <c r="B62" s="33">
        <v>3.64025863E8</v>
      </c>
      <c r="C62" s="34" t="s">
        <v>1017</v>
      </c>
      <c r="D62" s="34" t="s">
        <v>1018</v>
      </c>
      <c r="E62" s="34" t="s">
        <v>1019</v>
      </c>
      <c r="F62" s="34" t="s">
        <v>273</v>
      </c>
      <c r="G62" s="43" t="s">
        <v>1020</v>
      </c>
      <c r="H62" s="36">
        <v>2010.0</v>
      </c>
      <c r="I62" s="34" t="s">
        <v>599</v>
      </c>
      <c r="J62" s="34" t="s">
        <v>55</v>
      </c>
      <c r="K62" s="34" t="s">
        <v>1021</v>
      </c>
      <c r="L62" s="34" t="s">
        <v>57</v>
      </c>
      <c r="M62" s="34" t="s">
        <v>273</v>
      </c>
      <c r="N62" s="34" t="s">
        <v>1022</v>
      </c>
      <c r="O62" s="34" t="s">
        <v>1023</v>
      </c>
      <c r="P62" s="34" t="s">
        <v>93</v>
      </c>
      <c r="Q62" s="34" t="s">
        <v>57</v>
      </c>
      <c r="R62" s="34" t="s">
        <v>57</v>
      </c>
      <c r="S62" s="34" t="s">
        <v>96</v>
      </c>
      <c r="T62" s="34" t="s">
        <v>1024</v>
      </c>
      <c r="U62" s="35" t="s">
        <v>1025</v>
      </c>
      <c r="V62" s="34" t="s">
        <v>99</v>
      </c>
      <c r="W62" s="34" t="s">
        <v>100</v>
      </c>
      <c r="X62" s="37" t="s">
        <v>100</v>
      </c>
      <c r="Y62" s="34" t="s">
        <v>74</v>
      </c>
      <c r="Z62" s="34" t="s">
        <v>57</v>
      </c>
      <c r="AA62" s="34">
        <v>1998.0</v>
      </c>
      <c r="AB62" s="34">
        <v>1999.0</v>
      </c>
      <c r="AC62" s="34" t="s">
        <v>102</v>
      </c>
      <c r="AD62" s="34" t="s">
        <v>370</v>
      </c>
      <c r="AE62" s="34" t="s">
        <v>69</v>
      </c>
      <c r="AF62" s="34" t="s">
        <v>74</v>
      </c>
      <c r="AG62" s="34" t="s">
        <v>104</v>
      </c>
      <c r="AH62" s="34" t="s">
        <v>105</v>
      </c>
      <c r="AI62" s="34" t="s">
        <v>166</v>
      </c>
      <c r="AJ62" s="34" t="s">
        <v>166</v>
      </c>
      <c r="AK62" s="34" t="s">
        <v>1026</v>
      </c>
      <c r="AL62" s="34" t="s">
        <v>128</v>
      </c>
      <c r="AM62" s="34" t="s">
        <v>129</v>
      </c>
      <c r="AN62" s="34" t="s">
        <v>1027</v>
      </c>
      <c r="AO62" s="39"/>
      <c r="AP62" s="34" t="s">
        <v>109</v>
      </c>
      <c r="AQ62" s="40" t="s">
        <v>1028</v>
      </c>
      <c r="AR62" s="40" t="s">
        <v>201</v>
      </c>
      <c r="AS62" s="41" t="s">
        <v>1029</v>
      </c>
    </row>
    <row r="63">
      <c r="A63" s="32">
        <v>127.0</v>
      </c>
      <c r="B63" s="33">
        <v>3.64025894E8</v>
      </c>
      <c r="C63" s="34" t="s">
        <v>1030</v>
      </c>
      <c r="D63" s="34" t="s">
        <v>1031</v>
      </c>
      <c r="E63" s="38" t="s">
        <v>1032</v>
      </c>
      <c r="F63" s="34" t="s">
        <v>114</v>
      </c>
      <c r="G63" s="43" t="s">
        <v>1033</v>
      </c>
      <c r="H63" s="36">
        <v>2021.0</v>
      </c>
      <c r="I63" s="34" t="s">
        <v>1034</v>
      </c>
      <c r="J63" s="34" t="s">
        <v>55</v>
      </c>
      <c r="K63" s="34" t="s">
        <v>1035</v>
      </c>
      <c r="L63" s="34" t="s">
        <v>57</v>
      </c>
      <c r="M63" s="34" t="s">
        <v>114</v>
      </c>
      <c r="N63" s="34" t="s">
        <v>1007</v>
      </c>
      <c r="O63" s="34" t="s">
        <v>1036</v>
      </c>
      <c r="P63" s="34" t="s">
        <v>93</v>
      </c>
      <c r="Q63" s="34" t="s">
        <v>1037</v>
      </c>
      <c r="R63" s="34" t="s">
        <v>1038</v>
      </c>
      <c r="S63" s="34" t="s">
        <v>63</v>
      </c>
      <c r="T63" s="34" t="s">
        <v>536</v>
      </c>
      <c r="U63" s="35" t="s">
        <v>1039</v>
      </c>
      <c r="V63" s="34" t="s">
        <v>66</v>
      </c>
      <c r="W63" s="34" t="s">
        <v>1040</v>
      </c>
      <c r="X63" s="37" t="s">
        <v>1041</v>
      </c>
      <c r="Y63" s="34" t="s">
        <v>74</v>
      </c>
      <c r="Z63" s="34" t="s">
        <v>57</v>
      </c>
      <c r="AA63" s="34">
        <v>1997.0</v>
      </c>
      <c r="AB63" s="34">
        <v>2017.0</v>
      </c>
      <c r="AC63" s="34" t="s">
        <v>1042</v>
      </c>
      <c r="AD63" s="34" t="s">
        <v>1043</v>
      </c>
      <c r="AE63" s="34" t="s">
        <v>69</v>
      </c>
      <c r="AF63" s="34" t="s">
        <v>69</v>
      </c>
      <c r="AG63" s="34" t="s">
        <v>215</v>
      </c>
      <c r="AH63" s="34" t="s">
        <v>125</v>
      </c>
      <c r="AI63" s="34" t="s">
        <v>126</v>
      </c>
      <c r="AJ63" s="34" t="s">
        <v>107</v>
      </c>
      <c r="AK63" s="34" t="s">
        <v>1044</v>
      </c>
      <c r="AL63" s="34" t="s">
        <v>79</v>
      </c>
      <c r="AM63" s="34" t="s">
        <v>57</v>
      </c>
      <c r="AN63" s="34" t="s">
        <v>57</v>
      </c>
      <c r="AO63" s="39"/>
      <c r="AP63" s="34" t="s">
        <v>109</v>
      </c>
      <c r="AQ63" s="40" t="s">
        <v>1045</v>
      </c>
      <c r="AR63" s="40" t="s">
        <v>201</v>
      </c>
      <c r="AS63" s="41" t="s">
        <v>1046</v>
      </c>
    </row>
    <row r="64">
      <c r="A64" s="32">
        <v>128.0</v>
      </c>
      <c r="B64" s="33">
        <v>3.64026729E8</v>
      </c>
      <c r="C64" s="34" t="s">
        <v>1047</v>
      </c>
      <c r="D64" s="34" t="s">
        <v>1048</v>
      </c>
      <c r="E64" s="34" t="s">
        <v>1049</v>
      </c>
      <c r="F64" s="34" t="s">
        <v>114</v>
      </c>
      <c r="G64" s="35" t="s">
        <v>1050</v>
      </c>
      <c r="H64" s="36">
        <v>2017.0</v>
      </c>
      <c r="I64" s="34" t="s">
        <v>207</v>
      </c>
      <c r="J64" s="34" t="s">
        <v>55</v>
      </c>
      <c r="K64" s="34" t="s">
        <v>117</v>
      </c>
      <c r="L64" s="34" t="s">
        <v>57</v>
      </c>
      <c r="M64" s="34" t="s">
        <v>114</v>
      </c>
      <c r="N64" s="34" t="s">
        <v>118</v>
      </c>
      <c r="O64" s="34" t="s">
        <v>1051</v>
      </c>
      <c r="P64" s="34" t="s">
        <v>93</v>
      </c>
      <c r="Q64" s="34" t="s">
        <v>57</v>
      </c>
      <c r="R64" s="34" t="s">
        <v>57</v>
      </c>
      <c r="S64" s="34" t="s">
        <v>63</v>
      </c>
      <c r="T64" s="34" t="s">
        <v>1052</v>
      </c>
      <c r="U64" s="35" t="s">
        <v>1053</v>
      </c>
      <c r="V64" s="34" t="s">
        <v>99</v>
      </c>
      <c r="W64" s="34" t="s">
        <v>100</v>
      </c>
      <c r="X64" s="37" t="s">
        <v>100</v>
      </c>
      <c r="Y64" s="34" t="s">
        <v>69</v>
      </c>
      <c r="Z64" s="34" t="s">
        <v>1054</v>
      </c>
      <c r="AA64" s="34">
        <v>2013.0</v>
      </c>
      <c r="AB64" s="34">
        <v>2015.0</v>
      </c>
      <c r="AC64" s="34" t="s">
        <v>144</v>
      </c>
      <c r="AD64" s="34" t="s">
        <v>180</v>
      </c>
      <c r="AE64" s="34" t="s">
        <v>69</v>
      </c>
      <c r="AF64" s="34" t="s">
        <v>69</v>
      </c>
      <c r="AG64" s="34" t="s">
        <v>104</v>
      </c>
      <c r="AH64" s="34" t="s">
        <v>851</v>
      </c>
      <c r="AI64" s="34" t="s">
        <v>414</v>
      </c>
      <c r="AJ64" s="34" t="s">
        <v>107</v>
      </c>
      <c r="AK64" s="34" t="s">
        <v>1055</v>
      </c>
      <c r="AL64" s="34" t="s">
        <v>79</v>
      </c>
      <c r="AM64" s="34" t="s">
        <v>57</v>
      </c>
      <c r="AN64" s="34" t="s">
        <v>57</v>
      </c>
      <c r="AO64" s="39"/>
      <c r="AP64" s="34" t="s">
        <v>81</v>
      </c>
      <c r="AQ64" s="40" t="s">
        <v>1056</v>
      </c>
      <c r="AR64" s="40" t="s">
        <v>201</v>
      </c>
      <c r="AS64" s="41" t="s">
        <v>1057</v>
      </c>
    </row>
    <row r="65">
      <c r="A65" s="32">
        <v>129.0</v>
      </c>
      <c r="B65" s="33">
        <v>3.6402674E8</v>
      </c>
      <c r="C65" s="34" t="s">
        <v>1058</v>
      </c>
      <c r="D65" s="34" t="s">
        <v>1059</v>
      </c>
      <c r="E65" s="34" t="s">
        <v>1060</v>
      </c>
      <c r="F65" s="34" t="s">
        <v>859</v>
      </c>
      <c r="G65" s="35" t="s">
        <v>1061</v>
      </c>
      <c r="H65" s="36">
        <v>2020.0</v>
      </c>
      <c r="I65" s="34" t="s">
        <v>1062</v>
      </c>
      <c r="J65" s="34" t="s">
        <v>55</v>
      </c>
      <c r="K65" s="34" t="s">
        <v>1063</v>
      </c>
      <c r="L65" s="34" t="s">
        <v>57</v>
      </c>
      <c r="M65" s="34" t="s">
        <v>859</v>
      </c>
      <c r="N65" s="34" t="s">
        <v>862</v>
      </c>
      <c r="O65" s="34" t="s">
        <v>862</v>
      </c>
      <c r="P65" s="34" t="s">
        <v>93</v>
      </c>
      <c r="Q65" s="34" t="s">
        <v>57</v>
      </c>
      <c r="R65" s="34" t="s">
        <v>57</v>
      </c>
      <c r="S65" s="34" t="s">
        <v>63</v>
      </c>
      <c r="T65" s="34" t="s">
        <v>161</v>
      </c>
      <c r="U65" s="35" t="s">
        <v>1064</v>
      </c>
      <c r="V65" s="34" t="s">
        <v>99</v>
      </c>
      <c r="W65" s="34" t="s">
        <v>100</v>
      </c>
      <c r="X65" s="37" t="s">
        <v>100</v>
      </c>
      <c r="Y65" s="34" t="s">
        <v>69</v>
      </c>
      <c r="Z65" s="34" t="s">
        <v>1065</v>
      </c>
      <c r="AA65" s="34">
        <v>2018.0</v>
      </c>
      <c r="AB65" s="34">
        <v>2018.0</v>
      </c>
      <c r="AC65" s="34" t="s">
        <v>144</v>
      </c>
      <c r="AD65" s="34" t="s">
        <v>180</v>
      </c>
      <c r="AE65" s="34" t="s">
        <v>74</v>
      </c>
      <c r="AF65" s="34" t="s">
        <v>69</v>
      </c>
      <c r="AG65" s="34" t="s">
        <v>104</v>
      </c>
      <c r="AH65" s="34" t="s">
        <v>165</v>
      </c>
      <c r="AI65" s="34" t="s">
        <v>166</v>
      </c>
      <c r="AJ65" s="34" t="s">
        <v>166</v>
      </c>
      <c r="AK65" s="34" t="s">
        <v>1066</v>
      </c>
      <c r="AL65" s="34" t="s">
        <v>128</v>
      </c>
      <c r="AM65" s="34" t="s">
        <v>129</v>
      </c>
      <c r="AN65" s="34" t="s">
        <v>1067</v>
      </c>
      <c r="AO65" s="39"/>
      <c r="AP65" s="34" t="s">
        <v>81</v>
      </c>
      <c r="AQ65" s="48" t="s">
        <v>1068</v>
      </c>
      <c r="AR65" s="48" t="s">
        <v>201</v>
      </c>
      <c r="AS65" s="49" t="s">
        <v>1069</v>
      </c>
    </row>
    <row r="66">
      <c r="A66" s="32">
        <v>131.0</v>
      </c>
      <c r="B66" s="33">
        <v>3.64025902E8</v>
      </c>
      <c r="C66" s="34" t="s">
        <v>1070</v>
      </c>
      <c r="D66" s="34" t="s">
        <v>1071</v>
      </c>
      <c r="E66" s="34" t="s">
        <v>1072</v>
      </c>
      <c r="F66" s="34" t="s">
        <v>1073</v>
      </c>
      <c r="G66" s="35" t="s">
        <v>1074</v>
      </c>
      <c r="H66" s="36">
        <v>1992.0</v>
      </c>
      <c r="I66" s="34" t="s">
        <v>506</v>
      </c>
      <c r="J66" s="34" t="s">
        <v>55</v>
      </c>
      <c r="K66" s="34" t="s">
        <v>57</v>
      </c>
      <c r="L66" s="34" t="s">
        <v>57</v>
      </c>
      <c r="M66" s="34" t="s">
        <v>381</v>
      </c>
      <c r="N66" s="34" t="s">
        <v>1075</v>
      </c>
      <c r="O66" s="34" t="s">
        <v>1076</v>
      </c>
      <c r="P66" s="34" t="s">
        <v>93</v>
      </c>
      <c r="Q66" s="34" t="s">
        <v>57</v>
      </c>
      <c r="R66" s="34" t="s">
        <v>57</v>
      </c>
      <c r="S66" s="34" t="s">
        <v>96</v>
      </c>
      <c r="T66" s="34" t="s">
        <v>64</v>
      </c>
      <c r="U66" s="35" t="s">
        <v>1077</v>
      </c>
      <c r="V66" s="34" t="s">
        <v>99</v>
      </c>
      <c r="W66" s="34" t="s">
        <v>100</v>
      </c>
      <c r="X66" s="37" t="s">
        <v>100</v>
      </c>
      <c r="Y66" s="34" t="s">
        <v>74</v>
      </c>
      <c r="Z66" s="34" t="s">
        <v>57</v>
      </c>
      <c r="AA66" s="34">
        <v>1980.0</v>
      </c>
      <c r="AB66" s="34">
        <v>1986.0</v>
      </c>
      <c r="AC66" s="34" t="s">
        <v>214</v>
      </c>
      <c r="AD66" s="34" t="s">
        <v>144</v>
      </c>
      <c r="AE66" s="34" t="s">
        <v>69</v>
      </c>
      <c r="AF66" s="34" t="s">
        <v>74</v>
      </c>
      <c r="AG66" s="34" t="s">
        <v>215</v>
      </c>
      <c r="AH66" s="34" t="s">
        <v>105</v>
      </c>
      <c r="AI66" s="34" t="s">
        <v>166</v>
      </c>
      <c r="AJ66" s="34" t="s">
        <v>166</v>
      </c>
      <c r="AK66" s="34" t="s">
        <v>1078</v>
      </c>
      <c r="AL66" s="34" t="s">
        <v>79</v>
      </c>
      <c r="AM66" s="34" t="s">
        <v>57</v>
      </c>
      <c r="AN66" s="34" t="s">
        <v>57</v>
      </c>
      <c r="AO66" s="39"/>
      <c r="AP66" s="34" t="s">
        <v>184</v>
      </c>
      <c r="AQ66" s="48" t="s">
        <v>1079</v>
      </c>
      <c r="AR66" s="48" t="s">
        <v>201</v>
      </c>
      <c r="AS66" s="49" t="s">
        <v>1080</v>
      </c>
    </row>
    <row r="67">
      <c r="A67" s="32">
        <v>135.0</v>
      </c>
      <c r="B67" s="33">
        <v>3.64025911E8</v>
      </c>
      <c r="C67" s="34" t="s">
        <v>1081</v>
      </c>
      <c r="D67" s="34" t="s">
        <v>1082</v>
      </c>
      <c r="E67" s="38" t="s">
        <v>1083</v>
      </c>
      <c r="F67" s="34" t="s">
        <v>114</v>
      </c>
      <c r="G67" s="43" t="s">
        <v>1084</v>
      </c>
      <c r="H67" s="36">
        <v>2004.0</v>
      </c>
      <c r="I67" s="34" t="s">
        <v>1085</v>
      </c>
      <c r="J67" s="34" t="s">
        <v>55</v>
      </c>
      <c r="K67" s="34" t="s">
        <v>1086</v>
      </c>
      <c r="L67" s="34" t="s">
        <v>57</v>
      </c>
      <c r="M67" s="34" t="s">
        <v>114</v>
      </c>
      <c r="N67" s="34" t="s">
        <v>1087</v>
      </c>
      <c r="O67" s="34" t="s">
        <v>1088</v>
      </c>
      <c r="P67" s="34" t="s">
        <v>93</v>
      </c>
      <c r="Q67" s="34" t="s">
        <v>57</v>
      </c>
      <c r="R67" s="34" t="s">
        <v>57</v>
      </c>
      <c r="S67" s="34" t="s">
        <v>63</v>
      </c>
      <c r="T67" s="34" t="s">
        <v>1089</v>
      </c>
      <c r="U67" s="35" t="s">
        <v>1090</v>
      </c>
      <c r="V67" s="34" t="s">
        <v>99</v>
      </c>
      <c r="W67" s="34" t="s">
        <v>1091</v>
      </c>
      <c r="X67" s="37" t="s">
        <v>1092</v>
      </c>
      <c r="Y67" s="34" t="s">
        <v>74</v>
      </c>
      <c r="Z67" s="34" t="s">
        <v>57</v>
      </c>
      <c r="AA67" s="34">
        <v>2001.0</v>
      </c>
      <c r="AB67" s="34">
        <v>2002.0</v>
      </c>
      <c r="AC67" s="34" t="s">
        <v>57</v>
      </c>
      <c r="AD67" s="34" t="s">
        <v>57</v>
      </c>
      <c r="AE67" s="34" t="s">
        <v>69</v>
      </c>
      <c r="AF67" s="34" t="s">
        <v>69</v>
      </c>
      <c r="AG67" s="34" t="s">
        <v>215</v>
      </c>
      <c r="AH67" s="34" t="s">
        <v>770</v>
      </c>
      <c r="AI67" s="34" t="s">
        <v>126</v>
      </c>
      <c r="AJ67" s="34" t="s">
        <v>107</v>
      </c>
      <c r="AK67" s="34" t="s">
        <v>1093</v>
      </c>
      <c r="AL67" s="34" t="s">
        <v>128</v>
      </c>
      <c r="AM67" s="34" t="s">
        <v>895</v>
      </c>
      <c r="AN67" s="34" t="s">
        <v>1094</v>
      </c>
      <c r="AO67" s="39"/>
      <c r="AP67" s="34" t="s">
        <v>109</v>
      </c>
      <c r="AQ67" s="48" t="s">
        <v>1095</v>
      </c>
      <c r="AR67" s="48" t="s">
        <v>201</v>
      </c>
      <c r="AS67" s="49" t="s">
        <v>1096</v>
      </c>
    </row>
    <row r="68">
      <c r="A68" s="32">
        <v>136.0</v>
      </c>
      <c r="B68" s="33">
        <v>3.64025915E8</v>
      </c>
      <c r="C68" s="34" t="s">
        <v>1097</v>
      </c>
      <c r="D68" s="38" t="s">
        <v>1098</v>
      </c>
      <c r="E68" s="38" t="s">
        <v>1099</v>
      </c>
      <c r="F68" s="34" t="s">
        <v>114</v>
      </c>
      <c r="G68" s="43" t="s">
        <v>1100</v>
      </c>
      <c r="H68" s="36">
        <v>2011.0</v>
      </c>
      <c r="I68" s="34" t="s">
        <v>745</v>
      </c>
      <c r="J68" s="34" t="s">
        <v>55</v>
      </c>
      <c r="K68" s="34" t="s">
        <v>137</v>
      </c>
      <c r="L68" s="34" t="s">
        <v>57</v>
      </c>
      <c r="M68" s="34" t="s">
        <v>114</v>
      </c>
      <c r="N68" s="34" t="s">
        <v>191</v>
      </c>
      <c r="O68" s="34" t="s">
        <v>1101</v>
      </c>
      <c r="P68" s="34" t="s">
        <v>93</v>
      </c>
      <c r="Q68" s="34" t="s">
        <v>57</v>
      </c>
      <c r="R68" s="34" t="s">
        <v>57</v>
      </c>
      <c r="S68" s="34" t="s">
        <v>63</v>
      </c>
      <c r="T68" s="34" t="s">
        <v>210</v>
      </c>
      <c r="U68" s="35" t="s">
        <v>1102</v>
      </c>
      <c r="V68" s="34" t="s">
        <v>66</v>
      </c>
      <c r="W68" s="34" t="s">
        <v>1103</v>
      </c>
      <c r="X68" s="37" t="s">
        <v>1104</v>
      </c>
      <c r="Y68" s="34" t="s">
        <v>74</v>
      </c>
      <c r="Z68" s="34" t="s">
        <v>57</v>
      </c>
      <c r="AA68" s="34">
        <v>2008.0</v>
      </c>
      <c r="AB68" s="34">
        <v>2008.0</v>
      </c>
      <c r="AC68" s="34" t="s">
        <v>57</v>
      </c>
      <c r="AD68" s="34" t="s">
        <v>57</v>
      </c>
      <c r="AE68" s="34" t="s">
        <v>69</v>
      </c>
      <c r="AF68" s="34" t="s">
        <v>69</v>
      </c>
      <c r="AG68" s="34" t="s">
        <v>215</v>
      </c>
      <c r="AH68" s="34" t="s">
        <v>770</v>
      </c>
      <c r="AI68" s="34" t="s">
        <v>1105</v>
      </c>
      <c r="AJ68" s="34" t="s">
        <v>1105</v>
      </c>
      <c r="AK68" s="34" t="s">
        <v>1106</v>
      </c>
      <c r="AL68" s="34" t="s">
        <v>79</v>
      </c>
      <c r="AM68" s="34" t="s">
        <v>57</v>
      </c>
      <c r="AN68" s="34" t="s">
        <v>57</v>
      </c>
      <c r="AO68" s="39"/>
      <c r="AP68" s="34" t="s">
        <v>109</v>
      </c>
      <c r="AQ68" s="48" t="s">
        <v>1107</v>
      </c>
      <c r="AR68" s="48" t="s">
        <v>201</v>
      </c>
      <c r="AS68" s="49" t="s">
        <v>1108</v>
      </c>
    </row>
    <row r="69">
      <c r="A69" s="32">
        <v>137.0</v>
      </c>
      <c r="B69" s="33">
        <v>3.64025932E8</v>
      </c>
      <c r="C69" s="34" t="s">
        <v>1109</v>
      </c>
      <c r="D69" s="34" t="s">
        <v>1110</v>
      </c>
      <c r="E69" s="38" t="s">
        <v>1111</v>
      </c>
      <c r="F69" s="34" t="s">
        <v>992</v>
      </c>
      <c r="G69" s="43" t="s">
        <v>1112</v>
      </c>
      <c r="H69" s="36">
        <v>2016.0</v>
      </c>
      <c r="I69" s="34" t="s">
        <v>295</v>
      </c>
      <c r="J69" s="34" t="s">
        <v>55</v>
      </c>
      <c r="K69" s="34" t="s">
        <v>1113</v>
      </c>
      <c r="L69" s="34" t="s">
        <v>57</v>
      </c>
      <c r="M69" s="34" t="s">
        <v>992</v>
      </c>
      <c r="N69" s="34" t="s">
        <v>1114</v>
      </c>
      <c r="O69" s="34" t="s">
        <v>1115</v>
      </c>
      <c r="P69" s="34" t="s">
        <v>554</v>
      </c>
      <c r="Q69" s="34" t="s">
        <v>57</v>
      </c>
      <c r="R69" s="34" t="s">
        <v>57</v>
      </c>
      <c r="S69" s="34" t="s">
        <v>63</v>
      </c>
      <c r="T69" s="34" t="s">
        <v>1116</v>
      </c>
      <c r="U69" s="35" t="s">
        <v>1115</v>
      </c>
      <c r="V69" s="34" t="s">
        <v>66</v>
      </c>
      <c r="W69" s="34" t="s">
        <v>1117</v>
      </c>
      <c r="X69" s="37" t="s">
        <v>1118</v>
      </c>
      <c r="Y69" s="34" t="s">
        <v>74</v>
      </c>
      <c r="Z69" s="34" t="s">
        <v>57</v>
      </c>
      <c r="AA69" s="34">
        <v>2010.0</v>
      </c>
      <c r="AB69" s="34">
        <v>2013.0</v>
      </c>
      <c r="AC69" s="34" t="s">
        <v>72</v>
      </c>
      <c r="AD69" s="34" t="s">
        <v>542</v>
      </c>
      <c r="AE69" s="34" t="s">
        <v>69</v>
      </c>
      <c r="AF69" s="34" t="s">
        <v>69</v>
      </c>
      <c r="AG69" s="34" t="s">
        <v>215</v>
      </c>
      <c r="AH69" s="34" t="s">
        <v>604</v>
      </c>
      <c r="AI69" s="34" t="s">
        <v>126</v>
      </c>
      <c r="AJ69" s="34" t="s">
        <v>107</v>
      </c>
      <c r="AK69" s="34" t="s">
        <v>1119</v>
      </c>
      <c r="AL69" s="34" t="s">
        <v>79</v>
      </c>
      <c r="AM69" s="34" t="s">
        <v>57</v>
      </c>
      <c r="AN69" s="34" t="s">
        <v>57</v>
      </c>
      <c r="AO69" s="39"/>
      <c r="AP69" s="34" t="s">
        <v>109</v>
      </c>
      <c r="AQ69" s="48" t="s">
        <v>1120</v>
      </c>
      <c r="AR69" s="48" t="s">
        <v>201</v>
      </c>
      <c r="AS69" s="50"/>
    </row>
    <row r="70">
      <c r="A70" s="32">
        <v>138.0</v>
      </c>
      <c r="B70" s="33">
        <v>3.64025937E8</v>
      </c>
      <c r="C70" s="34" t="s">
        <v>1121</v>
      </c>
      <c r="D70" s="34" t="s">
        <v>1122</v>
      </c>
      <c r="E70" s="38" t="s">
        <v>1123</v>
      </c>
      <c r="F70" s="34" t="s">
        <v>87</v>
      </c>
      <c r="G70" s="43" t="s">
        <v>1124</v>
      </c>
      <c r="H70" s="36">
        <v>1999.0</v>
      </c>
      <c r="I70" s="34" t="s">
        <v>1125</v>
      </c>
      <c r="J70" s="34" t="s">
        <v>55</v>
      </c>
      <c r="K70" s="34" t="s">
        <v>57</v>
      </c>
      <c r="L70" s="34" t="s">
        <v>1126</v>
      </c>
      <c r="M70" s="34" t="s">
        <v>87</v>
      </c>
      <c r="N70" s="34" t="s">
        <v>1127</v>
      </c>
      <c r="O70" s="34" t="s">
        <v>1128</v>
      </c>
      <c r="P70" s="34" t="s">
        <v>93</v>
      </c>
      <c r="Q70" s="34" t="s">
        <v>57</v>
      </c>
      <c r="R70" s="34" t="s">
        <v>57</v>
      </c>
      <c r="S70" s="34" t="s">
        <v>63</v>
      </c>
      <c r="T70" s="34" t="s">
        <v>161</v>
      </c>
      <c r="U70" s="35" t="s">
        <v>1129</v>
      </c>
      <c r="V70" s="34" t="s">
        <v>99</v>
      </c>
      <c r="W70" s="34" t="s">
        <v>100</v>
      </c>
      <c r="X70" s="37" t="s">
        <v>100</v>
      </c>
      <c r="Y70" s="34" t="s">
        <v>74</v>
      </c>
      <c r="Z70" s="34" t="s">
        <v>57</v>
      </c>
      <c r="AA70" s="34">
        <v>1998.0</v>
      </c>
      <c r="AB70" s="34">
        <v>1998.0</v>
      </c>
      <c r="AC70" s="34" t="s">
        <v>57</v>
      </c>
      <c r="AD70" s="34" t="s">
        <v>57</v>
      </c>
      <c r="AE70" s="34" t="s">
        <v>57</v>
      </c>
      <c r="AF70" s="34" t="s">
        <v>74</v>
      </c>
      <c r="AG70" s="34" t="s">
        <v>104</v>
      </c>
      <c r="AH70" s="34" t="s">
        <v>105</v>
      </c>
      <c r="AI70" s="34" t="s">
        <v>106</v>
      </c>
      <c r="AJ70" s="34" t="s">
        <v>107</v>
      </c>
      <c r="AK70" s="34" t="s">
        <v>1130</v>
      </c>
      <c r="AL70" s="34" t="s">
        <v>128</v>
      </c>
      <c r="AM70" s="34" t="s">
        <v>895</v>
      </c>
      <c r="AN70" s="38" t="s">
        <v>1131</v>
      </c>
      <c r="AO70" s="39"/>
      <c r="AP70" s="34" t="s">
        <v>109</v>
      </c>
      <c r="AQ70" s="48" t="s">
        <v>1132</v>
      </c>
      <c r="AR70" s="48" t="s">
        <v>201</v>
      </c>
      <c r="AS70" s="49" t="s">
        <v>1133</v>
      </c>
    </row>
    <row r="71">
      <c r="A71" s="32">
        <v>139.0</v>
      </c>
      <c r="B71" s="33">
        <v>3.64025977E8</v>
      </c>
      <c r="C71" s="34" t="s">
        <v>1134</v>
      </c>
      <c r="D71" s="34" t="s">
        <v>1135</v>
      </c>
      <c r="E71" s="38" t="s">
        <v>1136</v>
      </c>
      <c r="F71" s="34" t="s">
        <v>381</v>
      </c>
      <c r="G71" s="43" t="s">
        <v>1137</v>
      </c>
      <c r="H71" s="36">
        <v>2017.0</v>
      </c>
      <c r="I71" s="34" t="s">
        <v>1138</v>
      </c>
      <c r="J71" s="34" t="s">
        <v>55</v>
      </c>
      <c r="K71" s="34" t="s">
        <v>1139</v>
      </c>
      <c r="L71" s="34" t="s">
        <v>57</v>
      </c>
      <c r="M71" s="34" t="s">
        <v>381</v>
      </c>
      <c r="N71" s="34" t="s">
        <v>1140</v>
      </c>
      <c r="O71" s="34" t="s">
        <v>1141</v>
      </c>
      <c r="P71" s="34" t="s">
        <v>93</v>
      </c>
      <c r="Q71" s="34" t="s">
        <v>1142</v>
      </c>
      <c r="R71" s="34" t="s">
        <v>1143</v>
      </c>
      <c r="S71" s="34" t="s">
        <v>96</v>
      </c>
      <c r="T71" s="34" t="s">
        <v>64</v>
      </c>
      <c r="U71" s="35" t="s">
        <v>1144</v>
      </c>
      <c r="V71" s="34" t="s">
        <v>66</v>
      </c>
      <c r="W71" s="34" t="s">
        <v>1145</v>
      </c>
      <c r="X71" s="37" t="s">
        <v>1146</v>
      </c>
      <c r="Y71" s="34" t="s">
        <v>74</v>
      </c>
      <c r="Z71" s="34" t="s">
        <v>57</v>
      </c>
      <c r="AA71" s="34">
        <v>2014.0</v>
      </c>
      <c r="AB71" s="34">
        <v>2014.0</v>
      </c>
      <c r="AC71" s="34" t="s">
        <v>103</v>
      </c>
      <c r="AD71" s="34" t="s">
        <v>180</v>
      </c>
      <c r="AE71" s="34" t="s">
        <v>69</v>
      </c>
      <c r="AF71" s="34" t="s">
        <v>74</v>
      </c>
      <c r="AG71" s="34" t="s">
        <v>215</v>
      </c>
      <c r="AH71" s="34" t="s">
        <v>770</v>
      </c>
      <c r="AI71" s="34" t="s">
        <v>77</v>
      </c>
      <c r="AJ71" s="34" t="s">
        <v>77</v>
      </c>
      <c r="AK71" s="34" t="s">
        <v>1147</v>
      </c>
      <c r="AL71" s="34" t="s">
        <v>79</v>
      </c>
      <c r="AM71" s="34" t="s">
        <v>57</v>
      </c>
      <c r="AN71" s="34" t="s">
        <v>57</v>
      </c>
      <c r="AO71" s="39"/>
      <c r="AP71" s="34" t="s">
        <v>109</v>
      </c>
      <c r="AQ71" s="48" t="s">
        <v>1148</v>
      </c>
      <c r="AR71" s="48" t="s">
        <v>201</v>
      </c>
      <c r="AS71" s="49" t="s">
        <v>1149</v>
      </c>
    </row>
    <row r="72">
      <c r="A72" s="32">
        <v>144.0</v>
      </c>
      <c r="B72" s="33">
        <v>3.64026001E8</v>
      </c>
      <c r="C72" s="34" t="s">
        <v>1150</v>
      </c>
      <c r="D72" s="34" t="s">
        <v>1151</v>
      </c>
      <c r="E72" s="38" t="s">
        <v>1152</v>
      </c>
      <c r="F72" s="34" t="s">
        <v>760</v>
      </c>
      <c r="G72" s="43" t="s">
        <v>1153</v>
      </c>
      <c r="H72" s="36">
        <v>1979.0</v>
      </c>
      <c r="I72" s="34" t="s">
        <v>1154</v>
      </c>
      <c r="J72" s="34" t="s">
        <v>55</v>
      </c>
      <c r="K72" s="34" t="s">
        <v>57</v>
      </c>
      <c r="L72" s="34" t="s">
        <v>57</v>
      </c>
      <c r="M72" s="34" t="s">
        <v>760</v>
      </c>
      <c r="N72" s="34" t="s">
        <v>1155</v>
      </c>
      <c r="O72" s="34" t="s">
        <v>1156</v>
      </c>
      <c r="P72" s="34" t="s">
        <v>93</v>
      </c>
      <c r="Q72" s="34" t="s">
        <v>1157</v>
      </c>
      <c r="R72" s="34" t="s">
        <v>1158</v>
      </c>
      <c r="S72" s="34" t="s">
        <v>63</v>
      </c>
      <c r="T72" s="34" t="s">
        <v>536</v>
      </c>
      <c r="U72" s="35" t="s">
        <v>1159</v>
      </c>
      <c r="V72" s="34" t="s">
        <v>99</v>
      </c>
      <c r="W72" s="34" t="s">
        <v>100</v>
      </c>
      <c r="X72" s="37" t="s">
        <v>100</v>
      </c>
      <c r="Y72" s="34" t="s">
        <v>74</v>
      </c>
      <c r="Z72" s="34" t="s">
        <v>57</v>
      </c>
      <c r="AA72" s="34" t="s">
        <v>57</v>
      </c>
      <c r="AB72" s="34" t="s">
        <v>57</v>
      </c>
      <c r="AC72" s="34" t="s">
        <v>57</v>
      </c>
      <c r="AD72" s="34" t="s">
        <v>57</v>
      </c>
      <c r="AE72" s="34" t="s">
        <v>57</v>
      </c>
      <c r="AF72" s="34" t="s">
        <v>69</v>
      </c>
      <c r="AG72" s="34" t="s">
        <v>104</v>
      </c>
      <c r="AH72" s="34" t="s">
        <v>105</v>
      </c>
      <c r="AI72" s="34" t="s">
        <v>336</v>
      </c>
      <c r="AJ72" s="34" t="s">
        <v>336</v>
      </c>
      <c r="AK72" s="34" t="s">
        <v>1160</v>
      </c>
      <c r="AL72" s="34" t="s">
        <v>128</v>
      </c>
      <c r="AM72" s="34" t="s">
        <v>129</v>
      </c>
      <c r="AN72" s="34" t="s">
        <v>1161</v>
      </c>
      <c r="AO72" s="39"/>
      <c r="AP72" s="34" t="s">
        <v>109</v>
      </c>
      <c r="AQ72" s="51" t="s">
        <v>1162</v>
      </c>
      <c r="AR72" s="51" t="s">
        <v>201</v>
      </c>
      <c r="AS72" s="52"/>
    </row>
    <row r="73">
      <c r="A73" s="32">
        <v>146.0</v>
      </c>
      <c r="B73" s="33">
        <v>3.64026985E8</v>
      </c>
      <c r="C73" s="34" t="s">
        <v>1163</v>
      </c>
      <c r="D73" s="34" t="s">
        <v>1164</v>
      </c>
      <c r="E73" s="34" t="s">
        <v>1165</v>
      </c>
      <c r="F73" s="34" t="s">
        <v>114</v>
      </c>
      <c r="G73" s="35" t="s">
        <v>1166</v>
      </c>
      <c r="H73" s="36">
        <v>2006.0</v>
      </c>
      <c r="I73" s="34" t="s">
        <v>1167</v>
      </c>
      <c r="J73" s="34" t="s">
        <v>55</v>
      </c>
      <c r="K73" s="34" t="s">
        <v>1168</v>
      </c>
      <c r="L73" s="34" t="s">
        <v>57</v>
      </c>
      <c r="M73" s="34" t="s">
        <v>114</v>
      </c>
      <c r="N73" s="34" t="s">
        <v>715</v>
      </c>
      <c r="O73" s="34" t="s">
        <v>1169</v>
      </c>
      <c r="P73" s="34" t="s">
        <v>93</v>
      </c>
      <c r="Q73" s="34" t="s">
        <v>1170</v>
      </c>
      <c r="R73" s="34" t="s">
        <v>1171</v>
      </c>
      <c r="S73" s="34" t="s">
        <v>63</v>
      </c>
      <c r="T73" s="34" t="s">
        <v>1172</v>
      </c>
      <c r="U73" s="35" t="s">
        <v>1173</v>
      </c>
      <c r="V73" s="34" t="s">
        <v>99</v>
      </c>
      <c r="W73" s="34" t="s">
        <v>100</v>
      </c>
      <c r="X73" s="37" t="s">
        <v>100</v>
      </c>
      <c r="Y73" s="34" t="s">
        <v>74</v>
      </c>
      <c r="Z73" s="34" t="s">
        <v>57</v>
      </c>
      <c r="AA73" s="34">
        <v>2001.0</v>
      </c>
      <c r="AB73" s="34">
        <v>2001.0</v>
      </c>
      <c r="AC73" s="34" t="s">
        <v>103</v>
      </c>
      <c r="AD73" s="34" t="s">
        <v>72</v>
      </c>
      <c r="AE73" s="34" t="s">
        <v>69</v>
      </c>
      <c r="AF73" s="34" t="s">
        <v>69</v>
      </c>
      <c r="AG73" s="34" t="s">
        <v>104</v>
      </c>
      <c r="AH73" s="34" t="s">
        <v>105</v>
      </c>
      <c r="AI73" s="34" t="s">
        <v>1174</v>
      </c>
      <c r="AJ73" s="34" t="s">
        <v>147</v>
      </c>
      <c r="AK73" s="34" t="s">
        <v>1175</v>
      </c>
      <c r="AL73" s="34" t="s">
        <v>128</v>
      </c>
      <c r="AM73" s="34" t="s">
        <v>129</v>
      </c>
      <c r="AN73" s="34" t="s">
        <v>1176</v>
      </c>
      <c r="AO73" s="39"/>
      <c r="AP73" s="34" t="s">
        <v>184</v>
      </c>
      <c r="AQ73" s="51" t="s">
        <v>1177</v>
      </c>
      <c r="AR73" s="51" t="s">
        <v>201</v>
      </c>
      <c r="AS73" s="53" t="s">
        <v>1178</v>
      </c>
    </row>
    <row r="74">
      <c r="A74" s="32">
        <v>147.0</v>
      </c>
      <c r="B74" s="33">
        <v>3.6402698E8</v>
      </c>
      <c r="C74" s="34" t="s">
        <v>1179</v>
      </c>
      <c r="D74" s="34" t="s">
        <v>1180</v>
      </c>
      <c r="E74" s="34" t="s">
        <v>1181</v>
      </c>
      <c r="F74" s="34" t="s">
        <v>114</v>
      </c>
      <c r="G74" s="35" t="s">
        <v>1182</v>
      </c>
      <c r="H74" s="36">
        <v>2020.0</v>
      </c>
      <c r="I74" s="34" t="s">
        <v>1183</v>
      </c>
      <c r="J74" s="34" t="s">
        <v>55</v>
      </c>
      <c r="K74" s="34" t="s">
        <v>1184</v>
      </c>
      <c r="L74" s="34" t="s">
        <v>57</v>
      </c>
      <c r="M74" s="34" t="s">
        <v>114</v>
      </c>
      <c r="N74" s="34" t="s">
        <v>1185</v>
      </c>
      <c r="O74" s="34" t="s">
        <v>1186</v>
      </c>
      <c r="P74" s="34" t="s">
        <v>93</v>
      </c>
      <c r="Q74" s="34" t="s">
        <v>57</v>
      </c>
      <c r="R74" s="34" t="s">
        <v>57</v>
      </c>
      <c r="S74" s="34" t="s">
        <v>63</v>
      </c>
      <c r="T74" s="34" t="s">
        <v>1187</v>
      </c>
      <c r="U74" s="35" t="s">
        <v>1188</v>
      </c>
      <c r="V74" s="34" t="s">
        <v>99</v>
      </c>
      <c r="W74" s="34" t="s">
        <v>100</v>
      </c>
      <c r="X74" s="37" t="s">
        <v>100</v>
      </c>
      <c r="Y74" s="34" t="s">
        <v>69</v>
      </c>
      <c r="Z74" s="34" t="s">
        <v>1189</v>
      </c>
      <c r="AA74" s="34">
        <v>2014.0</v>
      </c>
      <c r="AB74" s="34">
        <v>2016.0</v>
      </c>
      <c r="AC74" s="34" t="s">
        <v>264</v>
      </c>
      <c r="AD74" s="34" t="s">
        <v>214</v>
      </c>
      <c r="AE74" s="34" t="s">
        <v>69</v>
      </c>
      <c r="AF74" s="34" t="s">
        <v>69</v>
      </c>
      <c r="AG74" s="34" t="s">
        <v>104</v>
      </c>
      <c r="AH74" s="34" t="s">
        <v>907</v>
      </c>
      <c r="AI74" s="34" t="s">
        <v>1190</v>
      </c>
      <c r="AJ74" s="34" t="s">
        <v>147</v>
      </c>
      <c r="AK74" s="34" t="s">
        <v>1191</v>
      </c>
      <c r="AL74" s="34" t="s">
        <v>128</v>
      </c>
      <c r="AM74" s="34" t="s">
        <v>129</v>
      </c>
      <c r="AN74" s="34" t="s">
        <v>1192</v>
      </c>
      <c r="AO74" s="39"/>
      <c r="AP74" s="34" t="s">
        <v>184</v>
      </c>
      <c r="AQ74" s="51" t="s">
        <v>1193</v>
      </c>
      <c r="AR74" s="51" t="s">
        <v>201</v>
      </c>
      <c r="AS74" s="53" t="s">
        <v>1194</v>
      </c>
    </row>
    <row r="75">
      <c r="A75" s="32">
        <v>148.0</v>
      </c>
      <c r="B75" s="33">
        <v>3.64026962E8</v>
      </c>
      <c r="C75" s="34" t="s">
        <v>1195</v>
      </c>
      <c r="D75" s="38" t="s">
        <v>1196</v>
      </c>
      <c r="E75" s="34" t="s">
        <v>1197</v>
      </c>
      <c r="F75" s="34" t="s">
        <v>114</v>
      </c>
      <c r="G75" s="35" t="s">
        <v>1198</v>
      </c>
      <c r="H75" s="36">
        <v>1986.0</v>
      </c>
      <c r="I75" s="34" t="s">
        <v>943</v>
      </c>
      <c r="J75" s="34" t="s">
        <v>55</v>
      </c>
      <c r="K75" s="34" t="s">
        <v>57</v>
      </c>
      <c r="L75" s="34" t="s">
        <v>1199</v>
      </c>
      <c r="M75" s="34" t="s">
        <v>114</v>
      </c>
      <c r="N75" s="34" t="s">
        <v>1200</v>
      </c>
      <c r="O75" s="34" t="s">
        <v>1201</v>
      </c>
      <c r="P75" s="34" t="s">
        <v>93</v>
      </c>
      <c r="Q75" s="34" t="s">
        <v>57</v>
      </c>
      <c r="R75" s="34" t="s">
        <v>57</v>
      </c>
      <c r="S75" s="34" t="s">
        <v>96</v>
      </c>
      <c r="T75" s="34" t="s">
        <v>64</v>
      </c>
      <c r="U75" s="35" t="s">
        <v>1202</v>
      </c>
      <c r="V75" s="34" t="s">
        <v>99</v>
      </c>
      <c r="W75" s="34" t="s">
        <v>100</v>
      </c>
      <c r="X75" s="37" t="s">
        <v>100</v>
      </c>
      <c r="Y75" s="34" t="s">
        <v>74</v>
      </c>
      <c r="Z75" s="34" t="s">
        <v>57</v>
      </c>
      <c r="AA75" s="34">
        <v>1975.0</v>
      </c>
      <c r="AB75" s="34">
        <v>1979.0</v>
      </c>
      <c r="AC75" s="34" t="s">
        <v>57</v>
      </c>
      <c r="AD75" s="34" t="s">
        <v>57</v>
      </c>
      <c r="AE75" s="34" t="s">
        <v>69</v>
      </c>
      <c r="AF75" s="34" t="s">
        <v>69</v>
      </c>
      <c r="AG75" s="34" t="s">
        <v>104</v>
      </c>
      <c r="AH75" s="34" t="s">
        <v>105</v>
      </c>
      <c r="AI75" s="34" t="s">
        <v>336</v>
      </c>
      <c r="AJ75" s="34" t="s">
        <v>336</v>
      </c>
      <c r="AK75" s="34" t="s">
        <v>1203</v>
      </c>
      <c r="AL75" s="34" t="s">
        <v>128</v>
      </c>
      <c r="AM75" s="34" t="s">
        <v>129</v>
      </c>
      <c r="AN75" s="34" t="s">
        <v>1204</v>
      </c>
      <c r="AO75" s="39"/>
      <c r="AP75" s="34" t="s">
        <v>184</v>
      </c>
      <c r="AQ75" s="51" t="s">
        <v>1205</v>
      </c>
      <c r="AR75" s="51" t="s">
        <v>201</v>
      </c>
      <c r="AS75" s="53" t="s">
        <v>1206</v>
      </c>
    </row>
    <row r="76">
      <c r="A76" s="32">
        <v>149.0</v>
      </c>
      <c r="B76" s="33">
        <v>3.64026957E8</v>
      </c>
      <c r="C76" s="34" t="s">
        <v>1207</v>
      </c>
      <c r="D76" s="34" t="s">
        <v>1208</v>
      </c>
      <c r="E76" s="34" t="s">
        <v>1209</v>
      </c>
      <c r="F76" s="34" t="s">
        <v>114</v>
      </c>
      <c r="G76" s="35" t="s">
        <v>1210</v>
      </c>
      <c r="H76" s="36">
        <v>2020.0</v>
      </c>
      <c r="I76" s="34" t="s">
        <v>1183</v>
      </c>
      <c r="J76" s="34" t="s">
        <v>55</v>
      </c>
      <c r="K76" s="34" t="s">
        <v>1211</v>
      </c>
      <c r="L76" s="34" t="s">
        <v>57</v>
      </c>
      <c r="M76" s="34" t="s">
        <v>114</v>
      </c>
      <c r="N76" s="34" t="s">
        <v>1212</v>
      </c>
      <c r="O76" s="34" t="s">
        <v>1213</v>
      </c>
      <c r="P76" s="34" t="s">
        <v>93</v>
      </c>
      <c r="Q76" s="34" t="s">
        <v>57</v>
      </c>
      <c r="R76" s="34" t="s">
        <v>57</v>
      </c>
      <c r="S76" s="34" t="s">
        <v>63</v>
      </c>
      <c r="T76" s="34" t="s">
        <v>64</v>
      </c>
      <c r="U76" s="35" t="s">
        <v>1214</v>
      </c>
      <c r="V76" s="34" t="s">
        <v>99</v>
      </c>
      <c r="W76" s="34" t="s">
        <v>100</v>
      </c>
      <c r="X76" s="37" t="s">
        <v>100</v>
      </c>
      <c r="Y76" s="34" t="s">
        <v>69</v>
      </c>
      <c r="Z76" s="34" t="s">
        <v>1215</v>
      </c>
      <c r="AA76" s="34">
        <v>2017.0</v>
      </c>
      <c r="AB76" s="34">
        <v>2017.0</v>
      </c>
      <c r="AC76" s="34" t="s">
        <v>102</v>
      </c>
      <c r="AD76" s="34" t="s">
        <v>692</v>
      </c>
      <c r="AE76" s="34" t="s">
        <v>69</v>
      </c>
      <c r="AF76" s="34" t="s">
        <v>69</v>
      </c>
      <c r="AG76" s="34" t="s">
        <v>104</v>
      </c>
      <c r="AH76" s="34" t="s">
        <v>105</v>
      </c>
      <c r="AI76" s="34" t="s">
        <v>1216</v>
      </c>
      <c r="AJ76" s="34" t="s">
        <v>107</v>
      </c>
      <c r="AK76" s="34" t="s">
        <v>1217</v>
      </c>
      <c r="AL76" s="34" t="s">
        <v>128</v>
      </c>
      <c r="AM76" s="34" t="s">
        <v>374</v>
      </c>
      <c r="AN76" s="34" t="s">
        <v>1218</v>
      </c>
      <c r="AO76" s="39"/>
      <c r="AP76" s="34" t="s">
        <v>184</v>
      </c>
      <c r="AQ76" s="51" t="s">
        <v>1219</v>
      </c>
      <c r="AR76" s="51" t="s">
        <v>201</v>
      </c>
      <c r="AS76" s="53" t="s">
        <v>1220</v>
      </c>
    </row>
    <row r="77">
      <c r="A77" s="32">
        <v>150.0</v>
      </c>
      <c r="B77" s="33">
        <v>3.64026955E8</v>
      </c>
      <c r="C77" s="34" t="s">
        <v>1221</v>
      </c>
      <c r="D77" s="34" t="s">
        <v>1222</v>
      </c>
      <c r="E77" s="34" t="s">
        <v>1223</v>
      </c>
      <c r="F77" s="34" t="s">
        <v>1224</v>
      </c>
      <c r="G77" s="35" t="s">
        <v>1225</v>
      </c>
      <c r="H77" s="36">
        <v>2011.0</v>
      </c>
      <c r="I77" s="34" t="s">
        <v>1226</v>
      </c>
      <c r="J77" s="34" t="s">
        <v>55</v>
      </c>
      <c r="K77" s="34" t="s">
        <v>1227</v>
      </c>
      <c r="L77" s="34" t="s">
        <v>57</v>
      </c>
      <c r="M77" s="34" t="s">
        <v>1224</v>
      </c>
      <c r="N77" s="34" t="s">
        <v>1228</v>
      </c>
      <c r="O77" s="34" t="s">
        <v>1229</v>
      </c>
      <c r="P77" s="34" t="s">
        <v>93</v>
      </c>
      <c r="Q77" s="34" t="s">
        <v>57</v>
      </c>
      <c r="R77" s="34" t="s">
        <v>57</v>
      </c>
      <c r="S77" s="34" t="s">
        <v>96</v>
      </c>
      <c r="T77" s="34" t="s">
        <v>366</v>
      </c>
      <c r="U77" s="35" t="s">
        <v>1230</v>
      </c>
      <c r="V77" s="34" t="s">
        <v>99</v>
      </c>
      <c r="W77" s="34" t="s">
        <v>100</v>
      </c>
      <c r="X77" s="37" t="s">
        <v>100</v>
      </c>
      <c r="Y77" s="34" t="s">
        <v>74</v>
      </c>
      <c r="Z77" s="34" t="s">
        <v>57</v>
      </c>
      <c r="AA77" s="34" t="s">
        <v>57</v>
      </c>
      <c r="AB77" s="34" t="s">
        <v>57</v>
      </c>
      <c r="AC77" s="34" t="s">
        <v>57</v>
      </c>
      <c r="AD77" s="34" t="s">
        <v>57</v>
      </c>
      <c r="AE77" s="34" t="s">
        <v>74</v>
      </c>
      <c r="AF77" s="34" t="s">
        <v>69</v>
      </c>
      <c r="AG77" s="34" t="s">
        <v>104</v>
      </c>
      <c r="AH77" s="34" t="s">
        <v>105</v>
      </c>
      <c r="AI77" s="34" t="s">
        <v>1231</v>
      </c>
      <c r="AJ77" s="34" t="s">
        <v>107</v>
      </c>
      <c r="AK77" s="34" t="s">
        <v>1232</v>
      </c>
      <c r="AL77" s="34" t="s">
        <v>79</v>
      </c>
      <c r="AM77" s="34" t="s">
        <v>57</v>
      </c>
      <c r="AN77" s="34" t="s">
        <v>57</v>
      </c>
      <c r="AO77" s="39"/>
      <c r="AP77" s="34" t="s">
        <v>184</v>
      </c>
      <c r="AQ77" s="51" t="s">
        <v>324</v>
      </c>
      <c r="AR77" s="51" t="s">
        <v>201</v>
      </c>
      <c r="AS77" s="54"/>
    </row>
    <row r="78">
      <c r="A78" s="32">
        <v>151.0</v>
      </c>
      <c r="B78" s="33">
        <v>3.64026931E8</v>
      </c>
      <c r="C78" s="34" t="s">
        <v>1233</v>
      </c>
      <c r="D78" s="34" t="s">
        <v>1234</v>
      </c>
      <c r="E78" s="34" t="s">
        <v>1235</v>
      </c>
      <c r="F78" s="34" t="s">
        <v>381</v>
      </c>
      <c r="G78" s="35" t="s">
        <v>1236</v>
      </c>
      <c r="H78" s="36">
        <v>2015.0</v>
      </c>
      <c r="I78" s="34" t="s">
        <v>1237</v>
      </c>
      <c r="J78" s="34" t="s">
        <v>55</v>
      </c>
      <c r="K78" s="34" t="s">
        <v>1238</v>
      </c>
      <c r="L78" s="34" t="s">
        <v>57</v>
      </c>
      <c r="M78" s="34" t="s">
        <v>381</v>
      </c>
      <c r="N78" s="34" t="s">
        <v>1239</v>
      </c>
      <c r="O78" s="34" t="s">
        <v>1240</v>
      </c>
      <c r="P78" s="34" t="s">
        <v>93</v>
      </c>
      <c r="Q78" s="34" t="s">
        <v>57</v>
      </c>
      <c r="R78" s="34" t="s">
        <v>57</v>
      </c>
      <c r="S78" s="34" t="s">
        <v>63</v>
      </c>
      <c r="T78" s="34" t="s">
        <v>64</v>
      </c>
      <c r="U78" s="35" t="s">
        <v>1241</v>
      </c>
      <c r="V78" s="34" t="s">
        <v>99</v>
      </c>
      <c r="W78" s="34" t="s">
        <v>100</v>
      </c>
      <c r="X78" s="37" t="s">
        <v>100</v>
      </c>
      <c r="Y78" s="34" t="s">
        <v>74</v>
      </c>
      <c r="Z78" s="34" t="s">
        <v>57</v>
      </c>
      <c r="AA78" s="34">
        <v>2008.0</v>
      </c>
      <c r="AB78" s="34">
        <v>2008.0</v>
      </c>
      <c r="AC78" s="34" t="s">
        <v>214</v>
      </c>
      <c r="AD78" s="34" t="s">
        <v>72</v>
      </c>
      <c r="AE78" s="34" t="s">
        <v>74</v>
      </c>
      <c r="AF78" s="34" t="s">
        <v>69</v>
      </c>
      <c r="AG78" s="34" t="s">
        <v>104</v>
      </c>
      <c r="AH78" s="34" t="s">
        <v>105</v>
      </c>
      <c r="AI78" s="34" t="s">
        <v>336</v>
      </c>
      <c r="AJ78" s="34" t="s">
        <v>336</v>
      </c>
      <c r="AK78" s="34" t="s">
        <v>1242</v>
      </c>
      <c r="AL78" s="34" t="s">
        <v>128</v>
      </c>
      <c r="AM78" s="34" t="s">
        <v>129</v>
      </c>
      <c r="AN78" s="34" t="s">
        <v>1243</v>
      </c>
      <c r="AO78" s="39"/>
      <c r="AP78" s="34" t="s">
        <v>184</v>
      </c>
      <c r="AQ78" s="51" t="s">
        <v>1244</v>
      </c>
      <c r="AR78" s="51" t="s">
        <v>201</v>
      </c>
      <c r="AS78" s="53" t="s">
        <v>1245</v>
      </c>
    </row>
    <row r="79">
      <c r="A79" s="32">
        <v>152.0</v>
      </c>
      <c r="B79" s="33">
        <v>3.64026008E8</v>
      </c>
      <c r="C79" s="34" t="s">
        <v>1246</v>
      </c>
      <c r="D79" s="34" t="s">
        <v>1247</v>
      </c>
      <c r="E79" s="38" t="s">
        <v>1248</v>
      </c>
      <c r="F79" s="34" t="s">
        <v>760</v>
      </c>
      <c r="G79" s="35" t="s">
        <v>1249</v>
      </c>
      <c r="H79" s="36">
        <v>2008.0</v>
      </c>
      <c r="I79" s="34" t="s">
        <v>1250</v>
      </c>
      <c r="J79" s="34" t="s">
        <v>55</v>
      </c>
      <c r="K79" s="34" t="s">
        <v>57</v>
      </c>
      <c r="L79" s="34" t="s">
        <v>57</v>
      </c>
      <c r="M79" s="34" t="s">
        <v>760</v>
      </c>
      <c r="N79" s="34" t="s">
        <v>1251</v>
      </c>
      <c r="O79" s="34" t="s">
        <v>1252</v>
      </c>
      <c r="P79" s="34" t="s">
        <v>93</v>
      </c>
      <c r="Q79" s="34" t="s">
        <v>57</v>
      </c>
      <c r="R79" s="34" t="s">
        <v>57</v>
      </c>
      <c r="S79" s="34" t="s">
        <v>63</v>
      </c>
      <c r="T79" s="34" t="s">
        <v>64</v>
      </c>
      <c r="U79" s="35" t="s">
        <v>1253</v>
      </c>
      <c r="V79" s="34" t="s">
        <v>66</v>
      </c>
      <c r="W79" s="34" t="s">
        <v>1254</v>
      </c>
      <c r="X79" s="37" t="s">
        <v>1255</v>
      </c>
      <c r="Y79" s="34" t="s">
        <v>69</v>
      </c>
      <c r="Z79" s="34" t="s">
        <v>1256</v>
      </c>
      <c r="AA79" s="34">
        <v>2005.0</v>
      </c>
      <c r="AB79" s="34">
        <v>2007.0</v>
      </c>
      <c r="AC79" s="34" t="s">
        <v>692</v>
      </c>
      <c r="AD79" s="34" t="s">
        <v>214</v>
      </c>
      <c r="AE79" s="34" t="s">
        <v>69</v>
      </c>
      <c r="AF79" s="34" t="s">
        <v>74</v>
      </c>
      <c r="AG79" s="34" t="s">
        <v>215</v>
      </c>
      <c r="AH79" s="34" t="s">
        <v>105</v>
      </c>
      <c r="AI79" s="34" t="s">
        <v>166</v>
      </c>
      <c r="AJ79" s="34" t="s">
        <v>166</v>
      </c>
      <c r="AK79" s="34" t="s">
        <v>1257</v>
      </c>
      <c r="AL79" s="34" t="s">
        <v>79</v>
      </c>
      <c r="AM79" s="34" t="s">
        <v>57</v>
      </c>
      <c r="AN79" s="34" t="s">
        <v>57</v>
      </c>
      <c r="AO79" s="39"/>
      <c r="AP79" s="34" t="s">
        <v>109</v>
      </c>
      <c r="AQ79" s="51" t="s">
        <v>1258</v>
      </c>
      <c r="AR79" s="51" t="s">
        <v>201</v>
      </c>
      <c r="AS79" s="52"/>
    </row>
    <row r="80">
      <c r="A80" s="32">
        <v>153.0</v>
      </c>
      <c r="B80" s="33">
        <v>3.64026009E8</v>
      </c>
      <c r="C80" s="34" t="s">
        <v>1259</v>
      </c>
      <c r="D80" s="34" t="s">
        <v>1260</v>
      </c>
      <c r="E80" s="38" t="s">
        <v>1261</v>
      </c>
      <c r="F80" s="34" t="s">
        <v>273</v>
      </c>
      <c r="G80" s="43" t="s">
        <v>1262</v>
      </c>
      <c r="H80" s="36">
        <v>2018.0</v>
      </c>
      <c r="I80" s="34" t="s">
        <v>156</v>
      </c>
      <c r="J80" s="34" t="s">
        <v>55</v>
      </c>
      <c r="K80" s="34" t="s">
        <v>1263</v>
      </c>
      <c r="L80" s="34" t="s">
        <v>57</v>
      </c>
      <c r="M80" s="34" t="s">
        <v>273</v>
      </c>
      <c r="N80" s="34" t="s">
        <v>1022</v>
      </c>
      <c r="O80" s="34" t="s">
        <v>1264</v>
      </c>
      <c r="P80" s="34" t="s">
        <v>93</v>
      </c>
      <c r="Q80" s="34" t="s">
        <v>57</v>
      </c>
      <c r="R80" s="34" t="s">
        <v>57</v>
      </c>
      <c r="S80" s="34" t="s">
        <v>96</v>
      </c>
      <c r="T80" s="34" t="s">
        <v>1265</v>
      </c>
      <c r="U80" s="35" t="s">
        <v>1266</v>
      </c>
      <c r="V80" s="34" t="s">
        <v>66</v>
      </c>
      <c r="W80" s="34" t="s">
        <v>1267</v>
      </c>
      <c r="X80" s="37" t="s">
        <v>1268</v>
      </c>
      <c r="Y80" s="34" t="s">
        <v>74</v>
      </c>
      <c r="Z80" s="34" t="s">
        <v>57</v>
      </c>
      <c r="AA80" s="34">
        <v>2014.0</v>
      </c>
      <c r="AB80" s="34">
        <v>2016.0</v>
      </c>
      <c r="AC80" s="34" t="s">
        <v>57</v>
      </c>
      <c r="AD80" s="34" t="s">
        <v>57</v>
      </c>
      <c r="AE80" s="34" t="s">
        <v>69</v>
      </c>
      <c r="AF80" s="34" t="s">
        <v>74</v>
      </c>
      <c r="AG80" s="34" t="s">
        <v>215</v>
      </c>
      <c r="AH80" s="34" t="s">
        <v>105</v>
      </c>
      <c r="AI80" s="34" t="s">
        <v>166</v>
      </c>
      <c r="AJ80" s="34" t="s">
        <v>166</v>
      </c>
      <c r="AK80" s="34" t="s">
        <v>1269</v>
      </c>
      <c r="AL80" s="34" t="s">
        <v>128</v>
      </c>
      <c r="AM80" s="34" t="s">
        <v>129</v>
      </c>
      <c r="AN80" s="34" t="s">
        <v>1270</v>
      </c>
      <c r="AO80" s="39"/>
      <c r="AP80" s="34" t="s">
        <v>109</v>
      </c>
      <c r="AQ80" s="28" t="s">
        <v>1271</v>
      </c>
      <c r="AR80" s="28" t="s">
        <v>201</v>
      </c>
      <c r="AS80" s="29" t="s">
        <v>1272</v>
      </c>
    </row>
    <row r="81">
      <c r="A81" s="32">
        <v>155.0</v>
      </c>
      <c r="B81" s="33">
        <v>3.64026048E8</v>
      </c>
      <c r="C81" s="34" t="s">
        <v>1273</v>
      </c>
      <c r="D81" s="34" t="s">
        <v>1274</v>
      </c>
      <c r="E81" s="38" t="s">
        <v>1275</v>
      </c>
      <c r="F81" s="34" t="s">
        <v>443</v>
      </c>
      <c r="G81" s="43" t="s">
        <v>1276</v>
      </c>
      <c r="H81" s="36">
        <v>2000.0</v>
      </c>
      <c r="I81" s="34" t="s">
        <v>295</v>
      </c>
      <c r="J81" s="34" t="s">
        <v>55</v>
      </c>
      <c r="K81" s="34" t="s">
        <v>1277</v>
      </c>
      <c r="L81" s="34" t="s">
        <v>57</v>
      </c>
      <c r="M81" s="34" t="s">
        <v>443</v>
      </c>
      <c r="N81" s="34" t="s">
        <v>444</v>
      </c>
      <c r="O81" s="34" t="s">
        <v>1278</v>
      </c>
      <c r="P81" s="34" t="s">
        <v>93</v>
      </c>
      <c r="Q81" s="34" t="s">
        <v>57</v>
      </c>
      <c r="R81" s="34" t="s">
        <v>57</v>
      </c>
      <c r="S81" s="34" t="s">
        <v>63</v>
      </c>
      <c r="T81" s="34" t="s">
        <v>1279</v>
      </c>
      <c r="U81" s="35" t="s">
        <v>1280</v>
      </c>
      <c r="V81" s="34" t="s">
        <v>99</v>
      </c>
      <c r="W81" s="34" t="s">
        <v>100</v>
      </c>
      <c r="X81" s="37" t="s">
        <v>100</v>
      </c>
      <c r="Y81" s="34" t="s">
        <v>69</v>
      </c>
      <c r="Z81" s="34" t="s">
        <v>1281</v>
      </c>
      <c r="AA81" s="34">
        <v>1992.0</v>
      </c>
      <c r="AB81" s="34">
        <v>1993.0</v>
      </c>
      <c r="AC81" s="34" t="s">
        <v>144</v>
      </c>
      <c r="AD81" s="34" t="s">
        <v>180</v>
      </c>
      <c r="AE81" s="34" t="s">
        <v>69</v>
      </c>
      <c r="AF81" s="34" t="s">
        <v>74</v>
      </c>
      <c r="AG81" s="34" t="s">
        <v>104</v>
      </c>
      <c r="AH81" s="34" t="s">
        <v>105</v>
      </c>
      <c r="AI81" s="34" t="s">
        <v>166</v>
      </c>
      <c r="AJ81" s="34" t="s">
        <v>166</v>
      </c>
      <c r="AK81" s="34" t="s">
        <v>1282</v>
      </c>
      <c r="AL81" s="34" t="s">
        <v>128</v>
      </c>
      <c r="AM81" s="34" t="s">
        <v>1283</v>
      </c>
      <c r="AN81" s="34" t="s">
        <v>1284</v>
      </c>
      <c r="AO81" s="39"/>
      <c r="AP81" s="34" t="s">
        <v>109</v>
      </c>
      <c r="AQ81" s="28" t="s">
        <v>1285</v>
      </c>
      <c r="AR81" s="28" t="s">
        <v>201</v>
      </c>
      <c r="AS81" s="29"/>
    </row>
    <row r="82">
      <c r="A82" s="32">
        <v>157.0</v>
      </c>
      <c r="B82" s="33">
        <v>3.64026624E8</v>
      </c>
      <c r="C82" s="34" t="s">
        <v>1286</v>
      </c>
      <c r="D82" s="34" t="s">
        <v>1287</v>
      </c>
      <c r="E82" s="34" t="s">
        <v>1288</v>
      </c>
      <c r="F82" s="34" t="s">
        <v>154</v>
      </c>
      <c r="G82" s="35" t="s">
        <v>1289</v>
      </c>
      <c r="H82" s="36">
        <v>2019.0</v>
      </c>
      <c r="I82" s="34" t="s">
        <v>1290</v>
      </c>
      <c r="J82" s="34" t="s">
        <v>55</v>
      </c>
      <c r="K82" s="34" t="s">
        <v>1291</v>
      </c>
      <c r="L82" s="34" t="s">
        <v>57</v>
      </c>
      <c r="M82" s="34" t="s">
        <v>273</v>
      </c>
      <c r="N82" s="34" t="s">
        <v>1292</v>
      </c>
      <c r="O82" s="34" t="s">
        <v>1293</v>
      </c>
      <c r="P82" s="34" t="s">
        <v>93</v>
      </c>
      <c r="Q82" s="34" t="s">
        <v>1294</v>
      </c>
      <c r="R82" s="34" t="s">
        <v>1295</v>
      </c>
      <c r="S82" s="34" t="s">
        <v>96</v>
      </c>
      <c r="T82" s="34" t="s">
        <v>1296</v>
      </c>
      <c r="U82" s="35" t="s">
        <v>1297</v>
      </c>
      <c r="V82" s="34" t="s">
        <v>99</v>
      </c>
      <c r="W82" s="34" t="s">
        <v>100</v>
      </c>
      <c r="X82" s="37" t="s">
        <v>100</v>
      </c>
      <c r="Y82" s="34" t="s">
        <v>74</v>
      </c>
      <c r="Z82" s="34" t="s">
        <v>57</v>
      </c>
      <c r="AA82" s="34">
        <v>2014.0</v>
      </c>
      <c r="AB82" s="34">
        <v>2014.0</v>
      </c>
      <c r="AC82" s="34" t="s">
        <v>542</v>
      </c>
      <c r="AD82" s="34" t="s">
        <v>71</v>
      </c>
      <c r="AE82" s="34" t="s">
        <v>69</v>
      </c>
      <c r="AF82" s="34" t="s">
        <v>69</v>
      </c>
      <c r="AG82" s="34" t="s">
        <v>104</v>
      </c>
      <c r="AH82" s="34" t="s">
        <v>105</v>
      </c>
      <c r="AI82" s="34" t="s">
        <v>835</v>
      </c>
      <c r="AJ82" s="34" t="s">
        <v>107</v>
      </c>
      <c r="AK82" s="34" t="s">
        <v>1298</v>
      </c>
      <c r="AL82" s="34" t="s">
        <v>128</v>
      </c>
      <c r="AM82" s="34" t="s">
        <v>129</v>
      </c>
      <c r="AN82" s="34" t="s">
        <v>1299</v>
      </c>
      <c r="AO82" s="39"/>
      <c r="AP82" s="34" t="s">
        <v>184</v>
      </c>
      <c r="AQ82" s="28" t="s">
        <v>1300</v>
      </c>
      <c r="AR82" s="28" t="s">
        <v>201</v>
      </c>
      <c r="AS82" s="55"/>
    </row>
    <row r="83">
      <c r="A83" s="32">
        <v>158.0</v>
      </c>
      <c r="B83" s="33">
        <v>3.64026104E8</v>
      </c>
      <c r="C83" s="34" t="s">
        <v>1301</v>
      </c>
      <c r="D83" s="34" t="s">
        <v>1302</v>
      </c>
      <c r="E83" s="38" t="s">
        <v>1303</v>
      </c>
      <c r="F83" s="34" t="s">
        <v>992</v>
      </c>
      <c r="G83" s="43" t="s">
        <v>1304</v>
      </c>
      <c r="H83" s="36">
        <v>2010.0</v>
      </c>
      <c r="I83" s="34" t="s">
        <v>686</v>
      </c>
      <c r="J83" s="34" t="s">
        <v>55</v>
      </c>
      <c r="K83" s="34" t="s">
        <v>1305</v>
      </c>
      <c r="L83" s="34" t="s">
        <v>57</v>
      </c>
      <c r="M83" s="34" t="s">
        <v>992</v>
      </c>
      <c r="N83" s="34" t="s">
        <v>1306</v>
      </c>
      <c r="O83" s="34" t="s">
        <v>1307</v>
      </c>
      <c r="P83" s="34" t="s">
        <v>554</v>
      </c>
      <c r="Q83" s="34" t="s">
        <v>1306</v>
      </c>
      <c r="R83" s="34" t="s">
        <v>1306</v>
      </c>
      <c r="S83" s="34" t="s">
        <v>63</v>
      </c>
      <c r="T83" s="34" t="s">
        <v>1308</v>
      </c>
      <c r="U83" s="35" t="s">
        <v>1309</v>
      </c>
      <c r="V83" s="34" t="s">
        <v>99</v>
      </c>
      <c r="W83" s="34" t="s">
        <v>100</v>
      </c>
      <c r="X83" s="37" t="s">
        <v>100</v>
      </c>
      <c r="Y83" s="34" t="s">
        <v>74</v>
      </c>
      <c r="Z83" s="34" t="s">
        <v>57</v>
      </c>
      <c r="AA83" s="34" t="s">
        <v>57</v>
      </c>
      <c r="AB83" s="34" t="s">
        <v>57</v>
      </c>
      <c r="AC83" s="34" t="s">
        <v>57</v>
      </c>
      <c r="AD83" s="34" t="s">
        <v>57</v>
      </c>
      <c r="AE83" s="34" t="s">
        <v>57</v>
      </c>
      <c r="AF83" s="34" t="s">
        <v>74</v>
      </c>
      <c r="AG83" s="34" t="s">
        <v>104</v>
      </c>
      <c r="AH83" s="34" t="s">
        <v>105</v>
      </c>
      <c r="AI83" s="34" t="s">
        <v>336</v>
      </c>
      <c r="AJ83" s="34" t="s">
        <v>336</v>
      </c>
      <c r="AK83" s="34" t="s">
        <v>1310</v>
      </c>
      <c r="AL83" s="34" t="s">
        <v>128</v>
      </c>
      <c r="AM83" s="34" t="s">
        <v>895</v>
      </c>
      <c r="AN83" s="34" t="s">
        <v>1311</v>
      </c>
      <c r="AO83" s="39"/>
      <c r="AP83" s="34" t="s">
        <v>109</v>
      </c>
      <c r="AQ83" s="28" t="s">
        <v>1312</v>
      </c>
      <c r="AR83" s="28" t="s">
        <v>201</v>
      </c>
      <c r="AS83" s="29"/>
    </row>
    <row r="84">
      <c r="A84" s="32">
        <v>160.0</v>
      </c>
      <c r="B84" s="33">
        <v>3.64026121E8</v>
      </c>
      <c r="C84" s="34" t="s">
        <v>1313</v>
      </c>
      <c r="D84" s="34" t="s">
        <v>1314</v>
      </c>
      <c r="E84" s="38" t="s">
        <v>1315</v>
      </c>
      <c r="F84" s="34" t="s">
        <v>1316</v>
      </c>
      <c r="G84" s="43" t="s">
        <v>1317</v>
      </c>
      <c r="H84" s="36">
        <v>2014.0</v>
      </c>
      <c r="I84" s="34" t="s">
        <v>295</v>
      </c>
      <c r="J84" s="34" t="s">
        <v>55</v>
      </c>
      <c r="K84" s="34" t="s">
        <v>1318</v>
      </c>
      <c r="L84" s="34" t="s">
        <v>57</v>
      </c>
      <c r="M84" s="34" t="s">
        <v>1316</v>
      </c>
      <c r="N84" s="34" t="s">
        <v>1319</v>
      </c>
      <c r="O84" s="34" t="s">
        <v>1320</v>
      </c>
      <c r="P84" s="34" t="s">
        <v>93</v>
      </c>
      <c r="Q84" s="38" t="s">
        <v>1321</v>
      </c>
      <c r="R84" s="38" t="s">
        <v>1322</v>
      </c>
      <c r="S84" s="34" t="s">
        <v>96</v>
      </c>
      <c r="T84" s="34" t="s">
        <v>1323</v>
      </c>
      <c r="U84" s="35" t="s">
        <v>1324</v>
      </c>
      <c r="V84" s="34" t="s">
        <v>99</v>
      </c>
      <c r="W84" s="34" t="s">
        <v>100</v>
      </c>
      <c r="X84" s="37" t="s">
        <v>100</v>
      </c>
      <c r="Y84" s="34" t="s">
        <v>74</v>
      </c>
      <c r="Z84" s="34" t="s">
        <v>57</v>
      </c>
      <c r="AA84" s="34">
        <v>2008.0</v>
      </c>
      <c r="AB84" s="34">
        <v>2009.0</v>
      </c>
      <c r="AC84" s="34" t="s">
        <v>542</v>
      </c>
      <c r="AD84" s="34" t="s">
        <v>144</v>
      </c>
      <c r="AE84" s="34" t="s">
        <v>69</v>
      </c>
      <c r="AF84" s="34" t="s">
        <v>74</v>
      </c>
      <c r="AG84" s="34" t="s">
        <v>215</v>
      </c>
      <c r="AH84" s="34" t="s">
        <v>105</v>
      </c>
      <c r="AI84" s="34" t="s">
        <v>336</v>
      </c>
      <c r="AJ84" s="34" t="s">
        <v>336</v>
      </c>
      <c r="AK84" s="34" t="s">
        <v>1325</v>
      </c>
      <c r="AL84" s="34" t="s">
        <v>128</v>
      </c>
      <c r="AM84" s="34" t="s">
        <v>129</v>
      </c>
      <c r="AN84" s="34" t="s">
        <v>1326</v>
      </c>
      <c r="AO84" s="39"/>
      <c r="AP84" s="34" t="s">
        <v>109</v>
      </c>
      <c r="AQ84" s="28" t="s">
        <v>1327</v>
      </c>
      <c r="AR84" s="28" t="s">
        <v>201</v>
      </c>
      <c r="AS84" s="29"/>
    </row>
    <row r="85">
      <c r="A85" s="32">
        <v>162.0</v>
      </c>
      <c r="B85" s="33">
        <v>3.64026157E8</v>
      </c>
      <c r="C85" s="34" t="s">
        <v>1328</v>
      </c>
      <c r="D85" s="34" t="s">
        <v>1329</v>
      </c>
      <c r="E85" s="38" t="s">
        <v>1330</v>
      </c>
      <c r="F85" s="34" t="s">
        <v>114</v>
      </c>
      <c r="G85" s="43" t="s">
        <v>1331</v>
      </c>
      <c r="H85" s="36">
        <v>2020.0</v>
      </c>
      <c r="I85" s="34" t="s">
        <v>207</v>
      </c>
      <c r="J85" s="34" t="s">
        <v>55</v>
      </c>
      <c r="K85" s="34" t="s">
        <v>1332</v>
      </c>
      <c r="L85" s="34" t="s">
        <v>57</v>
      </c>
      <c r="M85" s="34" t="s">
        <v>114</v>
      </c>
      <c r="N85" s="34" t="s">
        <v>1333</v>
      </c>
      <c r="O85" s="34" t="s">
        <v>1334</v>
      </c>
      <c r="P85" s="34" t="s">
        <v>93</v>
      </c>
      <c r="Q85" s="34" t="s">
        <v>57</v>
      </c>
      <c r="R85" s="34" t="s">
        <v>57</v>
      </c>
      <c r="S85" s="34" t="s">
        <v>63</v>
      </c>
      <c r="T85" s="34" t="s">
        <v>1335</v>
      </c>
      <c r="U85" s="35" t="s">
        <v>1336</v>
      </c>
      <c r="V85" s="34" t="s">
        <v>99</v>
      </c>
      <c r="W85" s="34" t="s">
        <v>1337</v>
      </c>
      <c r="X85" s="37" t="s">
        <v>1338</v>
      </c>
      <c r="Y85" s="34" t="s">
        <v>74</v>
      </c>
      <c r="Z85" s="34" t="s">
        <v>57</v>
      </c>
      <c r="AA85" s="34">
        <v>2010.0</v>
      </c>
      <c r="AB85" s="34">
        <v>2012.0</v>
      </c>
      <c r="AC85" s="34" t="s">
        <v>144</v>
      </c>
      <c r="AD85" s="34" t="s">
        <v>72</v>
      </c>
      <c r="AE85" s="34" t="s">
        <v>69</v>
      </c>
      <c r="AF85" s="34" t="s">
        <v>74</v>
      </c>
      <c r="AG85" s="34" t="s">
        <v>104</v>
      </c>
      <c r="AH85" s="34" t="s">
        <v>498</v>
      </c>
      <c r="AI85" s="34" t="s">
        <v>1339</v>
      </c>
      <c r="AJ85" s="34" t="s">
        <v>107</v>
      </c>
      <c r="AK85" s="34" t="s">
        <v>1340</v>
      </c>
      <c r="AL85" s="34" t="s">
        <v>79</v>
      </c>
      <c r="AM85" s="34" t="s">
        <v>57</v>
      </c>
      <c r="AN85" s="34" t="s">
        <v>57</v>
      </c>
      <c r="AO85" s="39"/>
      <c r="AP85" s="34" t="s">
        <v>109</v>
      </c>
      <c r="AQ85" s="28" t="s">
        <v>1341</v>
      </c>
      <c r="AR85" s="28" t="s">
        <v>201</v>
      </c>
      <c r="AS85" s="29" t="s">
        <v>1342</v>
      </c>
    </row>
    <row r="86">
      <c r="A86" s="32">
        <v>164.0</v>
      </c>
      <c r="B86" s="33">
        <v>3.64026234E8</v>
      </c>
      <c r="C86" s="34" t="s">
        <v>1343</v>
      </c>
      <c r="D86" s="34" t="s">
        <v>1344</v>
      </c>
      <c r="E86" s="34" t="s">
        <v>1345</v>
      </c>
      <c r="F86" s="34" t="s">
        <v>760</v>
      </c>
      <c r="G86" s="35" t="s">
        <v>1346</v>
      </c>
      <c r="H86" s="36">
        <v>2019.0</v>
      </c>
      <c r="I86" s="34" t="s">
        <v>1347</v>
      </c>
      <c r="J86" s="34" t="s">
        <v>55</v>
      </c>
      <c r="K86" s="34" t="s">
        <v>1348</v>
      </c>
      <c r="L86" s="34" t="s">
        <v>57</v>
      </c>
      <c r="M86" s="34" t="s">
        <v>443</v>
      </c>
      <c r="N86" s="34" t="s">
        <v>1349</v>
      </c>
      <c r="O86" s="34" t="s">
        <v>1350</v>
      </c>
      <c r="P86" s="34" t="s">
        <v>93</v>
      </c>
      <c r="Q86" s="34" t="s">
        <v>1351</v>
      </c>
      <c r="R86" s="34" t="s">
        <v>1352</v>
      </c>
      <c r="S86" s="34" t="s">
        <v>63</v>
      </c>
      <c r="T86" s="34" t="s">
        <v>366</v>
      </c>
      <c r="U86" s="35" t="s">
        <v>1353</v>
      </c>
      <c r="V86" s="34" t="s">
        <v>99</v>
      </c>
      <c r="W86" s="34" t="s">
        <v>100</v>
      </c>
      <c r="X86" s="37" t="s">
        <v>100</v>
      </c>
      <c r="Y86" s="34" t="s">
        <v>74</v>
      </c>
      <c r="Z86" s="34" t="s">
        <v>57</v>
      </c>
      <c r="AA86" s="34">
        <v>2005.0</v>
      </c>
      <c r="AB86" s="34">
        <v>2011.0</v>
      </c>
      <c r="AC86" s="34" t="s">
        <v>57</v>
      </c>
      <c r="AD86" s="34" t="s">
        <v>57</v>
      </c>
      <c r="AE86" s="34" t="s">
        <v>69</v>
      </c>
      <c r="AF86" s="34" t="s">
        <v>74</v>
      </c>
      <c r="AG86" s="34" t="s">
        <v>104</v>
      </c>
      <c r="AH86" s="34" t="s">
        <v>105</v>
      </c>
      <c r="AI86" s="34" t="s">
        <v>336</v>
      </c>
      <c r="AJ86" s="34" t="s">
        <v>336</v>
      </c>
      <c r="AK86" s="34" t="s">
        <v>1354</v>
      </c>
      <c r="AL86" s="34" t="s">
        <v>128</v>
      </c>
      <c r="AM86" s="34" t="s">
        <v>374</v>
      </c>
      <c r="AN86" s="34" t="s">
        <v>1355</v>
      </c>
      <c r="AO86" s="39"/>
      <c r="AP86" s="34" t="s">
        <v>109</v>
      </c>
      <c r="AQ86" s="28" t="s">
        <v>1356</v>
      </c>
      <c r="AR86" s="28" t="s">
        <v>201</v>
      </c>
      <c r="AS86" s="29" t="s">
        <v>1357</v>
      </c>
    </row>
    <row r="87">
      <c r="A87" s="32">
        <v>165.0</v>
      </c>
      <c r="B87" s="33">
        <v>3.64026482E8</v>
      </c>
      <c r="C87" s="34" t="s">
        <v>1358</v>
      </c>
      <c r="D87" s="34" t="s">
        <v>1359</v>
      </c>
      <c r="E87" s="34" t="s">
        <v>1360</v>
      </c>
      <c r="F87" s="34" t="s">
        <v>992</v>
      </c>
      <c r="G87" s="35" t="s">
        <v>1361</v>
      </c>
      <c r="H87" s="36">
        <v>2016.0</v>
      </c>
      <c r="I87" s="34" t="s">
        <v>1362</v>
      </c>
      <c r="J87" s="34" t="s">
        <v>55</v>
      </c>
      <c r="K87" s="34" t="s">
        <v>1363</v>
      </c>
      <c r="L87" s="34" t="s">
        <v>57</v>
      </c>
      <c r="M87" s="34" t="s">
        <v>992</v>
      </c>
      <c r="N87" s="34" t="s">
        <v>1364</v>
      </c>
      <c r="O87" s="34" t="s">
        <v>1365</v>
      </c>
      <c r="P87" s="34" t="s">
        <v>554</v>
      </c>
      <c r="Q87" s="34" t="s">
        <v>57</v>
      </c>
      <c r="R87" s="34" t="s">
        <v>57</v>
      </c>
      <c r="S87" s="34" t="s">
        <v>96</v>
      </c>
      <c r="T87" s="34" t="s">
        <v>1366</v>
      </c>
      <c r="U87" s="35" t="s">
        <v>1367</v>
      </c>
      <c r="V87" s="34" t="s">
        <v>99</v>
      </c>
      <c r="W87" s="34" t="s">
        <v>100</v>
      </c>
      <c r="X87" s="37" t="s">
        <v>100</v>
      </c>
      <c r="Y87" s="34" t="s">
        <v>74</v>
      </c>
      <c r="Z87" s="34" t="s">
        <v>57</v>
      </c>
      <c r="AA87" s="34">
        <v>2013.0</v>
      </c>
      <c r="AB87" s="34">
        <v>2013.0</v>
      </c>
      <c r="AC87" s="34" t="s">
        <v>57</v>
      </c>
      <c r="AD87" s="34" t="s">
        <v>57</v>
      </c>
      <c r="AE87" s="34" t="s">
        <v>74</v>
      </c>
      <c r="AF87" s="34" t="s">
        <v>69</v>
      </c>
      <c r="AG87" s="34" t="s">
        <v>104</v>
      </c>
      <c r="AH87" s="34" t="s">
        <v>105</v>
      </c>
      <c r="AI87" s="34" t="s">
        <v>106</v>
      </c>
      <c r="AJ87" s="34" t="s">
        <v>107</v>
      </c>
      <c r="AK87" s="34" t="s">
        <v>1368</v>
      </c>
      <c r="AL87" s="34" t="s">
        <v>128</v>
      </c>
      <c r="AM87" s="34" t="s">
        <v>129</v>
      </c>
      <c r="AN87" s="34" t="s">
        <v>1369</v>
      </c>
      <c r="AO87" s="39"/>
      <c r="AP87" s="34" t="s">
        <v>184</v>
      </c>
      <c r="AQ87" s="28" t="s">
        <v>1370</v>
      </c>
      <c r="AR87" s="28" t="s">
        <v>201</v>
      </c>
      <c r="AS87" s="29"/>
    </row>
    <row r="88">
      <c r="A88" s="32">
        <v>166.0</v>
      </c>
      <c r="B88" s="33">
        <v>3.64026252E8</v>
      </c>
      <c r="C88" s="34" t="s">
        <v>1371</v>
      </c>
      <c r="D88" s="34" t="s">
        <v>1372</v>
      </c>
      <c r="E88" s="34" t="s">
        <v>1373</v>
      </c>
      <c r="F88" s="34" t="s">
        <v>114</v>
      </c>
      <c r="G88" s="43" t="s">
        <v>1374</v>
      </c>
      <c r="H88" s="36">
        <v>2018.0</v>
      </c>
      <c r="I88" s="34" t="s">
        <v>796</v>
      </c>
      <c r="J88" s="34" t="s">
        <v>55</v>
      </c>
      <c r="K88" s="34" t="s">
        <v>1375</v>
      </c>
      <c r="L88" s="34" t="s">
        <v>57</v>
      </c>
      <c r="M88" s="34" t="s">
        <v>114</v>
      </c>
      <c r="N88" s="34" t="s">
        <v>1376</v>
      </c>
      <c r="O88" s="34" t="s">
        <v>1377</v>
      </c>
      <c r="P88" s="34" t="s">
        <v>93</v>
      </c>
      <c r="Q88" s="34" t="s">
        <v>57</v>
      </c>
      <c r="R88" s="34" t="s">
        <v>57</v>
      </c>
      <c r="S88" s="34" t="s">
        <v>96</v>
      </c>
      <c r="T88" s="34" t="s">
        <v>1052</v>
      </c>
      <c r="U88" s="35" t="s">
        <v>1378</v>
      </c>
      <c r="V88" s="34" t="s">
        <v>99</v>
      </c>
      <c r="W88" s="34" t="s">
        <v>100</v>
      </c>
      <c r="X88" s="37" t="s">
        <v>100</v>
      </c>
      <c r="Y88" s="34" t="s">
        <v>74</v>
      </c>
      <c r="Z88" s="34" t="s">
        <v>57</v>
      </c>
      <c r="AA88" s="34">
        <v>2011.0</v>
      </c>
      <c r="AB88" s="34">
        <v>2012.0</v>
      </c>
      <c r="AC88" s="34" t="s">
        <v>103</v>
      </c>
      <c r="AD88" s="34" t="s">
        <v>403</v>
      </c>
      <c r="AE88" s="34" t="s">
        <v>69</v>
      </c>
      <c r="AF88" s="34" t="s">
        <v>74</v>
      </c>
      <c r="AG88" s="34" t="s">
        <v>104</v>
      </c>
      <c r="AH88" s="34" t="s">
        <v>659</v>
      </c>
      <c r="AI88" s="34" t="s">
        <v>1379</v>
      </c>
      <c r="AJ88" s="34" t="s">
        <v>107</v>
      </c>
      <c r="AK88" s="34" t="s">
        <v>1380</v>
      </c>
      <c r="AL88" s="34" t="s">
        <v>79</v>
      </c>
      <c r="AM88" s="34" t="s">
        <v>57</v>
      </c>
      <c r="AN88" s="34" t="s">
        <v>57</v>
      </c>
      <c r="AO88" s="39"/>
      <c r="AP88" s="34" t="s">
        <v>109</v>
      </c>
      <c r="AQ88" s="28" t="s">
        <v>1381</v>
      </c>
      <c r="AR88" s="28" t="s">
        <v>201</v>
      </c>
      <c r="AS88" s="29" t="s">
        <v>1382</v>
      </c>
    </row>
    <row r="89">
      <c r="A89" s="32">
        <v>168.0</v>
      </c>
      <c r="B89" s="33">
        <v>3.64026296E8</v>
      </c>
      <c r="C89" s="34" t="s">
        <v>1383</v>
      </c>
      <c r="D89" s="34" t="s">
        <v>1384</v>
      </c>
      <c r="E89" s="34" t="s">
        <v>1385</v>
      </c>
      <c r="F89" s="34" t="s">
        <v>114</v>
      </c>
      <c r="G89" s="35" t="s">
        <v>1386</v>
      </c>
      <c r="H89" s="36">
        <v>2015.0</v>
      </c>
      <c r="I89" s="34" t="s">
        <v>796</v>
      </c>
      <c r="J89" s="34" t="s">
        <v>55</v>
      </c>
      <c r="K89" s="34" t="s">
        <v>1387</v>
      </c>
      <c r="L89" s="34" t="s">
        <v>57</v>
      </c>
      <c r="M89" s="34" t="s">
        <v>114</v>
      </c>
      <c r="N89" s="34" t="s">
        <v>118</v>
      </c>
      <c r="O89" s="34" t="s">
        <v>1388</v>
      </c>
      <c r="P89" s="34" t="s">
        <v>93</v>
      </c>
      <c r="Q89" s="34" t="s">
        <v>57</v>
      </c>
      <c r="R89" s="34" t="s">
        <v>57</v>
      </c>
      <c r="S89" s="34" t="s">
        <v>63</v>
      </c>
      <c r="T89" s="34" t="s">
        <v>1389</v>
      </c>
      <c r="U89" s="35" t="s">
        <v>1390</v>
      </c>
      <c r="V89" s="34" t="s">
        <v>57</v>
      </c>
      <c r="W89" s="34" t="s">
        <v>57</v>
      </c>
      <c r="X89" s="37" t="s">
        <v>57</v>
      </c>
      <c r="Y89" s="34" t="s">
        <v>74</v>
      </c>
      <c r="Z89" s="34" t="s">
        <v>57</v>
      </c>
      <c r="AA89" s="34">
        <v>2005.0</v>
      </c>
      <c r="AB89" s="34">
        <v>2009.0</v>
      </c>
      <c r="AC89" s="34" t="s">
        <v>72</v>
      </c>
      <c r="AD89" s="34" t="s">
        <v>102</v>
      </c>
      <c r="AE89" s="34" t="s">
        <v>69</v>
      </c>
      <c r="AF89" s="34" t="s">
        <v>69</v>
      </c>
      <c r="AG89" s="34" t="s">
        <v>104</v>
      </c>
      <c r="AH89" s="34" t="s">
        <v>76</v>
      </c>
      <c r="AI89" s="34" t="s">
        <v>77</v>
      </c>
      <c r="AJ89" s="34" t="s">
        <v>77</v>
      </c>
      <c r="AK89" s="34" t="s">
        <v>1391</v>
      </c>
      <c r="AL89" s="34" t="s">
        <v>79</v>
      </c>
      <c r="AM89" s="34" t="s">
        <v>57</v>
      </c>
      <c r="AN89" s="34" t="s">
        <v>57</v>
      </c>
      <c r="AO89" s="39"/>
      <c r="AP89" s="34" t="s">
        <v>109</v>
      </c>
      <c r="AQ89" s="28" t="s">
        <v>1392</v>
      </c>
      <c r="AR89" s="28" t="s">
        <v>201</v>
      </c>
      <c r="AS89" s="29"/>
    </row>
    <row r="90">
      <c r="A90" s="32">
        <v>169.0</v>
      </c>
      <c r="B90" s="33">
        <v>3.64026429E8</v>
      </c>
      <c r="C90" s="34" t="s">
        <v>1393</v>
      </c>
      <c r="D90" s="34" t="s">
        <v>1394</v>
      </c>
      <c r="E90" s="34" t="s">
        <v>1395</v>
      </c>
      <c r="F90" s="34" t="s">
        <v>1396</v>
      </c>
      <c r="G90" s="35" t="s">
        <v>1397</v>
      </c>
      <c r="H90" s="36">
        <v>2018.0</v>
      </c>
      <c r="I90" s="34" t="s">
        <v>207</v>
      </c>
      <c r="J90" s="34" t="s">
        <v>55</v>
      </c>
      <c r="K90" s="34" t="s">
        <v>1398</v>
      </c>
      <c r="L90" s="34" t="s">
        <v>57</v>
      </c>
      <c r="M90" s="34" t="s">
        <v>1396</v>
      </c>
      <c r="N90" s="34" t="s">
        <v>1399</v>
      </c>
      <c r="O90" s="34" t="s">
        <v>1400</v>
      </c>
      <c r="P90" s="34" t="s">
        <v>93</v>
      </c>
      <c r="Q90" s="34" t="s">
        <v>57</v>
      </c>
      <c r="R90" s="34" t="s">
        <v>57</v>
      </c>
      <c r="S90" s="34" t="s">
        <v>63</v>
      </c>
      <c r="T90" s="34" t="s">
        <v>1401</v>
      </c>
      <c r="U90" s="35" t="s">
        <v>1402</v>
      </c>
      <c r="V90" s="34" t="s">
        <v>99</v>
      </c>
      <c r="W90" s="34" t="s">
        <v>100</v>
      </c>
      <c r="X90" s="37" t="s">
        <v>100</v>
      </c>
      <c r="Y90" s="34" t="s">
        <v>74</v>
      </c>
      <c r="Z90" s="34" t="s">
        <v>57</v>
      </c>
      <c r="AA90" s="34">
        <v>2003.0</v>
      </c>
      <c r="AB90" s="34">
        <v>2007.0</v>
      </c>
      <c r="AC90" s="34" t="s">
        <v>144</v>
      </c>
      <c r="AD90" s="34" t="s">
        <v>180</v>
      </c>
      <c r="AE90" s="34" t="s">
        <v>69</v>
      </c>
      <c r="AF90" s="34" t="s">
        <v>74</v>
      </c>
      <c r="AG90" s="34" t="s">
        <v>104</v>
      </c>
      <c r="AH90" s="34" t="s">
        <v>105</v>
      </c>
      <c r="AI90" s="34" t="s">
        <v>336</v>
      </c>
      <c r="AJ90" s="34" t="s">
        <v>336</v>
      </c>
      <c r="AK90" s="34" t="s">
        <v>1403</v>
      </c>
      <c r="AL90" s="34" t="s">
        <v>128</v>
      </c>
      <c r="AM90" s="34" t="s">
        <v>895</v>
      </c>
      <c r="AN90" s="34" t="s">
        <v>1404</v>
      </c>
      <c r="AO90" s="39"/>
      <c r="AP90" s="34" t="s">
        <v>109</v>
      </c>
      <c r="AQ90" s="28" t="s">
        <v>391</v>
      </c>
      <c r="AR90" s="28" t="s">
        <v>201</v>
      </c>
      <c r="AS90" s="29" t="s">
        <v>1405</v>
      </c>
    </row>
    <row r="91">
      <c r="A91" s="32">
        <v>170.0</v>
      </c>
      <c r="B91" s="33">
        <v>3.6402643E8</v>
      </c>
      <c r="C91" s="34" t="s">
        <v>1406</v>
      </c>
      <c r="D91" s="34" t="s">
        <v>1407</v>
      </c>
      <c r="E91" s="34" t="s">
        <v>1408</v>
      </c>
      <c r="F91" s="34" t="s">
        <v>992</v>
      </c>
      <c r="G91" s="35" t="s">
        <v>1409</v>
      </c>
      <c r="H91" s="36">
        <v>2016.0</v>
      </c>
      <c r="I91" s="34" t="s">
        <v>295</v>
      </c>
      <c r="J91" s="34" t="s">
        <v>55</v>
      </c>
      <c r="K91" s="34" t="s">
        <v>1410</v>
      </c>
      <c r="L91" s="34" t="s">
        <v>57</v>
      </c>
      <c r="M91" s="34" t="s">
        <v>992</v>
      </c>
      <c r="N91" s="34" t="s">
        <v>1114</v>
      </c>
      <c r="O91" s="34" t="s">
        <v>1411</v>
      </c>
      <c r="P91" s="34" t="s">
        <v>554</v>
      </c>
      <c r="Q91" s="34" t="s">
        <v>57</v>
      </c>
      <c r="R91" s="34" t="s">
        <v>57</v>
      </c>
      <c r="S91" s="34" t="s">
        <v>63</v>
      </c>
      <c r="T91" s="34" t="s">
        <v>1412</v>
      </c>
      <c r="U91" s="35" t="s">
        <v>1413</v>
      </c>
      <c r="V91" s="34" t="s">
        <v>99</v>
      </c>
      <c r="W91" s="34" t="s">
        <v>100</v>
      </c>
      <c r="X91" s="37" t="s">
        <v>100</v>
      </c>
      <c r="Y91" s="34" t="s">
        <v>74</v>
      </c>
      <c r="Z91" s="34" t="s">
        <v>57</v>
      </c>
      <c r="AA91" s="34">
        <v>2012.0</v>
      </c>
      <c r="AB91" s="34">
        <v>2013.0</v>
      </c>
      <c r="AC91" s="34" t="s">
        <v>264</v>
      </c>
      <c r="AD91" s="34" t="s">
        <v>71</v>
      </c>
      <c r="AE91" s="34" t="s">
        <v>69</v>
      </c>
      <c r="AF91" s="34" t="s">
        <v>74</v>
      </c>
      <c r="AG91" s="34" t="s">
        <v>104</v>
      </c>
      <c r="AH91" s="34" t="s">
        <v>1414</v>
      </c>
      <c r="AI91" s="34" t="s">
        <v>1415</v>
      </c>
      <c r="AJ91" s="34" t="s">
        <v>107</v>
      </c>
      <c r="AK91" s="34" t="s">
        <v>1416</v>
      </c>
      <c r="AL91" s="34" t="s">
        <v>128</v>
      </c>
      <c r="AM91" s="34" t="s">
        <v>895</v>
      </c>
      <c r="AN91" s="34" t="s">
        <v>1417</v>
      </c>
      <c r="AO91" s="34" t="s">
        <v>1418</v>
      </c>
      <c r="AP91" s="34" t="s">
        <v>109</v>
      </c>
      <c r="AQ91" s="28" t="s">
        <v>1419</v>
      </c>
      <c r="AR91" s="28" t="s">
        <v>201</v>
      </c>
      <c r="AS91" s="29" t="s">
        <v>1420</v>
      </c>
    </row>
    <row r="92">
      <c r="A92" s="32">
        <v>171.0</v>
      </c>
      <c r="B92" s="33">
        <v>3.64026223E8</v>
      </c>
      <c r="C92" s="34" t="s">
        <v>1421</v>
      </c>
      <c r="D92" s="34" t="s">
        <v>1422</v>
      </c>
      <c r="E92" s="38" t="s">
        <v>1423</v>
      </c>
      <c r="F92" s="34" t="s">
        <v>114</v>
      </c>
      <c r="G92" s="35" t="s">
        <v>1424</v>
      </c>
      <c r="H92" s="36">
        <v>2011.0</v>
      </c>
      <c r="I92" s="34" t="s">
        <v>729</v>
      </c>
      <c r="J92" s="34" t="s">
        <v>55</v>
      </c>
      <c r="K92" s="34" t="s">
        <v>1425</v>
      </c>
      <c r="L92" s="34" t="s">
        <v>57</v>
      </c>
      <c r="M92" s="34" t="s">
        <v>114</v>
      </c>
      <c r="N92" s="34" t="s">
        <v>1007</v>
      </c>
      <c r="O92" s="34" t="s">
        <v>1426</v>
      </c>
      <c r="P92" s="34" t="s">
        <v>93</v>
      </c>
      <c r="Q92" s="38" t="s">
        <v>1427</v>
      </c>
      <c r="R92" s="38" t="s">
        <v>1428</v>
      </c>
      <c r="S92" s="34" t="s">
        <v>63</v>
      </c>
      <c r="T92" s="34" t="s">
        <v>1429</v>
      </c>
      <c r="U92" s="35" t="s">
        <v>1430</v>
      </c>
      <c r="V92" s="34" t="s">
        <v>99</v>
      </c>
      <c r="W92" s="34" t="s">
        <v>100</v>
      </c>
      <c r="X92" s="37" t="s">
        <v>100</v>
      </c>
      <c r="Y92" s="34" t="s">
        <v>74</v>
      </c>
      <c r="Z92" s="34" t="s">
        <v>57</v>
      </c>
      <c r="AA92" s="34">
        <v>2002.0</v>
      </c>
      <c r="AB92" s="34">
        <v>2006.0</v>
      </c>
      <c r="AC92" s="34" t="s">
        <v>180</v>
      </c>
      <c r="AD92" s="34" t="s">
        <v>72</v>
      </c>
      <c r="AE92" s="34" t="s">
        <v>69</v>
      </c>
      <c r="AF92" s="34" t="s">
        <v>74</v>
      </c>
      <c r="AG92" s="34" t="s">
        <v>104</v>
      </c>
      <c r="AH92" s="34" t="s">
        <v>105</v>
      </c>
      <c r="AI92" s="34" t="s">
        <v>336</v>
      </c>
      <c r="AJ92" s="34" t="s">
        <v>336</v>
      </c>
      <c r="AK92" s="34" t="s">
        <v>1431</v>
      </c>
      <c r="AL92" s="34" t="s">
        <v>128</v>
      </c>
      <c r="AM92" s="34" t="s">
        <v>129</v>
      </c>
      <c r="AN92" s="34" t="s">
        <v>1432</v>
      </c>
      <c r="AO92" s="34" t="s">
        <v>1433</v>
      </c>
      <c r="AP92" s="34" t="s">
        <v>109</v>
      </c>
      <c r="AQ92" s="56" t="s">
        <v>1434</v>
      </c>
      <c r="AR92" s="56" t="s">
        <v>201</v>
      </c>
      <c r="AS92" s="57"/>
    </row>
    <row r="93">
      <c r="A93" s="32">
        <v>172.0</v>
      </c>
      <c r="B93" s="33">
        <v>3.64026477E8</v>
      </c>
      <c r="C93" s="34" t="s">
        <v>1435</v>
      </c>
      <c r="D93" s="34" t="s">
        <v>1436</v>
      </c>
      <c r="E93" s="34" t="s">
        <v>1437</v>
      </c>
      <c r="F93" s="34" t="s">
        <v>992</v>
      </c>
      <c r="G93" s="35" t="s">
        <v>1438</v>
      </c>
      <c r="H93" s="36">
        <v>2018.0</v>
      </c>
      <c r="I93" s="34" t="s">
        <v>207</v>
      </c>
      <c r="J93" s="34" t="s">
        <v>55</v>
      </c>
      <c r="K93" s="34" t="s">
        <v>1439</v>
      </c>
      <c r="L93" s="34" t="s">
        <v>57</v>
      </c>
      <c r="M93" s="34" t="s">
        <v>992</v>
      </c>
      <c r="N93" s="34" t="s">
        <v>1364</v>
      </c>
      <c r="O93" s="34" t="s">
        <v>1440</v>
      </c>
      <c r="P93" s="34" t="s">
        <v>554</v>
      </c>
      <c r="Q93" s="34" t="s">
        <v>1441</v>
      </c>
      <c r="R93" s="34" t="s">
        <v>1442</v>
      </c>
      <c r="S93" s="34" t="s">
        <v>96</v>
      </c>
      <c r="T93" s="34" t="s">
        <v>1443</v>
      </c>
      <c r="U93" s="35" t="s">
        <v>1444</v>
      </c>
      <c r="V93" s="34" t="s">
        <v>99</v>
      </c>
      <c r="W93" s="34" t="s">
        <v>100</v>
      </c>
      <c r="X93" s="37" t="s">
        <v>100</v>
      </c>
      <c r="Y93" s="34" t="s">
        <v>74</v>
      </c>
      <c r="Z93" s="34" t="s">
        <v>57</v>
      </c>
      <c r="AA93" s="34">
        <v>2014.0</v>
      </c>
      <c r="AB93" s="34">
        <v>2015.0</v>
      </c>
      <c r="AC93" s="34" t="s">
        <v>102</v>
      </c>
      <c r="AD93" s="34" t="s">
        <v>214</v>
      </c>
      <c r="AE93" s="34" t="s">
        <v>69</v>
      </c>
      <c r="AF93" s="34" t="s">
        <v>74</v>
      </c>
      <c r="AG93" s="34" t="s">
        <v>104</v>
      </c>
      <c r="AH93" s="34" t="s">
        <v>105</v>
      </c>
      <c r="AI93" s="34" t="s">
        <v>1231</v>
      </c>
      <c r="AJ93" s="34" t="s">
        <v>107</v>
      </c>
      <c r="AK93" s="34" t="s">
        <v>1445</v>
      </c>
      <c r="AL93" s="34" t="s">
        <v>128</v>
      </c>
      <c r="AM93" s="34" t="s">
        <v>895</v>
      </c>
      <c r="AN93" s="34" t="s">
        <v>1446</v>
      </c>
      <c r="AO93" s="39"/>
      <c r="AP93" s="34" t="s">
        <v>109</v>
      </c>
      <c r="AQ93" s="56" t="s">
        <v>1447</v>
      </c>
      <c r="AR93" s="56" t="s">
        <v>201</v>
      </c>
      <c r="AS93" s="58" t="s">
        <v>1448</v>
      </c>
    </row>
    <row r="94">
      <c r="A94" s="32">
        <v>173.0</v>
      </c>
      <c r="B94" s="33">
        <v>3.64026457E8</v>
      </c>
      <c r="C94" s="34" t="s">
        <v>1449</v>
      </c>
      <c r="D94" s="34" t="s">
        <v>1450</v>
      </c>
      <c r="E94" s="34" t="s">
        <v>1451</v>
      </c>
      <c r="F94" s="34" t="s">
        <v>1452</v>
      </c>
      <c r="G94" s="35" t="s">
        <v>1453</v>
      </c>
      <c r="H94" s="36">
        <v>2021.0</v>
      </c>
      <c r="I94" s="34" t="s">
        <v>207</v>
      </c>
      <c r="J94" s="34" t="s">
        <v>55</v>
      </c>
      <c r="K94" s="34" t="s">
        <v>1454</v>
      </c>
      <c r="L94" s="34" t="s">
        <v>57</v>
      </c>
      <c r="M94" s="34" t="s">
        <v>1455</v>
      </c>
      <c r="N94" s="34" t="s">
        <v>1456</v>
      </c>
      <c r="O94" s="34" t="s">
        <v>1457</v>
      </c>
      <c r="P94" s="34" t="s">
        <v>93</v>
      </c>
      <c r="Q94" s="34" t="s">
        <v>1458</v>
      </c>
      <c r="R94" s="34" t="s">
        <v>1459</v>
      </c>
      <c r="S94" s="34" t="s">
        <v>63</v>
      </c>
      <c r="T94" s="34" t="s">
        <v>351</v>
      </c>
      <c r="U94" s="35" t="s">
        <v>1460</v>
      </c>
      <c r="V94" s="34" t="s">
        <v>99</v>
      </c>
      <c r="W94" s="34" t="s">
        <v>100</v>
      </c>
      <c r="X94" s="37" t="s">
        <v>100</v>
      </c>
      <c r="Y94" s="34" t="s">
        <v>74</v>
      </c>
      <c r="Z94" s="34" t="s">
        <v>57</v>
      </c>
      <c r="AA94" s="34">
        <v>2017.0</v>
      </c>
      <c r="AB94" s="34">
        <v>2017.0</v>
      </c>
      <c r="AC94" s="34" t="s">
        <v>144</v>
      </c>
      <c r="AD94" s="34" t="s">
        <v>144</v>
      </c>
      <c r="AE94" s="34" t="s">
        <v>69</v>
      </c>
      <c r="AF94" s="34" t="s">
        <v>74</v>
      </c>
      <c r="AG94" s="34" t="s">
        <v>104</v>
      </c>
      <c r="AH94" s="34" t="s">
        <v>1461</v>
      </c>
      <c r="AI94" s="34" t="s">
        <v>1462</v>
      </c>
      <c r="AJ94" s="34" t="s">
        <v>147</v>
      </c>
      <c r="AK94" s="34" t="s">
        <v>1463</v>
      </c>
      <c r="AL94" s="34" t="s">
        <v>128</v>
      </c>
      <c r="AM94" s="34" t="s">
        <v>129</v>
      </c>
      <c r="AN94" s="34" t="s">
        <v>1464</v>
      </c>
      <c r="AO94" s="39"/>
      <c r="AP94" s="34" t="s">
        <v>109</v>
      </c>
      <c r="AQ94" s="56" t="s">
        <v>1465</v>
      </c>
      <c r="AR94" s="56" t="s">
        <v>201</v>
      </c>
      <c r="AS94" s="58"/>
    </row>
    <row r="95">
      <c r="A95" s="32">
        <v>174.0</v>
      </c>
      <c r="B95" s="33">
        <v>3.64026483E8</v>
      </c>
      <c r="C95" s="34" t="s">
        <v>1466</v>
      </c>
      <c r="D95" s="34" t="s">
        <v>1467</v>
      </c>
      <c r="E95" s="38" t="s">
        <v>1468</v>
      </c>
      <c r="F95" s="34" t="s">
        <v>992</v>
      </c>
      <c r="G95" s="43" t="s">
        <v>1469</v>
      </c>
      <c r="H95" s="36">
        <v>2007.0</v>
      </c>
      <c r="I95" s="34" t="s">
        <v>686</v>
      </c>
      <c r="J95" s="34" t="s">
        <v>55</v>
      </c>
      <c r="K95" s="34" t="s">
        <v>1470</v>
      </c>
      <c r="L95" s="34" t="s">
        <v>57</v>
      </c>
      <c r="M95" s="34" t="s">
        <v>992</v>
      </c>
      <c r="N95" s="34" t="s">
        <v>1471</v>
      </c>
      <c r="O95" s="34" t="s">
        <v>1472</v>
      </c>
      <c r="P95" s="34" t="s">
        <v>554</v>
      </c>
      <c r="Q95" s="34" t="s">
        <v>57</v>
      </c>
      <c r="R95" s="34" t="s">
        <v>57</v>
      </c>
      <c r="S95" s="34" t="s">
        <v>96</v>
      </c>
      <c r="T95" s="34" t="s">
        <v>1473</v>
      </c>
      <c r="U95" s="35" t="s">
        <v>1474</v>
      </c>
      <c r="V95" s="34" t="s">
        <v>99</v>
      </c>
      <c r="W95" s="34" t="s">
        <v>100</v>
      </c>
      <c r="X95" s="37" t="s">
        <v>100</v>
      </c>
      <c r="Y95" s="34" t="s">
        <v>74</v>
      </c>
      <c r="Z95" s="34" t="s">
        <v>57</v>
      </c>
      <c r="AA95" s="34">
        <v>2001.0</v>
      </c>
      <c r="AB95" s="34">
        <v>2003.0</v>
      </c>
      <c r="AC95" s="34" t="s">
        <v>57</v>
      </c>
      <c r="AD95" s="34" t="s">
        <v>57</v>
      </c>
      <c r="AE95" s="34" t="s">
        <v>69</v>
      </c>
      <c r="AF95" s="34" t="s">
        <v>74</v>
      </c>
      <c r="AG95" s="34" t="s">
        <v>104</v>
      </c>
      <c r="AH95" s="34" t="s">
        <v>105</v>
      </c>
      <c r="AI95" s="34" t="s">
        <v>1231</v>
      </c>
      <c r="AJ95" s="34" t="s">
        <v>107</v>
      </c>
      <c r="AK95" s="34" t="s">
        <v>1475</v>
      </c>
      <c r="AL95" s="34" t="s">
        <v>79</v>
      </c>
      <c r="AM95" s="34" t="s">
        <v>57</v>
      </c>
      <c r="AN95" s="34" t="s">
        <v>57</v>
      </c>
      <c r="AO95" s="34" t="s">
        <v>1476</v>
      </c>
      <c r="AP95" s="34" t="s">
        <v>109</v>
      </c>
      <c r="AQ95" s="56" t="s">
        <v>1477</v>
      </c>
      <c r="AR95" s="56" t="s">
        <v>201</v>
      </c>
      <c r="AS95" s="58" t="s">
        <v>1478</v>
      </c>
    </row>
    <row r="96">
      <c r="A96" s="32">
        <v>175.0</v>
      </c>
      <c r="B96" s="33">
        <v>3.6402647E8</v>
      </c>
      <c r="C96" s="34" t="s">
        <v>1479</v>
      </c>
      <c r="D96" s="34" t="s">
        <v>1480</v>
      </c>
      <c r="E96" s="34" t="s">
        <v>1481</v>
      </c>
      <c r="F96" s="34" t="s">
        <v>114</v>
      </c>
      <c r="G96" s="35" t="s">
        <v>1482</v>
      </c>
      <c r="H96" s="36">
        <v>2013.0</v>
      </c>
      <c r="I96" s="34" t="s">
        <v>295</v>
      </c>
      <c r="J96" s="34" t="s">
        <v>55</v>
      </c>
      <c r="K96" s="34" t="s">
        <v>1483</v>
      </c>
      <c r="L96" s="34" t="s">
        <v>57</v>
      </c>
      <c r="M96" s="34" t="s">
        <v>114</v>
      </c>
      <c r="N96" s="34" t="s">
        <v>1484</v>
      </c>
      <c r="O96" s="34" t="s">
        <v>1485</v>
      </c>
      <c r="P96" s="34" t="s">
        <v>93</v>
      </c>
      <c r="Q96" s="34" t="s">
        <v>1486</v>
      </c>
      <c r="R96" s="34" t="s">
        <v>1487</v>
      </c>
      <c r="S96" s="34" t="s">
        <v>63</v>
      </c>
      <c r="T96" s="34" t="s">
        <v>1488</v>
      </c>
      <c r="U96" s="35" t="s">
        <v>1489</v>
      </c>
      <c r="V96" s="34" t="s">
        <v>99</v>
      </c>
      <c r="W96" s="34" t="s">
        <v>100</v>
      </c>
      <c r="X96" s="37" t="s">
        <v>100</v>
      </c>
      <c r="Y96" s="34" t="s">
        <v>69</v>
      </c>
      <c r="Z96" s="34" t="s">
        <v>1490</v>
      </c>
      <c r="AA96" s="34">
        <v>2005.0</v>
      </c>
      <c r="AB96" s="34">
        <v>2009.0</v>
      </c>
      <c r="AC96" s="34" t="s">
        <v>57</v>
      </c>
      <c r="AD96" s="34" t="s">
        <v>57</v>
      </c>
      <c r="AE96" s="34" t="s">
        <v>69</v>
      </c>
      <c r="AF96" s="34" t="s">
        <v>69</v>
      </c>
      <c r="AG96" s="34" t="s">
        <v>104</v>
      </c>
      <c r="AH96" s="34" t="s">
        <v>105</v>
      </c>
      <c r="AI96" s="34" t="s">
        <v>336</v>
      </c>
      <c r="AJ96" s="34" t="s">
        <v>336</v>
      </c>
      <c r="AK96" s="34" t="s">
        <v>1491</v>
      </c>
      <c r="AL96" s="34" t="s">
        <v>128</v>
      </c>
      <c r="AM96" s="34" t="s">
        <v>129</v>
      </c>
      <c r="AN96" s="34" t="s">
        <v>1492</v>
      </c>
      <c r="AO96" s="39"/>
      <c r="AP96" s="34" t="s">
        <v>109</v>
      </c>
      <c r="AQ96" s="56" t="s">
        <v>1493</v>
      </c>
      <c r="AR96" s="56" t="s">
        <v>201</v>
      </c>
      <c r="AS96" s="58" t="s">
        <v>1494</v>
      </c>
    </row>
    <row r="97">
      <c r="A97" s="32">
        <v>177.0</v>
      </c>
      <c r="B97" s="33">
        <v>3.6402644E8</v>
      </c>
      <c r="C97" s="34" t="s">
        <v>1495</v>
      </c>
      <c r="D97" s="34" t="s">
        <v>1496</v>
      </c>
      <c r="E97" s="34" t="s">
        <v>1497</v>
      </c>
      <c r="F97" s="34" t="s">
        <v>1455</v>
      </c>
      <c r="G97" s="35" t="s">
        <v>1498</v>
      </c>
      <c r="H97" s="36">
        <v>2021.0</v>
      </c>
      <c r="I97" s="34" t="s">
        <v>1499</v>
      </c>
      <c r="J97" s="34" t="s">
        <v>55</v>
      </c>
      <c r="K97" s="34" t="s">
        <v>1500</v>
      </c>
      <c r="L97" s="34" t="s">
        <v>57</v>
      </c>
      <c r="M97" s="34" t="s">
        <v>1455</v>
      </c>
      <c r="N97" s="34" t="s">
        <v>1501</v>
      </c>
      <c r="O97" s="34" t="s">
        <v>1502</v>
      </c>
      <c r="P97" s="34" t="s">
        <v>93</v>
      </c>
      <c r="Q97" s="34" t="s">
        <v>1503</v>
      </c>
      <c r="R97" s="34" t="s">
        <v>1504</v>
      </c>
      <c r="S97" s="34" t="s">
        <v>96</v>
      </c>
      <c r="T97" s="34" t="s">
        <v>178</v>
      </c>
      <c r="U97" s="35" t="s">
        <v>1505</v>
      </c>
      <c r="V97" s="34" t="s">
        <v>99</v>
      </c>
      <c r="W97" s="34" t="s">
        <v>100</v>
      </c>
      <c r="X97" s="37" t="s">
        <v>100</v>
      </c>
      <c r="Y97" s="34" t="s">
        <v>74</v>
      </c>
      <c r="Z97" s="34" t="s">
        <v>57</v>
      </c>
      <c r="AA97" s="34">
        <v>2017.0</v>
      </c>
      <c r="AB97" s="34">
        <v>2018.0</v>
      </c>
      <c r="AC97" s="34" t="s">
        <v>103</v>
      </c>
      <c r="AD97" s="34" t="s">
        <v>71</v>
      </c>
      <c r="AE97" s="34" t="s">
        <v>69</v>
      </c>
      <c r="AF97" s="34" t="s">
        <v>69</v>
      </c>
      <c r="AG97" s="34" t="s">
        <v>104</v>
      </c>
      <c r="AH97" s="34" t="s">
        <v>105</v>
      </c>
      <c r="AI97" s="34" t="s">
        <v>336</v>
      </c>
      <c r="AJ97" s="34" t="s">
        <v>336</v>
      </c>
      <c r="AK97" s="34" t="s">
        <v>1506</v>
      </c>
      <c r="AL97" s="34" t="s">
        <v>128</v>
      </c>
      <c r="AM97" s="34" t="s">
        <v>129</v>
      </c>
      <c r="AN97" s="34" t="s">
        <v>1507</v>
      </c>
      <c r="AO97" s="39"/>
      <c r="AP97" s="34" t="s">
        <v>109</v>
      </c>
      <c r="AQ97" s="56" t="s">
        <v>1508</v>
      </c>
      <c r="AR97" s="56" t="s">
        <v>201</v>
      </c>
      <c r="AS97" s="58" t="s">
        <v>1509</v>
      </c>
    </row>
    <row r="98">
      <c r="A98" s="32">
        <v>180.0</v>
      </c>
      <c r="B98" s="33">
        <v>3.64026246E8</v>
      </c>
      <c r="C98" s="34" t="s">
        <v>1510</v>
      </c>
      <c r="D98" s="34" t="s">
        <v>1511</v>
      </c>
      <c r="E98" s="38" t="s">
        <v>1512</v>
      </c>
      <c r="F98" s="34" t="s">
        <v>381</v>
      </c>
      <c r="G98" s="43" t="s">
        <v>1513</v>
      </c>
      <c r="H98" s="36">
        <v>2021.0</v>
      </c>
      <c r="I98" s="38" t="s">
        <v>796</v>
      </c>
      <c r="J98" s="34" t="s">
        <v>55</v>
      </c>
      <c r="K98" s="34" t="s">
        <v>1514</v>
      </c>
      <c r="L98" s="34" t="s">
        <v>57</v>
      </c>
      <c r="M98" s="34" t="s">
        <v>381</v>
      </c>
      <c r="N98" s="34" t="s">
        <v>1515</v>
      </c>
      <c r="O98" s="34" t="s">
        <v>1516</v>
      </c>
      <c r="P98" s="34" t="s">
        <v>93</v>
      </c>
      <c r="Q98" s="38" t="s">
        <v>1517</v>
      </c>
      <c r="R98" s="38" t="s">
        <v>1518</v>
      </c>
      <c r="S98" s="34" t="s">
        <v>96</v>
      </c>
      <c r="T98" s="34" t="s">
        <v>1308</v>
      </c>
      <c r="U98" s="35" t="s">
        <v>1519</v>
      </c>
      <c r="V98" s="34" t="s">
        <v>99</v>
      </c>
      <c r="W98" s="34" t="s">
        <v>100</v>
      </c>
      <c r="X98" s="37" t="s">
        <v>100</v>
      </c>
      <c r="Y98" s="34" t="s">
        <v>74</v>
      </c>
      <c r="Z98" s="34" t="s">
        <v>57</v>
      </c>
      <c r="AA98" s="34">
        <v>2015.0</v>
      </c>
      <c r="AB98" s="34">
        <v>2016.0</v>
      </c>
      <c r="AC98" s="34" t="s">
        <v>264</v>
      </c>
      <c r="AD98" s="34" t="s">
        <v>692</v>
      </c>
      <c r="AE98" s="34" t="s">
        <v>69</v>
      </c>
      <c r="AF98" s="34" t="s">
        <v>74</v>
      </c>
      <c r="AG98" s="34" t="s">
        <v>104</v>
      </c>
      <c r="AH98" s="34" t="s">
        <v>105</v>
      </c>
      <c r="AI98" s="34" t="s">
        <v>336</v>
      </c>
      <c r="AJ98" s="34" t="s">
        <v>336</v>
      </c>
      <c r="AK98" s="34" t="s">
        <v>1520</v>
      </c>
      <c r="AL98" s="34" t="s">
        <v>128</v>
      </c>
      <c r="AM98" s="34" t="s">
        <v>129</v>
      </c>
      <c r="AN98" s="34" t="s">
        <v>1521</v>
      </c>
      <c r="AO98" s="39"/>
      <c r="AP98" s="34" t="s">
        <v>1522</v>
      </c>
      <c r="AQ98" s="56" t="s">
        <v>1523</v>
      </c>
      <c r="AR98" s="56" t="s">
        <v>201</v>
      </c>
      <c r="AS98" s="58" t="s">
        <v>1524</v>
      </c>
    </row>
    <row r="99">
      <c r="A99" s="32">
        <v>181.0</v>
      </c>
      <c r="B99" s="33">
        <v>3.64026279E8</v>
      </c>
      <c r="C99" s="34" t="s">
        <v>1525</v>
      </c>
      <c r="D99" s="34" t="s">
        <v>1526</v>
      </c>
      <c r="E99" s="34" t="s">
        <v>1527</v>
      </c>
      <c r="F99" s="34" t="s">
        <v>992</v>
      </c>
      <c r="G99" s="35" t="s">
        <v>1528</v>
      </c>
      <c r="H99" s="36">
        <v>2001.0</v>
      </c>
      <c r="I99" s="34" t="s">
        <v>1529</v>
      </c>
      <c r="J99" s="34" t="s">
        <v>55</v>
      </c>
      <c r="K99" s="34" t="s">
        <v>57</v>
      </c>
      <c r="L99" s="34" t="s">
        <v>57</v>
      </c>
      <c r="M99" s="34" t="s">
        <v>992</v>
      </c>
      <c r="N99" s="34" t="s">
        <v>1530</v>
      </c>
      <c r="O99" s="34" t="s">
        <v>1531</v>
      </c>
      <c r="P99" s="34" t="s">
        <v>554</v>
      </c>
      <c r="Q99" s="34" t="s">
        <v>57</v>
      </c>
      <c r="R99" s="34" t="s">
        <v>57</v>
      </c>
      <c r="S99" s="34" t="s">
        <v>96</v>
      </c>
      <c r="T99" s="34" t="s">
        <v>766</v>
      </c>
      <c r="U99" s="35" t="s">
        <v>1532</v>
      </c>
      <c r="V99" s="34" t="s">
        <v>99</v>
      </c>
      <c r="W99" s="34" t="s">
        <v>100</v>
      </c>
      <c r="X99" s="37" t="s">
        <v>100</v>
      </c>
      <c r="Y99" s="34" t="s">
        <v>74</v>
      </c>
      <c r="Z99" s="34" t="s">
        <v>57</v>
      </c>
      <c r="AA99" s="34">
        <v>1995.0</v>
      </c>
      <c r="AB99" s="34">
        <v>1995.0</v>
      </c>
      <c r="AC99" s="34" t="s">
        <v>542</v>
      </c>
      <c r="AD99" s="34" t="s">
        <v>214</v>
      </c>
      <c r="AE99" s="34" t="s">
        <v>69</v>
      </c>
      <c r="AF99" s="34" t="s">
        <v>74</v>
      </c>
      <c r="AG99" s="34" t="s">
        <v>104</v>
      </c>
      <c r="AH99" s="34" t="s">
        <v>105</v>
      </c>
      <c r="AI99" s="34" t="s">
        <v>1231</v>
      </c>
      <c r="AJ99" s="34" t="s">
        <v>107</v>
      </c>
      <c r="AK99" s="34" t="s">
        <v>1533</v>
      </c>
      <c r="AL99" s="34" t="s">
        <v>128</v>
      </c>
      <c r="AM99" s="34" t="s">
        <v>198</v>
      </c>
      <c r="AN99" s="34" t="s">
        <v>1534</v>
      </c>
      <c r="AO99" s="34" t="s">
        <v>1535</v>
      </c>
      <c r="AP99" s="34" t="s">
        <v>109</v>
      </c>
      <c r="AQ99" s="56" t="s">
        <v>1536</v>
      </c>
      <c r="AR99" s="56" t="s">
        <v>201</v>
      </c>
      <c r="AS99" s="56"/>
    </row>
    <row r="100">
      <c r="A100" s="32">
        <v>182.0</v>
      </c>
      <c r="B100" s="33">
        <v>3.64026652E8</v>
      </c>
      <c r="C100" s="34" t="s">
        <v>1537</v>
      </c>
      <c r="D100" s="34" t="s">
        <v>1538</v>
      </c>
      <c r="E100" s="34" t="s">
        <v>1539</v>
      </c>
      <c r="F100" s="34" t="s">
        <v>992</v>
      </c>
      <c r="G100" s="35" t="s">
        <v>1540</v>
      </c>
      <c r="H100" s="36">
        <v>2012.0</v>
      </c>
      <c r="I100" s="34" t="s">
        <v>1541</v>
      </c>
      <c r="J100" s="34" t="s">
        <v>55</v>
      </c>
      <c r="K100" s="34" t="s">
        <v>1542</v>
      </c>
      <c r="L100" s="34" t="s">
        <v>57</v>
      </c>
      <c r="M100" s="34" t="s">
        <v>992</v>
      </c>
      <c r="N100" s="34" t="s">
        <v>1530</v>
      </c>
      <c r="O100" s="34" t="s">
        <v>1543</v>
      </c>
      <c r="P100" s="34" t="s">
        <v>554</v>
      </c>
      <c r="Q100" s="34" t="s">
        <v>57</v>
      </c>
      <c r="R100" s="34" t="s">
        <v>57</v>
      </c>
      <c r="S100" s="34" t="s">
        <v>96</v>
      </c>
      <c r="T100" s="34" t="s">
        <v>1389</v>
      </c>
      <c r="U100" s="35" t="s">
        <v>1544</v>
      </c>
      <c r="V100" s="34" t="s">
        <v>99</v>
      </c>
      <c r="W100" s="34" t="s">
        <v>100</v>
      </c>
      <c r="X100" s="37" t="s">
        <v>100</v>
      </c>
      <c r="Y100" s="34" t="s">
        <v>74</v>
      </c>
      <c r="Z100" s="34" t="s">
        <v>57</v>
      </c>
      <c r="AA100" s="34">
        <v>2010.0</v>
      </c>
      <c r="AB100" s="34">
        <v>2010.0</v>
      </c>
      <c r="AC100" s="34" t="s">
        <v>57</v>
      </c>
      <c r="AD100" s="34" t="s">
        <v>57</v>
      </c>
      <c r="AE100" s="34" t="s">
        <v>69</v>
      </c>
      <c r="AF100" s="34" t="s">
        <v>74</v>
      </c>
      <c r="AG100" s="34" t="s">
        <v>104</v>
      </c>
      <c r="AH100" s="34" t="s">
        <v>105</v>
      </c>
      <c r="AI100" s="34" t="s">
        <v>336</v>
      </c>
      <c r="AJ100" s="34" t="s">
        <v>336</v>
      </c>
      <c r="AK100" s="34" t="s">
        <v>1545</v>
      </c>
      <c r="AL100" s="34" t="s">
        <v>128</v>
      </c>
      <c r="AM100" s="34" t="s">
        <v>129</v>
      </c>
      <c r="AN100" s="34" t="s">
        <v>1546</v>
      </c>
      <c r="AO100" s="39"/>
      <c r="AP100" s="34" t="s">
        <v>109</v>
      </c>
      <c r="AQ100" s="56" t="s">
        <v>1547</v>
      </c>
      <c r="AR100" s="56" t="s">
        <v>201</v>
      </c>
      <c r="AS100" s="57"/>
    </row>
    <row r="101">
      <c r="A101" s="32">
        <v>184.0</v>
      </c>
      <c r="B101" s="33">
        <v>3.64026283E8</v>
      </c>
      <c r="C101" s="34" t="s">
        <v>1548</v>
      </c>
      <c r="D101" s="38" t="s">
        <v>1549</v>
      </c>
      <c r="E101" s="34" t="s">
        <v>1550</v>
      </c>
      <c r="F101" s="34" t="s">
        <v>489</v>
      </c>
      <c r="G101" s="35" t="s">
        <v>1551</v>
      </c>
      <c r="H101" s="36">
        <v>2006.0</v>
      </c>
      <c r="I101" s="34" t="s">
        <v>829</v>
      </c>
      <c r="J101" s="34" t="s">
        <v>55</v>
      </c>
      <c r="K101" s="34" t="s">
        <v>1552</v>
      </c>
      <c r="L101" s="34" t="s">
        <v>57</v>
      </c>
      <c r="M101" s="34" t="s">
        <v>489</v>
      </c>
      <c r="N101" s="34" t="s">
        <v>1553</v>
      </c>
      <c r="O101" s="34" t="s">
        <v>1554</v>
      </c>
      <c r="P101" s="34" t="s">
        <v>93</v>
      </c>
      <c r="Q101" s="34" t="s">
        <v>1555</v>
      </c>
      <c r="R101" s="34" t="s">
        <v>1556</v>
      </c>
      <c r="S101" s="34" t="s">
        <v>63</v>
      </c>
      <c r="T101" s="34" t="s">
        <v>1557</v>
      </c>
      <c r="U101" s="35" t="s">
        <v>1558</v>
      </c>
      <c r="V101" s="34" t="s">
        <v>99</v>
      </c>
      <c r="W101" s="34" t="s">
        <v>100</v>
      </c>
      <c r="X101" s="37" t="s">
        <v>100</v>
      </c>
      <c r="Y101" s="34" t="s">
        <v>74</v>
      </c>
      <c r="Z101" s="34" t="s">
        <v>57</v>
      </c>
      <c r="AA101" s="34">
        <v>2003.0</v>
      </c>
      <c r="AB101" s="34">
        <v>2003.0</v>
      </c>
      <c r="AC101" s="34" t="s">
        <v>144</v>
      </c>
      <c r="AD101" s="34" t="s">
        <v>180</v>
      </c>
      <c r="AE101" s="34" t="s">
        <v>69</v>
      </c>
      <c r="AF101" s="34" t="s">
        <v>69</v>
      </c>
      <c r="AG101" s="34" t="s">
        <v>104</v>
      </c>
      <c r="AH101" s="34" t="s">
        <v>105</v>
      </c>
      <c r="AI101" s="34" t="s">
        <v>336</v>
      </c>
      <c r="AJ101" s="34" t="s">
        <v>336</v>
      </c>
      <c r="AK101" s="34" t="s">
        <v>1559</v>
      </c>
      <c r="AL101" s="34" t="s">
        <v>79</v>
      </c>
      <c r="AM101" s="34" t="s">
        <v>57</v>
      </c>
      <c r="AN101" s="34" t="s">
        <v>57</v>
      </c>
      <c r="AO101" s="39"/>
      <c r="AP101" s="34" t="s">
        <v>109</v>
      </c>
      <c r="AQ101" s="56" t="s">
        <v>1560</v>
      </c>
      <c r="AR101" s="56" t="s">
        <v>201</v>
      </c>
      <c r="AS101" s="58"/>
    </row>
    <row r="102">
      <c r="A102" s="32">
        <v>186.0</v>
      </c>
      <c r="B102" s="33">
        <v>3.64026435E8</v>
      </c>
      <c r="C102" s="34" t="s">
        <v>1561</v>
      </c>
      <c r="D102" s="34" t="s">
        <v>1562</v>
      </c>
      <c r="E102" s="34" t="s">
        <v>1563</v>
      </c>
      <c r="F102" s="34" t="s">
        <v>489</v>
      </c>
      <c r="G102" s="35" t="s">
        <v>1564</v>
      </c>
      <c r="H102" s="36">
        <v>2012.0</v>
      </c>
      <c r="I102" s="34" t="s">
        <v>295</v>
      </c>
      <c r="J102" s="34" t="s">
        <v>55</v>
      </c>
      <c r="K102" s="34" t="s">
        <v>1565</v>
      </c>
      <c r="L102" s="34" t="s">
        <v>57</v>
      </c>
      <c r="M102" s="34" t="s">
        <v>489</v>
      </c>
      <c r="N102" s="34" t="s">
        <v>1553</v>
      </c>
      <c r="O102" s="34" t="s">
        <v>1566</v>
      </c>
      <c r="P102" s="34" t="s">
        <v>93</v>
      </c>
      <c r="Q102" s="34" t="s">
        <v>57</v>
      </c>
      <c r="R102" s="34" t="s">
        <v>57</v>
      </c>
      <c r="S102" s="34" t="s">
        <v>63</v>
      </c>
      <c r="T102" s="34" t="s">
        <v>64</v>
      </c>
      <c r="U102" s="35" t="s">
        <v>1567</v>
      </c>
      <c r="V102" s="34" t="s">
        <v>99</v>
      </c>
      <c r="W102" s="34" t="s">
        <v>100</v>
      </c>
      <c r="X102" s="37" t="s">
        <v>100</v>
      </c>
      <c r="Y102" s="34" t="s">
        <v>74</v>
      </c>
      <c r="Z102" s="34" t="s">
        <v>57</v>
      </c>
      <c r="AA102" s="34">
        <v>2005.0</v>
      </c>
      <c r="AB102" s="34">
        <v>2008.0</v>
      </c>
      <c r="AC102" s="34" t="s">
        <v>214</v>
      </c>
      <c r="AD102" s="34" t="s">
        <v>72</v>
      </c>
      <c r="AE102" s="34" t="s">
        <v>69</v>
      </c>
      <c r="AF102" s="34" t="s">
        <v>74</v>
      </c>
      <c r="AG102" s="34" t="s">
        <v>104</v>
      </c>
      <c r="AH102" s="34" t="s">
        <v>105</v>
      </c>
      <c r="AI102" s="34" t="s">
        <v>336</v>
      </c>
      <c r="AJ102" s="34" t="s">
        <v>336</v>
      </c>
      <c r="AK102" s="34" t="s">
        <v>1568</v>
      </c>
      <c r="AL102" s="34" t="s">
        <v>128</v>
      </c>
      <c r="AM102" s="34" t="s">
        <v>129</v>
      </c>
      <c r="AN102" s="34" t="s">
        <v>1569</v>
      </c>
      <c r="AO102" s="39"/>
      <c r="AP102" s="34" t="s">
        <v>109</v>
      </c>
      <c r="AQ102" s="56" t="s">
        <v>1570</v>
      </c>
      <c r="AR102" s="56" t="s">
        <v>201</v>
      </c>
      <c r="AS102" s="58" t="s">
        <v>1571</v>
      </c>
    </row>
    <row r="103">
      <c r="A103" s="32">
        <v>187.0</v>
      </c>
      <c r="B103" s="33">
        <v>3.64026461E8</v>
      </c>
      <c r="C103" s="34" t="s">
        <v>1572</v>
      </c>
      <c r="D103" s="34" t="s">
        <v>1573</v>
      </c>
      <c r="E103" s="34" t="s">
        <v>1574</v>
      </c>
      <c r="F103" s="34" t="s">
        <v>760</v>
      </c>
      <c r="G103" s="35" t="s">
        <v>1575</v>
      </c>
      <c r="H103" s="36">
        <v>2014.0</v>
      </c>
      <c r="I103" s="34" t="s">
        <v>207</v>
      </c>
      <c r="J103" s="34" t="s">
        <v>55</v>
      </c>
      <c r="K103" s="34" t="s">
        <v>1576</v>
      </c>
      <c r="L103" s="34" t="s">
        <v>57</v>
      </c>
      <c r="M103" s="34" t="s">
        <v>760</v>
      </c>
      <c r="N103" s="34" t="s">
        <v>1577</v>
      </c>
      <c r="O103" s="34" t="s">
        <v>1578</v>
      </c>
      <c r="P103" s="34" t="s">
        <v>93</v>
      </c>
      <c r="Q103" s="34" t="s">
        <v>57</v>
      </c>
      <c r="R103" s="34" t="s">
        <v>57</v>
      </c>
      <c r="S103" s="34" t="s">
        <v>63</v>
      </c>
      <c r="T103" s="34" t="s">
        <v>1579</v>
      </c>
      <c r="U103" s="35" t="s">
        <v>1580</v>
      </c>
      <c r="V103" s="34" t="s">
        <v>99</v>
      </c>
      <c r="W103" s="34" t="s">
        <v>100</v>
      </c>
      <c r="X103" s="37" t="s">
        <v>100</v>
      </c>
      <c r="Y103" s="34" t="s">
        <v>74</v>
      </c>
      <c r="Z103" s="34" t="s">
        <v>57</v>
      </c>
      <c r="AA103" s="34">
        <v>2007.0</v>
      </c>
      <c r="AB103" s="34">
        <v>2009.0</v>
      </c>
      <c r="AC103" s="34" t="s">
        <v>57</v>
      </c>
      <c r="AD103" s="34" t="s">
        <v>57</v>
      </c>
      <c r="AE103" s="34" t="s">
        <v>69</v>
      </c>
      <c r="AF103" s="34" t="s">
        <v>69</v>
      </c>
      <c r="AG103" s="34" t="s">
        <v>104</v>
      </c>
      <c r="AH103" s="34" t="s">
        <v>105</v>
      </c>
      <c r="AI103" s="34" t="s">
        <v>336</v>
      </c>
      <c r="AJ103" s="34" t="s">
        <v>336</v>
      </c>
      <c r="AK103" s="34" t="s">
        <v>1581</v>
      </c>
      <c r="AL103" s="34" t="s">
        <v>128</v>
      </c>
      <c r="AM103" s="34" t="s">
        <v>129</v>
      </c>
      <c r="AN103" s="34" t="s">
        <v>1582</v>
      </c>
      <c r="AO103" s="39"/>
      <c r="AP103" s="34" t="s">
        <v>109</v>
      </c>
      <c r="AQ103" s="56" t="s">
        <v>1583</v>
      </c>
      <c r="AR103" s="56" t="s">
        <v>201</v>
      </c>
      <c r="AS103" s="57"/>
    </row>
    <row r="104">
      <c r="A104" s="32">
        <v>188.0</v>
      </c>
      <c r="B104" s="33">
        <v>3.6402655E8</v>
      </c>
      <c r="C104" s="34" t="s">
        <v>1584</v>
      </c>
      <c r="D104" s="34" t="s">
        <v>1585</v>
      </c>
      <c r="E104" s="34" t="s">
        <v>1586</v>
      </c>
      <c r="F104" s="34" t="s">
        <v>114</v>
      </c>
      <c r="G104" s="43" t="s">
        <v>1587</v>
      </c>
      <c r="H104" s="36">
        <v>2021.0</v>
      </c>
      <c r="I104" s="34" t="s">
        <v>796</v>
      </c>
      <c r="J104" s="34" t="s">
        <v>55</v>
      </c>
      <c r="K104" s="34" t="s">
        <v>1588</v>
      </c>
      <c r="L104" s="34" t="s">
        <v>57</v>
      </c>
      <c r="M104" s="34" t="s">
        <v>114</v>
      </c>
      <c r="N104" s="34" t="s">
        <v>1589</v>
      </c>
      <c r="O104" s="34" t="s">
        <v>1590</v>
      </c>
      <c r="P104" s="34" t="s">
        <v>93</v>
      </c>
      <c r="Q104" s="34" t="s">
        <v>57</v>
      </c>
      <c r="R104" s="34" t="s">
        <v>57</v>
      </c>
      <c r="S104" s="34" t="s">
        <v>63</v>
      </c>
      <c r="T104" s="34" t="s">
        <v>229</v>
      </c>
      <c r="U104" s="35" t="s">
        <v>1591</v>
      </c>
      <c r="V104" s="34" t="s">
        <v>99</v>
      </c>
      <c r="W104" s="34" t="s">
        <v>100</v>
      </c>
      <c r="X104" s="37" t="s">
        <v>100</v>
      </c>
      <c r="Y104" s="34" t="s">
        <v>74</v>
      </c>
      <c r="Z104" s="34" t="s">
        <v>57</v>
      </c>
      <c r="AA104" s="34">
        <v>2014.0</v>
      </c>
      <c r="AB104" s="34">
        <v>2016.0</v>
      </c>
      <c r="AC104" s="34" t="s">
        <v>180</v>
      </c>
      <c r="AD104" s="34" t="s">
        <v>72</v>
      </c>
      <c r="AE104" s="34" t="s">
        <v>69</v>
      </c>
      <c r="AF104" s="34" t="s">
        <v>69</v>
      </c>
      <c r="AG104" s="34" t="s">
        <v>104</v>
      </c>
      <c r="AH104" s="34" t="s">
        <v>105</v>
      </c>
      <c r="AI104" s="34" t="s">
        <v>1231</v>
      </c>
      <c r="AJ104" s="34" t="s">
        <v>107</v>
      </c>
      <c r="AK104" s="34" t="s">
        <v>1592</v>
      </c>
      <c r="AL104" s="34" t="s">
        <v>128</v>
      </c>
      <c r="AM104" s="34" t="s">
        <v>129</v>
      </c>
      <c r="AN104" s="34" t="s">
        <v>1593</v>
      </c>
      <c r="AO104" s="39"/>
      <c r="AP104" s="34" t="s">
        <v>109</v>
      </c>
      <c r="AQ104" s="59" t="s">
        <v>1594</v>
      </c>
      <c r="AR104" s="59" t="s">
        <v>201</v>
      </c>
      <c r="AS104" s="60" t="s">
        <v>1595</v>
      </c>
    </row>
    <row r="105">
      <c r="A105" s="32">
        <v>189.0</v>
      </c>
      <c r="B105" s="33">
        <v>3.64026322E8</v>
      </c>
      <c r="C105" s="34" t="s">
        <v>1596</v>
      </c>
      <c r="D105" s="38" t="s">
        <v>1597</v>
      </c>
      <c r="E105" s="38" t="s">
        <v>1598</v>
      </c>
      <c r="F105" s="34" t="s">
        <v>1599</v>
      </c>
      <c r="G105" s="43" t="s">
        <v>1600</v>
      </c>
      <c r="H105" s="36">
        <v>2002.0</v>
      </c>
      <c r="I105" s="34" t="s">
        <v>1601</v>
      </c>
      <c r="J105" s="34" t="s">
        <v>55</v>
      </c>
      <c r="K105" s="34" t="s">
        <v>1602</v>
      </c>
      <c r="L105" s="34" t="s">
        <v>57</v>
      </c>
      <c r="M105" s="34" t="s">
        <v>1599</v>
      </c>
      <c r="N105" s="34" t="s">
        <v>1603</v>
      </c>
      <c r="O105" s="34" t="s">
        <v>1604</v>
      </c>
      <c r="P105" s="34" t="s">
        <v>93</v>
      </c>
      <c r="Q105" s="34" t="s">
        <v>57</v>
      </c>
      <c r="R105" s="34" t="s">
        <v>57</v>
      </c>
      <c r="S105" s="34" t="s">
        <v>96</v>
      </c>
      <c r="T105" s="34" t="s">
        <v>210</v>
      </c>
      <c r="U105" s="35" t="s">
        <v>1605</v>
      </c>
      <c r="V105" s="34" t="s">
        <v>99</v>
      </c>
      <c r="W105" s="34" t="s">
        <v>100</v>
      </c>
      <c r="X105" s="37" t="s">
        <v>100</v>
      </c>
      <c r="Y105" s="34" t="s">
        <v>69</v>
      </c>
      <c r="Z105" s="34" t="s">
        <v>1606</v>
      </c>
      <c r="AA105" s="34">
        <v>1992.0</v>
      </c>
      <c r="AB105" s="34">
        <v>1995.0</v>
      </c>
      <c r="AC105" s="34" t="s">
        <v>214</v>
      </c>
      <c r="AD105" s="34" t="s">
        <v>72</v>
      </c>
      <c r="AE105" s="34" t="s">
        <v>69</v>
      </c>
      <c r="AF105" s="34" t="s">
        <v>74</v>
      </c>
      <c r="AG105" s="34" t="s">
        <v>215</v>
      </c>
      <c r="AH105" s="34" t="s">
        <v>1414</v>
      </c>
      <c r="AI105" s="34" t="s">
        <v>1607</v>
      </c>
      <c r="AJ105" s="34" t="s">
        <v>107</v>
      </c>
      <c r="AK105" s="34" t="s">
        <v>1608</v>
      </c>
      <c r="AL105" s="34" t="s">
        <v>128</v>
      </c>
      <c r="AM105" s="34" t="s">
        <v>198</v>
      </c>
      <c r="AN105" s="34" t="s">
        <v>1609</v>
      </c>
      <c r="AO105" s="39"/>
      <c r="AP105" s="34" t="s">
        <v>1522</v>
      </c>
      <c r="AQ105" s="59" t="s">
        <v>1610</v>
      </c>
      <c r="AR105" s="59" t="s">
        <v>201</v>
      </c>
      <c r="AS105" s="60" t="s">
        <v>1611</v>
      </c>
    </row>
    <row r="106">
      <c r="A106" s="32">
        <v>190.0</v>
      </c>
      <c r="B106" s="33">
        <v>3.64026323E8</v>
      </c>
      <c r="C106" s="34" t="s">
        <v>1612</v>
      </c>
      <c r="D106" s="34" t="s">
        <v>1613</v>
      </c>
      <c r="E106" s="38" t="s">
        <v>1614</v>
      </c>
      <c r="F106" s="34" t="s">
        <v>1615</v>
      </c>
      <c r="G106" s="43" t="s">
        <v>1616</v>
      </c>
      <c r="H106" s="36">
        <v>2008.0</v>
      </c>
      <c r="I106" s="38" t="s">
        <v>686</v>
      </c>
      <c r="J106" s="34" t="s">
        <v>55</v>
      </c>
      <c r="K106" s="34" t="s">
        <v>1617</v>
      </c>
      <c r="L106" s="34" t="s">
        <v>57</v>
      </c>
      <c r="M106" s="34" t="s">
        <v>114</v>
      </c>
      <c r="N106" s="34" t="s">
        <v>1007</v>
      </c>
      <c r="O106" s="34" t="s">
        <v>1618</v>
      </c>
      <c r="P106" s="34" t="s">
        <v>93</v>
      </c>
      <c r="Q106" s="34" t="s">
        <v>1619</v>
      </c>
      <c r="R106" s="34" t="s">
        <v>1620</v>
      </c>
      <c r="S106" s="34" t="s">
        <v>63</v>
      </c>
      <c r="T106" s="34" t="s">
        <v>229</v>
      </c>
      <c r="U106" s="35" t="s">
        <v>1621</v>
      </c>
      <c r="V106" s="34" t="s">
        <v>99</v>
      </c>
      <c r="W106" s="34" t="s">
        <v>100</v>
      </c>
      <c r="X106" s="37" t="s">
        <v>100</v>
      </c>
      <c r="Y106" s="34" t="s">
        <v>74</v>
      </c>
      <c r="Z106" s="34" t="s">
        <v>57</v>
      </c>
      <c r="AA106" s="34">
        <v>2002.0</v>
      </c>
      <c r="AB106" s="34">
        <v>2002.0</v>
      </c>
      <c r="AC106" s="34" t="s">
        <v>103</v>
      </c>
      <c r="AD106" s="34" t="s">
        <v>144</v>
      </c>
      <c r="AE106" s="34" t="s">
        <v>74</v>
      </c>
      <c r="AF106" s="34" t="s">
        <v>74</v>
      </c>
      <c r="AG106" s="34" t="s">
        <v>215</v>
      </c>
      <c r="AH106" s="34" t="s">
        <v>1622</v>
      </c>
      <c r="AI106" s="34" t="s">
        <v>1623</v>
      </c>
      <c r="AJ106" s="34" t="s">
        <v>147</v>
      </c>
      <c r="AK106" s="34" t="s">
        <v>1624</v>
      </c>
      <c r="AL106" s="34" t="s">
        <v>128</v>
      </c>
      <c r="AM106" s="34" t="s">
        <v>374</v>
      </c>
      <c r="AN106" s="34" t="s">
        <v>1625</v>
      </c>
      <c r="AO106" s="39"/>
      <c r="AP106" s="34" t="s">
        <v>1522</v>
      </c>
      <c r="AQ106" s="59" t="s">
        <v>1626</v>
      </c>
      <c r="AR106" s="59" t="s">
        <v>201</v>
      </c>
      <c r="AS106" s="60" t="s">
        <v>1627</v>
      </c>
    </row>
    <row r="107">
      <c r="A107" s="32">
        <v>191.0</v>
      </c>
      <c r="B107" s="33">
        <v>3.64026336E8</v>
      </c>
      <c r="C107" s="34" t="s">
        <v>1628</v>
      </c>
      <c r="D107" s="38" t="s">
        <v>1629</v>
      </c>
      <c r="E107" s="34" t="s">
        <v>409</v>
      </c>
      <c r="F107" s="34" t="s">
        <v>273</v>
      </c>
      <c r="G107" s="35" t="s">
        <v>1630</v>
      </c>
      <c r="H107" s="36">
        <v>2000.0</v>
      </c>
      <c r="I107" s="34" t="s">
        <v>1529</v>
      </c>
      <c r="J107" s="34" t="s">
        <v>55</v>
      </c>
      <c r="K107" s="34" t="s">
        <v>1631</v>
      </c>
      <c r="L107" s="34" t="s">
        <v>57</v>
      </c>
      <c r="M107" s="34" t="s">
        <v>273</v>
      </c>
      <c r="N107" s="34" t="s">
        <v>277</v>
      </c>
      <c r="O107" s="34" t="s">
        <v>1632</v>
      </c>
      <c r="P107" s="34" t="s">
        <v>93</v>
      </c>
      <c r="Q107" s="34" t="s">
        <v>57</v>
      </c>
      <c r="R107" s="34" t="s">
        <v>57</v>
      </c>
      <c r="S107" s="34" t="s">
        <v>96</v>
      </c>
      <c r="T107" s="34" t="s">
        <v>1633</v>
      </c>
      <c r="U107" s="35" t="s">
        <v>1634</v>
      </c>
      <c r="V107" s="34" t="s">
        <v>99</v>
      </c>
      <c r="W107" s="34" t="s">
        <v>100</v>
      </c>
      <c r="X107" s="37" t="s">
        <v>100</v>
      </c>
      <c r="Y107" s="34" t="s">
        <v>74</v>
      </c>
      <c r="Z107" s="34" t="s">
        <v>57</v>
      </c>
      <c r="AA107" s="34">
        <v>1997.0</v>
      </c>
      <c r="AB107" s="34">
        <v>1998.0</v>
      </c>
      <c r="AC107" s="34" t="s">
        <v>57</v>
      </c>
      <c r="AD107" s="34" t="s">
        <v>57</v>
      </c>
      <c r="AE107" s="34" t="s">
        <v>69</v>
      </c>
      <c r="AF107" s="34" t="s">
        <v>74</v>
      </c>
      <c r="AG107" s="34" t="s">
        <v>215</v>
      </c>
      <c r="AH107" s="34" t="s">
        <v>105</v>
      </c>
      <c r="AI107" s="34" t="s">
        <v>1231</v>
      </c>
      <c r="AJ107" s="34" t="s">
        <v>107</v>
      </c>
      <c r="AK107" s="34" t="s">
        <v>1635</v>
      </c>
      <c r="AL107" s="34" t="s">
        <v>128</v>
      </c>
      <c r="AM107" s="34" t="s">
        <v>129</v>
      </c>
      <c r="AN107" s="34" t="s">
        <v>1636</v>
      </c>
      <c r="AO107" s="39"/>
      <c r="AP107" s="34" t="s">
        <v>109</v>
      </c>
      <c r="AQ107" s="59" t="s">
        <v>1637</v>
      </c>
      <c r="AR107" s="59" t="s">
        <v>201</v>
      </c>
      <c r="AS107" s="61"/>
    </row>
    <row r="108">
      <c r="A108" s="32">
        <v>192.0</v>
      </c>
      <c r="B108" s="33">
        <v>3.64026373E8</v>
      </c>
      <c r="C108" s="34" t="s">
        <v>1638</v>
      </c>
      <c r="D108" s="34" t="s">
        <v>1639</v>
      </c>
      <c r="E108" s="38" t="s">
        <v>1640</v>
      </c>
      <c r="F108" s="34" t="s">
        <v>396</v>
      </c>
      <c r="G108" s="43" t="s">
        <v>1641</v>
      </c>
      <c r="H108" s="36">
        <v>2014.0</v>
      </c>
      <c r="I108" s="38" t="s">
        <v>1034</v>
      </c>
      <c r="J108" s="34" t="s">
        <v>55</v>
      </c>
      <c r="K108" s="34" t="s">
        <v>1642</v>
      </c>
      <c r="L108" s="34" t="s">
        <v>57</v>
      </c>
      <c r="M108" s="34" t="s">
        <v>396</v>
      </c>
      <c r="N108" s="34" t="s">
        <v>1643</v>
      </c>
      <c r="O108" s="34" t="s">
        <v>1644</v>
      </c>
      <c r="P108" s="34" t="s">
        <v>93</v>
      </c>
      <c r="Q108" s="34" t="s">
        <v>1645</v>
      </c>
      <c r="R108" s="38" t="s">
        <v>1646</v>
      </c>
      <c r="S108" s="34" t="s">
        <v>96</v>
      </c>
      <c r="T108" s="34" t="s">
        <v>1647</v>
      </c>
      <c r="U108" s="35" t="s">
        <v>1648</v>
      </c>
      <c r="V108" s="34" t="s">
        <v>1649</v>
      </c>
      <c r="W108" s="34" t="s">
        <v>1650</v>
      </c>
      <c r="X108" s="37" t="s">
        <v>1651</v>
      </c>
      <c r="Y108" s="34" t="s">
        <v>74</v>
      </c>
      <c r="Z108" s="34" t="s">
        <v>57</v>
      </c>
      <c r="AA108" s="34">
        <v>2003.0</v>
      </c>
      <c r="AB108" s="34">
        <v>2009.0</v>
      </c>
      <c r="AC108" s="34" t="s">
        <v>103</v>
      </c>
      <c r="AD108" s="34" t="s">
        <v>180</v>
      </c>
      <c r="AE108" s="34" t="s">
        <v>69</v>
      </c>
      <c r="AF108" s="34" t="s">
        <v>74</v>
      </c>
      <c r="AG108" s="34" t="s">
        <v>215</v>
      </c>
      <c r="AH108" s="34" t="s">
        <v>1652</v>
      </c>
      <c r="AI108" s="34" t="s">
        <v>1653</v>
      </c>
      <c r="AJ108" s="34" t="s">
        <v>147</v>
      </c>
      <c r="AK108" s="34" t="s">
        <v>1654</v>
      </c>
      <c r="AL108" s="34" t="s">
        <v>128</v>
      </c>
      <c r="AM108" s="34" t="s">
        <v>129</v>
      </c>
      <c r="AN108" s="34" t="s">
        <v>1655</v>
      </c>
      <c r="AO108" s="39"/>
      <c r="AP108" s="34" t="s">
        <v>1522</v>
      </c>
      <c r="AQ108" s="59" t="s">
        <v>1656</v>
      </c>
      <c r="AR108" s="59" t="s">
        <v>201</v>
      </c>
      <c r="AS108" s="60" t="s">
        <v>1657</v>
      </c>
    </row>
    <row r="109">
      <c r="A109" s="32">
        <v>193.0</v>
      </c>
      <c r="B109" s="33">
        <v>3.64026382E8</v>
      </c>
      <c r="C109" s="34" t="s">
        <v>1658</v>
      </c>
      <c r="D109" s="34" t="s">
        <v>1659</v>
      </c>
      <c r="E109" s="38" t="s">
        <v>1660</v>
      </c>
      <c r="F109" s="34" t="s">
        <v>1661</v>
      </c>
      <c r="G109" s="43" t="s">
        <v>1662</v>
      </c>
      <c r="H109" s="36">
        <v>2015.0</v>
      </c>
      <c r="I109" s="38" t="s">
        <v>686</v>
      </c>
      <c r="J109" s="34" t="s">
        <v>55</v>
      </c>
      <c r="K109" s="34" t="s">
        <v>1663</v>
      </c>
      <c r="L109" s="34" t="s">
        <v>57</v>
      </c>
      <c r="M109" s="34" t="s">
        <v>992</v>
      </c>
      <c r="N109" s="34" t="s">
        <v>1530</v>
      </c>
      <c r="O109" s="34" t="s">
        <v>1664</v>
      </c>
      <c r="P109" s="34" t="s">
        <v>554</v>
      </c>
      <c r="Q109" s="34" t="s">
        <v>1665</v>
      </c>
      <c r="R109" s="34" t="s">
        <v>1666</v>
      </c>
      <c r="S109" s="34" t="s">
        <v>63</v>
      </c>
      <c r="T109" s="34" t="s">
        <v>1308</v>
      </c>
      <c r="U109" s="35" t="s">
        <v>1667</v>
      </c>
      <c r="V109" s="34" t="s">
        <v>1649</v>
      </c>
      <c r="W109" s="34" t="s">
        <v>804</v>
      </c>
      <c r="X109" s="37" t="s">
        <v>100</v>
      </c>
      <c r="Y109" s="34" t="s">
        <v>74</v>
      </c>
      <c r="Z109" s="34" t="s">
        <v>57</v>
      </c>
      <c r="AA109" s="34">
        <v>2012.0</v>
      </c>
      <c r="AB109" s="34">
        <v>2013.0</v>
      </c>
      <c r="AC109" s="34" t="s">
        <v>102</v>
      </c>
      <c r="AD109" s="34" t="s">
        <v>403</v>
      </c>
      <c r="AE109" s="34" t="s">
        <v>69</v>
      </c>
      <c r="AF109" s="34" t="s">
        <v>69</v>
      </c>
      <c r="AG109" s="34" t="s">
        <v>75</v>
      </c>
      <c r="AH109" s="34" t="s">
        <v>105</v>
      </c>
      <c r="AI109" s="34" t="s">
        <v>1231</v>
      </c>
      <c r="AJ109" s="34" t="s">
        <v>107</v>
      </c>
      <c r="AK109" s="34" t="s">
        <v>1668</v>
      </c>
      <c r="AL109" s="34" t="s">
        <v>128</v>
      </c>
      <c r="AM109" s="34" t="s">
        <v>895</v>
      </c>
      <c r="AN109" s="34" t="s">
        <v>1669</v>
      </c>
      <c r="AO109" s="39"/>
      <c r="AP109" s="34" t="s">
        <v>1522</v>
      </c>
      <c r="AQ109" s="59" t="s">
        <v>1670</v>
      </c>
      <c r="AR109" s="59" t="s">
        <v>201</v>
      </c>
      <c r="AS109" s="60" t="s">
        <v>1671</v>
      </c>
    </row>
    <row r="110">
      <c r="A110" s="32">
        <v>194.0</v>
      </c>
      <c r="B110" s="33">
        <v>3.64026389E8</v>
      </c>
      <c r="C110" s="34" t="s">
        <v>1672</v>
      </c>
      <c r="D110" s="34" t="s">
        <v>1673</v>
      </c>
      <c r="E110" s="38" t="s">
        <v>1674</v>
      </c>
      <c r="F110" s="34" t="s">
        <v>114</v>
      </c>
      <c r="G110" s="43" t="s">
        <v>1675</v>
      </c>
      <c r="H110" s="36">
        <v>2005.0</v>
      </c>
      <c r="I110" s="34" t="s">
        <v>1676</v>
      </c>
      <c r="J110" s="34" t="s">
        <v>55</v>
      </c>
      <c r="K110" s="34" t="s">
        <v>1677</v>
      </c>
      <c r="L110" s="34" t="s">
        <v>57</v>
      </c>
      <c r="M110" s="34" t="s">
        <v>114</v>
      </c>
      <c r="N110" s="34" t="s">
        <v>1678</v>
      </c>
      <c r="O110" s="34" t="s">
        <v>1679</v>
      </c>
      <c r="P110" s="34" t="s">
        <v>93</v>
      </c>
      <c r="Q110" s="34" t="s">
        <v>57</v>
      </c>
      <c r="R110" s="34" t="s">
        <v>57</v>
      </c>
      <c r="S110" s="34" t="s">
        <v>63</v>
      </c>
      <c r="T110" s="34" t="s">
        <v>1265</v>
      </c>
      <c r="U110" s="35" t="s">
        <v>1680</v>
      </c>
      <c r="V110" s="34" t="s">
        <v>1649</v>
      </c>
      <c r="W110" s="34" t="s">
        <v>1681</v>
      </c>
      <c r="X110" s="37" t="s">
        <v>1682</v>
      </c>
      <c r="Y110" s="34" t="s">
        <v>74</v>
      </c>
      <c r="Z110" s="34" t="s">
        <v>57</v>
      </c>
      <c r="AA110" s="34">
        <v>2001.0</v>
      </c>
      <c r="AB110" s="34">
        <v>2003.0</v>
      </c>
      <c r="AC110" s="34" t="s">
        <v>180</v>
      </c>
      <c r="AD110" s="34" t="s">
        <v>370</v>
      </c>
      <c r="AE110" s="34" t="s">
        <v>69</v>
      </c>
      <c r="AF110" s="34" t="s">
        <v>69</v>
      </c>
      <c r="AG110" s="34" t="s">
        <v>75</v>
      </c>
      <c r="AH110" s="34" t="s">
        <v>105</v>
      </c>
      <c r="AI110" s="34" t="s">
        <v>166</v>
      </c>
      <c r="AJ110" s="34" t="s">
        <v>166</v>
      </c>
      <c r="AK110" s="34" t="s">
        <v>1683</v>
      </c>
      <c r="AL110" s="34" t="s">
        <v>128</v>
      </c>
      <c r="AM110" s="34" t="s">
        <v>198</v>
      </c>
      <c r="AN110" s="34" t="s">
        <v>1684</v>
      </c>
      <c r="AO110" s="39"/>
      <c r="AP110" s="34" t="s">
        <v>1522</v>
      </c>
      <c r="AQ110" s="59" t="s">
        <v>1685</v>
      </c>
      <c r="AR110" s="59" t="s">
        <v>201</v>
      </c>
      <c r="AS110" s="60" t="s">
        <v>1686</v>
      </c>
    </row>
    <row r="111">
      <c r="A111" s="32">
        <v>195.0</v>
      </c>
      <c r="B111" s="33">
        <v>3.64026433E8</v>
      </c>
      <c r="C111" s="34" t="s">
        <v>1687</v>
      </c>
      <c r="D111" s="34" t="s">
        <v>1688</v>
      </c>
      <c r="E111" s="38" t="s">
        <v>1689</v>
      </c>
      <c r="F111" s="34" t="s">
        <v>87</v>
      </c>
      <c r="G111" s="43" t="s">
        <v>1690</v>
      </c>
      <c r="H111" s="36">
        <v>2010.0</v>
      </c>
      <c r="I111" s="38" t="s">
        <v>295</v>
      </c>
      <c r="J111" s="34" t="s">
        <v>55</v>
      </c>
      <c r="K111" s="34" t="s">
        <v>1691</v>
      </c>
      <c r="L111" s="34" t="s">
        <v>57</v>
      </c>
      <c r="M111" s="34" t="s">
        <v>87</v>
      </c>
      <c r="N111" s="34" t="s">
        <v>1692</v>
      </c>
      <c r="O111" s="34" t="s">
        <v>1693</v>
      </c>
      <c r="P111" s="34" t="s">
        <v>93</v>
      </c>
      <c r="Q111" s="34" t="s">
        <v>1694</v>
      </c>
      <c r="R111" s="34" t="s">
        <v>1695</v>
      </c>
      <c r="S111" s="34" t="s">
        <v>63</v>
      </c>
      <c r="T111" s="34" t="s">
        <v>749</v>
      </c>
      <c r="U111" s="35" t="s">
        <v>1696</v>
      </c>
      <c r="V111" s="34" t="s">
        <v>1649</v>
      </c>
      <c r="W111" s="34" t="s">
        <v>804</v>
      </c>
      <c r="X111" s="37" t="s">
        <v>100</v>
      </c>
      <c r="Y111" s="34" t="s">
        <v>74</v>
      </c>
      <c r="Z111" s="34" t="s">
        <v>57</v>
      </c>
      <c r="AA111" s="34">
        <v>2007.0</v>
      </c>
      <c r="AB111" s="34">
        <v>2007.0</v>
      </c>
      <c r="AC111" s="34" t="s">
        <v>370</v>
      </c>
      <c r="AD111" s="34" t="s">
        <v>102</v>
      </c>
      <c r="AE111" s="34" t="s">
        <v>74</v>
      </c>
      <c r="AF111" s="34" t="s">
        <v>74</v>
      </c>
      <c r="AG111" s="34" t="s">
        <v>75</v>
      </c>
      <c r="AH111" s="34" t="s">
        <v>1622</v>
      </c>
      <c r="AI111" s="34" t="s">
        <v>1697</v>
      </c>
      <c r="AJ111" s="34" t="s">
        <v>107</v>
      </c>
      <c r="AK111" s="34" t="s">
        <v>1698</v>
      </c>
      <c r="AL111" s="34" t="s">
        <v>128</v>
      </c>
      <c r="AM111" s="34" t="s">
        <v>129</v>
      </c>
      <c r="AN111" s="34" t="s">
        <v>1699</v>
      </c>
      <c r="AO111" s="34" t="s">
        <v>1700</v>
      </c>
      <c r="AP111" s="34" t="s">
        <v>1522</v>
      </c>
      <c r="AQ111" s="59" t="s">
        <v>1701</v>
      </c>
      <c r="AR111" s="59" t="s">
        <v>201</v>
      </c>
      <c r="AS111" s="60" t="s">
        <v>1702</v>
      </c>
    </row>
    <row r="112">
      <c r="A112" s="32">
        <v>196.0</v>
      </c>
      <c r="B112" s="33">
        <v>3.64026416E8</v>
      </c>
      <c r="C112" s="34" t="s">
        <v>1703</v>
      </c>
      <c r="D112" s="38" t="s">
        <v>1629</v>
      </c>
      <c r="E112" s="38" t="s">
        <v>409</v>
      </c>
      <c r="F112" s="34" t="s">
        <v>273</v>
      </c>
      <c r="G112" s="43" t="s">
        <v>1704</v>
      </c>
      <c r="H112" s="36">
        <v>2000.0</v>
      </c>
      <c r="I112" s="34" t="s">
        <v>1705</v>
      </c>
      <c r="J112" s="34" t="s">
        <v>55</v>
      </c>
      <c r="K112" s="34" t="s">
        <v>276</v>
      </c>
      <c r="L112" s="34" t="s">
        <v>57</v>
      </c>
      <c r="M112" s="34" t="s">
        <v>273</v>
      </c>
      <c r="N112" s="34" t="s">
        <v>277</v>
      </c>
      <c r="O112" s="34" t="s">
        <v>1706</v>
      </c>
      <c r="P112" s="34" t="s">
        <v>93</v>
      </c>
      <c r="Q112" s="34" t="s">
        <v>57</v>
      </c>
      <c r="R112" s="34" t="s">
        <v>57</v>
      </c>
      <c r="S112" s="34" t="s">
        <v>96</v>
      </c>
      <c r="T112" s="34" t="s">
        <v>351</v>
      </c>
      <c r="U112" s="35" t="s">
        <v>1707</v>
      </c>
      <c r="V112" s="34" t="s">
        <v>99</v>
      </c>
      <c r="W112" s="34" t="s">
        <v>100</v>
      </c>
      <c r="X112" s="37" t="s">
        <v>100</v>
      </c>
      <c r="Y112" s="34" t="s">
        <v>74</v>
      </c>
      <c r="Z112" s="34" t="s">
        <v>57</v>
      </c>
      <c r="AA112" s="34">
        <v>1998.0</v>
      </c>
      <c r="AB112" s="34">
        <v>1998.0</v>
      </c>
      <c r="AC112" s="34" t="s">
        <v>144</v>
      </c>
      <c r="AD112" s="34" t="s">
        <v>72</v>
      </c>
      <c r="AE112" s="34" t="s">
        <v>69</v>
      </c>
      <c r="AF112" s="34" t="s">
        <v>74</v>
      </c>
      <c r="AG112" s="34" t="s">
        <v>104</v>
      </c>
      <c r="AH112" s="34" t="s">
        <v>105</v>
      </c>
      <c r="AI112" s="34" t="s">
        <v>336</v>
      </c>
      <c r="AJ112" s="34" t="s">
        <v>336</v>
      </c>
      <c r="AK112" s="34" t="s">
        <v>1708</v>
      </c>
      <c r="AL112" s="34" t="s">
        <v>128</v>
      </c>
      <c r="AM112" s="34" t="s">
        <v>374</v>
      </c>
      <c r="AN112" s="34" t="s">
        <v>1709</v>
      </c>
      <c r="AO112" s="39"/>
      <c r="AP112" s="34" t="s">
        <v>109</v>
      </c>
      <c r="AQ112" s="59" t="s">
        <v>1710</v>
      </c>
      <c r="AR112" s="59" t="s">
        <v>201</v>
      </c>
      <c r="AS112" s="60" t="s">
        <v>1711</v>
      </c>
    </row>
    <row r="113">
      <c r="A113" s="32">
        <v>197.0</v>
      </c>
      <c r="B113" s="33">
        <v>3.64026434E8</v>
      </c>
      <c r="C113" s="34" t="s">
        <v>1712</v>
      </c>
      <c r="D113" s="34" t="s">
        <v>1713</v>
      </c>
      <c r="E113" s="38" t="s">
        <v>1714</v>
      </c>
      <c r="F113" s="34" t="s">
        <v>396</v>
      </c>
      <c r="G113" s="43" t="s">
        <v>1715</v>
      </c>
      <c r="H113" s="36">
        <v>2007.0</v>
      </c>
      <c r="I113" s="34" t="s">
        <v>156</v>
      </c>
      <c r="J113" s="34" t="s">
        <v>55</v>
      </c>
      <c r="K113" s="34" t="s">
        <v>1716</v>
      </c>
      <c r="L113" s="34" t="s">
        <v>57</v>
      </c>
      <c r="M113" s="34" t="s">
        <v>396</v>
      </c>
      <c r="N113" s="34" t="s">
        <v>1717</v>
      </c>
      <c r="O113" s="34" t="s">
        <v>1718</v>
      </c>
      <c r="P113" s="34" t="s">
        <v>93</v>
      </c>
      <c r="Q113" s="34" t="s">
        <v>57</v>
      </c>
      <c r="R113" s="34" t="s">
        <v>57</v>
      </c>
      <c r="S113" s="34" t="s">
        <v>63</v>
      </c>
      <c r="T113" s="34" t="s">
        <v>1719</v>
      </c>
      <c r="U113" s="35" t="s">
        <v>1720</v>
      </c>
      <c r="V113" s="34" t="s">
        <v>99</v>
      </c>
      <c r="W113" s="34" t="s">
        <v>100</v>
      </c>
      <c r="X113" s="37" t="s">
        <v>100</v>
      </c>
      <c r="Y113" s="34" t="s">
        <v>74</v>
      </c>
      <c r="Z113" s="34" t="s">
        <v>57</v>
      </c>
      <c r="AA113" s="34">
        <v>2002.0</v>
      </c>
      <c r="AB113" s="34">
        <v>2004.0</v>
      </c>
      <c r="AC113" s="34" t="s">
        <v>57</v>
      </c>
      <c r="AD113" s="34" t="s">
        <v>57</v>
      </c>
      <c r="AE113" s="34" t="s">
        <v>69</v>
      </c>
      <c r="AF113" s="34" t="s">
        <v>74</v>
      </c>
      <c r="AG113" s="34" t="s">
        <v>104</v>
      </c>
      <c r="AH113" s="34" t="s">
        <v>105</v>
      </c>
      <c r="AI113" s="34" t="s">
        <v>336</v>
      </c>
      <c r="AJ113" s="34" t="s">
        <v>336</v>
      </c>
      <c r="AK113" s="34" t="s">
        <v>1721</v>
      </c>
      <c r="AL113" s="34" t="s">
        <v>128</v>
      </c>
      <c r="AM113" s="34" t="s">
        <v>895</v>
      </c>
      <c r="AN113" s="34" t="s">
        <v>1722</v>
      </c>
      <c r="AO113" s="39"/>
      <c r="AP113" s="34" t="s">
        <v>109</v>
      </c>
      <c r="AQ113" s="59" t="s">
        <v>1723</v>
      </c>
      <c r="AR113" s="59" t="s">
        <v>201</v>
      </c>
      <c r="AS113" s="61"/>
    </row>
    <row r="114">
      <c r="A114" s="32">
        <v>198.0</v>
      </c>
      <c r="B114" s="33">
        <v>3.64026438E8</v>
      </c>
      <c r="C114" s="34" t="s">
        <v>1724</v>
      </c>
      <c r="D114" s="34" t="s">
        <v>1725</v>
      </c>
      <c r="E114" s="38" t="s">
        <v>1726</v>
      </c>
      <c r="F114" s="34" t="s">
        <v>1727</v>
      </c>
      <c r="G114" s="43" t="s">
        <v>1728</v>
      </c>
      <c r="H114" s="62">
        <v>2019.0</v>
      </c>
      <c r="I114" s="34" t="s">
        <v>295</v>
      </c>
      <c r="J114" s="34" t="s">
        <v>55</v>
      </c>
      <c r="K114" s="34" t="s">
        <v>1729</v>
      </c>
      <c r="L114" s="34" t="s">
        <v>57</v>
      </c>
      <c r="M114" s="34" t="s">
        <v>1727</v>
      </c>
      <c r="N114" s="34" t="s">
        <v>1730</v>
      </c>
      <c r="O114" s="34" t="s">
        <v>1731</v>
      </c>
      <c r="P114" s="34" t="s">
        <v>93</v>
      </c>
      <c r="Q114" s="38" t="s">
        <v>1732</v>
      </c>
      <c r="R114" s="38" t="s">
        <v>1733</v>
      </c>
      <c r="S114" s="34" t="s">
        <v>63</v>
      </c>
      <c r="T114" s="34" t="s">
        <v>210</v>
      </c>
      <c r="U114" s="35" t="s">
        <v>1734</v>
      </c>
      <c r="V114" s="34" t="s">
        <v>66</v>
      </c>
      <c r="W114" s="34" t="s">
        <v>1735</v>
      </c>
      <c r="X114" s="37" t="s">
        <v>1736</v>
      </c>
      <c r="Y114" s="34" t="s">
        <v>74</v>
      </c>
      <c r="Z114" s="34" t="s">
        <v>57</v>
      </c>
      <c r="AA114" s="34">
        <v>2004.0</v>
      </c>
      <c r="AB114" s="34">
        <v>2012.0</v>
      </c>
      <c r="AC114" s="34" t="s">
        <v>57</v>
      </c>
      <c r="AD114" s="34" t="s">
        <v>57</v>
      </c>
      <c r="AE114" s="34" t="s">
        <v>57</v>
      </c>
      <c r="AF114" s="34" t="s">
        <v>74</v>
      </c>
      <c r="AG114" s="34" t="s">
        <v>215</v>
      </c>
      <c r="AH114" s="34" t="s">
        <v>165</v>
      </c>
      <c r="AI114" s="34" t="s">
        <v>465</v>
      </c>
      <c r="AJ114" s="34" t="s">
        <v>465</v>
      </c>
      <c r="AK114" s="34" t="s">
        <v>1737</v>
      </c>
      <c r="AL114" s="34" t="s">
        <v>128</v>
      </c>
      <c r="AM114" s="34" t="s">
        <v>129</v>
      </c>
      <c r="AN114" s="34" t="s">
        <v>1738</v>
      </c>
      <c r="AO114" s="34" t="s">
        <v>1418</v>
      </c>
      <c r="AP114" s="34" t="s">
        <v>109</v>
      </c>
      <c r="AQ114" s="59" t="s">
        <v>1739</v>
      </c>
      <c r="AR114" s="59" t="s">
        <v>201</v>
      </c>
      <c r="AS114" s="60" t="s">
        <v>1740</v>
      </c>
    </row>
    <row r="115">
      <c r="A115" s="32">
        <v>199.0</v>
      </c>
      <c r="B115" s="33">
        <v>3.64026441E8</v>
      </c>
      <c r="C115" s="34" t="s">
        <v>1741</v>
      </c>
      <c r="D115" s="34" t="s">
        <v>1742</v>
      </c>
      <c r="E115" s="34" t="s">
        <v>1743</v>
      </c>
      <c r="F115" s="34" t="s">
        <v>1744</v>
      </c>
      <c r="G115" s="35" t="s">
        <v>1745</v>
      </c>
      <c r="H115" s="36">
        <v>2021.0</v>
      </c>
      <c r="I115" s="34" t="s">
        <v>1746</v>
      </c>
      <c r="J115" s="34" t="s">
        <v>55</v>
      </c>
      <c r="K115" s="34" t="s">
        <v>1747</v>
      </c>
      <c r="L115" s="34" t="s">
        <v>57</v>
      </c>
      <c r="M115" s="34" t="s">
        <v>1748</v>
      </c>
      <c r="N115" s="34" t="s">
        <v>1749</v>
      </c>
      <c r="O115" s="34" t="s">
        <v>1750</v>
      </c>
      <c r="P115" s="34" t="s">
        <v>93</v>
      </c>
      <c r="Q115" s="38" t="s">
        <v>1751</v>
      </c>
      <c r="R115" s="38" t="s">
        <v>1752</v>
      </c>
      <c r="S115" s="34" t="s">
        <v>63</v>
      </c>
      <c r="T115" s="34" t="s">
        <v>1753</v>
      </c>
      <c r="U115" s="35" t="s">
        <v>1754</v>
      </c>
      <c r="V115" s="34" t="s">
        <v>99</v>
      </c>
      <c r="W115" s="34" t="s">
        <v>100</v>
      </c>
      <c r="X115" s="37" t="s">
        <v>100</v>
      </c>
      <c r="Y115" s="34" t="s">
        <v>74</v>
      </c>
      <c r="Z115" s="34" t="s">
        <v>57</v>
      </c>
      <c r="AA115" s="34">
        <v>2016.0</v>
      </c>
      <c r="AB115" s="34">
        <v>2020.0</v>
      </c>
      <c r="AC115" s="34" t="s">
        <v>1755</v>
      </c>
      <c r="AD115" s="34" t="s">
        <v>1755</v>
      </c>
      <c r="AE115" s="34" t="s">
        <v>74</v>
      </c>
      <c r="AF115" s="34" t="s">
        <v>74</v>
      </c>
      <c r="AG115" s="34" t="s">
        <v>104</v>
      </c>
      <c r="AH115" s="34" t="s">
        <v>105</v>
      </c>
      <c r="AI115" s="34" t="s">
        <v>1231</v>
      </c>
      <c r="AJ115" s="34" t="s">
        <v>107</v>
      </c>
      <c r="AK115" s="34" t="s">
        <v>1756</v>
      </c>
      <c r="AL115" s="34" t="s">
        <v>128</v>
      </c>
      <c r="AM115" s="34" t="s">
        <v>129</v>
      </c>
      <c r="AN115" s="34" t="s">
        <v>1757</v>
      </c>
      <c r="AO115" s="39"/>
      <c r="AP115" s="34" t="s">
        <v>109</v>
      </c>
      <c r="AQ115" s="59" t="s">
        <v>1758</v>
      </c>
      <c r="AR115" s="59" t="s">
        <v>201</v>
      </c>
      <c r="AS115" s="61"/>
    </row>
    <row r="116">
      <c r="A116" s="32">
        <v>200.0</v>
      </c>
      <c r="B116" s="33">
        <v>3.64026446E8</v>
      </c>
      <c r="C116" s="34" t="s">
        <v>1759</v>
      </c>
      <c r="D116" s="34" t="s">
        <v>1760</v>
      </c>
      <c r="E116" s="38" t="s">
        <v>1761</v>
      </c>
      <c r="F116" s="34" t="s">
        <v>650</v>
      </c>
      <c r="G116" s="43" t="s">
        <v>1762</v>
      </c>
      <c r="H116" s="36">
        <v>2017.0</v>
      </c>
      <c r="I116" s="34" t="s">
        <v>796</v>
      </c>
      <c r="J116" s="34" t="s">
        <v>55</v>
      </c>
      <c r="K116" s="34" t="s">
        <v>1763</v>
      </c>
      <c r="L116" s="34" t="s">
        <v>57</v>
      </c>
      <c r="M116" s="34" t="s">
        <v>859</v>
      </c>
      <c r="N116" s="34" t="s">
        <v>1764</v>
      </c>
      <c r="O116" s="34" t="s">
        <v>1765</v>
      </c>
      <c r="P116" s="34" t="s">
        <v>93</v>
      </c>
      <c r="Q116" s="34" t="s">
        <v>57</v>
      </c>
      <c r="R116" s="34" t="s">
        <v>57</v>
      </c>
      <c r="S116" s="34" t="s">
        <v>96</v>
      </c>
      <c r="T116" s="34" t="s">
        <v>1265</v>
      </c>
      <c r="U116" s="35" t="s">
        <v>1766</v>
      </c>
      <c r="V116" s="34" t="s">
        <v>99</v>
      </c>
      <c r="W116" s="34" t="s">
        <v>100</v>
      </c>
      <c r="X116" s="37" t="s">
        <v>100</v>
      </c>
      <c r="Y116" s="34" t="s">
        <v>74</v>
      </c>
      <c r="Z116" s="34" t="s">
        <v>57</v>
      </c>
      <c r="AA116" s="34">
        <v>2016.0</v>
      </c>
      <c r="AB116" s="34">
        <v>2016.0</v>
      </c>
      <c r="AC116" s="34" t="s">
        <v>180</v>
      </c>
      <c r="AD116" s="34" t="s">
        <v>180</v>
      </c>
      <c r="AE116" s="34" t="s">
        <v>69</v>
      </c>
      <c r="AF116" s="34" t="s">
        <v>74</v>
      </c>
      <c r="AG116" s="34" t="s">
        <v>104</v>
      </c>
      <c r="AH116" s="34" t="s">
        <v>105</v>
      </c>
      <c r="AI116" s="34" t="s">
        <v>1231</v>
      </c>
      <c r="AJ116" s="34" t="s">
        <v>107</v>
      </c>
      <c r="AK116" s="34" t="s">
        <v>1767</v>
      </c>
      <c r="AL116" s="34" t="s">
        <v>79</v>
      </c>
      <c r="AM116" s="34" t="s">
        <v>57</v>
      </c>
      <c r="AN116" s="34" t="s">
        <v>57</v>
      </c>
      <c r="AO116" s="39"/>
      <c r="AP116" s="34" t="s">
        <v>109</v>
      </c>
      <c r="AQ116" s="20" t="s">
        <v>1768</v>
      </c>
      <c r="AR116" s="20" t="s">
        <v>201</v>
      </c>
      <c r="AS116" s="21" t="s">
        <v>1769</v>
      </c>
    </row>
    <row r="117">
      <c r="A117" s="32">
        <v>201.0</v>
      </c>
      <c r="B117" s="33">
        <v>3.64026442E8</v>
      </c>
      <c r="C117" s="34" t="s">
        <v>1770</v>
      </c>
      <c r="D117" s="34" t="s">
        <v>1771</v>
      </c>
      <c r="E117" s="34" t="s">
        <v>1772</v>
      </c>
      <c r="F117" s="34" t="s">
        <v>114</v>
      </c>
      <c r="G117" s="35" t="s">
        <v>1773</v>
      </c>
      <c r="H117" s="36">
        <v>2020.0</v>
      </c>
      <c r="I117" s="34" t="s">
        <v>295</v>
      </c>
      <c r="J117" s="34" t="s">
        <v>55</v>
      </c>
      <c r="K117" s="34" t="s">
        <v>1774</v>
      </c>
      <c r="L117" s="34" t="s">
        <v>57</v>
      </c>
      <c r="M117" s="34" t="s">
        <v>114</v>
      </c>
      <c r="N117" s="34" t="s">
        <v>1775</v>
      </c>
      <c r="O117" s="34" t="s">
        <v>1776</v>
      </c>
      <c r="P117" s="34" t="s">
        <v>93</v>
      </c>
      <c r="Q117" s="34" t="s">
        <v>57</v>
      </c>
      <c r="R117" s="34" t="s">
        <v>57</v>
      </c>
      <c r="S117" s="34" t="s">
        <v>63</v>
      </c>
      <c r="T117" s="34" t="s">
        <v>463</v>
      </c>
      <c r="U117" s="35" t="s">
        <v>1777</v>
      </c>
      <c r="V117" s="34" t="s">
        <v>99</v>
      </c>
      <c r="W117" s="34" t="s">
        <v>100</v>
      </c>
      <c r="X117" s="37" t="s">
        <v>100</v>
      </c>
      <c r="Y117" s="34" t="s">
        <v>74</v>
      </c>
      <c r="Z117" s="34" t="s">
        <v>57</v>
      </c>
      <c r="AA117" s="34">
        <v>2002.0</v>
      </c>
      <c r="AB117" s="34">
        <v>2019.0</v>
      </c>
      <c r="AC117" s="34" t="s">
        <v>542</v>
      </c>
      <c r="AD117" s="34" t="s">
        <v>692</v>
      </c>
      <c r="AE117" s="34" t="s">
        <v>69</v>
      </c>
      <c r="AF117" s="34" t="s">
        <v>74</v>
      </c>
      <c r="AG117" s="34" t="s">
        <v>104</v>
      </c>
      <c r="AH117" s="34" t="s">
        <v>105</v>
      </c>
      <c r="AI117" s="34" t="s">
        <v>1231</v>
      </c>
      <c r="AJ117" s="34" t="s">
        <v>107</v>
      </c>
      <c r="AK117" s="34" t="s">
        <v>1778</v>
      </c>
      <c r="AL117" s="34" t="s">
        <v>128</v>
      </c>
      <c r="AM117" s="34" t="s">
        <v>129</v>
      </c>
      <c r="AN117" s="34" t="s">
        <v>1779</v>
      </c>
      <c r="AO117" s="39"/>
      <c r="AP117" s="34" t="s">
        <v>109</v>
      </c>
      <c r="AQ117" s="20" t="s">
        <v>791</v>
      </c>
      <c r="AR117" s="20" t="s">
        <v>201</v>
      </c>
      <c r="AS117" s="21" t="s">
        <v>1780</v>
      </c>
    </row>
    <row r="118">
      <c r="A118" s="32">
        <v>202.0</v>
      </c>
      <c r="B118" s="33">
        <v>3.64026439E8</v>
      </c>
      <c r="C118" s="34" t="s">
        <v>1781</v>
      </c>
      <c r="D118" s="34" t="s">
        <v>1782</v>
      </c>
      <c r="E118" s="38" t="s">
        <v>1783</v>
      </c>
      <c r="F118" s="34" t="s">
        <v>760</v>
      </c>
      <c r="G118" s="43" t="s">
        <v>1784</v>
      </c>
      <c r="H118" s="36">
        <v>2009.0</v>
      </c>
      <c r="I118" s="38" t="s">
        <v>295</v>
      </c>
      <c r="J118" s="34" t="s">
        <v>55</v>
      </c>
      <c r="K118" s="34" t="s">
        <v>1785</v>
      </c>
      <c r="L118" s="34" t="s">
        <v>57</v>
      </c>
      <c r="M118" s="34" t="s">
        <v>760</v>
      </c>
      <c r="N118" s="34" t="s">
        <v>1786</v>
      </c>
      <c r="O118" s="34" t="s">
        <v>1787</v>
      </c>
      <c r="P118" s="34" t="s">
        <v>93</v>
      </c>
      <c r="Q118" s="34" t="s">
        <v>57</v>
      </c>
      <c r="R118" s="34" t="s">
        <v>57</v>
      </c>
      <c r="S118" s="34" t="s">
        <v>63</v>
      </c>
      <c r="T118" s="34" t="s">
        <v>1265</v>
      </c>
      <c r="U118" s="35" t="s">
        <v>1788</v>
      </c>
      <c r="V118" s="34" t="s">
        <v>1649</v>
      </c>
      <c r="W118" s="34" t="s">
        <v>100</v>
      </c>
      <c r="X118" s="37" t="s">
        <v>100</v>
      </c>
      <c r="Y118" s="34" t="s">
        <v>74</v>
      </c>
      <c r="Z118" s="34" t="s">
        <v>57</v>
      </c>
      <c r="AA118" s="34">
        <v>2006.0</v>
      </c>
      <c r="AB118" s="34">
        <v>2006.0</v>
      </c>
      <c r="AC118" s="34" t="s">
        <v>180</v>
      </c>
      <c r="AD118" s="34" t="s">
        <v>72</v>
      </c>
      <c r="AE118" s="34" t="s">
        <v>69</v>
      </c>
      <c r="AF118" s="34" t="s">
        <v>74</v>
      </c>
      <c r="AG118" s="34" t="s">
        <v>75</v>
      </c>
      <c r="AH118" s="34" t="s">
        <v>1414</v>
      </c>
      <c r="AI118" s="34" t="s">
        <v>1789</v>
      </c>
      <c r="AJ118" s="34" t="s">
        <v>107</v>
      </c>
      <c r="AK118" s="34" t="s">
        <v>1790</v>
      </c>
      <c r="AL118" s="34" t="s">
        <v>128</v>
      </c>
      <c r="AM118" s="34" t="s">
        <v>1791</v>
      </c>
      <c r="AN118" s="34" t="s">
        <v>1792</v>
      </c>
      <c r="AO118" s="39"/>
      <c r="AP118" s="34" t="s">
        <v>1522</v>
      </c>
      <c r="AQ118" s="20" t="s">
        <v>1793</v>
      </c>
      <c r="AR118" s="20" t="s">
        <v>201</v>
      </c>
      <c r="AS118" s="63"/>
    </row>
    <row r="119">
      <c r="A119" s="32">
        <v>203.0</v>
      </c>
      <c r="B119" s="33">
        <v>3.64026437E8</v>
      </c>
      <c r="C119" s="34" t="s">
        <v>1794</v>
      </c>
      <c r="D119" s="34" t="s">
        <v>1795</v>
      </c>
      <c r="E119" s="38" t="s">
        <v>1796</v>
      </c>
      <c r="F119" s="34" t="s">
        <v>1661</v>
      </c>
      <c r="G119" s="43" t="s">
        <v>1797</v>
      </c>
      <c r="H119" s="36">
        <v>2017.0</v>
      </c>
      <c r="I119" s="38" t="s">
        <v>1798</v>
      </c>
      <c r="J119" s="34" t="s">
        <v>55</v>
      </c>
      <c r="K119" s="34" t="s">
        <v>1410</v>
      </c>
      <c r="L119" s="34" t="s">
        <v>57</v>
      </c>
      <c r="M119" s="34" t="s">
        <v>992</v>
      </c>
      <c r="N119" s="34" t="s">
        <v>1114</v>
      </c>
      <c r="O119" s="34" t="s">
        <v>1799</v>
      </c>
      <c r="P119" s="34" t="s">
        <v>554</v>
      </c>
      <c r="Q119" s="34" t="s">
        <v>57</v>
      </c>
      <c r="R119" s="34" t="s">
        <v>57</v>
      </c>
      <c r="S119" s="34" t="s">
        <v>63</v>
      </c>
      <c r="T119" s="34" t="s">
        <v>1800</v>
      </c>
      <c r="U119" s="35" t="s">
        <v>1801</v>
      </c>
      <c r="V119" s="34" t="s">
        <v>1649</v>
      </c>
      <c r="W119" s="34" t="s">
        <v>100</v>
      </c>
      <c r="X119" s="37" t="s">
        <v>100</v>
      </c>
      <c r="Y119" s="34" t="s">
        <v>74</v>
      </c>
      <c r="Z119" s="34" t="s">
        <v>57</v>
      </c>
      <c r="AA119" s="34">
        <v>2012.0</v>
      </c>
      <c r="AB119" s="34">
        <v>2013.0</v>
      </c>
      <c r="AC119" s="34" t="s">
        <v>264</v>
      </c>
      <c r="AD119" s="34" t="s">
        <v>71</v>
      </c>
      <c r="AE119" s="34" t="s">
        <v>69</v>
      </c>
      <c r="AF119" s="34" t="s">
        <v>74</v>
      </c>
      <c r="AG119" s="34" t="s">
        <v>75</v>
      </c>
      <c r="AH119" s="34" t="s">
        <v>105</v>
      </c>
      <c r="AI119" s="34" t="s">
        <v>166</v>
      </c>
      <c r="AJ119" s="34" t="s">
        <v>166</v>
      </c>
      <c r="AK119" s="34" t="s">
        <v>1802</v>
      </c>
      <c r="AL119" s="34" t="s">
        <v>128</v>
      </c>
      <c r="AM119" s="34" t="s">
        <v>129</v>
      </c>
      <c r="AN119" s="34" t="s">
        <v>1803</v>
      </c>
      <c r="AO119" s="39"/>
      <c r="AP119" s="34" t="s">
        <v>1522</v>
      </c>
      <c r="AQ119" s="20" t="s">
        <v>1804</v>
      </c>
      <c r="AR119" s="20" t="s">
        <v>201</v>
      </c>
      <c r="AS119" s="21" t="s">
        <v>1805</v>
      </c>
    </row>
    <row r="120">
      <c r="A120" s="32">
        <v>208.0</v>
      </c>
      <c r="B120" s="33">
        <v>3.64026819E8</v>
      </c>
      <c r="C120" s="34" t="s">
        <v>1806</v>
      </c>
      <c r="D120" s="34" t="s">
        <v>1807</v>
      </c>
      <c r="E120" s="34" t="s">
        <v>1808</v>
      </c>
      <c r="F120" s="34" t="s">
        <v>114</v>
      </c>
      <c r="G120" s="35" t="s">
        <v>1809</v>
      </c>
      <c r="H120" s="36">
        <v>2005.0</v>
      </c>
      <c r="I120" s="34" t="s">
        <v>207</v>
      </c>
      <c r="J120" s="34" t="s">
        <v>55</v>
      </c>
      <c r="K120" s="34" t="s">
        <v>1810</v>
      </c>
      <c r="L120" s="34" t="s">
        <v>57</v>
      </c>
      <c r="M120" s="34" t="s">
        <v>114</v>
      </c>
      <c r="N120" s="34" t="s">
        <v>1811</v>
      </c>
      <c r="O120" s="34" t="s">
        <v>1812</v>
      </c>
      <c r="P120" s="34" t="s">
        <v>93</v>
      </c>
      <c r="Q120" s="34" t="s">
        <v>57</v>
      </c>
      <c r="R120" s="34" t="s">
        <v>57</v>
      </c>
      <c r="S120" s="34" t="s">
        <v>193</v>
      </c>
      <c r="T120" s="34" t="s">
        <v>1813</v>
      </c>
      <c r="U120" s="35" t="s">
        <v>1814</v>
      </c>
      <c r="V120" s="34" t="s">
        <v>99</v>
      </c>
      <c r="W120" s="34" t="s">
        <v>100</v>
      </c>
      <c r="X120" s="37" t="s">
        <v>100</v>
      </c>
      <c r="Y120" s="34" t="s">
        <v>74</v>
      </c>
      <c r="Z120" s="34" t="s">
        <v>57</v>
      </c>
      <c r="AA120" s="34">
        <v>2002.0</v>
      </c>
      <c r="AB120" s="34">
        <v>2003.0</v>
      </c>
      <c r="AC120" s="34" t="s">
        <v>180</v>
      </c>
      <c r="AD120" s="34" t="s">
        <v>72</v>
      </c>
      <c r="AE120" s="34" t="s">
        <v>69</v>
      </c>
      <c r="AF120" s="34" t="s">
        <v>69</v>
      </c>
      <c r="AG120" s="34" t="s">
        <v>104</v>
      </c>
      <c r="AH120" s="34" t="s">
        <v>165</v>
      </c>
      <c r="AI120" s="34" t="s">
        <v>465</v>
      </c>
      <c r="AJ120" s="34" t="s">
        <v>465</v>
      </c>
      <c r="AK120" s="34" t="s">
        <v>1815</v>
      </c>
      <c r="AL120" s="34" t="s">
        <v>128</v>
      </c>
      <c r="AM120" s="34" t="s">
        <v>374</v>
      </c>
      <c r="AN120" s="34" t="s">
        <v>1816</v>
      </c>
      <c r="AO120" s="39"/>
      <c r="AP120" s="34" t="s">
        <v>184</v>
      </c>
      <c r="AQ120" s="20" t="s">
        <v>1817</v>
      </c>
      <c r="AR120" s="20" t="s">
        <v>201</v>
      </c>
      <c r="AS120" s="21" t="s">
        <v>1818</v>
      </c>
    </row>
    <row r="121">
      <c r="A121" s="32">
        <v>210.0</v>
      </c>
      <c r="B121" s="33">
        <v>3.64026475E8</v>
      </c>
      <c r="C121" s="34" t="s">
        <v>1819</v>
      </c>
      <c r="D121" s="34" t="s">
        <v>1820</v>
      </c>
      <c r="E121" s="38" t="s">
        <v>1821</v>
      </c>
      <c r="F121" s="34" t="s">
        <v>859</v>
      </c>
      <c r="G121" s="43" t="s">
        <v>1822</v>
      </c>
      <c r="H121" s="36">
        <v>2015.0</v>
      </c>
      <c r="I121" s="34" t="s">
        <v>796</v>
      </c>
      <c r="J121" s="34" t="s">
        <v>55</v>
      </c>
      <c r="K121" s="34" t="s">
        <v>1823</v>
      </c>
      <c r="L121" s="34" t="s">
        <v>57</v>
      </c>
      <c r="M121" s="34" t="s">
        <v>859</v>
      </c>
      <c r="N121" s="34" t="s">
        <v>1824</v>
      </c>
      <c r="O121" s="34" t="s">
        <v>1825</v>
      </c>
      <c r="P121" s="34" t="s">
        <v>93</v>
      </c>
      <c r="Q121" s="38" t="s">
        <v>1826</v>
      </c>
      <c r="R121" s="38" t="s">
        <v>1827</v>
      </c>
      <c r="S121" s="34" t="s">
        <v>96</v>
      </c>
      <c r="T121" s="34" t="s">
        <v>351</v>
      </c>
      <c r="U121" s="35" t="s">
        <v>1828</v>
      </c>
      <c r="V121" s="34" t="s">
        <v>99</v>
      </c>
      <c r="W121" s="34" t="s">
        <v>100</v>
      </c>
      <c r="X121" s="37" t="s">
        <v>100</v>
      </c>
      <c r="Y121" s="34" t="s">
        <v>69</v>
      </c>
      <c r="Z121" s="34" t="s">
        <v>1829</v>
      </c>
      <c r="AA121" s="34">
        <v>2009.0</v>
      </c>
      <c r="AB121" s="34">
        <v>2010.0</v>
      </c>
      <c r="AC121" s="34" t="s">
        <v>403</v>
      </c>
      <c r="AD121" s="34" t="s">
        <v>102</v>
      </c>
      <c r="AE121" s="34" t="s">
        <v>69</v>
      </c>
      <c r="AF121" s="34" t="s">
        <v>74</v>
      </c>
      <c r="AG121" s="34" t="s">
        <v>104</v>
      </c>
      <c r="AH121" s="34" t="s">
        <v>1622</v>
      </c>
      <c r="AI121" s="34" t="s">
        <v>1697</v>
      </c>
      <c r="AJ121" s="34" t="s">
        <v>107</v>
      </c>
      <c r="AK121" s="34" t="s">
        <v>1830</v>
      </c>
      <c r="AL121" s="34" t="s">
        <v>128</v>
      </c>
      <c r="AM121" s="34" t="s">
        <v>129</v>
      </c>
      <c r="AN121" s="34" t="s">
        <v>1831</v>
      </c>
      <c r="AO121" s="34" t="s">
        <v>1832</v>
      </c>
      <c r="AP121" s="34" t="s">
        <v>109</v>
      </c>
      <c r="AQ121" s="20" t="s">
        <v>1833</v>
      </c>
      <c r="AR121" s="20" t="s">
        <v>201</v>
      </c>
      <c r="AS121" s="21" t="s">
        <v>1834</v>
      </c>
    </row>
    <row r="122">
      <c r="A122" s="32">
        <v>211.0</v>
      </c>
      <c r="B122" s="33">
        <v>3.64026836E8</v>
      </c>
      <c r="C122" s="34" t="s">
        <v>1835</v>
      </c>
      <c r="D122" s="34" t="s">
        <v>1836</v>
      </c>
      <c r="E122" s="34" t="s">
        <v>1837</v>
      </c>
      <c r="F122" s="34" t="s">
        <v>172</v>
      </c>
      <c r="G122" s="35" t="s">
        <v>1838</v>
      </c>
      <c r="H122" s="36">
        <v>2009.0</v>
      </c>
      <c r="I122" s="34" t="s">
        <v>1839</v>
      </c>
      <c r="J122" s="34" t="s">
        <v>55</v>
      </c>
      <c r="K122" s="34" t="s">
        <v>1840</v>
      </c>
      <c r="L122" s="34" t="s">
        <v>57</v>
      </c>
      <c r="M122" s="34" t="s">
        <v>172</v>
      </c>
      <c r="N122" s="34" t="s">
        <v>1841</v>
      </c>
      <c r="O122" s="34" t="s">
        <v>1842</v>
      </c>
      <c r="P122" s="34" t="s">
        <v>93</v>
      </c>
      <c r="Q122" s="34" t="s">
        <v>1843</v>
      </c>
      <c r="R122" s="34" t="s">
        <v>1844</v>
      </c>
      <c r="S122" s="34" t="s">
        <v>96</v>
      </c>
      <c r="T122" s="34" t="s">
        <v>766</v>
      </c>
      <c r="U122" s="35" t="s">
        <v>1845</v>
      </c>
      <c r="V122" s="34" t="s">
        <v>99</v>
      </c>
      <c r="W122" s="34" t="s">
        <v>100</v>
      </c>
      <c r="X122" s="37" t="s">
        <v>100</v>
      </c>
      <c r="Y122" s="34" t="s">
        <v>74</v>
      </c>
      <c r="Z122" s="34" t="s">
        <v>57</v>
      </c>
      <c r="AA122" s="34">
        <v>2005.0</v>
      </c>
      <c r="AB122" s="34">
        <v>2006.0</v>
      </c>
      <c r="AC122" s="34" t="s">
        <v>214</v>
      </c>
      <c r="AD122" s="34" t="s">
        <v>72</v>
      </c>
      <c r="AE122" s="34" t="s">
        <v>69</v>
      </c>
      <c r="AF122" s="34" t="s">
        <v>69</v>
      </c>
      <c r="AG122" s="34" t="s">
        <v>104</v>
      </c>
      <c r="AH122" s="34" t="s">
        <v>105</v>
      </c>
      <c r="AI122" s="34" t="s">
        <v>1231</v>
      </c>
      <c r="AJ122" s="34" t="s">
        <v>107</v>
      </c>
      <c r="AK122" s="34" t="s">
        <v>1846</v>
      </c>
      <c r="AL122" s="34" t="s">
        <v>128</v>
      </c>
      <c r="AM122" s="34" t="s">
        <v>129</v>
      </c>
      <c r="AN122" s="34" t="s">
        <v>1847</v>
      </c>
      <c r="AO122" s="39"/>
      <c r="AP122" s="34" t="s">
        <v>184</v>
      </c>
      <c r="AQ122" s="20" t="s">
        <v>1848</v>
      </c>
      <c r="AR122" s="20" t="s">
        <v>201</v>
      </c>
      <c r="AS122" s="21" t="s">
        <v>1849</v>
      </c>
    </row>
    <row r="123">
      <c r="A123" s="32">
        <v>214.0</v>
      </c>
      <c r="B123" s="33">
        <v>3.64026484E8</v>
      </c>
      <c r="C123" s="34" t="s">
        <v>1850</v>
      </c>
      <c r="D123" s="34" t="s">
        <v>1851</v>
      </c>
      <c r="E123" s="34" t="s">
        <v>1852</v>
      </c>
      <c r="F123" s="34" t="s">
        <v>489</v>
      </c>
      <c r="G123" s="35" t="s">
        <v>1853</v>
      </c>
      <c r="H123" s="36">
        <v>2020.0</v>
      </c>
      <c r="I123" s="34" t="s">
        <v>207</v>
      </c>
      <c r="J123" s="34" t="s">
        <v>55</v>
      </c>
      <c r="K123" s="34" t="s">
        <v>1854</v>
      </c>
      <c r="L123" s="34" t="s">
        <v>57</v>
      </c>
      <c r="M123" s="34" t="s">
        <v>489</v>
      </c>
      <c r="N123" s="34" t="s">
        <v>1553</v>
      </c>
      <c r="O123" s="34" t="s">
        <v>1855</v>
      </c>
      <c r="P123" s="34" t="s">
        <v>93</v>
      </c>
      <c r="Q123" s="34" t="s">
        <v>57</v>
      </c>
      <c r="R123" s="34" t="s">
        <v>57</v>
      </c>
      <c r="S123" s="34" t="s">
        <v>63</v>
      </c>
      <c r="T123" s="34" t="s">
        <v>351</v>
      </c>
      <c r="U123" s="35" t="s">
        <v>1856</v>
      </c>
      <c r="V123" s="34" t="s">
        <v>66</v>
      </c>
      <c r="W123" s="34" t="s">
        <v>1267</v>
      </c>
      <c r="X123" s="37" t="s">
        <v>1268</v>
      </c>
      <c r="Y123" s="34" t="s">
        <v>74</v>
      </c>
      <c r="Z123" s="34" t="s">
        <v>57</v>
      </c>
      <c r="AA123" s="34">
        <v>2003.0</v>
      </c>
      <c r="AB123" s="34">
        <v>2017.0</v>
      </c>
      <c r="AC123" s="34" t="s">
        <v>214</v>
      </c>
      <c r="AD123" s="34" t="s">
        <v>103</v>
      </c>
      <c r="AE123" s="34" t="s">
        <v>69</v>
      </c>
      <c r="AF123" s="34" t="s">
        <v>74</v>
      </c>
      <c r="AG123" s="34" t="s">
        <v>215</v>
      </c>
      <c r="AH123" s="34" t="s">
        <v>105</v>
      </c>
      <c r="AI123" s="34" t="s">
        <v>166</v>
      </c>
      <c r="AJ123" s="34" t="s">
        <v>166</v>
      </c>
      <c r="AK123" s="34" t="s">
        <v>1857</v>
      </c>
      <c r="AL123" s="34" t="s">
        <v>79</v>
      </c>
      <c r="AM123" s="34" t="s">
        <v>57</v>
      </c>
      <c r="AN123" s="34" t="s">
        <v>57</v>
      </c>
      <c r="AO123" s="39"/>
      <c r="AP123" s="34" t="s">
        <v>109</v>
      </c>
      <c r="AQ123" s="20" t="s">
        <v>1858</v>
      </c>
      <c r="AR123" s="20" t="s">
        <v>201</v>
      </c>
      <c r="AS123" s="63"/>
    </row>
    <row r="124">
      <c r="A124" s="32">
        <v>215.0</v>
      </c>
      <c r="B124" s="33">
        <v>3.64026486E8</v>
      </c>
      <c r="C124" s="34" t="s">
        <v>1859</v>
      </c>
      <c r="D124" s="34" t="s">
        <v>1860</v>
      </c>
      <c r="E124" s="38" t="s">
        <v>1861</v>
      </c>
      <c r="F124" s="34" t="s">
        <v>650</v>
      </c>
      <c r="G124" s="43" t="s">
        <v>1862</v>
      </c>
      <c r="H124" s="36">
        <v>2014.0</v>
      </c>
      <c r="I124" s="34" t="s">
        <v>207</v>
      </c>
      <c r="J124" s="34" t="s">
        <v>55</v>
      </c>
      <c r="K124" s="34" t="s">
        <v>1863</v>
      </c>
      <c r="L124" s="34" t="s">
        <v>57</v>
      </c>
      <c r="M124" s="34" t="s">
        <v>653</v>
      </c>
      <c r="N124" s="34" t="s">
        <v>650</v>
      </c>
      <c r="O124" s="34" t="s">
        <v>1864</v>
      </c>
      <c r="P124" s="34" t="s">
        <v>93</v>
      </c>
      <c r="Q124" s="34" t="s">
        <v>57</v>
      </c>
      <c r="R124" s="34" t="s">
        <v>57</v>
      </c>
      <c r="S124" s="34" t="s">
        <v>63</v>
      </c>
      <c r="T124" s="34" t="s">
        <v>351</v>
      </c>
      <c r="U124" s="35" t="s">
        <v>1865</v>
      </c>
      <c r="V124" s="34" t="s">
        <v>99</v>
      </c>
      <c r="W124" s="34" t="s">
        <v>100</v>
      </c>
      <c r="X124" s="37" t="s">
        <v>100</v>
      </c>
      <c r="Y124" s="34" t="s">
        <v>74</v>
      </c>
      <c r="Z124" s="34" t="s">
        <v>57</v>
      </c>
      <c r="AA124" s="34">
        <v>2007.0</v>
      </c>
      <c r="AB124" s="34">
        <v>2008.0</v>
      </c>
      <c r="AC124" s="34" t="s">
        <v>103</v>
      </c>
      <c r="AD124" s="34" t="s">
        <v>180</v>
      </c>
      <c r="AE124" s="34" t="s">
        <v>69</v>
      </c>
      <c r="AF124" s="34" t="s">
        <v>74</v>
      </c>
      <c r="AG124" s="34" t="s">
        <v>104</v>
      </c>
      <c r="AH124" s="34" t="s">
        <v>105</v>
      </c>
      <c r="AI124" s="34" t="s">
        <v>336</v>
      </c>
      <c r="AJ124" s="34" t="s">
        <v>336</v>
      </c>
      <c r="AK124" s="34" t="s">
        <v>1866</v>
      </c>
      <c r="AL124" s="34" t="s">
        <v>128</v>
      </c>
      <c r="AM124" s="34" t="s">
        <v>129</v>
      </c>
      <c r="AN124" s="34" t="s">
        <v>1867</v>
      </c>
      <c r="AO124" s="39"/>
      <c r="AP124" s="34" t="s">
        <v>109</v>
      </c>
      <c r="AQ124" s="20" t="s">
        <v>1868</v>
      </c>
      <c r="AR124" s="20" t="s">
        <v>201</v>
      </c>
      <c r="AS124" s="21" t="s">
        <v>1869</v>
      </c>
    </row>
    <row r="125">
      <c r="A125" s="32">
        <v>216.0</v>
      </c>
      <c r="B125" s="33">
        <v>3.6402648E8</v>
      </c>
      <c r="C125" s="34" t="s">
        <v>1870</v>
      </c>
      <c r="D125" s="34" t="s">
        <v>1871</v>
      </c>
      <c r="E125" s="38" t="s">
        <v>1872</v>
      </c>
      <c r="F125" s="34" t="s">
        <v>1873</v>
      </c>
      <c r="G125" s="43" t="s">
        <v>1874</v>
      </c>
      <c r="H125" s="36">
        <v>2021.0</v>
      </c>
      <c r="I125" s="38" t="s">
        <v>796</v>
      </c>
      <c r="J125" s="34" t="s">
        <v>55</v>
      </c>
      <c r="K125" s="34" t="s">
        <v>1875</v>
      </c>
      <c r="L125" s="34" t="s">
        <v>57</v>
      </c>
      <c r="M125" s="34" t="s">
        <v>1873</v>
      </c>
      <c r="N125" s="34" t="s">
        <v>1876</v>
      </c>
      <c r="O125" s="34" t="s">
        <v>1877</v>
      </c>
      <c r="P125" s="34" t="s">
        <v>554</v>
      </c>
      <c r="Q125" s="34" t="s">
        <v>1878</v>
      </c>
      <c r="R125" s="34" t="s">
        <v>1879</v>
      </c>
      <c r="S125" s="34" t="s">
        <v>63</v>
      </c>
      <c r="T125" s="34" t="s">
        <v>1880</v>
      </c>
      <c r="U125" s="35" t="s">
        <v>1881</v>
      </c>
      <c r="V125" s="34" t="s">
        <v>99</v>
      </c>
      <c r="W125" s="34" t="s">
        <v>100</v>
      </c>
      <c r="X125" s="37" t="s">
        <v>100</v>
      </c>
      <c r="Y125" s="34" t="s">
        <v>74</v>
      </c>
      <c r="Z125" s="34" t="s">
        <v>57</v>
      </c>
      <c r="AA125" s="34">
        <v>2015.0</v>
      </c>
      <c r="AB125" s="34">
        <v>2016.0</v>
      </c>
      <c r="AC125" s="34" t="s">
        <v>403</v>
      </c>
      <c r="AD125" s="34" t="s">
        <v>542</v>
      </c>
      <c r="AE125" s="34" t="s">
        <v>69</v>
      </c>
      <c r="AF125" s="34" t="s">
        <v>74</v>
      </c>
      <c r="AG125" s="34" t="s">
        <v>75</v>
      </c>
      <c r="AH125" s="34" t="s">
        <v>105</v>
      </c>
      <c r="AI125" s="34" t="s">
        <v>1231</v>
      </c>
      <c r="AJ125" s="34" t="s">
        <v>107</v>
      </c>
      <c r="AK125" s="34" t="s">
        <v>1882</v>
      </c>
      <c r="AL125" s="34" t="s">
        <v>128</v>
      </c>
      <c r="AM125" s="34" t="s">
        <v>129</v>
      </c>
      <c r="AN125" s="34" t="s">
        <v>1883</v>
      </c>
      <c r="AO125" s="34" t="s">
        <v>1884</v>
      </c>
      <c r="AP125" s="34" t="s">
        <v>1522</v>
      </c>
      <c r="AQ125" s="20" t="s">
        <v>1885</v>
      </c>
      <c r="AR125" s="20" t="s">
        <v>201</v>
      </c>
      <c r="AS125" s="21" t="s">
        <v>1886</v>
      </c>
    </row>
    <row r="126">
      <c r="A126" s="32">
        <v>217.0</v>
      </c>
      <c r="B126" s="33">
        <v>3.64026501E8</v>
      </c>
      <c r="C126" s="34" t="s">
        <v>1887</v>
      </c>
      <c r="D126" s="34" t="s">
        <v>1888</v>
      </c>
      <c r="E126" s="34" t="s">
        <v>1889</v>
      </c>
      <c r="F126" s="34" t="s">
        <v>992</v>
      </c>
      <c r="G126" s="35" t="s">
        <v>1890</v>
      </c>
      <c r="H126" s="36">
        <v>2012.0</v>
      </c>
      <c r="I126" s="34" t="s">
        <v>207</v>
      </c>
      <c r="J126" s="34" t="s">
        <v>55</v>
      </c>
      <c r="K126" s="34" t="s">
        <v>1891</v>
      </c>
      <c r="L126" s="34" t="s">
        <v>57</v>
      </c>
      <c r="M126" s="34" t="s">
        <v>992</v>
      </c>
      <c r="N126" s="34" t="s">
        <v>1530</v>
      </c>
      <c r="O126" s="34" t="s">
        <v>1892</v>
      </c>
      <c r="P126" s="34" t="s">
        <v>554</v>
      </c>
      <c r="Q126" s="34" t="s">
        <v>57</v>
      </c>
      <c r="R126" s="34" t="s">
        <v>57</v>
      </c>
      <c r="S126" s="34" t="s">
        <v>63</v>
      </c>
      <c r="T126" s="34" t="s">
        <v>1893</v>
      </c>
      <c r="U126" s="35" t="s">
        <v>1894</v>
      </c>
      <c r="V126" s="34" t="s">
        <v>99</v>
      </c>
      <c r="W126" s="34" t="s">
        <v>100</v>
      </c>
      <c r="X126" s="37" t="s">
        <v>100</v>
      </c>
      <c r="Y126" s="34" t="s">
        <v>74</v>
      </c>
      <c r="Z126" s="34" t="s">
        <v>57</v>
      </c>
      <c r="AA126" s="34">
        <v>2008.0</v>
      </c>
      <c r="AB126" s="34">
        <v>2008.0</v>
      </c>
      <c r="AC126" s="34" t="s">
        <v>57</v>
      </c>
      <c r="AD126" s="34" t="s">
        <v>57</v>
      </c>
      <c r="AE126" s="34" t="s">
        <v>69</v>
      </c>
      <c r="AF126" s="34" t="s">
        <v>74</v>
      </c>
      <c r="AG126" s="34" t="s">
        <v>104</v>
      </c>
      <c r="AH126" s="34" t="s">
        <v>105</v>
      </c>
      <c r="AI126" s="34" t="s">
        <v>166</v>
      </c>
      <c r="AJ126" s="34" t="s">
        <v>166</v>
      </c>
      <c r="AK126" s="34" t="s">
        <v>1895</v>
      </c>
      <c r="AL126" s="34" t="s">
        <v>128</v>
      </c>
      <c r="AM126" s="34" t="s">
        <v>1283</v>
      </c>
      <c r="AN126" s="34" t="s">
        <v>1896</v>
      </c>
      <c r="AO126" s="39"/>
      <c r="AP126" s="34" t="s">
        <v>109</v>
      </c>
      <c r="AQ126" s="20" t="s">
        <v>1897</v>
      </c>
      <c r="AR126" s="20" t="s">
        <v>201</v>
      </c>
      <c r="AS126" s="63"/>
    </row>
    <row r="127">
      <c r="A127" s="32">
        <v>218.0</v>
      </c>
      <c r="B127" s="33">
        <v>3.64026507E8</v>
      </c>
      <c r="C127" s="34" t="s">
        <v>1898</v>
      </c>
      <c r="D127" s="34" t="s">
        <v>1899</v>
      </c>
      <c r="E127" s="34" t="s">
        <v>1900</v>
      </c>
      <c r="F127" s="34" t="s">
        <v>87</v>
      </c>
      <c r="G127" s="35" t="s">
        <v>1901</v>
      </c>
      <c r="H127" s="36">
        <v>2016.0</v>
      </c>
      <c r="I127" s="34" t="s">
        <v>796</v>
      </c>
      <c r="J127" s="34" t="s">
        <v>55</v>
      </c>
      <c r="K127" s="34" t="s">
        <v>1902</v>
      </c>
      <c r="L127" s="34" t="s">
        <v>57</v>
      </c>
      <c r="M127" s="34" t="s">
        <v>1903</v>
      </c>
      <c r="N127" s="34" t="s">
        <v>87</v>
      </c>
      <c r="O127" s="34" t="s">
        <v>1904</v>
      </c>
      <c r="P127" s="34" t="s">
        <v>93</v>
      </c>
      <c r="Q127" s="34" t="s">
        <v>57</v>
      </c>
      <c r="R127" s="34" t="s">
        <v>57</v>
      </c>
      <c r="S127" s="34" t="s">
        <v>96</v>
      </c>
      <c r="T127" s="34" t="s">
        <v>1905</v>
      </c>
      <c r="U127" s="35" t="s">
        <v>1906</v>
      </c>
      <c r="V127" s="34" t="s">
        <v>99</v>
      </c>
      <c r="W127" s="34" t="s">
        <v>100</v>
      </c>
      <c r="X127" s="37" t="s">
        <v>100</v>
      </c>
      <c r="Y127" s="34" t="s">
        <v>74</v>
      </c>
      <c r="Z127" s="34" t="s">
        <v>57</v>
      </c>
      <c r="AA127" s="34">
        <v>2009.0</v>
      </c>
      <c r="AB127" s="34">
        <v>2010.0</v>
      </c>
      <c r="AC127" s="34" t="s">
        <v>264</v>
      </c>
      <c r="AD127" s="34" t="s">
        <v>180</v>
      </c>
      <c r="AE127" s="34" t="s">
        <v>69</v>
      </c>
      <c r="AF127" s="34" t="s">
        <v>74</v>
      </c>
      <c r="AG127" s="34" t="s">
        <v>104</v>
      </c>
      <c r="AH127" s="34" t="s">
        <v>105</v>
      </c>
      <c r="AI127" s="34" t="s">
        <v>106</v>
      </c>
      <c r="AJ127" s="34" t="s">
        <v>107</v>
      </c>
      <c r="AK127" s="34" t="s">
        <v>1907</v>
      </c>
      <c r="AL127" s="34" t="s">
        <v>128</v>
      </c>
      <c r="AM127" s="34" t="s">
        <v>129</v>
      </c>
      <c r="AN127" s="34" t="s">
        <v>1908</v>
      </c>
      <c r="AO127" s="39"/>
      <c r="AP127" s="34" t="s">
        <v>109</v>
      </c>
      <c r="AQ127" s="20" t="s">
        <v>1909</v>
      </c>
      <c r="AR127" s="20" t="s">
        <v>201</v>
      </c>
      <c r="AS127" s="63"/>
    </row>
    <row r="128">
      <c r="A128" s="32">
        <v>219.0</v>
      </c>
      <c r="B128" s="33">
        <v>3.64026509E8</v>
      </c>
      <c r="C128" s="34" t="s">
        <v>1910</v>
      </c>
      <c r="D128" s="34" t="s">
        <v>1911</v>
      </c>
      <c r="E128" s="34" t="s">
        <v>1912</v>
      </c>
      <c r="F128" s="34" t="s">
        <v>581</v>
      </c>
      <c r="G128" s="43" t="s">
        <v>1913</v>
      </c>
      <c r="H128" s="36">
        <v>2013.0</v>
      </c>
      <c r="I128" s="34" t="s">
        <v>1914</v>
      </c>
      <c r="J128" s="34" t="s">
        <v>55</v>
      </c>
      <c r="K128" s="34" t="s">
        <v>1915</v>
      </c>
      <c r="L128" s="34" t="s">
        <v>57</v>
      </c>
      <c r="M128" s="34" t="s">
        <v>581</v>
      </c>
      <c r="N128" s="34" t="s">
        <v>1916</v>
      </c>
      <c r="O128" s="34" t="s">
        <v>1917</v>
      </c>
      <c r="P128" s="34" t="s">
        <v>554</v>
      </c>
      <c r="Q128" s="34" t="s">
        <v>57</v>
      </c>
      <c r="R128" s="34" t="s">
        <v>57</v>
      </c>
      <c r="S128" s="34" t="s">
        <v>96</v>
      </c>
      <c r="T128" s="34" t="s">
        <v>1918</v>
      </c>
      <c r="U128" s="35" t="s">
        <v>1919</v>
      </c>
      <c r="V128" s="34" t="s">
        <v>99</v>
      </c>
      <c r="W128" s="34" t="s">
        <v>100</v>
      </c>
      <c r="X128" s="37" t="s">
        <v>100</v>
      </c>
      <c r="Y128" s="34" t="s">
        <v>74</v>
      </c>
      <c r="Z128" s="34" t="s">
        <v>57</v>
      </c>
      <c r="AA128" s="34">
        <v>2009.0</v>
      </c>
      <c r="AB128" s="34">
        <v>2009.0</v>
      </c>
      <c r="AC128" s="34" t="s">
        <v>57</v>
      </c>
      <c r="AD128" s="34" t="s">
        <v>57</v>
      </c>
      <c r="AE128" s="34" t="s">
        <v>69</v>
      </c>
      <c r="AF128" s="34" t="s">
        <v>74</v>
      </c>
      <c r="AG128" s="34" t="s">
        <v>104</v>
      </c>
      <c r="AH128" s="34" t="s">
        <v>105</v>
      </c>
      <c r="AI128" s="34" t="s">
        <v>1231</v>
      </c>
      <c r="AJ128" s="34" t="s">
        <v>107</v>
      </c>
      <c r="AK128" s="34" t="s">
        <v>1920</v>
      </c>
      <c r="AL128" s="34" t="s">
        <v>128</v>
      </c>
      <c r="AM128" s="34" t="s">
        <v>129</v>
      </c>
      <c r="AN128" s="34" t="s">
        <v>1921</v>
      </c>
      <c r="AO128" s="39"/>
      <c r="AP128" s="34" t="s">
        <v>109</v>
      </c>
      <c r="AQ128" s="40" t="s">
        <v>1922</v>
      </c>
      <c r="AR128" s="40" t="s">
        <v>201</v>
      </c>
      <c r="AS128" s="41" t="s">
        <v>1923</v>
      </c>
    </row>
    <row r="129">
      <c r="A129" s="32">
        <v>223.0</v>
      </c>
      <c r="B129" s="33">
        <v>3.64026541E8</v>
      </c>
      <c r="C129" s="34" t="s">
        <v>1924</v>
      </c>
      <c r="D129" s="34" t="s">
        <v>1925</v>
      </c>
      <c r="E129" s="34" t="s">
        <v>1926</v>
      </c>
      <c r="F129" s="34" t="s">
        <v>992</v>
      </c>
      <c r="G129" s="35" t="s">
        <v>1927</v>
      </c>
      <c r="H129" s="36">
        <v>2013.0</v>
      </c>
      <c r="I129" s="34" t="s">
        <v>669</v>
      </c>
      <c r="J129" s="34" t="s">
        <v>55</v>
      </c>
      <c r="K129" s="34" t="s">
        <v>1891</v>
      </c>
      <c r="L129" s="34" t="s">
        <v>57</v>
      </c>
      <c r="M129" s="34" t="s">
        <v>992</v>
      </c>
      <c r="N129" s="34" t="s">
        <v>1530</v>
      </c>
      <c r="O129" s="34" t="s">
        <v>1928</v>
      </c>
      <c r="P129" s="34" t="s">
        <v>554</v>
      </c>
      <c r="Q129" s="34" t="s">
        <v>57</v>
      </c>
      <c r="R129" s="34" t="s">
        <v>57</v>
      </c>
      <c r="S129" s="34" t="s">
        <v>63</v>
      </c>
      <c r="T129" s="34" t="s">
        <v>463</v>
      </c>
      <c r="U129" s="35" t="s">
        <v>1929</v>
      </c>
      <c r="V129" s="34" t="s">
        <v>1649</v>
      </c>
      <c r="W129" s="34" t="s">
        <v>100</v>
      </c>
      <c r="X129" s="37" t="s">
        <v>100</v>
      </c>
      <c r="Y129" s="34" t="s">
        <v>74</v>
      </c>
      <c r="Z129" s="34" t="s">
        <v>57</v>
      </c>
      <c r="AA129" s="34">
        <v>2010.0</v>
      </c>
      <c r="AB129" s="34">
        <v>2010.0</v>
      </c>
      <c r="AC129" s="34" t="s">
        <v>403</v>
      </c>
      <c r="AD129" s="34" t="s">
        <v>692</v>
      </c>
      <c r="AE129" s="34" t="s">
        <v>69</v>
      </c>
      <c r="AF129" s="34" t="s">
        <v>74</v>
      </c>
      <c r="AG129" s="34" t="s">
        <v>104</v>
      </c>
      <c r="AH129" s="34" t="s">
        <v>105</v>
      </c>
      <c r="AI129" s="34" t="s">
        <v>106</v>
      </c>
      <c r="AJ129" s="34" t="s">
        <v>107</v>
      </c>
      <c r="AK129" s="34" t="s">
        <v>1930</v>
      </c>
      <c r="AL129" s="34" t="s">
        <v>128</v>
      </c>
      <c r="AM129" s="34" t="s">
        <v>129</v>
      </c>
      <c r="AN129" s="34" t="s">
        <v>1931</v>
      </c>
      <c r="AO129" s="34" t="s">
        <v>1932</v>
      </c>
      <c r="AP129" s="34" t="s">
        <v>109</v>
      </c>
      <c r="AQ129" s="40" t="s">
        <v>1933</v>
      </c>
      <c r="AR129" s="40" t="s">
        <v>201</v>
      </c>
      <c r="AS129" s="41" t="s">
        <v>1934</v>
      </c>
    </row>
    <row r="130">
      <c r="A130" s="32">
        <v>224.0</v>
      </c>
      <c r="B130" s="33">
        <v>3.64026548E8</v>
      </c>
      <c r="C130" s="34" t="s">
        <v>1935</v>
      </c>
      <c r="D130" s="34" t="s">
        <v>1925</v>
      </c>
      <c r="E130" s="34" t="s">
        <v>1889</v>
      </c>
      <c r="F130" s="34" t="s">
        <v>992</v>
      </c>
      <c r="G130" s="43" t="s">
        <v>1936</v>
      </c>
      <c r="H130" s="36">
        <v>2013.0</v>
      </c>
      <c r="I130" s="34" t="s">
        <v>729</v>
      </c>
      <c r="J130" s="34" t="s">
        <v>55</v>
      </c>
      <c r="K130" s="34" t="s">
        <v>1891</v>
      </c>
      <c r="L130" s="34" t="s">
        <v>57</v>
      </c>
      <c r="M130" s="34" t="s">
        <v>992</v>
      </c>
      <c r="N130" s="34" t="s">
        <v>1530</v>
      </c>
      <c r="O130" s="34" t="s">
        <v>1937</v>
      </c>
      <c r="P130" s="34" t="s">
        <v>554</v>
      </c>
      <c r="Q130" s="34" t="s">
        <v>57</v>
      </c>
      <c r="R130" s="34" t="s">
        <v>57</v>
      </c>
      <c r="S130" s="34" t="s">
        <v>63</v>
      </c>
      <c r="T130" s="34" t="s">
        <v>1938</v>
      </c>
      <c r="U130" s="35" t="s">
        <v>1939</v>
      </c>
      <c r="V130" s="34" t="s">
        <v>99</v>
      </c>
      <c r="W130" s="34" t="s">
        <v>100</v>
      </c>
      <c r="X130" s="37" t="s">
        <v>100</v>
      </c>
      <c r="Y130" s="34" t="s">
        <v>74</v>
      </c>
      <c r="Z130" s="34" t="s">
        <v>57</v>
      </c>
      <c r="AA130" s="34">
        <v>2009.0</v>
      </c>
      <c r="AB130" s="34">
        <v>2009.0</v>
      </c>
      <c r="AC130" s="34" t="s">
        <v>57</v>
      </c>
      <c r="AD130" s="34" t="s">
        <v>57</v>
      </c>
      <c r="AE130" s="34" t="s">
        <v>69</v>
      </c>
      <c r="AF130" s="34" t="s">
        <v>69</v>
      </c>
      <c r="AG130" s="34" t="s">
        <v>104</v>
      </c>
      <c r="AH130" s="34" t="s">
        <v>105</v>
      </c>
      <c r="AI130" s="34" t="s">
        <v>1231</v>
      </c>
      <c r="AJ130" s="34" t="s">
        <v>107</v>
      </c>
      <c r="AK130" s="34" t="s">
        <v>1940</v>
      </c>
      <c r="AL130" s="34" t="s">
        <v>128</v>
      </c>
      <c r="AM130" s="34" t="s">
        <v>198</v>
      </c>
      <c r="AN130" s="34" t="s">
        <v>1941</v>
      </c>
      <c r="AO130" s="39"/>
      <c r="AP130" s="34" t="s">
        <v>109</v>
      </c>
      <c r="AQ130" s="40" t="s">
        <v>1942</v>
      </c>
      <c r="AR130" s="40" t="s">
        <v>201</v>
      </c>
      <c r="AS130" s="41" t="s">
        <v>1943</v>
      </c>
    </row>
    <row r="131">
      <c r="A131" s="13">
        <v>225.0</v>
      </c>
      <c r="B131" s="14">
        <v>3.64026559E8</v>
      </c>
      <c r="C131" s="15" t="s">
        <v>1944</v>
      </c>
      <c r="D131" s="15" t="s">
        <v>1945</v>
      </c>
      <c r="E131" s="15" t="s">
        <v>1946</v>
      </c>
      <c r="F131" s="15" t="s">
        <v>114</v>
      </c>
      <c r="G131" s="16" t="s">
        <v>1947</v>
      </c>
      <c r="H131" s="17">
        <v>2008.0</v>
      </c>
      <c r="I131" s="15" t="s">
        <v>1125</v>
      </c>
      <c r="J131" s="15" t="s">
        <v>55</v>
      </c>
      <c r="K131" s="15" t="s">
        <v>1948</v>
      </c>
      <c r="L131" s="15" t="s">
        <v>57</v>
      </c>
      <c r="M131" s="15" t="s">
        <v>114</v>
      </c>
      <c r="N131" s="15" t="s">
        <v>1949</v>
      </c>
      <c r="O131" s="15" t="s">
        <v>1950</v>
      </c>
      <c r="P131" s="15" t="s">
        <v>93</v>
      </c>
      <c r="Q131" s="15" t="s">
        <v>57</v>
      </c>
      <c r="R131" s="15" t="s">
        <v>57</v>
      </c>
      <c r="S131" s="15" t="s">
        <v>193</v>
      </c>
      <c r="T131" s="15" t="s">
        <v>1024</v>
      </c>
      <c r="U131" s="16" t="s">
        <v>1951</v>
      </c>
      <c r="V131" s="15" t="s">
        <v>1649</v>
      </c>
      <c r="W131" s="15" t="s">
        <v>100</v>
      </c>
      <c r="X131" s="18" t="s">
        <v>100</v>
      </c>
      <c r="Y131" s="15" t="s">
        <v>74</v>
      </c>
      <c r="Z131" s="15" t="s">
        <v>57</v>
      </c>
      <c r="AA131" s="15">
        <v>2001.0</v>
      </c>
      <c r="AB131" s="15">
        <v>2002.0</v>
      </c>
      <c r="AC131" s="15" t="s">
        <v>103</v>
      </c>
      <c r="AD131" s="15" t="s">
        <v>72</v>
      </c>
      <c r="AE131" s="15" t="s">
        <v>69</v>
      </c>
      <c r="AF131" s="15" t="s">
        <v>69</v>
      </c>
      <c r="AG131" s="15" t="s">
        <v>104</v>
      </c>
      <c r="AH131" s="15" t="s">
        <v>105</v>
      </c>
      <c r="AI131" s="15" t="s">
        <v>166</v>
      </c>
      <c r="AJ131" s="15" t="s">
        <v>166</v>
      </c>
      <c r="AK131" s="15" t="s">
        <v>1952</v>
      </c>
      <c r="AL131" s="15" t="s">
        <v>128</v>
      </c>
      <c r="AM131" s="15" t="s">
        <v>1791</v>
      </c>
      <c r="AN131" s="15" t="s">
        <v>1953</v>
      </c>
      <c r="AO131" s="19"/>
      <c r="AP131" s="15" t="s">
        <v>1522</v>
      </c>
      <c r="AQ131" s="20" t="s">
        <v>1954</v>
      </c>
      <c r="AR131" s="20" t="s">
        <v>1955</v>
      </c>
      <c r="AS131" s="63"/>
    </row>
    <row r="132">
      <c r="A132" s="13">
        <v>226.0</v>
      </c>
      <c r="B132" s="14">
        <v>3.64026557E8</v>
      </c>
      <c r="C132" s="15" t="s">
        <v>1956</v>
      </c>
      <c r="D132" s="15" t="s">
        <v>1957</v>
      </c>
      <c r="E132" s="15" t="s">
        <v>1958</v>
      </c>
      <c r="F132" s="15" t="s">
        <v>114</v>
      </c>
      <c r="G132" s="16" t="s">
        <v>1959</v>
      </c>
      <c r="H132" s="17">
        <v>2012.0</v>
      </c>
      <c r="I132" s="15" t="s">
        <v>207</v>
      </c>
      <c r="J132" s="15" t="s">
        <v>55</v>
      </c>
      <c r="K132" s="15" t="s">
        <v>1960</v>
      </c>
      <c r="L132" s="15" t="s">
        <v>57</v>
      </c>
      <c r="M132" s="15" t="s">
        <v>114</v>
      </c>
      <c r="N132" s="15" t="s">
        <v>1961</v>
      </c>
      <c r="O132" s="15" t="s">
        <v>1962</v>
      </c>
      <c r="P132" s="15" t="s">
        <v>93</v>
      </c>
      <c r="Q132" s="15" t="s">
        <v>1963</v>
      </c>
      <c r="R132" s="15" t="s">
        <v>1964</v>
      </c>
      <c r="S132" s="15" t="s">
        <v>193</v>
      </c>
      <c r="T132" s="15" t="s">
        <v>463</v>
      </c>
      <c r="U132" s="16" t="s">
        <v>1965</v>
      </c>
      <c r="V132" s="15" t="s">
        <v>1649</v>
      </c>
      <c r="W132" s="15" t="s">
        <v>100</v>
      </c>
      <c r="X132" s="18" t="s">
        <v>100</v>
      </c>
      <c r="Y132" s="15" t="s">
        <v>74</v>
      </c>
      <c r="Z132" s="15" t="s">
        <v>57</v>
      </c>
      <c r="AA132" s="15">
        <v>2009.0</v>
      </c>
      <c r="AB132" s="15">
        <v>2010.0</v>
      </c>
      <c r="AC132" s="15" t="s">
        <v>144</v>
      </c>
      <c r="AD132" s="15" t="s">
        <v>180</v>
      </c>
      <c r="AE132" s="15" t="s">
        <v>69</v>
      </c>
      <c r="AF132" s="15" t="s">
        <v>74</v>
      </c>
      <c r="AG132" s="15" t="s">
        <v>75</v>
      </c>
      <c r="AH132" s="15" t="s">
        <v>498</v>
      </c>
      <c r="AI132" s="15" t="s">
        <v>1339</v>
      </c>
      <c r="AJ132" s="15" t="s">
        <v>107</v>
      </c>
      <c r="AK132" s="15" t="s">
        <v>1966</v>
      </c>
      <c r="AL132" s="15" t="s">
        <v>128</v>
      </c>
      <c r="AM132" s="15" t="s">
        <v>895</v>
      </c>
      <c r="AN132" s="15" t="s">
        <v>1967</v>
      </c>
      <c r="AO132" s="19"/>
      <c r="AP132" s="15" t="s">
        <v>1522</v>
      </c>
      <c r="AQ132" s="20" t="s">
        <v>1968</v>
      </c>
      <c r="AR132" s="20" t="s">
        <v>1955</v>
      </c>
      <c r="AS132" s="63"/>
    </row>
    <row r="133">
      <c r="A133" s="13">
        <v>227.0</v>
      </c>
      <c r="B133" s="14">
        <v>3.64026565E8</v>
      </c>
      <c r="C133" s="15" t="s">
        <v>1969</v>
      </c>
      <c r="D133" s="15" t="s">
        <v>1970</v>
      </c>
      <c r="E133" s="15" t="s">
        <v>1971</v>
      </c>
      <c r="F133" s="19"/>
      <c r="G133" s="16" t="s">
        <v>1972</v>
      </c>
      <c r="H133" s="17">
        <v>2020.0</v>
      </c>
      <c r="I133" s="15" t="s">
        <v>1085</v>
      </c>
      <c r="J133" s="15" t="s">
        <v>55</v>
      </c>
      <c r="K133" s="15" t="s">
        <v>1973</v>
      </c>
      <c r="L133" s="15" t="s">
        <v>57</v>
      </c>
      <c r="M133" s="15" t="s">
        <v>114</v>
      </c>
      <c r="N133" s="15" t="s">
        <v>1974</v>
      </c>
      <c r="O133" s="15" t="s">
        <v>1975</v>
      </c>
      <c r="P133" s="15" t="s">
        <v>93</v>
      </c>
      <c r="Q133" s="15" t="s">
        <v>57</v>
      </c>
      <c r="R133" s="15" t="s">
        <v>57</v>
      </c>
      <c r="S133" s="15" t="s">
        <v>96</v>
      </c>
      <c r="T133" s="15" t="s">
        <v>1976</v>
      </c>
      <c r="U133" s="16" t="s">
        <v>1977</v>
      </c>
      <c r="V133" s="15" t="s">
        <v>99</v>
      </c>
      <c r="W133" s="15" t="s">
        <v>100</v>
      </c>
      <c r="X133" s="18" t="s">
        <v>100</v>
      </c>
      <c r="Y133" s="15" t="s">
        <v>74</v>
      </c>
      <c r="Z133" s="15" t="s">
        <v>57</v>
      </c>
      <c r="AA133" s="15">
        <v>2016.0</v>
      </c>
      <c r="AB133" s="15">
        <v>2018.0</v>
      </c>
      <c r="AC133" s="15" t="s">
        <v>403</v>
      </c>
      <c r="AD133" s="15" t="s">
        <v>214</v>
      </c>
      <c r="AE133" s="15" t="s">
        <v>69</v>
      </c>
      <c r="AF133" s="15" t="s">
        <v>74</v>
      </c>
      <c r="AG133" s="15" t="s">
        <v>104</v>
      </c>
      <c r="AH133" s="15" t="s">
        <v>105</v>
      </c>
      <c r="AI133" s="15" t="s">
        <v>166</v>
      </c>
      <c r="AJ133" s="15" t="s">
        <v>166</v>
      </c>
      <c r="AK133" s="15" t="s">
        <v>1978</v>
      </c>
      <c r="AL133" s="15" t="s">
        <v>128</v>
      </c>
      <c r="AM133" s="15" t="s">
        <v>129</v>
      </c>
      <c r="AN133" s="15" t="s">
        <v>1979</v>
      </c>
      <c r="AO133" s="15" t="s">
        <v>1980</v>
      </c>
      <c r="AP133" s="15" t="s">
        <v>109</v>
      </c>
      <c r="AQ133" s="20" t="s">
        <v>1981</v>
      </c>
      <c r="AR133" s="20" t="s">
        <v>1955</v>
      </c>
      <c r="AS133" s="63"/>
    </row>
    <row r="134">
      <c r="A134" s="13">
        <v>228.0</v>
      </c>
      <c r="B134" s="14">
        <v>3.64026588E8</v>
      </c>
      <c r="C134" s="15" t="s">
        <v>1982</v>
      </c>
      <c r="D134" s="15" t="s">
        <v>1983</v>
      </c>
      <c r="E134" s="15" t="s">
        <v>1984</v>
      </c>
      <c r="F134" s="15" t="s">
        <v>1727</v>
      </c>
      <c r="G134" s="16" t="s">
        <v>1985</v>
      </c>
      <c r="H134" s="17">
        <v>2011.0</v>
      </c>
      <c r="I134" s="15" t="s">
        <v>295</v>
      </c>
      <c r="J134" s="15" t="s">
        <v>55</v>
      </c>
      <c r="K134" s="15" t="s">
        <v>1986</v>
      </c>
      <c r="L134" s="15" t="s">
        <v>57</v>
      </c>
      <c r="M134" s="15" t="s">
        <v>1727</v>
      </c>
      <c r="N134" s="15" t="s">
        <v>1987</v>
      </c>
      <c r="O134" s="15" t="s">
        <v>1988</v>
      </c>
      <c r="P134" s="15" t="s">
        <v>93</v>
      </c>
      <c r="Q134" s="15" t="s">
        <v>57</v>
      </c>
      <c r="R134" s="15" t="s">
        <v>57</v>
      </c>
      <c r="S134" s="15" t="s">
        <v>301</v>
      </c>
      <c r="T134" s="15" t="s">
        <v>1989</v>
      </c>
      <c r="U134" s="16" t="s">
        <v>1990</v>
      </c>
      <c r="V134" s="15" t="s">
        <v>99</v>
      </c>
      <c r="W134" s="15" t="s">
        <v>100</v>
      </c>
      <c r="X134" s="18" t="s">
        <v>100</v>
      </c>
      <c r="Y134" s="15" t="s">
        <v>74</v>
      </c>
      <c r="Z134" s="15" t="s">
        <v>57</v>
      </c>
      <c r="AA134" s="15">
        <v>2007.0</v>
      </c>
      <c r="AB134" s="15">
        <v>2007.0</v>
      </c>
      <c r="AC134" s="15" t="s">
        <v>103</v>
      </c>
      <c r="AD134" s="15" t="s">
        <v>180</v>
      </c>
      <c r="AE134" s="15" t="s">
        <v>69</v>
      </c>
      <c r="AF134" s="15" t="s">
        <v>69</v>
      </c>
      <c r="AG134" s="15" t="s">
        <v>104</v>
      </c>
      <c r="AH134" s="15" t="s">
        <v>105</v>
      </c>
      <c r="AI134" s="15" t="s">
        <v>336</v>
      </c>
      <c r="AJ134" s="15" t="s">
        <v>336</v>
      </c>
      <c r="AK134" s="15" t="s">
        <v>1991</v>
      </c>
      <c r="AL134" s="15" t="s">
        <v>128</v>
      </c>
      <c r="AM134" s="15" t="s">
        <v>129</v>
      </c>
      <c r="AN134" s="15" t="s">
        <v>1992</v>
      </c>
      <c r="AO134" s="19"/>
      <c r="AP134" s="15" t="s">
        <v>109</v>
      </c>
      <c r="AQ134" s="20" t="s">
        <v>1993</v>
      </c>
      <c r="AR134" s="20" t="s">
        <v>1955</v>
      </c>
      <c r="AS134" s="63"/>
    </row>
    <row r="135">
      <c r="A135" s="13">
        <v>230.0</v>
      </c>
      <c r="B135" s="14">
        <v>3.64026614E8</v>
      </c>
      <c r="C135" s="15" t="s">
        <v>1994</v>
      </c>
      <c r="D135" s="15" t="s">
        <v>1995</v>
      </c>
      <c r="E135" s="15" t="s">
        <v>1996</v>
      </c>
      <c r="F135" s="15" t="s">
        <v>114</v>
      </c>
      <c r="G135" s="16" t="s">
        <v>1997</v>
      </c>
      <c r="H135" s="17">
        <v>2014.0</v>
      </c>
      <c r="I135" s="15" t="s">
        <v>207</v>
      </c>
      <c r="J135" s="15" t="s">
        <v>55</v>
      </c>
      <c r="K135" s="15" t="s">
        <v>1998</v>
      </c>
      <c r="L135" s="15" t="s">
        <v>57</v>
      </c>
      <c r="M135" s="15" t="s">
        <v>114</v>
      </c>
      <c r="N135" s="15" t="s">
        <v>1999</v>
      </c>
      <c r="O135" s="15" t="s">
        <v>2000</v>
      </c>
      <c r="P135" s="15" t="s">
        <v>93</v>
      </c>
      <c r="Q135" s="15" t="s">
        <v>57</v>
      </c>
      <c r="R135" s="15" t="s">
        <v>57</v>
      </c>
      <c r="S135" s="15" t="s">
        <v>193</v>
      </c>
      <c r="T135" s="15" t="s">
        <v>229</v>
      </c>
      <c r="U135" s="16" t="s">
        <v>2001</v>
      </c>
      <c r="V135" s="15" t="s">
        <v>99</v>
      </c>
      <c r="W135" s="15" t="s">
        <v>100</v>
      </c>
      <c r="X135" s="18" t="s">
        <v>100</v>
      </c>
      <c r="Y135" s="15" t="s">
        <v>74</v>
      </c>
      <c r="Z135" s="15" t="s">
        <v>57</v>
      </c>
      <c r="AA135" s="15">
        <v>2006.0</v>
      </c>
      <c r="AB135" s="15">
        <v>2010.0</v>
      </c>
      <c r="AC135" s="15" t="s">
        <v>57</v>
      </c>
      <c r="AD135" s="15" t="s">
        <v>57</v>
      </c>
      <c r="AE135" s="15" t="s">
        <v>69</v>
      </c>
      <c r="AF135" s="15" t="s">
        <v>74</v>
      </c>
      <c r="AG135" s="15" t="s">
        <v>104</v>
      </c>
      <c r="AH135" s="15" t="s">
        <v>105</v>
      </c>
      <c r="AI135" s="15" t="s">
        <v>336</v>
      </c>
      <c r="AJ135" s="15" t="s">
        <v>336</v>
      </c>
      <c r="AK135" s="15" t="s">
        <v>2002</v>
      </c>
      <c r="AL135" s="15" t="s">
        <v>128</v>
      </c>
      <c r="AM135" s="15" t="s">
        <v>129</v>
      </c>
      <c r="AN135" s="15" t="s">
        <v>2003</v>
      </c>
      <c r="AO135" s="19"/>
      <c r="AP135" s="15" t="s">
        <v>109</v>
      </c>
      <c r="AQ135" s="20" t="s">
        <v>2004</v>
      </c>
      <c r="AR135" s="20" t="s">
        <v>1955</v>
      </c>
      <c r="AS135" s="63"/>
    </row>
    <row r="136">
      <c r="A136" s="13">
        <v>231.0</v>
      </c>
      <c r="B136" s="14">
        <v>3.6402663E8</v>
      </c>
      <c r="C136" s="15" t="s">
        <v>2005</v>
      </c>
      <c r="D136" s="15" t="s">
        <v>2006</v>
      </c>
      <c r="E136" s="15" t="s">
        <v>2007</v>
      </c>
      <c r="F136" s="15" t="s">
        <v>114</v>
      </c>
      <c r="G136" s="16" t="s">
        <v>2008</v>
      </c>
      <c r="H136" s="17">
        <v>2011.0</v>
      </c>
      <c r="I136" s="15" t="s">
        <v>1085</v>
      </c>
      <c r="J136" s="15" t="s">
        <v>55</v>
      </c>
      <c r="K136" s="15" t="s">
        <v>2009</v>
      </c>
      <c r="L136" s="15" t="s">
        <v>57</v>
      </c>
      <c r="M136" s="15" t="s">
        <v>114</v>
      </c>
      <c r="N136" s="15" t="s">
        <v>2010</v>
      </c>
      <c r="O136" s="15" t="s">
        <v>2011</v>
      </c>
      <c r="P136" s="15" t="s">
        <v>93</v>
      </c>
      <c r="Q136" s="15" t="s">
        <v>57</v>
      </c>
      <c r="R136" s="15" t="s">
        <v>57</v>
      </c>
      <c r="S136" s="15" t="s">
        <v>63</v>
      </c>
      <c r="T136" s="15" t="s">
        <v>1579</v>
      </c>
      <c r="U136" s="16" t="s">
        <v>2012</v>
      </c>
      <c r="V136" s="15" t="s">
        <v>99</v>
      </c>
      <c r="W136" s="15" t="s">
        <v>100</v>
      </c>
      <c r="X136" s="18" t="s">
        <v>100</v>
      </c>
      <c r="Y136" s="15" t="s">
        <v>74</v>
      </c>
      <c r="Z136" s="15" t="s">
        <v>57</v>
      </c>
      <c r="AA136" s="15">
        <v>2006.0</v>
      </c>
      <c r="AB136" s="15">
        <v>2008.0</v>
      </c>
      <c r="AC136" s="15" t="s">
        <v>264</v>
      </c>
      <c r="AD136" s="15" t="s">
        <v>214</v>
      </c>
      <c r="AE136" s="15" t="s">
        <v>69</v>
      </c>
      <c r="AF136" s="15" t="s">
        <v>69</v>
      </c>
      <c r="AG136" s="15" t="s">
        <v>104</v>
      </c>
      <c r="AH136" s="15" t="s">
        <v>105</v>
      </c>
      <c r="AI136" s="15" t="s">
        <v>336</v>
      </c>
      <c r="AJ136" s="15" t="s">
        <v>336</v>
      </c>
      <c r="AK136" s="15" t="s">
        <v>2013</v>
      </c>
      <c r="AL136" s="15" t="s">
        <v>79</v>
      </c>
      <c r="AM136" s="15" t="s">
        <v>57</v>
      </c>
      <c r="AN136" s="15" t="s">
        <v>57</v>
      </c>
      <c r="AO136" s="19"/>
      <c r="AP136" s="15" t="s">
        <v>109</v>
      </c>
      <c r="AQ136" s="20" t="s">
        <v>2014</v>
      </c>
      <c r="AR136" s="20" t="s">
        <v>1955</v>
      </c>
      <c r="AS136" s="63"/>
    </row>
    <row r="137">
      <c r="A137" s="13">
        <v>232.0</v>
      </c>
      <c r="B137" s="14">
        <v>3.64026666E8</v>
      </c>
      <c r="C137" s="15" t="s">
        <v>2015</v>
      </c>
      <c r="D137" s="15" t="s">
        <v>2016</v>
      </c>
      <c r="E137" s="15" t="s">
        <v>2017</v>
      </c>
      <c r="F137" s="15" t="s">
        <v>114</v>
      </c>
      <c r="G137" s="16" t="s">
        <v>2018</v>
      </c>
      <c r="H137" s="17">
        <v>2008.0</v>
      </c>
      <c r="I137" s="15" t="s">
        <v>686</v>
      </c>
      <c r="J137" s="15" t="s">
        <v>55</v>
      </c>
      <c r="K137" s="15" t="s">
        <v>2019</v>
      </c>
      <c r="L137" s="15" t="s">
        <v>57</v>
      </c>
      <c r="M137" s="15" t="s">
        <v>114</v>
      </c>
      <c r="N137" s="15" t="s">
        <v>1114</v>
      </c>
      <c r="O137" s="15" t="s">
        <v>2020</v>
      </c>
      <c r="P137" s="15" t="s">
        <v>93</v>
      </c>
      <c r="Q137" s="15" t="s">
        <v>2021</v>
      </c>
      <c r="R137" s="15" t="s">
        <v>2022</v>
      </c>
      <c r="S137" s="15" t="s">
        <v>63</v>
      </c>
      <c r="T137" s="15" t="s">
        <v>1800</v>
      </c>
      <c r="U137" s="16" t="s">
        <v>2023</v>
      </c>
      <c r="V137" s="15" t="s">
        <v>99</v>
      </c>
      <c r="W137" s="15" t="s">
        <v>100</v>
      </c>
      <c r="X137" s="18" t="s">
        <v>100</v>
      </c>
      <c r="Y137" s="15" t="s">
        <v>74</v>
      </c>
      <c r="Z137" s="15" t="s">
        <v>57</v>
      </c>
      <c r="AA137" s="15">
        <v>2003.0</v>
      </c>
      <c r="AB137" s="15">
        <v>2003.0</v>
      </c>
      <c r="AC137" s="15" t="s">
        <v>103</v>
      </c>
      <c r="AD137" s="15" t="s">
        <v>72</v>
      </c>
      <c r="AE137" s="15" t="s">
        <v>69</v>
      </c>
      <c r="AF137" s="15" t="s">
        <v>74</v>
      </c>
      <c r="AG137" s="15" t="s">
        <v>104</v>
      </c>
      <c r="AH137" s="15" t="s">
        <v>105</v>
      </c>
      <c r="AI137" s="15" t="s">
        <v>336</v>
      </c>
      <c r="AJ137" s="15" t="s">
        <v>336</v>
      </c>
      <c r="AK137" s="15" t="s">
        <v>2024</v>
      </c>
      <c r="AL137" s="15" t="s">
        <v>128</v>
      </c>
      <c r="AM137" s="15" t="s">
        <v>895</v>
      </c>
      <c r="AN137" s="15" t="s">
        <v>2025</v>
      </c>
      <c r="AO137" s="19"/>
      <c r="AP137" s="15" t="s">
        <v>109</v>
      </c>
      <c r="AQ137" s="20" t="s">
        <v>2026</v>
      </c>
      <c r="AR137" s="20" t="s">
        <v>1955</v>
      </c>
      <c r="AS137" s="63"/>
    </row>
    <row r="138">
      <c r="A138" s="13">
        <v>235.0</v>
      </c>
      <c r="B138" s="14">
        <v>3.64026933E8</v>
      </c>
      <c r="C138" s="15" t="s">
        <v>2027</v>
      </c>
      <c r="D138" s="15" t="s">
        <v>2028</v>
      </c>
      <c r="E138" s="15" t="s">
        <v>2029</v>
      </c>
      <c r="F138" s="15" t="s">
        <v>114</v>
      </c>
      <c r="G138" s="16" t="s">
        <v>2030</v>
      </c>
      <c r="H138" s="17">
        <v>2009.0</v>
      </c>
      <c r="I138" s="15" t="s">
        <v>207</v>
      </c>
      <c r="J138" s="15" t="s">
        <v>55</v>
      </c>
      <c r="K138" s="15" t="s">
        <v>2031</v>
      </c>
      <c r="L138" s="15" t="s">
        <v>57</v>
      </c>
      <c r="M138" s="15" t="s">
        <v>114</v>
      </c>
      <c r="N138" s="15" t="s">
        <v>2032</v>
      </c>
      <c r="O138" s="15" t="s">
        <v>2033</v>
      </c>
      <c r="P138" s="15" t="s">
        <v>93</v>
      </c>
      <c r="Q138" s="15" t="s">
        <v>57</v>
      </c>
      <c r="R138" s="15" t="s">
        <v>57</v>
      </c>
      <c r="S138" s="15" t="s">
        <v>96</v>
      </c>
      <c r="T138" s="15" t="s">
        <v>2034</v>
      </c>
      <c r="U138" s="16" t="s">
        <v>2035</v>
      </c>
      <c r="V138" s="15" t="s">
        <v>99</v>
      </c>
      <c r="W138" s="15" t="s">
        <v>100</v>
      </c>
      <c r="X138" s="18" t="s">
        <v>100</v>
      </c>
      <c r="Y138" s="15" t="s">
        <v>74</v>
      </c>
      <c r="Z138" s="15" t="s">
        <v>57</v>
      </c>
      <c r="AA138" s="15">
        <v>2004.0</v>
      </c>
      <c r="AB138" s="15">
        <v>2005.0</v>
      </c>
      <c r="AC138" s="15" t="s">
        <v>103</v>
      </c>
      <c r="AD138" s="15" t="s">
        <v>403</v>
      </c>
      <c r="AE138" s="15" t="s">
        <v>69</v>
      </c>
      <c r="AF138" s="15" t="s">
        <v>69</v>
      </c>
      <c r="AG138" s="15" t="s">
        <v>104</v>
      </c>
      <c r="AH138" s="15" t="s">
        <v>105</v>
      </c>
      <c r="AI138" s="15" t="s">
        <v>1231</v>
      </c>
      <c r="AJ138" s="15" t="s">
        <v>107</v>
      </c>
      <c r="AK138" s="15" t="s">
        <v>2036</v>
      </c>
      <c r="AL138" s="15" t="s">
        <v>128</v>
      </c>
      <c r="AM138" s="15" t="s">
        <v>2037</v>
      </c>
      <c r="AN138" s="15" t="s">
        <v>2038</v>
      </c>
      <c r="AO138" s="19"/>
      <c r="AP138" s="15" t="s">
        <v>184</v>
      </c>
      <c r="AQ138" s="20" t="s">
        <v>2039</v>
      </c>
      <c r="AR138" s="20" t="s">
        <v>1955</v>
      </c>
      <c r="AS138" s="63"/>
    </row>
    <row r="139">
      <c r="A139" s="64">
        <v>236.0</v>
      </c>
      <c r="B139" s="65">
        <v>3.64026926E8</v>
      </c>
      <c r="C139" s="66" t="s">
        <v>2040</v>
      </c>
      <c r="D139" s="66" t="s">
        <v>2041</v>
      </c>
      <c r="E139" s="66" t="s">
        <v>2042</v>
      </c>
      <c r="F139" s="66" t="s">
        <v>992</v>
      </c>
      <c r="G139" s="67" t="s">
        <v>2043</v>
      </c>
      <c r="H139" s="68">
        <v>2016.0</v>
      </c>
      <c r="I139" s="66" t="s">
        <v>2044</v>
      </c>
      <c r="J139" s="66" t="s">
        <v>55</v>
      </c>
      <c r="K139" s="66" t="s">
        <v>2045</v>
      </c>
      <c r="L139" s="66" t="s">
        <v>57</v>
      </c>
      <c r="M139" s="66" t="s">
        <v>992</v>
      </c>
      <c r="N139" s="66" t="s">
        <v>2046</v>
      </c>
      <c r="O139" s="66" t="s">
        <v>2047</v>
      </c>
      <c r="P139" s="66" t="s">
        <v>554</v>
      </c>
      <c r="Q139" s="66" t="s">
        <v>2048</v>
      </c>
      <c r="R139" s="66" t="s">
        <v>2049</v>
      </c>
      <c r="S139" s="66" t="s">
        <v>63</v>
      </c>
      <c r="T139" s="66" t="s">
        <v>64</v>
      </c>
      <c r="U139" s="67" t="s">
        <v>2050</v>
      </c>
      <c r="V139" s="66" t="s">
        <v>66</v>
      </c>
      <c r="W139" s="66" t="s">
        <v>2051</v>
      </c>
      <c r="X139" s="69" t="s">
        <v>2052</v>
      </c>
      <c r="Y139" s="66" t="s">
        <v>74</v>
      </c>
      <c r="Z139" s="66" t="s">
        <v>57</v>
      </c>
      <c r="AA139" s="66">
        <v>2009.0</v>
      </c>
      <c r="AB139" s="66">
        <v>2009.0</v>
      </c>
      <c r="AC139" s="66" t="s">
        <v>144</v>
      </c>
      <c r="AD139" s="66" t="s">
        <v>370</v>
      </c>
      <c r="AE139" s="66" t="s">
        <v>74</v>
      </c>
      <c r="AF139" s="66" t="s">
        <v>69</v>
      </c>
      <c r="AG139" s="66" t="s">
        <v>215</v>
      </c>
      <c r="AH139" s="66" t="s">
        <v>285</v>
      </c>
      <c r="AI139" s="66" t="s">
        <v>2053</v>
      </c>
      <c r="AJ139" s="66" t="s">
        <v>147</v>
      </c>
      <c r="AK139" s="66" t="s">
        <v>2054</v>
      </c>
      <c r="AL139" s="66" t="s">
        <v>128</v>
      </c>
      <c r="AM139" s="66" t="s">
        <v>374</v>
      </c>
      <c r="AN139" s="66" t="s">
        <v>2055</v>
      </c>
      <c r="AO139" s="70"/>
      <c r="AP139" s="66" t="s">
        <v>184</v>
      </c>
      <c r="AQ139" s="66"/>
      <c r="AR139" s="66"/>
      <c r="AS139" s="71" t="s">
        <v>2056</v>
      </c>
    </row>
    <row r="140">
      <c r="A140" s="13">
        <v>237.0</v>
      </c>
      <c r="B140" s="14">
        <v>3.64026737E8</v>
      </c>
      <c r="C140" s="15" t="s">
        <v>2057</v>
      </c>
      <c r="D140" s="15" t="s">
        <v>2058</v>
      </c>
      <c r="E140" s="15" t="s">
        <v>2059</v>
      </c>
      <c r="F140" s="15" t="s">
        <v>992</v>
      </c>
      <c r="G140" s="16" t="s">
        <v>2060</v>
      </c>
      <c r="H140" s="17">
        <v>2009.0</v>
      </c>
      <c r="I140" s="15" t="s">
        <v>295</v>
      </c>
      <c r="J140" s="15" t="s">
        <v>55</v>
      </c>
      <c r="K140" s="15" t="s">
        <v>2061</v>
      </c>
      <c r="L140" s="15" t="s">
        <v>57</v>
      </c>
      <c r="M140" s="15" t="s">
        <v>992</v>
      </c>
      <c r="N140" s="15" t="s">
        <v>1471</v>
      </c>
      <c r="O140" s="15" t="s">
        <v>2062</v>
      </c>
      <c r="P140" s="15" t="s">
        <v>554</v>
      </c>
      <c r="Q140" s="15" t="s">
        <v>2063</v>
      </c>
      <c r="R140" s="15" t="s">
        <v>2064</v>
      </c>
      <c r="S140" s="15" t="s">
        <v>63</v>
      </c>
      <c r="T140" s="15" t="s">
        <v>366</v>
      </c>
      <c r="U140" s="16" t="s">
        <v>2065</v>
      </c>
      <c r="V140" s="15" t="s">
        <v>99</v>
      </c>
      <c r="W140" s="15" t="s">
        <v>100</v>
      </c>
      <c r="X140" s="18" t="s">
        <v>100</v>
      </c>
      <c r="Y140" s="15" t="s">
        <v>74</v>
      </c>
      <c r="Z140" s="15" t="s">
        <v>57</v>
      </c>
      <c r="AA140" s="15">
        <v>2006.0</v>
      </c>
      <c r="AB140" s="15">
        <v>2006.0</v>
      </c>
      <c r="AC140" s="15" t="s">
        <v>102</v>
      </c>
      <c r="AD140" s="15" t="s">
        <v>692</v>
      </c>
      <c r="AE140" s="15" t="s">
        <v>69</v>
      </c>
      <c r="AF140" s="15" t="s">
        <v>69</v>
      </c>
      <c r="AG140" s="15" t="s">
        <v>104</v>
      </c>
      <c r="AH140" s="15" t="s">
        <v>105</v>
      </c>
      <c r="AI140" s="15" t="s">
        <v>166</v>
      </c>
      <c r="AJ140" s="15" t="s">
        <v>166</v>
      </c>
      <c r="AK140" s="15" t="s">
        <v>2066</v>
      </c>
      <c r="AL140" s="15" t="s">
        <v>128</v>
      </c>
      <c r="AM140" s="15" t="s">
        <v>2067</v>
      </c>
      <c r="AN140" s="15" t="s">
        <v>2068</v>
      </c>
      <c r="AO140" s="19"/>
      <c r="AP140" s="15" t="s">
        <v>109</v>
      </c>
      <c r="AQ140" s="20" t="s">
        <v>2069</v>
      </c>
      <c r="AR140" s="20" t="s">
        <v>1955</v>
      </c>
      <c r="AS140" s="63"/>
    </row>
    <row r="141">
      <c r="A141" s="13">
        <v>238.0</v>
      </c>
      <c r="B141" s="14">
        <v>3.64026638E8</v>
      </c>
      <c r="C141" s="15" t="s">
        <v>2070</v>
      </c>
      <c r="D141" s="15" t="s">
        <v>2071</v>
      </c>
      <c r="E141" s="15" t="s">
        <v>2072</v>
      </c>
      <c r="F141" s="15" t="s">
        <v>489</v>
      </c>
      <c r="G141" s="16" t="s">
        <v>2073</v>
      </c>
      <c r="H141" s="17">
        <v>2013.0</v>
      </c>
      <c r="I141" s="15" t="s">
        <v>686</v>
      </c>
      <c r="J141" s="15" t="s">
        <v>55</v>
      </c>
      <c r="K141" s="15" t="s">
        <v>2074</v>
      </c>
      <c r="L141" s="15" t="s">
        <v>57</v>
      </c>
      <c r="M141" s="15" t="s">
        <v>489</v>
      </c>
      <c r="N141" s="15" t="s">
        <v>1553</v>
      </c>
      <c r="O141" s="15" t="s">
        <v>2075</v>
      </c>
      <c r="P141" s="15" t="s">
        <v>93</v>
      </c>
      <c r="Q141" s="15" t="s">
        <v>57</v>
      </c>
      <c r="R141" s="15" t="s">
        <v>57</v>
      </c>
      <c r="S141" s="15" t="s">
        <v>63</v>
      </c>
      <c r="T141" s="15" t="s">
        <v>2076</v>
      </c>
      <c r="U141" s="16" t="s">
        <v>2077</v>
      </c>
      <c r="V141" s="15" t="s">
        <v>99</v>
      </c>
      <c r="W141" s="15" t="s">
        <v>100</v>
      </c>
      <c r="X141" s="18" t="s">
        <v>100</v>
      </c>
      <c r="Y141" s="15" t="s">
        <v>74</v>
      </c>
      <c r="Z141" s="15" t="s">
        <v>57</v>
      </c>
      <c r="AA141" s="15">
        <v>2009.0</v>
      </c>
      <c r="AB141" s="15">
        <v>2009.0</v>
      </c>
      <c r="AC141" s="15" t="s">
        <v>103</v>
      </c>
      <c r="AD141" s="15" t="s">
        <v>144</v>
      </c>
      <c r="AE141" s="15" t="s">
        <v>69</v>
      </c>
      <c r="AF141" s="15" t="s">
        <v>74</v>
      </c>
      <c r="AG141" s="15" t="s">
        <v>104</v>
      </c>
      <c r="AH141" s="15" t="s">
        <v>105</v>
      </c>
      <c r="AI141" s="15" t="s">
        <v>336</v>
      </c>
      <c r="AJ141" s="15" t="s">
        <v>336</v>
      </c>
      <c r="AK141" s="15" t="s">
        <v>2078</v>
      </c>
      <c r="AL141" s="15" t="s">
        <v>128</v>
      </c>
      <c r="AM141" s="15" t="s">
        <v>129</v>
      </c>
      <c r="AN141" s="15" t="s">
        <v>2079</v>
      </c>
      <c r="AO141" s="19"/>
      <c r="AP141" s="15" t="s">
        <v>109</v>
      </c>
      <c r="AQ141" s="20" t="s">
        <v>2080</v>
      </c>
      <c r="AR141" s="20" t="s">
        <v>1955</v>
      </c>
      <c r="AS141" s="63"/>
    </row>
    <row r="142">
      <c r="A142" s="13">
        <v>239.0</v>
      </c>
      <c r="B142" s="14">
        <v>3.64026604E8</v>
      </c>
      <c r="C142" s="15" t="s">
        <v>2081</v>
      </c>
      <c r="D142" s="15" t="s">
        <v>2082</v>
      </c>
      <c r="E142" s="15" t="s">
        <v>2083</v>
      </c>
      <c r="F142" s="15" t="s">
        <v>114</v>
      </c>
      <c r="G142" s="16" t="s">
        <v>2084</v>
      </c>
      <c r="H142" s="17">
        <v>2020.0</v>
      </c>
      <c r="I142" s="15" t="s">
        <v>207</v>
      </c>
      <c r="J142" s="15" t="s">
        <v>55</v>
      </c>
      <c r="K142" s="15" t="s">
        <v>2085</v>
      </c>
      <c r="L142" s="15" t="s">
        <v>57</v>
      </c>
      <c r="M142" s="15" t="s">
        <v>114</v>
      </c>
      <c r="N142" s="15" t="s">
        <v>2086</v>
      </c>
      <c r="O142" s="15" t="s">
        <v>2087</v>
      </c>
      <c r="P142" s="15" t="s">
        <v>93</v>
      </c>
      <c r="Q142" s="15" t="s">
        <v>57</v>
      </c>
      <c r="R142" s="15" t="s">
        <v>57</v>
      </c>
      <c r="S142" s="15" t="s">
        <v>96</v>
      </c>
      <c r="T142" s="15" t="s">
        <v>2088</v>
      </c>
      <c r="U142" s="16" t="s">
        <v>2089</v>
      </c>
      <c r="V142" s="15" t="s">
        <v>99</v>
      </c>
      <c r="W142" s="15" t="s">
        <v>100</v>
      </c>
      <c r="X142" s="18" t="s">
        <v>100</v>
      </c>
      <c r="Y142" s="15" t="s">
        <v>74</v>
      </c>
      <c r="Z142" s="15" t="s">
        <v>57</v>
      </c>
      <c r="AA142" s="15">
        <v>2015.0</v>
      </c>
      <c r="AB142" s="15">
        <v>2015.0</v>
      </c>
      <c r="AC142" s="15" t="s">
        <v>180</v>
      </c>
      <c r="AD142" s="15" t="s">
        <v>102</v>
      </c>
      <c r="AE142" s="15" t="s">
        <v>69</v>
      </c>
      <c r="AF142" s="15" t="s">
        <v>69</v>
      </c>
      <c r="AG142" s="15" t="s">
        <v>104</v>
      </c>
      <c r="AH142" s="15" t="s">
        <v>105</v>
      </c>
      <c r="AI142" s="15" t="s">
        <v>1231</v>
      </c>
      <c r="AJ142" s="15" t="s">
        <v>107</v>
      </c>
      <c r="AK142" s="15" t="s">
        <v>2090</v>
      </c>
      <c r="AL142" s="15" t="s">
        <v>128</v>
      </c>
      <c r="AM142" s="15" t="s">
        <v>198</v>
      </c>
      <c r="AN142" s="15" t="s">
        <v>2091</v>
      </c>
      <c r="AO142" s="19"/>
      <c r="AP142" s="15" t="s">
        <v>109</v>
      </c>
      <c r="AQ142" s="20" t="s">
        <v>2092</v>
      </c>
      <c r="AR142" s="20" t="s">
        <v>1955</v>
      </c>
      <c r="AS142" s="63"/>
    </row>
    <row r="143">
      <c r="A143" s="13">
        <v>242.0</v>
      </c>
      <c r="B143" s="14">
        <v>3.64026724E8</v>
      </c>
      <c r="C143" s="15" t="s">
        <v>2093</v>
      </c>
      <c r="D143" s="15" t="s">
        <v>2094</v>
      </c>
      <c r="E143" s="15" t="s">
        <v>2095</v>
      </c>
      <c r="F143" s="15" t="s">
        <v>992</v>
      </c>
      <c r="G143" s="16" t="s">
        <v>2096</v>
      </c>
      <c r="H143" s="17">
        <v>2005.0</v>
      </c>
      <c r="I143" s="15" t="s">
        <v>295</v>
      </c>
      <c r="J143" s="15" t="s">
        <v>55</v>
      </c>
      <c r="K143" s="15" t="s">
        <v>2097</v>
      </c>
      <c r="L143" s="15" t="s">
        <v>57</v>
      </c>
      <c r="M143" s="15" t="s">
        <v>992</v>
      </c>
      <c r="N143" s="15" t="s">
        <v>1114</v>
      </c>
      <c r="O143" s="15" t="s">
        <v>2098</v>
      </c>
      <c r="P143" s="15" t="s">
        <v>554</v>
      </c>
      <c r="Q143" s="15" t="s">
        <v>57</v>
      </c>
      <c r="R143" s="15" t="s">
        <v>57</v>
      </c>
      <c r="S143" s="15" t="s">
        <v>63</v>
      </c>
      <c r="T143" s="15" t="s">
        <v>2099</v>
      </c>
      <c r="U143" s="16" t="s">
        <v>2100</v>
      </c>
      <c r="V143" s="15" t="s">
        <v>99</v>
      </c>
      <c r="W143" s="15" t="s">
        <v>100</v>
      </c>
      <c r="X143" s="18" t="s">
        <v>100</v>
      </c>
      <c r="Y143" s="15" t="s">
        <v>74</v>
      </c>
      <c r="Z143" s="15" t="s">
        <v>57</v>
      </c>
      <c r="AA143" s="15">
        <v>2002.0</v>
      </c>
      <c r="AB143" s="15">
        <v>2002.0</v>
      </c>
      <c r="AC143" s="15" t="s">
        <v>214</v>
      </c>
      <c r="AD143" s="15" t="s">
        <v>180</v>
      </c>
      <c r="AE143" s="15" t="s">
        <v>69</v>
      </c>
      <c r="AF143" s="15" t="s">
        <v>74</v>
      </c>
      <c r="AG143" s="15" t="s">
        <v>104</v>
      </c>
      <c r="AH143" s="15" t="s">
        <v>105</v>
      </c>
      <c r="AI143" s="15" t="s">
        <v>106</v>
      </c>
      <c r="AJ143" s="15" t="s">
        <v>107</v>
      </c>
      <c r="AK143" s="15" t="s">
        <v>2101</v>
      </c>
      <c r="AL143" s="15" t="s">
        <v>79</v>
      </c>
      <c r="AM143" s="15" t="s">
        <v>57</v>
      </c>
      <c r="AN143" s="15" t="s">
        <v>57</v>
      </c>
      <c r="AO143" s="19"/>
      <c r="AP143" s="15" t="s">
        <v>109</v>
      </c>
      <c r="AQ143" s="20" t="s">
        <v>2102</v>
      </c>
      <c r="AR143" s="20" t="s">
        <v>1955</v>
      </c>
      <c r="AS143" s="63"/>
    </row>
    <row r="144">
      <c r="A144" s="13">
        <v>243.0</v>
      </c>
      <c r="B144" s="14">
        <v>3.64026643E8</v>
      </c>
      <c r="C144" s="15" t="s">
        <v>2103</v>
      </c>
      <c r="D144" s="15" t="s">
        <v>2104</v>
      </c>
      <c r="E144" s="15" t="s">
        <v>2105</v>
      </c>
      <c r="F144" s="15" t="s">
        <v>87</v>
      </c>
      <c r="G144" s="16" t="s">
        <v>2106</v>
      </c>
      <c r="H144" s="17">
        <v>2021.0</v>
      </c>
      <c r="I144" s="15" t="s">
        <v>2107</v>
      </c>
      <c r="J144" s="15" t="s">
        <v>55</v>
      </c>
      <c r="K144" s="15" t="s">
        <v>2108</v>
      </c>
      <c r="L144" s="15" t="s">
        <v>57</v>
      </c>
      <c r="M144" s="15" t="s">
        <v>87</v>
      </c>
      <c r="N144" s="15" t="s">
        <v>1903</v>
      </c>
      <c r="O144" s="15" t="s">
        <v>2109</v>
      </c>
      <c r="P144" s="15" t="s">
        <v>93</v>
      </c>
      <c r="Q144" s="15" t="s">
        <v>57</v>
      </c>
      <c r="R144" s="15" t="s">
        <v>57</v>
      </c>
      <c r="S144" s="15" t="s">
        <v>96</v>
      </c>
      <c r="T144" s="15" t="s">
        <v>1753</v>
      </c>
      <c r="U144" s="16" t="s">
        <v>2110</v>
      </c>
      <c r="V144" s="15" t="s">
        <v>99</v>
      </c>
      <c r="W144" s="15" t="s">
        <v>100</v>
      </c>
      <c r="X144" s="18" t="s">
        <v>100</v>
      </c>
      <c r="Y144" s="15" t="s">
        <v>74</v>
      </c>
      <c r="Z144" s="15" t="s">
        <v>57</v>
      </c>
      <c r="AA144" s="15">
        <v>2015.0</v>
      </c>
      <c r="AB144" s="15">
        <v>2016.0</v>
      </c>
      <c r="AC144" s="15" t="s">
        <v>264</v>
      </c>
      <c r="AD144" s="15" t="s">
        <v>72</v>
      </c>
      <c r="AE144" s="15" t="s">
        <v>69</v>
      </c>
      <c r="AF144" s="15" t="s">
        <v>69</v>
      </c>
      <c r="AG144" s="15" t="s">
        <v>104</v>
      </c>
      <c r="AH144" s="15" t="s">
        <v>105</v>
      </c>
      <c r="AI144" s="15" t="s">
        <v>106</v>
      </c>
      <c r="AJ144" s="15" t="s">
        <v>107</v>
      </c>
      <c r="AK144" s="15" t="s">
        <v>2111</v>
      </c>
      <c r="AL144" s="15" t="s">
        <v>79</v>
      </c>
      <c r="AM144" s="15" t="s">
        <v>57</v>
      </c>
      <c r="AN144" s="15" t="s">
        <v>57</v>
      </c>
      <c r="AO144" s="19"/>
      <c r="AP144" s="15" t="s">
        <v>109</v>
      </c>
      <c r="AQ144" s="20" t="s">
        <v>2112</v>
      </c>
      <c r="AR144" s="20" t="s">
        <v>1955</v>
      </c>
      <c r="AS144" s="63"/>
    </row>
    <row r="145">
      <c r="A145" s="13">
        <v>244.0</v>
      </c>
      <c r="B145" s="14">
        <v>3.64026646E8</v>
      </c>
      <c r="C145" s="15" t="s">
        <v>2113</v>
      </c>
      <c r="D145" s="15" t="s">
        <v>2114</v>
      </c>
      <c r="E145" s="15" t="s">
        <v>2115</v>
      </c>
      <c r="F145" s="15" t="s">
        <v>258</v>
      </c>
      <c r="G145" s="16" t="s">
        <v>2116</v>
      </c>
      <c r="H145" s="17">
        <v>2019.0</v>
      </c>
      <c r="I145" s="15" t="s">
        <v>2117</v>
      </c>
      <c r="J145" s="15" t="s">
        <v>55</v>
      </c>
      <c r="K145" s="15" t="s">
        <v>2118</v>
      </c>
      <c r="L145" s="15" t="s">
        <v>57</v>
      </c>
      <c r="M145" s="15" t="s">
        <v>114</v>
      </c>
      <c r="N145" s="15" t="s">
        <v>258</v>
      </c>
      <c r="O145" s="15" t="s">
        <v>2119</v>
      </c>
      <c r="P145" s="15" t="s">
        <v>93</v>
      </c>
      <c r="Q145" s="15" t="s">
        <v>2120</v>
      </c>
      <c r="R145" s="15" t="s">
        <v>2121</v>
      </c>
      <c r="S145" s="15" t="s">
        <v>96</v>
      </c>
      <c r="T145" s="15" t="s">
        <v>210</v>
      </c>
      <c r="U145" s="16" t="s">
        <v>2122</v>
      </c>
      <c r="V145" s="15" t="s">
        <v>99</v>
      </c>
      <c r="W145" s="15" t="s">
        <v>100</v>
      </c>
      <c r="X145" s="18" t="s">
        <v>100</v>
      </c>
      <c r="Y145" s="15" t="s">
        <v>74</v>
      </c>
      <c r="Z145" s="15" t="s">
        <v>57</v>
      </c>
      <c r="AA145" s="15" t="s">
        <v>57</v>
      </c>
      <c r="AB145" s="15" t="s">
        <v>57</v>
      </c>
      <c r="AC145" s="15" t="s">
        <v>180</v>
      </c>
      <c r="AD145" s="15" t="s">
        <v>72</v>
      </c>
      <c r="AE145" s="15" t="s">
        <v>69</v>
      </c>
      <c r="AF145" s="15" t="s">
        <v>74</v>
      </c>
      <c r="AG145" s="15" t="s">
        <v>104</v>
      </c>
      <c r="AH145" s="15" t="s">
        <v>105</v>
      </c>
      <c r="AI145" s="15" t="s">
        <v>336</v>
      </c>
      <c r="AJ145" s="15" t="s">
        <v>336</v>
      </c>
      <c r="AK145" s="15" t="s">
        <v>2123</v>
      </c>
      <c r="AL145" s="15" t="s">
        <v>79</v>
      </c>
      <c r="AM145" s="15" t="s">
        <v>57</v>
      </c>
      <c r="AN145" s="15" t="s">
        <v>57</v>
      </c>
      <c r="AO145" s="19"/>
      <c r="AP145" s="15" t="s">
        <v>109</v>
      </c>
      <c r="AQ145" s="20" t="s">
        <v>2124</v>
      </c>
      <c r="AR145" s="20" t="s">
        <v>1955</v>
      </c>
      <c r="AS145" s="63"/>
    </row>
    <row r="146">
      <c r="A146" s="13">
        <v>245.0</v>
      </c>
      <c r="B146" s="14">
        <v>3.64026682E8</v>
      </c>
      <c r="C146" s="15" t="s">
        <v>2125</v>
      </c>
      <c r="D146" s="15" t="s">
        <v>2126</v>
      </c>
      <c r="E146" s="15" t="s">
        <v>2127</v>
      </c>
      <c r="F146" s="15" t="s">
        <v>2128</v>
      </c>
      <c r="G146" s="16" t="s">
        <v>2129</v>
      </c>
      <c r="H146" s="17">
        <v>2021.0</v>
      </c>
      <c r="I146" s="15" t="s">
        <v>2130</v>
      </c>
      <c r="J146" s="15" t="s">
        <v>55</v>
      </c>
      <c r="K146" s="15" t="s">
        <v>2131</v>
      </c>
      <c r="L146" s="15" t="s">
        <v>57</v>
      </c>
      <c r="M146" s="15" t="s">
        <v>2128</v>
      </c>
      <c r="N146" s="15" t="s">
        <v>2132</v>
      </c>
      <c r="O146" s="15" t="s">
        <v>2133</v>
      </c>
      <c r="P146" s="15" t="s">
        <v>93</v>
      </c>
      <c r="Q146" s="15" t="s">
        <v>57</v>
      </c>
      <c r="R146" s="15" t="s">
        <v>57</v>
      </c>
      <c r="S146" s="15" t="s">
        <v>96</v>
      </c>
      <c r="T146" s="15" t="s">
        <v>64</v>
      </c>
      <c r="U146" s="16" t="s">
        <v>2134</v>
      </c>
      <c r="V146" s="15" t="s">
        <v>99</v>
      </c>
      <c r="W146" s="15" t="s">
        <v>100</v>
      </c>
      <c r="X146" s="18" t="s">
        <v>100</v>
      </c>
      <c r="Y146" s="15" t="s">
        <v>74</v>
      </c>
      <c r="Z146" s="15" t="s">
        <v>57</v>
      </c>
      <c r="AA146" s="15">
        <v>2019.0</v>
      </c>
      <c r="AB146" s="15">
        <v>2019.0</v>
      </c>
      <c r="AC146" s="15" t="s">
        <v>102</v>
      </c>
      <c r="AD146" s="15" t="s">
        <v>102</v>
      </c>
      <c r="AE146" s="15" t="s">
        <v>74</v>
      </c>
      <c r="AF146" s="15" t="s">
        <v>74</v>
      </c>
      <c r="AG146" s="15" t="s">
        <v>104</v>
      </c>
      <c r="AH146" s="15" t="s">
        <v>105</v>
      </c>
      <c r="AI146" s="15" t="s">
        <v>336</v>
      </c>
      <c r="AJ146" s="15" t="s">
        <v>336</v>
      </c>
      <c r="AK146" s="15" t="s">
        <v>2135</v>
      </c>
      <c r="AL146" s="15" t="s">
        <v>128</v>
      </c>
      <c r="AM146" s="15" t="s">
        <v>129</v>
      </c>
      <c r="AN146" s="15" t="s">
        <v>2136</v>
      </c>
      <c r="AO146" s="19"/>
      <c r="AP146" s="15" t="s">
        <v>109</v>
      </c>
      <c r="AQ146" s="20" t="s">
        <v>2137</v>
      </c>
      <c r="AR146" s="20" t="s">
        <v>1955</v>
      </c>
      <c r="AS146" s="63"/>
    </row>
    <row r="147">
      <c r="A147" s="13">
        <v>246.0</v>
      </c>
      <c r="B147" s="14">
        <v>3.640268E8</v>
      </c>
      <c r="C147" s="15" t="s">
        <v>2138</v>
      </c>
      <c r="D147" s="15" t="s">
        <v>2139</v>
      </c>
      <c r="E147" s="15" t="s">
        <v>2140</v>
      </c>
      <c r="F147" s="15" t="s">
        <v>114</v>
      </c>
      <c r="G147" s="16" t="s">
        <v>2141</v>
      </c>
      <c r="H147" s="17">
        <v>2016.0</v>
      </c>
      <c r="I147" s="15" t="s">
        <v>2142</v>
      </c>
      <c r="J147" s="15" t="s">
        <v>55</v>
      </c>
      <c r="K147" s="15" t="s">
        <v>2143</v>
      </c>
      <c r="L147" s="15" t="s">
        <v>57</v>
      </c>
      <c r="M147" s="15" t="s">
        <v>114</v>
      </c>
      <c r="N147" s="15" t="s">
        <v>2144</v>
      </c>
      <c r="O147" s="15" t="s">
        <v>2145</v>
      </c>
      <c r="P147" s="15" t="s">
        <v>93</v>
      </c>
      <c r="Q147" s="15" t="s">
        <v>57</v>
      </c>
      <c r="R147" s="15" t="s">
        <v>57</v>
      </c>
      <c r="S147" s="15" t="s">
        <v>63</v>
      </c>
      <c r="T147" s="15" t="s">
        <v>2146</v>
      </c>
      <c r="U147" s="16" t="s">
        <v>2147</v>
      </c>
      <c r="V147" s="15" t="s">
        <v>99</v>
      </c>
      <c r="W147" s="15" t="s">
        <v>100</v>
      </c>
      <c r="X147" s="18" t="s">
        <v>100</v>
      </c>
      <c r="Y147" s="15" t="s">
        <v>74</v>
      </c>
      <c r="Z147" s="15" t="s">
        <v>57</v>
      </c>
      <c r="AA147" s="15">
        <v>2013.0</v>
      </c>
      <c r="AB147" s="15">
        <v>2014.0</v>
      </c>
      <c r="AC147" s="15" t="s">
        <v>144</v>
      </c>
      <c r="AD147" s="15" t="s">
        <v>72</v>
      </c>
      <c r="AE147" s="15" t="s">
        <v>69</v>
      </c>
      <c r="AF147" s="15" t="s">
        <v>74</v>
      </c>
      <c r="AG147" s="15" t="s">
        <v>104</v>
      </c>
      <c r="AH147" s="15" t="s">
        <v>105</v>
      </c>
      <c r="AI147" s="15" t="s">
        <v>106</v>
      </c>
      <c r="AJ147" s="15" t="s">
        <v>107</v>
      </c>
      <c r="AK147" s="15" t="s">
        <v>2148</v>
      </c>
      <c r="AL147" s="15" t="s">
        <v>79</v>
      </c>
      <c r="AM147" s="15" t="s">
        <v>57</v>
      </c>
      <c r="AN147" s="15" t="s">
        <v>57</v>
      </c>
      <c r="AO147" s="19"/>
      <c r="AP147" s="15" t="s">
        <v>109</v>
      </c>
      <c r="AQ147" s="20" t="s">
        <v>2149</v>
      </c>
      <c r="AR147" s="20" t="s">
        <v>1955</v>
      </c>
      <c r="AS147" s="63"/>
    </row>
    <row r="148">
      <c r="A148" s="13">
        <v>248.0</v>
      </c>
      <c r="B148" s="14">
        <v>3.64026747E8</v>
      </c>
      <c r="C148" s="15" t="s">
        <v>2150</v>
      </c>
      <c r="D148" s="15" t="s">
        <v>2151</v>
      </c>
      <c r="E148" s="15" t="s">
        <v>2152</v>
      </c>
      <c r="F148" s="15" t="s">
        <v>172</v>
      </c>
      <c r="G148" s="16" t="s">
        <v>2153</v>
      </c>
      <c r="H148" s="17">
        <v>2017.0</v>
      </c>
      <c r="I148" s="15" t="s">
        <v>1347</v>
      </c>
      <c r="J148" s="15" t="s">
        <v>55</v>
      </c>
      <c r="K148" s="15" t="s">
        <v>2154</v>
      </c>
      <c r="L148" s="15" t="s">
        <v>57</v>
      </c>
      <c r="M148" s="15" t="s">
        <v>172</v>
      </c>
      <c r="N148" s="15" t="s">
        <v>347</v>
      </c>
      <c r="O148" s="15" t="s">
        <v>2155</v>
      </c>
      <c r="P148" s="15" t="s">
        <v>93</v>
      </c>
      <c r="Q148" s="15" t="s">
        <v>57</v>
      </c>
      <c r="R148" s="15" t="s">
        <v>57</v>
      </c>
      <c r="S148" s="15" t="s">
        <v>193</v>
      </c>
      <c r="T148" s="15" t="s">
        <v>351</v>
      </c>
      <c r="U148" s="16" t="s">
        <v>2156</v>
      </c>
      <c r="V148" s="15" t="s">
        <v>99</v>
      </c>
      <c r="W148" s="15" t="s">
        <v>100</v>
      </c>
      <c r="X148" s="18" t="s">
        <v>100</v>
      </c>
      <c r="Y148" s="15" t="s">
        <v>74</v>
      </c>
      <c r="Z148" s="15" t="s">
        <v>57</v>
      </c>
      <c r="AA148" s="15">
        <v>1992.0</v>
      </c>
      <c r="AB148" s="15">
        <v>2016.0</v>
      </c>
      <c r="AC148" s="15" t="s">
        <v>144</v>
      </c>
      <c r="AD148" s="15" t="s">
        <v>180</v>
      </c>
      <c r="AE148" s="15" t="s">
        <v>69</v>
      </c>
      <c r="AF148" s="15" t="s">
        <v>74</v>
      </c>
      <c r="AG148" s="15" t="s">
        <v>104</v>
      </c>
      <c r="AH148" s="15" t="s">
        <v>105</v>
      </c>
      <c r="AI148" s="15" t="s">
        <v>336</v>
      </c>
      <c r="AJ148" s="15" t="s">
        <v>336</v>
      </c>
      <c r="AK148" s="15" t="s">
        <v>2157</v>
      </c>
      <c r="AL148" s="15" t="s">
        <v>79</v>
      </c>
      <c r="AM148" s="15" t="s">
        <v>57</v>
      </c>
      <c r="AN148" s="15" t="s">
        <v>57</v>
      </c>
      <c r="AO148" s="19"/>
      <c r="AP148" s="15" t="s">
        <v>109</v>
      </c>
      <c r="AQ148" s="20" t="s">
        <v>2158</v>
      </c>
      <c r="AR148" s="20" t="s">
        <v>1955</v>
      </c>
      <c r="AS148" s="63"/>
    </row>
    <row r="149">
      <c r="A149" s="13">
        <v>251.0</v>
      </c>
      <c r="B149" s="14">
        <v>3.64026823E8</v>
      </c>
      <c r="C149" s="15" t="s">
        <v>2159</v>
      </c>
      <c r="D149" s="15" t="s">
        <v>2160</v>
      </c>
      <c r="E149" s="15" t="s">
        <v>2161</v>
      </c>
      <c r="F149" s="15" t="s">
        <v>114</v>
      </c>
      <c r="G149" s="16" t="s">
        <v>2162</v>
      </c>
      <c r="H149" s="17">
        <v>2006.0</v>
      </c>
      <c r="I149" s="15" t="s">
        <v>686</v>
      </c>
      <c r="J149" s="15" t="s">
        <v>55</v>
      </c>
      <c r="K149" s="15" t="s">
        <v>2163</v>
      </c>
      <c r="L149" s="15" t="s">
        <v>57</v>
      </c>
      <c r="M149" s="15" t="s">
        <v>114</v>
      </c>
      <c r="N149" s="15" t="s">
        <v>2164</v>
      </c>
      <c r="O149" s="15" t="s">
        <v>2165</v>
      </c>
      <c r="P149" s="15" t="s">
        <v>93</v>
      </c>
      <c r="Q149" s="15" t="s">
        <v>57</v>
      </c>
      <c r="R149" s="15" t="s">
        <v>57</v>
      </c>
      <c r="S149" s="15" t="s">
        <v>63</v>
      </c>
      <c r="T149" s="15" t="s">
        <v>229</v>
      </c>
      <c r="U149" s="16" t="s">
        <v>2166</v>
      </c>
      <c r="V149" s="15" t="s">
        <v>99</v>
      </c>
      <c r="W149" s="15" t="s">
        <v>100</v>
      </c>
      <c r="X149" s="18" t="s">
        <v>100</v>
      </c>
      <c r="Y149" s="15" t="s">
        <v>74</v>
      </c>
      <c r="Z149" s="15" t="s">
        <v>57</v>
      </c>
      <c r="AA149" s="15">
        <v>2001.0</v>
      </c>
      <c r="AB149" s="15">
        <v>2002.0</v>
      </c>
      <c r="AC149" s="15" t="s">
        <v>144</v>
      </c>
      <c r="AD149" s="15" t="s">
        <v>72</v>
      </c>
      <c r="AE149" s="15" t="s">
        <v>69</v>
      </c>
      <c r="AF149" s="15" t="s">
        <v>69</v>
      </c>
      <c r="AG149" s="15" t="s">
        <v>104</v>
      </c>
      <c r="AH149" s="15" t="s">
        <v>105</v>
      </c>
      <c r="AI149" s="15" t="s">
        <v>336</v>
      </c>
      <c r="AJ149" s="15" t="s">
        <v>336</v>
      </c>
      <c r="AK149" s="15" t="s">
        <v>2167</v>
      </c>
      <c r="AL149" s="15" t="s">
        <v>79</v>
      </c>
      <c r="AM149" s="15" t="s">
        <v>57</v>
      </c>
      <c r="AN149" s="15" t="s">
        <v>57</v>
      </c>
      <c r="AO149" s="19"/>
      <c r="AP149" s="15" t="s">
        <v>109</v>
      </c>
      <c r="AQ149" s="20" t="s">
        <v>2168</v>
      </c>
      <c r="AR149" s="20" t="s">
        <v>1955</v>
      </c>
      <c r="AS149" s="63"/>
    </row>
    <row r="150">
      <c r="A150" s="13">
        <v>254.0</v>
      </c>
      <c r="B150" s="14">
        <v>3.64026779E8</v>
      </c>
      <c r="C150" s="15" t="s">
        <v>2169</v>
      </c>
      <c r="D150" s="15" t="s">
        <v>2170</v>
      </c>
      <c r="E150" s="15" t="s">
        <v>2171</v>
      </c>
      <c r="F150" s="15" t="s">
        <v>114</v>
      </c>
      <c r="G150" s="16" t="s">
        <v>2172</v>
      </c>
      <c r="H150" s="17">
        <v>2017.0</v>
      </c>
      <c r="I150" s="15" t="s">
        <v>1085</v>
      </c>
      <c r="J150" s="15" t="s">
        <v>55</v>
      </c>
      <c r="K150" s="15" t="s">
        <v>2173</v>
      </c>
      <c r="L150" s="15" t="s">
        <v>57</v>
      </c>
      <c r="M150" s="15" t="s">
        <v>114</v>
      </c>
      <c r="N150" s="15" t="s">
        <v>2174</v>
      </c>
      <c r="O150" s="15" t="s">
        <v>2175</v>
      </c>
      <c r="P150" s="15" t="s">
        <v>93</v>
      </c>
      <c r="Q150" s="15" t="s">
        <v>57</v>
      </c>
      <c r="R150" s="15" t="s">
        <v>57</v>
      </c>
      <c r="S150" s="15" t="s">
        <v>63</v>
      </c>
      <c r="T150" s="15" t="s">
        <v>2176</v>
      </c>
      <c r="U150" s="16" t="s">
        <v>2177</v>
      </c>
      <c r="V150" s="15" t="s">
        <v>99</v>
      </c>
      <c r="W150" s="15" t="s">
        <v>100</v>
      </c>
      <c r="X150" s="18" t="s">
        <v>100</v>
      </c>
      <c r="Y150" s="15" t="s">
        <v>74</v>
      </c>
      <c r="Z150" s="15" t="s">
        <v>57</v>
      </c>
      <c r="AA150" s="15">
        <v>2013.0</v>
      </c>
      <c r="AB150" s="15">
        <v>2014.0</v>
      </c>
      <c r="AC150" s="15" t="s">
        <v>144</v>
      </c>
      <c r="AD150" s="15" t="s">
        <v>180</v>
      </c>
      <c r="AE150" s="15" t="s">
        <v>69</v>
      </c>
      <c r="AF150" s="15" t="s">
        <v>69</v>
      </c>
      <c r="AG150" s="15" t="s">
        <v>104</v>
      </c>
      <c r="AH150" s="15" t="s">
        <v>105</v>
      </c>
      <c r="AI150" s="15" t="s">
        <v>166</v>
      </c>
      <c r="AJ150" s="15" t="s">
        <v>166</v>
      </c>
      <c r="AK150" s="15" t="s">
        <v>2178</v>
      </c>
      <c r="AL150" s="15" t="s">
        <v>128</v>
      </c>
      <c r="AM150" s="15" t="s">
        <v>198</v>
      </c>
      <c r="AN150" s="15" t="s">
        <v>2179</v>
      </c>
      <c r="AO150" s="19"/>
      <c r="AP150" s="15" t="s">
        <v>109</v>
      </c>
      <c r="AQ150" s="20" t="s">
        <v>2180</v>
      </c>
      <c r="AR150" s="20" t="s">
        <v>1955</v>
      </c>
      <c r="AS150" s="63"/>
    </row>
    <row r="151">
      <c r="A151" s="13">
        <v>256.0</v>
      </c>
      <c r="B151" s="14">
        <v>3.64026693E8</v>
      </c>
      <c r="C151" s="15" t="s">
        <v>2181</v>
      </c>
      <c r="D151" s="15" t="s">
        <v>2182</v>
      </c>
      <c r="E151" s="15" t="s">
        <v>2183</v>
      </c>
      <c r="F151" s="15" t="s">
        <v>114</v>
      </c>
      <c r="G151" s="16" t="s">
        <v>2184</v>
      </c>
      <c r="H151" s="17">
        <v>2014.0</v>
      </c>
      <c r="I151" s="15" t="s">
        <v>1085</v>
      </c>
      <c r="J151" s="15" t="s">
        <v>55</v>
      </c>
      <c r="K151" s="15" t="s">
        <v>2185</v>
      </c>
      <c r="L151" s="15" t="s">
        <v>57</v>
      </c>
      <c r="M151" s="15" t="s">
        <v>114</v>
      </c>
      <c r="N151" s="15" t="s">
        <v>258</v>
      </c>
      <c r="O151" s="15" t="s">
        <v>2186</v>
      </c>
      <c r="P151" s="15" t="s">
        <v>93</v>
      </c>
      <c r="Q151" s="15" t="s">
        <v>57</v>
      </c>
      <c r="R151" s="15" t="s">
        <v>57</v>
      </c>
      <c r="S151" s="15" t="s">
        <v>96</v>
      </c>
      <c r="T151" s="15" t="s">
        <v>2187</v>
      </c>
      <c r="U151" s="16" t="s">
        <v>2188</v>
      </c>
      <c r="V151" s="15" t="s">
        <v>99</v>
      </c>
      <c r="W151" s="15" t="s">
        <v>100</v>
      </c>
      <c r="X151" s="18" t="s">
        <v>100</v>
      </c>
      <c r="Y151" s="15" t="s">
        <v>74</v>
      </c>
      <c r="Z151" s="15" t="s">
        <v>57</v>
      </c>
      <c r="AA151" s="15">
        <v>2012.0</v>
      </c>
      <c r="AB151" s="15">
        <v>2012.0</v>
      </c>
      <c r="AC151" s="15" t="s">
        <v>180</v>
      </c>
      <c r="AD151" s="15" t="s">
        <v>72</v>
      </c>
      <c r="AE151" s="15" t="s">
        <v>69</v>
      </c>
      <c r="AF151" s="15" t="s">
        <v>74</v>
      </c>
      <c r="AG151" s="15" t="s">
        <v>104</v>
      </c>
      <c r="AH151" s="15" t="s">
        <v>105</v>
      </c>
      <c r="AI151" s="15" t="s">
        <v>336</v>
      </c>
      <c r="AJ151" s="15" t="s">
        <v>336</v>
      </c>
      <c r="AK151" s="15" t="s">
        <v>2189</v>
      </c>
      <c r="AL151" s="15" t="s">
        <v>128</v>
      </c>
      <c r="AM151" s="15" t="s">
        <v>129</v>
      </c>
      <c r="AN151" s="15" t="s">
        <v>2190</v>
      </c>
      <c r="AO151" s="19"/>
      <c r="AP151" s="15" t="s">
        <v>109</v>
      </c>
      <c r="AQ151" s="20" t="s">
        <v>2191</v>
      </c>
      <c r="AR151" s="20" t="s">
        <v>1955</v>
      </c>
      <c r="AS151" s="63"/>
    </row>
    <row r="152">
      <c r="A152" s="13">
        <v>257.0</v>
      </c>
      <c r="B152" s="14">
        <v>3.6402671E8</v>
      </c>
      <c r="C152" s="15" t="s">
        <v>2192</v>
      </c>
      <c r="D152" s="15" t="s">
        <v>2193</v>
      </c>
      <c r="E152" s="15" t="s">
        <v>2194</v>
      </c>
      <c r="F152" s="15" t="s">
        <v>381</v>
      </c>
      <c r="G152" s="16" t="s">
        <v>2195</v>
      </c>
      <c r="H152" s="17">
        <v>2011.0</v>
      </c>
      <c r="I152" s="15" t="s">
        <v>517</v>
      </c>
      <c r="J152" s="15" t="s">
        <v>55</v>
      </c>
      <c r="K152" s="15" t="s">
        <v>2196</v>
      </c>
      <c r="L152" s="15" t="s">
        <v>57</v>
      </c>
      <c r="M152" s="15" t="s">
        <v>381</v>
      </c>
      <c r="N152" s="15" t="s">
        <v>2197</v>
      </c>
      <c r="O152" s="15" t="s">
        <v>2198</v>
      </c>
      <c r="P152" s="15" t="s">
        <v>93</v>
      </c>
      <c r="Q152" s="15" t="s">
        <v>2199</v>
      </c>
      <c r="R152" s="15" t="s">
        <v>2200</v>
      </c>
      <c r="S152" s="15" t="s">
        <v>63</v>
      </c>
      <c r="T152" s="15" t="s">
        <v>2201</v>
      </c>
      <c r="U152" s="16" t="s">
        <v>2202</v>
      </c>
      <c r="V152" s="15" t="s">
        <v>99</v>
      </c>
      <c r="W152" s="15" t="s">
        <v>100</v>
      </c>
      <c r="X152" s="18" t="s">
        <v>100</v>
      </c>
      <c r="Y152" s="15" t="s">
        <v>74</v>
      </c>
      <c r="Z152" s="15" t="s">
        <v>57</v>
      </c>
      <c r="AA152" s="15" t="s">
        <v>57</v>
      </c>
      <c r="AB152" s="15" t="s">
        <v>57</v>
      </c>
      <c r="AC152" s="15" t="s">
        <v>57</v>
      </c>
      <c r="AD152" s="15" t="s">
        <v>57</v>
      </c>
      <c r="AE152" s="15" t="s">
        <v>69</v>
      </c>
      <c r="AF152" s="15" t="s">
        <v>74</v>
      </c>
      <c r="AG152" s="15" t="s">
        <v>104</v>
      </c>
      <c r="AH152" s="15" t="s">
        <v>105</v>
      </c>
      <c r="AI152" s="15" t="s">
        <v>336</v>
      </c>
      <c r="AJ152" s="15" t="s">
        <v>336</v>
      </c>
      <c r="AK152" s="15" t="s">
        <v>2203</v>
      </c>
      <c r="AL152" s="15" t="s">
        <v>79</v>
      </c>
      <c r="AM152" s="15" t="s">
        <v>57</v>
      </c>
      <c r="AN152" s="15" t="s">
        <v>57</v>
      </c>
      <c r="AO152" s="19"/>
      <c r="AP152" s="15" t="s">
        <v>109</v>
      </c>
      <c r="AQ152" s="20" t="s">
        <v>2204</v>
      </c>
      <c r="AR152" s="20" t="s">
        <v>1955</v>
      </c>
      <c r="AS152" s="21" t="s">
        <v>2205</v>
      </c>
    </row>
    <row r="153">
      <c r="A153" s="13">
        <v>258.0</v>
      </c>
      <c r="B153" s="14">
        <v>3.64026714E8</v>
      </c>
      <c r="C153" s="15" t="s">
        <v>2206</v>
      </c>
      <c r="D153" s="15" t="s">
        <v>990</v>
      </c>
      <c r="E153" s="15" t="s">
        <v>2207</v>
      </c>
      <c r="F153" s="15" t="s">
        <v>992</v>
      </c>
      <c r="G153" s="16" t="s">
        <v>2208</v>
      </c>
      <c r="H153" s="17">
        <v>2011.0</v>
      </c>
      <c r="I153" s="15" t="s">
        <v>686</v>
      </c>
      <c r="J153" s="15" t="s">
        <v>55</v>
      </c>
      <c r="K153" s="15" t="s">
        <v>995</v>
      </c>
      <c r="L153" s="15" t="s">
        <v>57</v>
      </c>
      <c r="M153" s="15" t="s">
        <v>992</v>
      </c>
      <c r="N153" s="15" t="s">
        <v>996</v>
      </c>
      <c r="O153" s="15" t="s">
        <v>2209</v>
      </c>
      <c r="P153" s="15" t="s">
        <v>93</v>
      </c>
      <c r="Q153" s="15" t="s">
        <v>57</v>
      </c>
      <c r="R153" s="15" t="s">
        <v>57</v>
      </c>
      <c r="S153" s="15" t="s">
        <v>96</v>
      </c>
      <c r="T153" s="15" t="s">
        <v>2210</v>
      </c>
      <c r="U153" s="16" t="s">
        <v>2211</v>
      </c>
      <c r="V153" s="15" t="s">
        <v>99</v>
      </c>
      <c r="W153" s="15" t="s">
        <v>100</v>
      </c>
      <c r="X153" s="18" t="s">
        <v>100</v>
      </c>
      <c r="Y153" s="15" t="s">
        <v>69</v>
      </c>
      <c r="Z153" s="15" t="s">
        <v>2212</v>
      </c>
      <c r="AA153" s="15">
        <v>2008.0</v>
      </c>
      <c r="AB153" s="15">
        <v>2008.0</v>
      </c>
      <c r="AC153" s="15" t="s">
        <v>403</v>
      </c>
      <c r="AD153" s="15" t="s">
        <v>264</v>
      </c>
      <c r="AE153" s="15" t="s">
        <v>69</v>
      </c>
      <c r="AF153" s="15" t="s">
        <v>74</v>
      </c>
      <c r="AG153" s="15" t="s">
        <v>104</v>
      </c>
      <c r="AH153" s="15" t="s">
        <v>105</v>
      </c>
      <c r="AI153" s="15" t="s">
        <v>106</v>
      </c>
      <c r="AJ153" s="15" t="s">
        <v>107</v>
      </c>
      <c r="AK153" s="15" t="s">
        <v>2213</v>
      </c>
      <c r="AL153" s="15" t="s">
        <v>128</v>
      </c>
      <c r="AM153" s="15" t="s">
        <v>129</v>
      </c>
      <c r="AN153" s="15" t="s">
        <v>2214</v>
      </c>
      <c r="AO153" s="19"/>
      <c r="AP153" s="15" t="s">
        <v>1522</v>
      </c>
      <c r="AQ153" s="20" t="s">
        <v>2215</v>
      </c>
      <c r="AR153" s="20" t="s">
        <v>1955</v>
      </c>
      <c r="AS153" s="63"/>
    </row>
    <row r="154">
      <c r="A154" s="13">
        <v>259.0</v>
      </c>
      <c r="B154" s="14">
        <v>3.64026726E8</v>
      </c>
      <c r="C154" s="15" t="s">
        <v>2216</v>
      </c>
      <c r="D154" s="15" t="s">
        <v>2217</v>
      </c>
      <c r="E154" s="15" t="s">
        <v>2218</v>
      </c>
      <c r="F154" s="15" t="s">
        <v>172</v>
      </c>
      <c r="G154" s="16" t="s">
        <v>2219</v>
      </c>
      <c r="H154" s="17">
        <v>2018.0</v>
      </c>
      <c r="I154" s="15" t="s">
        <v>207</v>
      </c>
      <c r="J154" s="15" t="s">
        <v>55</v>
      </c>
      <c r="K154" s="15" t="s">
        <v>2220</v>
      </c>
      <c r="L154" s="15" t="s">
        <v>57</v>
      </c>
      <c r="M154" s="15" t="s">
        <v>172</v>
      </c>
      <c r="N154" s="15" t="s">
        <v>347</v>
      </c>
      <c r="O154" s="15" t="s">
        <v>2221</v>
      </c>
      <c r="P154" s="15" t="s">
        <v>93</v>
      </c>
      <c r="Q154" s="15" t="s">
        <v>57</v>
      </c>
      <c r="R154" s="15" t="s">
        <v>57</v>
      </c>
      <c r="S154" s="15" t="s">
        <v>63</v>
      </c>
      <c r="T154" s="15" t="s">
        <v>2222</v>
      </c>
      <c r="U154" s="16" t="s">
        <v>2223</v>
      </c>
      <c r="V154" s="15" t="s">
        <v>99</v>
      </c>
      <c r="W154" s="15" t="s">
        <v>100</v>
      </c>
      <c r="X154" s="18" t="s">
        <v>100</v>
      </c>
      <c r="Y154" s="15" t="s">
        <v>74</v>
      </c>
      <c r="Z154" s="15" t="s">
        <v>57</v>
      </c>
      <c r="AA154" s="15">
        <v>2014.0</v>
      </c>
      <c r="AB154" s="15">
        <v>2014.0</v>
      </c>
      <c r="AC154" s="15" t="s">
        <v>103</v>
      </c>
      <c r="AD154" s="15" t="s">
        <v>180</v>
      </c>
      <c r="AE154" s="15" t="s">
        <v>74</v>
      </c>
      <c r="AF154" s="15" t="s">
        <v>74</v>
      </c>
      <c r="AG154" s="15" t="s">
        <v>104</v>
      </c>
      <c r="AH154" s="15" t="s">
        <v>105</v>
      </c>
      <c r="AI154" s="15" t="s">
        <v>106</v>
      </c>
      <c r="AJ154" s="15" t="s">
        <v>107</v>
      </c>
      <c r="AK154" s="15" t="s">
        <v>2224</v>
      </c>
      <c r="AL154" s="15" t="s">
        <v>79</v>
      </c>
      <c r="AM154" s="15" t="s">
        <v>57</v>
      </c>
      <c r="AN154" s="15" t="s">
        <v>57</v>
      </c>
      <c r="AO154" s="19"/>
      <c r="AP154" s="15" t="s">
        <v>1522</v>
      </c>
      <c r="AQ154" s="20" t="s">
        <v>2225</v>
      </c>
      <c r="AR154" s="20" t="s">
        <v>1955</v>
      </c>
      <c r="AS154" s="63"/>
    </row>
    <row r="155">
      <c r="A155" s="13">
        <v>261.0</v>
      </c>
      <c r="B155" s="14">
        <v>3.64026782E8</v>
      </c>
      <c r="C155" s="15" t="s">
        <v>2226</v>
      </c>
      <c r="D155" s="15" t="s">
        <v>2227</v>
      </c>
      <c r="E155" s="15" t="s">
        <v>2228</v>
      </c>
      <c r="F155" s="15" t="s">
        <v>859</v>
      </c>
      <c r="G155" s="16" t="s">
        <v>2229</v>
      </c>
      <c r="H155" s="17">
        <v>2013.0</v>
      </c>
      <c r="I155" s="15" t="s">
        <v>295</v>
      </c>
      <c r="J155" s="15" t="s">
        <v>55</v>
      </c>
      <c r="K155" s="15" t="s">
        <v>2230</v>
      </c>
      <c r="L155" s="15" t="s">
        <v>57</v>
      </c>
      <c r="M155" s="15" t="s">
        <v>859</v>
      </c>
      <c r="N155" s="15" t="s">
        <v>2231</v>
      </c>
      <c r="O155" s="15" t="s">
        <v>2232</v>
      </c>
      <c r="P155" s="15" t="s">
        <v>93</v>
      </c>
      <c r="Q155" s="15" t="s">
        <v>57</v>
      </c>
      <c r="R155" s="15" t="s">
        <v>57</v>
      </c>
      <c r="S155" s="15" t="s">
        <v>96</v>
      </c>
      <c r="T155" s="15" t="s">
        <v>1401</v>
      </c>
      <c r="U155" s="16" t="s">
        <v>2233</v>
      </c>
      <c r="V155" s="15" t="s">
        <v>99</v>
      </c>
      <c r="W155" s="15" t="s">
        <v>100</v>
      </c>
      <c r="X155" s="18" t="s">
        <v>100</v>
      </c>
      <c r="Y155" s="15" t="s">
        <v>74</v>
      </c>
      <c r="Z155" s="15" t="s">
        <v>57</v>
      </c>
      <c r="AA155" s="15">
        <v>1997.0</v>
      </c>
      <c r="AB155" s="15">
        <v>1997.0</v>
      </c>
      <c r="AC155" s="15" t="s">
        <v>542</v>
      </c>
      <c r="AD155" s="15" t="s">
        <v>264</v>
      </c>
      <c r="AE155" s="15" t="s">
        <v>69</v>
      </c>
      <c r="AF155" s="15" t="s">
        <v>69</v>
      </c>
      <c r="AG155" s="15" t="s">
        <v>104</v>
      </c>
      <c r="AH155" s="15" t="s">
        <v>105</v>
      </c>
      <c r="AI155" s="15" t="s">
        <v>2234</v>
      </c>
      <c r="AJ155" s="15" t="s">
        <v>107</v>
      </c>
      <c r="AK155" s="15" t="s">
        <v>2235</v>
      </c>
      <c r="AL155" s="15" t="s">
        <v>128</v>
      </c>
      <c r="AM155" s="15" t="s">
        <v>895</v>
      </c>
      <c r="AN155" s="15" t="s">
        <v>2236</v>
      </c>
      <c r="AO155" s="19"/>
      <c r="AP155" s="15" t="s">
        <v>184</v>
      </c>
      <c r="AQ155" s="20" t="s">
        <v>2237</v>
      </c>
      <c r="AR155" s="20" t="s">
        <v>1955</v>
      </c>
      <c r="AS155" s="21"/>
    </row>
    <row r="156">
      <c r="A156" s="13">
        <v>262.0</v>
      </c>
      <c r="B156" s="14">
        <v>3.64026783E8</v>
      </c>
      <c r="C156" s="15" t="s">
        <v>2238</v>
      </c>
      <c r="D156" s="15" t="s">
        <v>2239</v>
      </c>
      <c r="E156" s="15" t="s">
        <v>2240</v>
      </c>
      <c r="F156" s="15" t="s">
        <v>992</v>
      </c>
      <c r="G156" s="16" t="s">
        <v>2241</v>
      </c>
      <c r="H156" s="17">
        <v>2018.0</v>
      </c>
      <c r="I156" s="15" t="s">
        <v>729</v>
      </c>
      <c r="J156" s="15" t="s">
        <v>55</v>
      </c>
      <c r="K156" s="15" t="s">
        <v>2242</v>
      </c>
      <c r="L156" s="15" t="s">
        <v>57</v>
      </c>
      <c r="M156" s="15" t="s">
        <v>992</v>
      </c>
      <c r="N156" s="15" t="s">
        <v>1530</v>
      </c>
      <c r="O156" s="15" t="s">
        <v>2243</v>
      </c>
      <c r="P156" s="15" t="s">
        <v>554</v>
      </c>
      <c r="Q156" s="15" t="s">
        <v>2244</v>
      </c>
      <c r="R156" s="15" t="s">
        <v>2245</v>
      </c>
      <c r="S156" s="15" t="s">
        <v>63</v>
      </c>
      <c r="T156" s="15" t="s">
        <v>2246</v>
      </c>
      <c r="U156" s="16" t="s">
        <v>2247</v>
      </c>
      <c r="V156" s="15" t="s">
        <v>99</v>
      </c>
      <c r="W156" s="15" t="s">
        <v>100</v>
      </c>
      <c r="X156" s="18" t="s">
        <v>100</v>
      </c>
      <c r="Y156" s="15" t="s">
        <v>74</v>
      </c>
      <c r="Z156" s="15" t="s">
        <v>57</v>
      </c>
      <c r="AA156" s="15">
        <v>2012.0</v>
      </c>
      <c r="AB156" s="15">
        <v>2014.0</v>
      </c>
      <c r="AC156" s="15" t="s">
        <v>102</v>
      </c>
      <c r="AD156" s="15" t="s">
        <v>692</v>
      </c>
      <c r="AE156" s="15" t="s">
        <v>69</v>
      </c>
      <c r="AF156" s="15" t="s">
        <v>69</v>
      </c>
      <c r="AG156" s="15" t="s">
        <v>104</v>
      </c>
      <c r="AH156" s="15" t="s">
        <v>105</v>
      </c>
      <c r="AI156" s="15" t="s">
        <v>958</v>
      </c>
      <c r="AJ156" s="15" t="s">
        <v>147</v>
      </c>
      <c r="AK156" s="15" t="s">
        <v>2248</v>
      </c>
      <c r="AL156" s="15" t="s">
        <v>128</v>
      </c>
      <c r="AM156" s="15" t="s">
        <v>129</v>
      </c>
      <c r="AN156" s="15" t="s">
        <v>2249</v>
      </c>
      <c r="AO156" s="19"/>
      <c r="AP156" s="15" t="s">
        <v>184</v>
      </c>
      <c r="AQ156" s="20" t="s">
        <v>2250</v>
      </c>
      <c r="AR156" s="20" t="s">
        <v>1955</v>
      </c>
      <c r="AS156" s="63"/>
    </row>
    <row r="157">
      <c r="A157" s="13">
        <v>266.0</v>
      </c>
      <c r="B157" s="14">
        <v>3.64026873E8</v>
      </c>
      <c r="C157" s="15" t="s">
        <v>2251</v>
      </c>
      <c r="D157" s="15" t="s">
        <v>2252</v>
      </c>
      <c r="E157" s="15" t="s">
        <v>2253</v>
      </c>
      <c r="F157" s="15" t="s">
        <v>992</v>
      </c>
      <c r="G157" s="16" t="s">
        <v>2254</v>
      </c>
      <c r="H157" s="17">
        <v>2015.0</v>
      </c>
      <c r="I157" s="15" t="s">
        <v>2255</v>
      </c>
      <c r="J157" s="15" t="s">
        <v>55</v>
      </c>
      <c r="K157" s="15" t="s">
        <v>2256</v>
      </c>
      <c r="L157" s="15" t="s">
        <v>57</v>
      </c>
      <c r="M157" s="15" t="s">
        <v>992</v>
      </c>
      <c r="N157" s="15" t="s">
        <v>2257</v>
      </c>
      <c r="O157" s="15" t="s">
        <v>2258</v>
      </c>
      <c r="P157" s="15" t="s">
        <v>554</v>
      </c>
      <c r="Q157" s="15" t="s">
        <v>57</v>
      </c>
      <c r="R157" s="15" t="s">
        <v>57</v>
      </c>
      <c r="S157" s="15" t="s">
        <v>193</v>
      </c>
      <c r="T157" s="15" t="s">
        <v>2259</v>
      </c>
      <c r="U157" s="16" t="s">
        <v>2260</v>
      </c>
      <c r="V157" s="15" t="s">
        <v>66</v>
      </c>
      <c r="W157" s="15" t="s">
        <v>2261</v>
      </c>
      <c r="X157" s="18" t="s">
        <v>2262</v>
      </c>
      <c r="Y157" s="15" t="s">
        <v>74</v>
      </c>
      <c r="Z157" s="15" t="s">
        <v>57</v>
      </c>
      <c r="AA157" s="15">
        <v>1952.0</v>
      </c>
      <c r="AB157" s="15" t="s">
        <v>57</v>
      </c>
      <c r="AC157" s="15" t="s">
        <v>57</v>
      </c>
      <c r="AD157" s="15" t="s">
        <v>57</v>
      </c>
      <c r="AE157" s="15" t="s">
        <v>69</v>
      </c>
      <c r="AF157" s="15" t="s">
        <v>69</v>
      </c>
      <c r="AG157" s="15" t="s">
        <v>75</v>
      </c>
      <c r="AH157" s="15" t="s">
        <v>165</v>
      </c>
      <c r="AI157" s="15" t="s">
        <v>465</v>
      </c>
      <c r="AJ157" s="15" t="s">
        <v>465</v>
      </c>
      <c r="AK157" s="15" t="s">
        <v>2263</v>
      </c>
      <c r="AL157" s="15" t="s">
        <v>79</v>
      </c>
      <c r="AM157" s="15" t="s">
        <v>57</v>
      </c>
      <c r="AN157" s="15" t="s">
        <v>57</v>
      </c>
      <c r="AO157" s="19"/>
      <c r="AP157" s="19"/>
      <c r="AQ157" s="20" t="s">
        <v>2264</v>
      </c>
      <c r="AR157" s="20" t="s">
        <v>1955</v>
      </c>
      <c r="AS157" s="63"/>
    </row>
    <row r="158">
      <c r="A158" s="13">
        <v>267.0</v>
      </c>
      <c r="B158" s="14">
        <v>3.64026829E8</v>
      </c>
      <c r="C158" s="15" t="s">
        <v>2265</v>
      </c>
      <c r="D158" s="15" t="s">
        <v>2266</v>
      </c>
      <c r="E158" s="15" t="s">
        <v>2267</v>
      </c>
      <c r="F158" s="15" t="s">
        <v>2268</v>
      </c>
      <c r="G158" s="16" t="s">
        <v>2269</v>
      </c>
      <c r="H158" s="17">
        <v>2017.0</v>
      </c>
      <c r="I158" s="15" t="s">
        <v>1183</v>
      </c>
      <c r="J158" s="15" t="s">
        <v>55</v>
      </c>
      <c r="K158" s="15" t="s">
        <v>2270</v>
      </c>
      <c r="L158" s="15" t="s">
        <v>57</v>
      </c>
      <c r="M158" s="15" t="s">
        <v>2268</v>
      </c>
      <c r="N158" s="15" t="s">
        <v>2271</v>
      </c>
      <c r="O158" s="15" t="s">
        <v>2272</v>
      </c>
      <c r="P158" s="15" t="s">
        <v>93</v>
      </c>
      <c r="Q158" s="15" t="s">
        <v>2273</v>
      </c>
      <c r="R158" s="15" t="s">
        <v>2274</v>
      </c>
      <c r="S158" s="15" t="s">
        <v>96</v>
      </c>
      <c r="T158" s="15" t="s">
        <v>2275</v>
      </c>
      <c r="U158" s="16" t="s">
        <v>2276</v>
      </c>
      <c r="V158" s="15" t="s">
        <v>99</v>
      </c>
      <c r="W158" s="15" t="s">
        <v>2277</v>
      </c>
      <c r="X158" s="18" t="s">
        <v>2278</v>
      </c>
      <c r="Y158" s="15" t="s">
        <v>74</v>
      </c>
      <c r="Z158" s="15" t="s">
        <v>57</v>
      </c>
      <c r="AA158" s="15">
        <v>2005.0</v>
      </c>
      <c r="AB158" s="15">
        <v>2015.0</v>
      </c>
      <c r="AC158" s="15" t="s">
        <v>692</v>
      </c>
      <c r="AD158" s="15" t="s">
        <v>542</v>
      </c>
      <c r="AE158" s="15" t="s">
        <v>69</v>
      </c>
      <c r="AF158" s="15" t="s">
        <v>74</v>
      </c>
      <c r="AG158" s="15" t="s">
        <v>75</v>
      </c>
      <c r="AH158" s="15" t="s">
        <v>105</v>
      </c>
      <c r="AI158" s="15" t="s">
        <v>166</v>
      </c>
      <c r="AJ158" s="15" t="s">
        <v>166</v>
      </c>
      <c r="AK158" s="15" t="s">
        <v>2279</v>
      </c>
      <c r="AL158" s="15" t="s">
        <v>128</v>
      </c>
      <c r="AM158" s="15" t="s">
        <v>129</v>
      </c>
      <c r="AN158" s="15" t="s">
        <v>2280</v>
      </c>
      <c r="AO158" s="19"/>
      <c r="AP158" s="15" t="s">
        <v>1522</v>
      </c>
      <c r="AQ158" s="20" t="s">
        <v>2281</v>
      </c>
      <c r="AR158" s="20" t="s">
        <v>1955</v>
      </c>
      <c r="AS158" s="63"/>
    </row>
    <row r="159">
      <c r="A159" s="13">
        <v>269.0</v>
      </c>
      <c r="B159" s="14">
        <v>3.64026875E8</v>
      </c>
      <c r="C159" s="15" t="s">
        <v>2282</v>
      </c>
      <c r="D159" s="15" t="s">
        <v>2283</v>
      </c>
      <c r="E159" s="15" t="s">
        <v>2284</v>
      </c>
      <c r="F159" s="15" t="s">
        <v>273</v>
      </c>
      <c r="G159" s="16" t="s">
        <v>2285</v>
      </c>
      <c r="H159" s="17">
        <v>2014.0</v>
      </c>
      <c r="I159" s="15" t="s">
        <v>2286</v>
      </c>
      <c r="J159" s="15" t="s">
        <v>55</v>
      </c>
      <c r="K159" s="15" t="s">
        <v>1021</v>
      </c>
      <c r="L159" s="15" t="s">
        <v>57</v>
      </c>
      <c r="M159" s="15" t="s">
        <v>273</v>
      </c>
      <c r="N159" s="15" t="s">
        <v>1022</v>
      </c>
      <c r="O159" s="15" t="s">
        <v>2287</v>
      </c>
      <c r="P159" s="15" t="s">
        <v>93</v>
      </c>
      <c r="Q159" s="15" t="s">
        <v>2288</v>
      </c>
      <c r="R159" s="15" t="s">
        <v>2289</v>
      </c>
      <c r="S159" s="15" t="s">
        <v>96</v>
      </c>
      <c r="T159" s="15" t="s">
        <v>892</v>
      </c>
      <c r="U159" s="16" t="s">
        <v>2290</v>
      </c>
      <c r="V159" s="15" t="s">
        <v>99</v>
      </c>
      <c r="W159" s="15" t="s">
        <v>100</v>
      </c>
      <c r="X159" s="18" t="s">
        <v>100</v>
      </c>
      <c r="Y159" s="15" t="s">
        <v>74</v>
      </c>
      <c r="Z159" s="15" t="s">
        <v>57</v>
      </c>
      <c r="AA159" s="15">
        <v>1998.0</v>
      </c>
      <c r="AB159" s="15">
        <v>2013.0</v>
      </c>
      <c r="AC159" s="15" t="s">
        <v>102</v>
      </c>
      <c r="AD159" s="15" t="s">
        <v>71</v>
      </c>
      <c r="AE159" s="15" t="s">
        <v>69</v>
      </c>
      <c r="AF159" s="15" t="s">
        <v>74</v>
      </c>
      <c r="AG159" s="15" t="s">
        <v>75</v>
      </c>
      <c r="AH159" s="15" t="s">
        <v>851</v>
      </c>
      <c r="AI159" s="15" t="s">
        <v>2291</v>
      </c>
      <c r="AJ159" s="15" t="s">
        <v>107</v>
      </c>
      <c r="AK159" s="15" t="s">
        <v>2292</v>
      </c>
      <c r="AL159" s="15" t="s">
        <v>128</v>
      </c>
      <c r="AM159" s="15" t="s">
        <v>129</v>
      </c>
      <c r="AN159" s="15" t="s">
        <v>2293</v>
      </c>
      <c r="AO159" s="15" t="s">
        <v>2294</v>
      </c>
      <c r="AP159" s="15" t="s">
        <v>1522</v>
      </c>
      <c r="AQ159" s="20" t="s">
        <v>2295</v>
      </c>
      <c r="AR159" s="20" t="s">
        <v>1955</v>
      </c>
      <c r="AS159" s="63"/>
    </row>
    <row r="160">
      <c r="A160" s="72">
        <v>271.0</v>
      </c>
      <c r="B160" s="73">
        <v>3.6402649E8</v>
      </c>
      <c r="C160" s="74" t="s">
        <v>2296</v>
      </c>
      <c r="D160" s="74" t="s">
        <v>2297</v>
      </c>
      <c r="E160" s="74" t="s">
        <v>2298</v>
      </c>
      <c r="F160" s="74" t="s">
        <v>2299</v>
      </c>
      <c r="G160" s="75" t="s">
        <v>2300</v>
      </c>
      <c r="H160" s="76">
        <v>2018.0</v>
      </c>
      <c r="I160" s="74" t="s">
        <v>2301</v>
      </c>
      <c r="J160" s="74" t="s">
        <v>55</v>
      </c>
      <c r="K160" s="74" t="s">
        <v>2302</v>
      </c>
      <c r="L160" s="74" t="s">
        <v>57</v>
      </c>
      <c r="M160" s="74" t="s">
        <v>2299</v>
      </c>
      <c r="N160" s="74" t="s">
        <v>2303</v>
      </c>
      <c r="O160" s="74" t="s">
        <v>2304</v>
      </c>
      <c r="P160" s="74" t="s">
        <v>93</v>
      </c>
      <c r="Q160" s="74" t="s">
        <v>57</v>
      </c>
      <c r="R160" s="74" t="s">
        <v>57</v>
      </c>
      <c r="S160" s="74" t="s">
        <v>96</v>
      </c>
      <c r="T160" s="74" t="s">
        <v>351</v>
      </c>
      <c r="U160" s="75" t="s">
        <v>2305</v>
      </c>
      <c r="V160" s="74" t="s">
        <v>99</v>
      </c>
      <c r="W160" s="74" t="s">
        <v>100</v>
      </c>
      <c r="X160" s="77" t="s">
        <v>100</v>
      </c>
      <c r="Y160" s="74" t="s">
        <v>69</v>
      </c>
      <c r="Z160" s="74" t="s">
        <v>2306</v>
      </c>
      <c r="AA160" s="74">
        <v>2015.0</v>
      </c>
      <c r="AB160" s="74">
        <v>2016.0</v>
      </c>
      <c r="AC160" s="74" t="s">
        <v>102</v>
      </c>
      <c r="AD160" s="74" t="s">
        <v>102</v>
      </c>
      <c r="AE160" s="74" t="s">
        <v>69</v>
      </c>
      <c r="AF160" s="74" t="s">
        <v>74</v>
      </c>
      <c r="AG160" s="74" t="s">
        <v>75</v>
      </c>
      <c r="AH160" s="74" t="s">
        <v>2307</v>
      </c>
      <c r="AI160" s="74" t="s">
        <v>2308</v>
      </c>
      <c r="AJ160" s="74" t="s">
        <v>107</v>
      </c>
      <c r="AK160" s="74" t="s">
        <v>2309</v>
      </c>
      <c r="AL160" s="74" t="s">
        <v>128</v>
      </c>
      <c r="AM160" s="74" t="s">
        <v>129</v>
      </c>
      <c r="AN160" s="74" t="s">
        <v>2310</v>
      </c>
      <c r="AO160" s="78"/>
      <c r="AP160" s="74" t="s">
        <v>1522</v>
      </c>
      <c r="AQ160" s="79" t="s">
        <v>2311</v>
      </c>
      <c r="AR160" s="79" t="s">
        <v>1955</v>
      </c>
      <c r="AS160" s="63"/>
    </row>
    <row r="161">
      <c r="A161" s="80">
        <v>276.0</v>
      </c>
      <c r="B161" s="63">
        <v>5.27597309E8</v>
      </c>
      <c r="C161" s="63" t="s">
        <v>2312</v>
      </c>
      <c r="D161" s="63" t="s">
        <v>2313</v>
      </c>
      <c r="E161" s="63" t="s">
        <v>2314</v>
      </c>
      <c r="F161" s="63" t="s">
        <v>2315</v>
      </c>
      <c r="G161" s="81" t="s">
        <v>2316</v>
      </c>
      <c r="H161" s="82">
        <v>1982.0</v>
      </c>
      <c r="I161" s="63" t="s">
        <v>136</v>
      </c>
      <c r="J161" s="63" t="s">
        <v>55</v>
      </c>
      <c r="K161" s="63" t="s">
        <v>57</v>
      </c>
      <c r="L161" s="63" t="s">
        <v>57</v>
      </c>
      <c r="M161" s="63" t="s">
        <v>2315</v>
      </c>
      <c r="N161" s="63" t="s">
        <v>2317</v>
      </c>
      <c r="O161" s="63" t="s">
        <v>2317</v>
      </c>
      <c r="P161" s="63" t="s">
        <v>93</v>
      </c>
      <c r="Q161" s="63" t="s">
        <v>57</v>
      </c>
      <c r="R161" s="63" t="s">
        <v>57</v>
      </c>
      <c r="S161" s="63" t="s">
        <v>96</v>
      </c>
      <c r="T161" s="63" t="s">
        <v>210</v>
      </c>
      <c r="U161" s="81" t="s">
        <v>2318</v>
      </c>
      <c r="V161" s="63" t="s">
        <v>99</v>
      </c>
      <c r="W161" s="63" t="s">
        <v>100</v>
      </c>
      <c r="X161" s="83" t="s">
        <v>100</v>
      </c>
      <c r="Y161" s="63" t="s">
        <v>69</v>
      </c>
      <c r="Z161" s="63" t="s">
        <v>2319</v>
      </c>
      <c r="AA161" s="63">
        <v>1976.0</v>
      </c>
      <c r="AB161" s="63">
        <v>1976.0</v>
      </c>
      <c r="AC161" s="63" t="s">
        <v>144</v>
      </c>
      <c r="AD161" s="63" t="s">
        <v>72</v>
      </c>
      <c r="AE161" s="63" t="s">
        <v>74</v>
      </c>
      <c r="AF161" s="63" t="s">
        <v>69</v>
      </c>
      <c r="AG161" s="63" t="s">
        <v>104</v>
      </c>
      <c r="AH161" s="63" t="s">
        <v>105</v>
      </c>
      <c r="AI161" s="63" t="s">
        <v>336</v>
      </c>
      <c r="AJ161" s="84"/>
      <c r="AK161" s="63" t="s">
        <v>2320</v>
      </c>
      <c r="AL161" s="85" t="s">
        <v>128</v>
      </c>
      <c r="AM161" s="63" t="s">
        <v>129</v>
      </c>
      <c r="AN161" s="63" t="s">
        <v>2321</v>
      </c>
      <c r="AO161" s="85"/>
      <c r="AP161" s="63" t="s">
        <v>184</v>
      </c>
      <c r="AQ161" s="21" t="s">
        <v>2322</v>
      </c>
      <c r="AR161" s="21" t="s">
        <v>1955</v>
      </c>
      <c r="AS161" s="21"/>
    </row>
    <row r="162">
      <c r="A162" s="86"/>
      <c r="B162" s="87"/>
      <c r="C162" s="88"/>
      <c r="D162" s="88"/>
      <c r="E162" s="88"/>
      <c r="F162" s="88"/>
      <c r="G162" s="89"/>
      <c r="H162" s="90"/>
      <c r="I162" s="88"/>
      <c r="J162" s="88"/>
      <c r="K162" s="88"/>
      <c r="L162" s="88"/>
      <c r="M162" s="88"/>
      <c r="N162" s="88"/>
      <c r="O162" s="88"/>
      <c r="P162" s="88"/>
      <c r="Q162" s="88"/>
      <c r="R162" s="88"/>
      <c r="S162" s="88"/>
      <c r="T162" s="88"/>
      <c r="U162" s="89"/>
      <c r="V162" s="88"/>
      <c r="W162" s="88"/>
      <c r="X162" s="88"/>
      <c r="Y162" s="88"/>
      <c r="Z162" s="88"/>
      <c r="AA162" s="88"/>
      <c r="AB162" s="88"/>
      <c r="AC162" s="88"/>
      <c r="AD162" s="88"/>
      <c r="AE162" s="88"/>
      <c r="AF162" s="88"/>
      <c r="AG162" s="88"/>
      <c r="AH162" s="88"/>
      <c r="AI162" s="88"/>
      <c r="AJ162" s="88"/>
      <c r="AK162" s="88"/>
      <c r="AL162" s="88"/>
      <c r="AM162" s="88"/>
      <c r="AN162" s="88"/>
      <c r="AO162" s="88"/>
      <c r="AP162" s="88"/>
      <c r="AQ162" s="91"/>
      <c r="AR162" s="91"/>
      <c r="AS162" s="44"/>
    </row>
    <row r="163">
      <c r="A163" s="92"/>
      <c r="B163" s="93"/>
      <c r="C163" s="39"/>
      <c r="D163" s="39"/>
      <c r="E163" s="39"/>
      <c r="F163" s="39"/>
      <c r="G163" s="94"/>
      <c r="H163" s="95"/>
      <c r="I163" s="39"/>
      <c r="J163" s="39"/>
      <c r="K163" s="39"/>
      <c r="L163" s="39"/>
      <c r="M163" s="39"/>
      <c r="N163" s="39"/>
      <c r="O163" s="39"/>
      <c r="P163" s="39"/>
      <c r="Q163" s="39"/>
      <c r="R163" s="39"/>
      <c r="S163" s="39"/>
      <c r="T163" s="39"/>
      <c r="U163" s="94"/>
      <c r="V163" s="39"/>
      <c r="W163" s="39"/>
      <c r="X163" s="39"/>
      <c r="Y163" s="39"/>
      <c r="Z163" s="39"/>
      <c r="AA163" s="39"/>
      <c r="AB163" s="39"/>
      <c r="AC163" s="39"/>
      <c r="AD163" s="39"/>
      <c r="AE163" s="39"/>
      <c r="AF163" s="39"/>
      <c r="AG163" s="39"/>
      <c r="AH163" s="39"/>
      <c r="AI163" s="39"/>
      <c r="AJ163" s="39"/>
      <c r="AK163" s="39"/>
      <c r="AL163" s="39"/>
      <c r="AM163" s="39"/>
      <c r="AN163" s="39"/>
      <c r="AO163" s="39"/>
      <c r="AP163" s="39"/>
      <c r="AQ163" s="96"/>
      <c r="AR163" s="96"/>
      <c r="AS163" s="44"/>
    </row>
    <row r="164">
      <c r="A164" s="92"/>
      <c r="B164" s="93"/>
      <c r="C164" s="39"/>
      <c r="D164" s="39"/>
      <c r="E164" s="39"/>
      <c r="F164" s="39"/>
      <c r="G164" s="94"/>
      <c r="H164" s="95"/>
      <c r="I164" s="39"/>
      <c r="J164" s="39"/>
      <c r="K164" s="39"/>
      <c r="L164" s="39"/>
      <c r="M164" s="39"/>
      <c r="N164" s="39"/>
      <c r="O164" s="39"/>
      <c r="P164" s="39"/>
      <c r="Q164" s="39"/>
      <c r="R164" s="39"/>
      <c r="S164" s="39"/>
      <c r="T164" s="39"/>
      <c r="U164" s="94"/>
      <c r="V164" s="39"/>
      <c r="W164" s="39"/>
      <c r="X164" s="39"/>
      <c r="Y164" s="39"/>
      <c r="Z164" s="39"/>
      <c r="AA164" s="39"/>
      <c r="AB164" s="39"/>
      <c r="AC164" s="39"/>
      <c r="AD164" s="39"/>
      <c r="AE164" s="39"/>
      <c r="AF164" s="39"/>
      <c r="AG164" s="39"/>
      <c r="AH164" s="39"/>
      <c r="AI164" s="39"/>
      <c r="AJ164" s="39"/>
      <c r="AK164" s="39"/>
      <c r="AL164" s="39"/>
      <c r="AM164" s="39"/>
      <c r="AN164" s="39"/>
      <c r="AO164" s="39"/>
      <c r="AP164" s="39"/>
      <c r="AQ164" s="96"/>
      <c r="AR164" s="96"/>
      <c r="AS164" s="44"/>
    </row>
    <row r="165">
      <c r="A165" s="92"/>
      <c r="B165" s="93"/>
      <c r="C165" s="39"/>
      <c r="D165" s="39"/>
      <c r="E165" s="39"/>
      <c r="F165" s="39"/>
      <c r="G165" s="94"/>
      <c r="H165" s="95"/>
      <c r="I165" s="39"/>
      <c r="J165" s="39"/>
      <c r="K165" s="39"/>
      <c r="L165" s="39"/>
      <c r="M165" s="39"/>
      <c r="N165" s="39"/>
      <c r="O165" s="39"/>
      <c r="P165" s="39"/>
      <c r="Q165" s="39"/>
      <c r="R165" s="39"/>
      <c r="S165" s="39"/>
      <c r="T165" s="39"/>
      <c r="U165" s="94"/>
      <c r="V165" s="39"/>
      <c r="W165" s="39"/>
      <c r="X165" s="39"/>
      <c r="Y165" s="39"/>
      <c r="Z165" s="39"/>
      <c r="AA165" s="39"/>
      <c r="AB165" s="39"/>
      <c r="AC165" s="39"/>
      <c r="AD165" s="39"/>
      <c r="AE165" s="39"/>
      <c r="AF165" s="39"/>
      <c r="AG165" s="39"/>
      <c r="AH165" s="39"/>
      <c r="AI165" s="39"/>
      <c r="AJ165" s="39"/>
      <c r="AK165" s="39"/>
      <c r="AL165" s="39"/>
      <c r="AM165" s="39"/>
      <c r="AN165" s="39"/>
      <c r="AO165" s="39"/>
      <c r="AP165" s="39"/>
      <c r="AQ165" s="96"/>
      <c r="AR165" s="96"/>
      <c r="AS165" s="44"/>
    </row>
    <row r="166">
      <c r="A166" s="92"/>
      <c r="B166" s="93"/>
      <c r="C166" s="39"/>
      <c r="D166" s="39"/>
      <c r="E166" s="39"/>
      <c r="F166" s="39"/>
      <c r="G166" s="94"/>
      <c r="H166" s="95"/>
      <c r="I166" s="39"/>
      <c r="J166" s="39"/>
      <c r="K166" s="39"/>
      <c r="L166" s="39"/>
      <c r="M166" s="39"/>
      <c r="N166" s="39"/>
      <c r="O166" s="39"/>
      <c r="P166" s="39"/>
      <c r="Q166" s="39"/>
      <c r="R166" s="39"/>
      <c r="S166" s="39"/>
      <c r="T166" s="39"/>
      <c r="U166" s="94"/>
      <c r="V166" s="39"/>
      <c r="W166" s="39"/>
      <c r="X166" s="39"/>
      <c r="Y166" s="39"/>
      <c r="Z166" s="39"/>
      <c r="AA166" s="39"/>
      <c r="AB166" s="39"/>
      <c r="AC166" s="39"/>
      <c r="AD166" s="39"/>
      <c r="AE166" s="39"/>
      <c r="AF166" s="39"/>
      <c r="AG166" s="39"/>
      <c r="AH166" s="39"/>
      <c r="AI166" s="39"/>
      <c r="AJ166" s="39"/>
      <c r="AK166" s="39"/>
      <c r="AL166" s="39"/>
      <c r="AM166" s="39"/>
      <c r="AN166" s="39"/>
      <c r="AO166" s="39"/>
      <c r="AP166" s="39"/>
      <c r="AQ166" s="96"/>
      <c r="AR166" s="96"/>
      <c r="AS166" s="44"/>
    </row>
    <row r="167">
      <c r="A167" s="92"/>
      <c r="B167" s="93"/>
      <c r="C167" s="39"/>
      <c r="D167" s="39"/>
      <c r="E167" s="39"/>
      <c r="F167" s="39"/>
      <c r="G167" s="94"/>
      <c r="H167" s="95"/>
      <c r="I167" s="39"/>
      <c r="J167" s="39"/>
      <c r="K167" s="39"/>
      <c r="L167" s="39"/>
      <c r="M167" s="39"/>
      <c r="N167" s="39"/>
      <c r="O167" s="39"/>
      <c r="P167" s="39"/>
      <c r="Q167" s="39"/>
      <c r="R167" s="39"/>
      <c r="S167" s="39"/>
      <c r="T167" s="39"/>
      <c r="U167" s="94"/>
      <c r="V167" s="39"/>
      <c r="W167" s="39"/>
      <c r="X167" s="39"/>
      <c r="Y167" s="39"/>
      <c r="Z167" s="39"/>
      <c r="AA167" s="39"/>
      <c r="AB167" s="39"/>
      <c r="AC167" s="39"/>
      <c r="AD167" s="39"/>
      <c r="AE167" s="39"/>
      <c r="AF167" s="39"/>
      <c r="AG167" s="39"/>
      <c r="AH167" s="39"/>
      <c r="AI167" s="39"/>
      <c r="AJ167" s="39"/>
      <c r="AK167" s="39"/>
      <c r="AL167" s="39"/>
      <c r="AM167" s="39"/>
      <c r="AN167" s="39"/>
      <c r="AO167" s="39"/>
      <c r="AP167" s="39"/>
      <c r="AQ167" s="96"/>
      <c r="AR167" s="96"/>
      <c r="AS167" s="44"/>
    </row>
    <row r="168">
      <c r="A168" s="92"/>
      <c r="B168" s="93"/>
      <c r="C168" s="39"/>
      <c r="D168" s="39"/>
      <c r="E168" s="39"/>
      <c r="F168" s="39"/>
      <c r="G168" s="94"/>
      <c r="H168" s="95"/>
      <c r="I168" s="39"/>
      <c r="J168" s="39"/>
      <c r="K168" s="39"/>
      <c r="L168" s="39"/>
      <c r="M168" s="39"/>
      <c r="N168" s="39"/>
      <c r="O168" s="39"/>
      <c r="P168" s="39"/>
      <c r="Q168" s="39"/>
      <c r="R168" s="39"/>
      <c r="S168" s="39"/>
      <c r="T168" s="39"/>
      <c r="U168" s="94"/>
      <c r="V168" s="39"/>
      <c r="W168" s="39"/>
      <c r="X168" s="39"/>
      <c r="Y168" s="39"/>
      <c r="Z168" s="39"/>
      <c r="AA168" s="39"/>
      <c r="AB168" s="39"/>
      <c r="AC168" s="39"/>
      <c r="AD168" s="39"/>
      <c r="AE168" s="39"/>
      <c r="AF168" s="39"/>
      <c r="AG168" s="39"/>
      <c r="AH168" s="39"/>
      <c r="AI168" s="39"/>
      <c r="AJ168" s="39"/>
      <c r="AK168" s="39"/>
      <c r="AL168" s="39"/>
      <c r="AM168" s="39"/>
      <c r="AN168" s="39"/>
      <c r="AO168" s="39"/>
      <c r="AP168" s="39"/>
      <c r="AQ168" s="96"/>
      <c r="AR168" s="96"/>
      <c r="AS168" s="44"/>
    </row>
    <row r="169">
      <c r="A169" s="92"/>
      <c r="B169" s="93"/>
      <c r="C169" s="39"/>
      <c r="D169" s="39"/>
      <c r="E169" s="39"/>
      <c r="F169" s="39"/>
      <c r="G169" s="94"/>
      <c r="H169" s="95"/>
      <c r="I169" s="39"/>
      <c r="J169" s="39"/>
      <c r="K169" s="39"/>
      <c r="L169" s="39"/>
      <c r="M169" s="39"/>
      <c r="N169" s="39"/>
      <c r="O169" s="39"/>
      <c r="P169" s="39"/>
      <c r="Q169" s="39"/>
      <c r="R169" s="39"/>
      <c r="S169" s="39"/>
      <c r="T169" s="39"/>
      <c r="U169" s="94"/>
      <c r="V169" s="39"/>
      <c r="W169" s="39"/>
      <c r="X169" s="39"/>
      <c r="Y169" s="39"/>
      <c r="Z169" s="39"/>
      <c r="AA169" s="39"/>
      <c r="AB169" s="39"/>
      <c r="AC169" s="39"/>
      <c r="AD169" s="39"/>
      <c r="AE169" s="39"/>
      <c r="AF169" s="39"/>
      <c r="AG169" s="39"/>
      <c r="AH169" s="39"/>
      <c r="AI169" s="39"/>
      <c r="AJ169" s="39"/>
      <c r="AK169" s="39"/>
      <c r="AL169" s="39"/>
      <c r="AM169" s="39"/>
      <c r="AN169" s="39"/>
      <c r="AO169" s="39"/>
      <c r="AP169" s="39"/>
      <c r="AQ169" s="96"/>
      <c r="AR169" s="96"/>
      <c r="AS169" s="44"/>
    </row>
    <row r="170">
      <c r="A170" s="92"/>
      <c r="B170" s="93"/>
      <c r="C170" s="39"/>
      <c r="D170" s="39"/>
      <c r="E170" s="39"/>
      <c r="F170" s="39"/>
      <c r="G170" s="94"/>
      <c r="H170" s="95"/>
      <c r="I170" s="39"/>
      <c r="J170" s="39"/>
      <c r="K170" s="39"/>
      <c r="L170" s="39"/>
      <c r="M170" s="39"/>
      <c r="N170" s="39"/>
      <c r="O170" s="39"/>
      <c r="P170" s="39"/>
      <c r="Q170" s="39"/>
      <c r="R170" s="39"/>
      <c r="S170" s="39"/>
      <c r="T170" s="39"/>
      <c r="U170" s="94"/>
      <c r="V170" s="39"/>
      <c r="W170" s="39"/>
      <c r="X170" s="39"/>
      <c r="Y170" s="39"/>
      <c r="Z170" s="39"/>
      <c r="AA170" s="39"/>
      <c r="AB170" s="39"/>
      <c r="AC170" s="39"/>
      <c r="AD170" s="39"/>
      <c r="AE170" s="39"/>
      <c r="AF170" s="39"/>
      <c r="AG170" s="39"/>
      <c r="AH170" s="39"/>
      <c r="AI170" s="39"/>
      <c r="AJ170" s="39"/>
      <c r="AK170" s="39"/>
      <c r="AL170" s="39"/>
      <c r="AM170" s="39"/>
      <c r="AN170" s="39"/>
      <c r="AO170" s="39"/>
      <c r="AP170" s="39"/>
      <c r="AQ170" s="96"/>
      <c r="AR170" s="96"/>
      <c r="AS170" s="44"/>
    </row>
    <row r="171">
      <c r="A171" s="92"/>
      <c r="B171" s="93"/>
      <c r="C171" s="39"/>
      <c r="D171" s="39"/>
      <c r="E171" s="39"/>
      <c r="F171" s="39"/>
      <c r="G171" s="94"/>
      <c r="H171" s="95"/>
      <c r="I171" s="39"/>
      <c r="J171" s="39"/>
      <c r="K171" s="39"/>
      <c r="L171" s="39"/>
      <c r="M171" s="39"/>
      <c r="N171" s="39"/>
      <c r="O171" s="39"/>
      <c r="P171" s="39"/>
      <c r="Q171" s="39"/>
      <c r="R171" s="39"/>
      <c r="S171" s="39"/>
      <c r="T171" s="39"/>
      <c r="U171" s="94"/>
      <c r="V171" s="39"/>
      <c r="W171" s="39"/>
      <c r="X171" s="39"/>
      <c r="Y171" s="39"/>
      <c r="Z171" s="39"/>
      <c r="AA171" s="39"/>
      <c r="AB171" s="39"/>
      <c r="AC171" s="39"/>
      <c r="AD171" s="39"/>
      <c r="AE171" s="39"/>
      <c r="AF171" s="39"/>
      <c r="AG171" s="39"/>
      <c r="AH171" s="39"/>
      <c r="AI171" s="39"/>
      <c r="AJ171" s="39"/>
      <c r="AK171" s="39"/>
      <c r="AL171" s="39"/>
      <c r="AM171" s="39"/>
      <c r="AN171" s="39"/>
      <c r="AO171" s="39"/>
      <c r="AP171" s="39"/>
      <c r="AQ171" s="96"/>
      <c r="AR171" s="96"/>
      <c r="AS171" s="44"/>
    </row>
    <row r="172">
      <c r="A172" s="92"/>
      <c r="B172" s="93"/>
      <c r="C172" s="39"/>
      <c r="D172" s="39"/>
      <c r="E172" s="39"/>
      <c r="F172" s="39"/>
      <c r="G172" s="94"/>
      <c r="H172" s="95"/>
      <c r="I172" s="39"/>
      <c r="J172" s="39"/>
      <c r="K172" s="39"/>
      <c r="L172" s="39"/>
      <c r="M172" s="39"/>
      <c r="N172" s="39"/>
      <c r="O172" s="39"/>
      <c r="P172" s="39"/>
      <c r="Q172" s="39"/>
      <c r="R172" s="39"/>
      <c r="S172" s="39"/>
      <c r="T172" s="39"/>
      <c r="U172" s="94"/>
      <c r="V172" s="39"/>
      <c r="W172" s="39"/>
      <c r="X172" s="39"/>
      <c r="Y172" s="39"/>
      <c r="Z172" s="39"/>
      <c r="AA172" s="39"/>
      <c r="AB172" s="39"/>
      <c r="AC172" s="39"/>
      <c r="AD172" s="39"/>
      <c r="AE172" s="39"/>
      <c r="AF172" s="39"/>
      <c r="AG172" s="39"/>
      <c r="AH172" s="39"/>
      <c r="AI172" s="39"/>
      <c r="AJ172" s="39"/>
      <c r="AK172" s="39"/>
      <c r="AL172" s="39"/>
      <c r="AM172" s="39"/>
      <c r="AN172" s="39"/>
      <c r="AO172" s="39"/>
      <c r="AP172" s="39"/>
      <c r="AQ172" s="96"/>
      <c r="AR172" s="96"/>
      <c r="AS172" s="44"/>
    </row>
    <row r="173">
      <c r="A173" s="92"/>
      <c r="B173" s="93"/>
      <c r="C173" s="39"/>
      <c r="D173" s="39"/>
      <c r="E173" s="39"/>
      <c r="F173" s="39"/>
      <c r="G173" s="94"/>
      <c r="H173" s="95"/>
      <c r="I173" s="39"/>
      <c r="J173" s="39"/>
      <c r="K173" s="39"/>
      <c r="L173" s="39"/>
      <c r="M173" s="39"/>
      <c r="N173" s="39"/>
      <c r="O173" s="39"/>
      <c r="P173" s="39"/>
      <c r="Q173" s="39"/>
      <c r="R173" s="39"/>
      <c r="S173" s="39"/>
      <c r="T173" s="39"/>
      <c r="U173" s="94"/>
      <c r="V173" s="39"/>
      <c r="W173" s="39"/>
      <c r="X173" s="39"/>
      <c r="Y173" s="39"/>
      <c r="Z173" s="39"/>
      <c r="AA173" s="39"/>
      <c r="AB173" s="39"/>
      <c r="AC173" s="39"/>
      <c r="AD173" s="39"/>
      <c r="AE173" s="39"/>
      <c r="AF173" s="39"/>
      <c r="AG173" s="39"/>
      <c r="AH173" s="39"/>
      <c r="AI173" s="39"/>
      <c r="AJ173" s="39"/>
      <c r="AK173" s="39"/>
      <c r="AL173" s="39"/>
      <c r="AM173" s="39"/>
      <c r="AN173" s="39"/>
      <c r="AO173" s="39"/>
      <c r="AP173" s="39"/>
      <c r="AQ173" s="96"/>
      <c r="AR173" s="96"/>
      <c r="AS173" s="44"/>
    </row>
    <row r="174">
      <c r="A174" s="92"/>
      <c r="B174" s="93"/>
      <c r="C174" s="39"/>
      <c r="D174" s="39"/>
      <c r="E174" s="39"/>
      <c r="F174" s="39"/>
      <c r="G174" s="94"/>
      <c r="H174" s="95"/>
      <c r="I174" s="39"/>
      <c r="J174" s="39"/>
      <c r="K174" s="39"/>
      <c r="L174" s="39"/>
      <c r="M174" s="39"/>
      <c r="N174" s="39"/>
      <c r="O174" s="39"/>
      <c r="P174" s="39"/>
      <c r="Q174" s="39"/>
      <c r="R174" s="39"/>
      <c r="S174" s="39"/>
      <c r="T174" s="39"/>
      <c r="U174" s="94"/>
      <c r="V174" s="39"/>
      <c r="W174" s="39"/>
      <c r="X174" s="39"/>
      <c r="Y174" s="39"/>
      <c r="Z174" s="39"/>
      <c r="AA174" s="39"/>
      <c r="AB174" s="39"/>
      <c r="AC174" s="39"/>
      <c r="AD174" s="39"/>
      <c r="AE174" s="39"/>
      <c r="AF174" s="39"/>
      <c r="AG174" s="39"/>
      <c r="AH174" s="39"/>
      <c r="AI174" s="39"/>
      <c r="AJ174" s="39"/>
      <c r="AK174" s="39"/>
      <c r="AL174" s="39"/>
      <c r="AM174" s="39"/>
      <c r="AN174" s="39"/>
      <c r="AO174" s="39"/>
      <c r="AP174" s="39"/>
      <c r="AQ174" s="96"/>
      <c r="AR174" s="96"/>
      <c r="AS174" s="44"/>
    </row>
    <row r="175">
      <c r="A175" s="92"/>
      <c r="B175" s="93"/>
      <c r="C175" s="39"/>
      <c r="D175" s="39"/>
      <c r="E175" s="39"/>
      <c r="F175" s="39"/>
      <c r="G175" s="94"/>
      <c r="H175" s="95"/>
      <c r="I175" s="39"/>
      <c r="J175" s="39"/>
      <c r="K175" s="39"/>
      <c r="L175" s="39"/>
      <c r="M175" s="39"/>
      <c r="N175" s="39"/>
      <c r="O175" s="39"/>
      <c r="P175" s="39"/>
      <c r="Q175" s="39"/>
      <c r="R175" s="39"/>
      <c r="S175" s="39"/>
      <c r="T175" s="39"/>
      <c r="U175" s="94"/>
      <c r="V175" s="39"/>
      <c r="W175" s="39"/>
      <c r="X175" s="39"/>
      <c r="Y175" s="39"/>
      <c r="Z175" s="39"/>
      <c r="AA175" s="39"/>
      <c r="AB175" s="39"/>
      <c r="AC175" s="39"/>
      <c r="AD175" s="39"/>
      <c r="AE175" s="39"/>
      <c r="AF175" s="39"/>
      <c r="AG175" s="39"/>
      <c r="AH175" s="39"/>
      <c r="AI175" s="39"/>
      <c r="AJ175" s="39"/>
      <c r="AK175" s="39"/>
      <c r="AL175" s="39"/>
      <c r="AM175" s="39"/>
      <c r="AN175" s="39"/>
      <c r="AO175" s="39"/>
      <c r="AP175" s="39"/>
      <c r="AQ175" s="96"/>
      <c r="AR175" s="96"/>
      <c r="AS175" s="44"/>
    </row>
    <row r="176">
      <c r="A176" s="92"/>
      <c r="B176" s="93"/>
      <c r="C176" s="39"/>
      <c r="D176" s="39"/>
      <c r="E176" s="39"/>
      <c r="F176" s="39"/>
      <c r="G176" s="94"/>
      <c r="H176" s="95"/>
      <c r="I176" s="39"/>
      <c r="J176" s="39"/>
      <c r="K176" s="39"/>
      <c r="L176" s="39"/>
      <c r="M176" s="39"/>
      <c r="N176" s="39"/>
      <c r="O176" s="39"/>
      <c r="P176" s="39"/>
      <c r="Q176" s="39"/>
      <c r="R176" s="39"/>
      <c r="S176" s="39"/>
      <c r="T176" s="39"/>
      <c r="U176" s="94"/>
      <c r="V176" s="39"/>
      <c r="W176" s="39"/>
      <c r="X176" s="39"/>
      <c r="Y176" s="39"/>
      <c r="Z176" s="39"/>
      <c r="AA176" s="39"/>
      <c r="AB176" s="39"/>
      <c r="AC176" s="39"/>
      <c r="AD176" s="39"/>
      <c r="AE176" s="39"/>
      <c r="AF176" s="39"/>
      <c r="AG176" s="39"/>
      <c r="AH176" s="39"/>
      <c r="AI176" s="39"/>
      <c r="AJ176" s="39"/>
      <c r="AK176" s="39"/>
      <c r="AL176" s="39"/>
      <c r="AM176" s="39"/>
      <c r="AN176" s="39"/>
      <c r="AO176" s="39"/>
      <c r="AP176" s="39"/>
      <c r="AQ176" s="96"/>
      <c r="AR176" s="96"/>
      <c r="AS176" s="44"/>
    </row>
    <row r="177">
      <c r="A177" s="92"/>
      <c r="B177" s="93"/>
      <c r="C177" s="39"/>
      <c r="D177" s="39"/>
      <c r="E177" s="39"/>
      <c r="F177" s="39"/>
      <c r="G177" s="94"/>
      <c r="H177" s="95"/>
      <c r="I177" s="39"/>
      <c r="J177" s="39"/>
      <c r="K177" s="39"/>
      <c r="L177" s="39"/>
      <c r="M177" s="39"/>
      <c r="N177" s="39"/>
      <c r="O177" s="39"/>
      <c r="P177" s="39"/>
      <c r="Q177" s="39"/>
      <c r="R177" s="39"/>
      <c r="S177" s="39"/>
      <c r="T177" s="39"/>
      <c r="U177" s="94"/>
      <c r="V177" s="39"/>
      <c r="W177" s="39"/>
      <c r="X177" s="39"/>
      <c r="Y177" s="39"/>
      <c r="Z177" s="39"/>
      <c r="AA177" s="39"/>
      <c r="AB177" s="39"/>
      <c r="AC177" s="39"/>
      <c r="AD177" s="39"/>
      <c r="AE177" s="39"/>
      <c r="AF177" s="39"/>
      <c r="AG177" s="39"/>
      <c r="AH177" s="39"/>
      <c r="AI177" s="39"/>
      <c r="AJ177" s="39"/>
      <c r="AK177" s="39"/>
      <c r="AL177" s="39"/>
      <c r="AM177" s="39"/>
      <c r="AN177" s="39"/>
      <c r="AO177" s="39"/>
      <c r="AP177" s="39"/>
      <c r="AQ177" s="96"/>
      <c r="AR177" s="96"/>
      <c r="AS177" s="44"/>
    </row>
    <row r="178">
      <c r="A178" s="92"/>
      <c r="B178" s="93"/>
      <c r="C178" s="39"/>
      <c r="D178" s="39"/>
      <c r="E178" s="39"/>
      <c r="F178" s="39"/>
      <c r="G178" s="94"/>
      <c r="H178" s="95"/>
      <c r="I178" s="39"/>
      <c r="J178" s="39"/>
      <c r="K178" s="39"/>
      <c r="L178" s="39"/>
      <c r="M178" s="39"/>
      <c r="N178" s="39"/>
      <c r="O178" s="39"/>
      <c r="P178" s="39"/>
      <c r="Q178" s="39"/>
      <c r="R178" s="39"/>
      <c r="S178" s="39"/>
      <c r="T178" s="39"/>
      <c r="U178" s="94"/>
      <c r="V178" s="39"/>
      <c r="W178" s="39"/>
      <c r="X178" s="39"/>
      <c r="Y178" s="39"/>
      <c r="Z178" s="39"/>
      <c r="AA178" s="39"/>
      <c r="AB178" s="39"/>
      <c r="AC178" s="39"/>
      <c r="AD178" s="39"/>
      <c r="AE178" s="39"/>
      <c r="AF178" s="39"/>
      <c r="AG178" s="39"/>
      <c r="AH178" s="39"/>
      <c r="AI178" s="39"/>
      <c r="AJ178" s="39"/>
      <c r="AK178" s="39"/>
      <c r="AL178" s="39"/>
      <c r="AM178" s="39"/>
      <c r="AN178" s="39"/>
      <c r="AO178" s="39"/>
      <c r="AP178" s="39"/>
      <c r="AQ178" s="96"/>
      <c r="AR178" s="96"/>
      <c r="AS178" s="44"/>
    </row>
    <row r="179">
      <c r="A179" s="92"/>
      <c r="B179" s="93"/>
      <c r="C179" s="39"/>
      <c r="D179" s="39"/>
      <c r="E179" s="39"/>
      <c r="F179" s="39"/>
      <c r="G179" s="94"/>
      <c r="H179" s="95"/>
      <c r="I179" s="39"/>
      <c r="J179" s="39"/>
      <c r="K179" s="39"/>
      <c r="L179" s="39"/>
      <c r="M179" s="39"/>
      <c r="N179" s="39"/>
      <c r="O179" s="39"/>
      <c r="P179" s="39"/>
      <c r="Q179" s="39"/>
      <c r="R179" s="39"/>
      <c r="S179" s="39"/>
      <c r="T179" s="39"/>
      <c r="U179" s="94"/>
      <c r="V179" s="39"/>
      <c r="W179" s="39"/>
      <c r="X179" s="39"/>
      <c r="Y179" s="39"/>
      <c r="Z179" s="39"/>
      <c r="AA179" s="39"/>
      <c r="AB179" s="39"/>
      <c r="AC179" s="39"/>
      <c r="AD179" s="39"/>
      <c r="AE179" s="39"/>
      <c r="AF179" s="39"/>
      <c r="AG179" s="39"/>
      <c r="AH179" s="39"/>
      <c r="AI179" s="39"/>
      <c r="AJ179" s="39"/>
      <c r="AK179" s="39"/>
      <c r="AL179" s="39"/>
      <c r="AM179" s="39"/>
      <c r="AN179" s="39"/>
      <c r="AO179" s="39"/>
      <c r="AP179" s="39"/>
      <c r="AQ179" s="96"/>
      <c r="AR179" s="96"/>
      <c r="AS179" s="44"/>
    </row>
    <row r="180">
      <c r="A180" s="92"/>
      <c r="B180" s="93"/>
      <c r="C180" s="39"/>
      <c r="D180" s="39"/>
      <c r="E180" s="39"/>
      <c r="F180" s="39"/>
      <c r="G180" s="94"/>
      <c r="H180" s="95"/>
      <c r="I180" s="39"/>
      <c r="J180" s="39"/>
      <c r="K180" s="39"/>
      <c r="L180" s="39"/>
      <c r="M180" s="39"/>
      <c r="N180" s="39"/>
      <c r="O180" s="39"/>
      <c r="P180" s="39"/>
      <c r="Q180" s="39"/>
      <c r="R180" s="39"/>
      <c r="S180" s="39"/>
      <c r="T180" s="39"/>
      <c r="U180" s="94"/>
      <c r="V180" s="39"/>
      <c r="W180" s="39"/>
      <c r="X180" s="39"/>
      <c r="Y180" s="39"/>
      <c r="Z180" s="39"/>
      <c r="AA180" s="39"/>
      <c r="AB180" s="39"/>
      <c r="AC180" s="39"/>
      <c r="AD180" s="39"/>
      <c r="AE180" s="39"/>
      <c r="AF180" s="39"/>
      <c r="AG180" s="39"/>
      <c r="AH180" s="39"/>
      <c r="AI180" s="39"/>
      <c r="AJ180" s="39"/>
      <c r="AK180" s="39"/>
      <c r="AL180" s="39"/>
      <c r="AM180" s="39"/>
      <c r="AN180" s="39"/>
      <c r="AO180" s="39"/>
      <c r="AP180" s="39"/>
      <c r="AQ180" s="96"/>
      <c r="AR180" s="96"/>
      <c r="AS180" s="44"/>
    </row>
    <row r="181">
      <c r="A181" s="92"/>
      <c r="B181" s="93"/>
      <c r="C181" s="39"/>
      <c r="D181" s="39"/>
      <c r="E181" s="39"/>
      <c r="F181" s="39"/>
      <c r="G181" s="94"/>
      <c r="H181" s="95"/>
      <c r="I181" s="39"/>
      <c r="J181" s="39"/>
      <c r="K181" s="39"/>
      <c r="L181" s="39"/>
      <c r="M181" s="39"/>
      <c r="N181" s="39"/>
      <c r="O181" s="39"/>
      <c r="P181" s="39"/>
      <c r="Q181" s="39"/>
      <c r="R181" s="39"/>
      <c r="S181" s="39"/>
      <c r="T181" s="39"/>
      <c r="U181" s="94"/>
      <c r="V181" s="39"/>
      <c r="W181" s="39"/>
      <c r="X181" s="39"/>
      <c r="Y181" s="39"/>
      <c r="Z181" s="39"/>
      <c r="AA181" s="39"/>
      <c r="AB181" s="39"/>
      <c r="AC181" s="39"/>
      <c r="AD181" s="39"/>
      <c r="AE181" s="39"/>
      <c r="AF181" s="39"/>
      <c r="AG181" s="39"/>
      <c r="AH181" s="39"/>
      <c r="AI181" s="39"/>
      <c r="AJ181" s="39"/>
      <c r="AK181" s="39"/>
      <c r="AL181" s="39"/>
      <c r="AM181" s="39"/>
      <c r="AN181" s="39"/>
      <c r="AO181" s="39"/>
      <c r="AP181" s="39"/>
      <c r="AQ181" s="96"/>
      <c r="AR181" s="96"/>
      <c r="AS181" s="44"/>
    </row>
    <row r="182">
      <c r="A182" s="92"/>
      <c r="B182" s="93"/>
      <c r="C182" s="39"/>
      <c r="D182" s="39"/>
      <c r="E182" s="39"/>
      <c r="F182" s="39"/>
      <c r="G182" s="94"/>
      <c r="H182" s="95"/>
      <c r="I182" s="39"/>
      <c r="J182" s="39"/>
      <c r="K182" s="39"/>
      <c r="L182" s="39"/>
      <c r="M182" s="39"/>
      <c r="N182" s="39"/>
      <c r="O182" s="39"/>
      <c r="P182" s="39"/>
      <c r="Q182" s="39"/>
      <c r="R182" s="39"/>
      <c r="S182" s="39"/>
      <c r="T182" s="39"/>
      <c r="U182" s="94"/>
      <c r="V182" s="39"/>
      <c r="W182" s="39"/>
      <c r="X182" s="39"/>
      <c r="Y182" s="39"/>
      <c r="Z182" s="39"/>
      <c r="AA182" s="39"/>
      <c r="AB182" s="39"/>
      <c r="AC182" s="39"/>
      <c r="AD182" s="39"/>
      <c r="AE182" s="39"/>
      <c r="AF182" s="39"/>
      <c r="AG182" s="39"/>
      <c r="AH182" s="39"/>
      <c r="AI182" s="39"/>
      <c r="AJ182" s="39"/>
      <c r="AK182" s="39"/>
      <c r="AL182" s="39"/>
      <c r="AM182" s="39"/>
      <c r="AN182" s="39"/>
      <c r="AO182" s="39"/>
      <c r="AP182" s="39"/>
      <c r="AQ182" s="96"/>
      <c r="AR182" s="96"/>
      <c r="AS182" s="44"/>
    </row>
    <row r="183">
      <c r="A183" s="92"/>
      <c r="B183" s="93"/>
      <c r="C183" s="39"/>
      <c r="D183" s="39"/>
      <c r="E183" s="39"/>
      <c r="F183" s="39"/>
      <c r="G183" s="94"/>
      <c r="H183" s="95"/>
      <c r="I183" s="39"/>
      <c r="J183" s="39"/>
      <c r="K183" s="39"/>
      <c r="L183" s="39"/>
      <c r="M183" s="39"/>
      <c r="N183" s="39"/>
      <c r="O183" s="39"/>
      <c r="P183" s="39"/>
      <c r="Q183" s="39"/>
      <c r="R183" s="39"/>
      <c r="S183" s="39"/>
      <c r="T183" s="39"/>
      <c r="U183" s="94"/>
      <c r="V183" s="39"/>
      <c r="W183" s="39"/>
      <c r="X183" s="39"/>
      <c r="Y183" s="39"/>
      <c r="Z183" s="39"/>
      <c r="AA183" s="39"/>
      <c r="AB183" s="39"/>
      <c r="AC183" s="39"/>
      <c r="AD183" s="39"/>
      <c r="AE183" s="39"/>
      <c r="AF183" s="39"/>
      <c r="AG183" s="39"/>
      <c r="AH183" s="39"/>
      <c r="AI183" s="39"/>
      <c r="AJ183" s="39"/>
      <c r="AK183" s="39"/>
      <c r="AL183" s="39"/>
      <c r="AM183" s="39"/>
      <c r="AN183" s="39"/>
      <c r="AO183" s="39"/>
      <c r="AP183" s="39"/>
      <c r="AQ183" s="96"/>
      <c r="AR183" s="96"/>
      <c r="AS183" s="44"/>
    </row>
    <row r="184">
      <c r="A184" s="92"/>
      <c r="B184" s="93"/>
      <c r="C184" s="39"/>
      <c r="D184" s="39"/>
      <c r="E184" s="39"/>
      <c r="F184" s="39"/>
      <c r="G184" s="94"/>
      <c r="H184" s="95"/>
      <c r="I184" s="39"/>
      <c r="J184" s="39"/>
      <c r="K184" s="39"/>
      <c r="L184" s="39"/>
      <c r="M184" s="39"/>
      <c r="N184" s="39"/>
      <c r="O184" s="39"/>
      <c r="P184" s="39"/>
      <c r="Q184" s="39"/>
      <c r="R184" s="39"/>
      <c r="S184" s="39"/>
      <c r="T184" s="39"/>
      <c r="U184" s="94"/>
      <c r="V184" s="39"/>
      <c r="W184" s="39"/>
      <c r="X184" s="39"/>
      <c r="Y184" s="39"/>
      <c r="Z184" s="39"/>
      <c r="AA184" s="39"/>
      <c r="AB184" s="39"/>
      <c r="AC184" s="39"/>
      <c r="AD184" s="39"/>
      <c r="AE184" s="39"/>
      <c r="AF184" s="39"/>
      <c r="AG184" s="39"/>
      <c r="AH184" s="39"/>
      <c r="AI184" s="39"/>
      <c r="AJ184" s="39"/>
      <c r="AK184" s="39"/>
      <c r="AL184" s="39"/>
      <c r="AM184" s="39"/>
      <c r="AN184" s="39"/>
      <c r="AO184" s="39"/>
      <c r="AP184" s="39"/>
      <c r="AQ184" s="96"/>
      <c r="AR184" s="96"/>
      <c r="AS184" s="44"/>
    </row>
    <row r="185">
      <c r="A185" s="92"/>
      <c r="B185" s="93"/>
      <c r="C185" s="39"/>
      <c r="D185" s="39"/>
      <c r="E185" s="39"/>
      <c r="F185" s="39"/>
      <c r="G185" s="94"/>
      <c r="H185" s="95"/>
      <c r="I185" s="39"/>
      <c r="J185" s="39"/>
      <c r="K185" s="39"/>
      <c r="L185" s="39"/>
      <c r="M185" s="39"/>
      <c r="N185" s="39"/>
      <c r="O185" s="39"/>
      <c r="P185" s="39"/>
      <c r="Q185" s="39"/>
      <c r="R185" s="39"/>
      <c r="S185" s="39"/>
      <c r="T185" s="39"/>
      <c r="U185" s="94"/>
      <c r="V185" s="39"/>
      <c r="W185" s="39"/>
      <c r="X185" s="39"/>
      <c r="Y185" s="39"/>
      <c r="Z185" s="39"/>
      <c r="AA185" s="39"/>
      <c r="AB185" s="39"/>
      <c r="AC185" s="39"/>
      <c r="AD185" s="39"/>
      <c r="AE185" s="39"/>
      <c r="AF185" s="39"/>
      <c r="AG185" s="39"/>
      <c r="AH185" s="39"/>
      <c r="AI185" s="39"/>
      <c r="AJ185" s="39"/>
      <c r="AK185" s="39"/>
      <c r="AL185" s="39"/>
      <c r="AM185" s="39"/>
      <c r="AN185" s="39"/>
      <c r="AO185" s="39"/>
      <c r="AP185" s="39"/>
      <c r="AQ185" s="96"/>
      <c r="AR185" s="96"/>
      <c r="AS185" s="44"/>
    </row>
    <row r="186">
      <c r="A186" s="92"/>
      <c r="B186" s="93"/>
      <c r="C186" s="39"/>
      <c r="D186" s="39"/>
      <c r="E186" s="39"/>
      <c r="F186" s="39"/>
      <c r="G186" s="94"/>
      <c r="H186" s="95"/>
      <c r="I186" s="39"/>
      <c r="J186" s="39"/>
      <c r="K186" s="39"/>
      <c r="L186" s="39"/>
      <c r="M186" s="39"/>
      <c r="N186" s="39"/>
      <c r="O186" s="39"/>
      <c r="P186" s="39"/>
      <c r="Q186" s="39"/>
      <c r="R186" s="39"/>
      <c r="S186" s="39"/>
      <c r="T186" s="39"/>
      <c r="U186" s="94"/>
      <c r="V186" s="39"/>
      <c r="W186" s="39"/>
      <c r="X186" s="39"/>
      <c r="Y186" s="39"/>
      <c r="Z186" s="39"/>
      <c r="AA186" s="39"/>
      <c r="AB186" s="39"/>
      <c r="AC186" s="39"/>
      <c r="AD186" s="39"/>
      <c r="AE186" s="39"/>
      <c r="AF186" s="39"/>
      <c r="AG186" s="39"/>
      <c r="AH186" s="39"/>
      <c r="AI186" s="39"/>
      <c r="AJ186" s="39"/>
      <c r="AK186" s="39"/>
      <c r="AL186" s="39"/>
      <c r="AM186" s="39"/>
      <c r="AN186" s="39"/>
      <c r="AO186" s="39"/>
      <c r="AP186" s="39"/>
      <c r="AQ186" s="96"/>
      <c r="AR186" s="96"/>
      <c r="AS186" s="44"/>
    </row>
    <row r="187">
      <c r="A187" s="92"/>
      <c r="B187" s="93"/>
      <c r="C187" s="39"/>
      <c r="D187" s="39"/>
      <c r="E187" s="39"/>
      <c r="F187" s="39"/>
      <c r="G187" s="94"/>
      <c r="H187" s="95"/>
      <c r="I187" s="39"/>
      <c r="J187" s="39"/>
      <c r="K187" s="39"/>
      <c r="L187" s="39"/>
      <c r="M187" s="39"/>
      <c r="N187" s="39"/>
      <c r="O187" s="39"/>
      <c r="P187" s="39"/>
      <c r="Q187" s="39"/>
      <c r="R187" s="39"/>
      <c r="S187" s="39"/>
      <c r="T187" s="39"/>
      <c r="U187" s="94"/>
      <c r="V187" s="39"/>
      <c r="W187" s="39"/>
      <c r="X187" s="39"/>
      <c r="Y187" s="39"/>
      <c r="Z187" s="39"/>
      <c r="AA187" s="39"/>
      <c r="AB187" s="39"/>
      <c r="AC187" s="39"/>
      <c r="AD187" s="39"/>
      <c r="AE187" s="39"/>
      <c r="AF187" s="39"/>
      <c r="AG187" s="39"/>
      <c r="AH187" s="39"/>
      <c r="AI187" s="39"/>
      <c r="AJ187" s="39"/>
      <c r="AK187" s="39"/>
      <c r="AL187" s="39"/>
      <c r="AM187" s="39"/>
      <c r="AN187" s="39"/>
      <c r="AO187" s="39"/>
      <c r="AP187" s="39"/>
      <c r="AQ187" s="96"/>
      <c r="AR187" s="96"/>
      <c r="AS187" s="44"/>
    </row>
    <row r="188">
      <c r="A188" s="92"/>
      <c r="B188" s="93"/>
      <c r="C188" s="39"/>
      <c r="D188" s="39"/>
      <c r="E188" s="39"/>
      <c r="F188" s="39"/>
      <c r="G188" s="94"/>
      <c r="H188" s="95"/>
      <c r="I188" s="39"/>
      <c r="J188" s="39"/>
      <c r="K188" s="39"/>
      <c r="L188" s="39"/>
      <c r="M188" s="39"/>
      <c r="N188" s="39"/>
      <c r="O188" s="39"/>
      <c r="P188" s="39"/>
      <c r="Q188" s="39"/>
      <c r="R188" s="39"/>
      <c r="S188" s="39"/>
      <c r="T188" s="39"/>
      <c r="U188" s="94"/>
      <c r="V188" s="39"/>
      <c r="W188" s="39"/>
      <c r="X188" s="39"/>
      <c r="Y188" s="39"/>
      <c r="Z188" s="39"/>
      <c r="AA188" s="39"/>
      <c r="AB188" s="39"/>
      <c r="AC188" s="39"/>
      <c r="AD188" s="39"/>
      <c r="AE188" s="39"/>
      <c r="AF188" s="39"/>
      <c r="AG188" s="39"/>
      <c r="AH188" s="39"/>
      <c r="AI188" s="39"/>
      <c r="AJ188" s="39"/>
      <c r="AK188" s="39"/>
      <c r="AL188" s="39"/>
      <c r="AM188" s="39"/>
      <c r="AN188" s="39"/>
      <c r="AO188" s="39"/>
      <c r="AP188" s="39"/>
      <c r="AQ188" s="96"/>
      <c r="AR188" s="96"/>
      <c r="AS188" s="44"/>
    </row>
    <row r="189">
      <c r="A189" s="92"/>
      <c r="B189" s="93"/>
      <c r="C189" s="39"/>
      <c r="D189" s="39"/>
      <c r="E189" s="39"/>
      <c r="F189" s="39"/>
      <c r="G189" s="94"/>
      <c r="H189" s="95"/>
      <c r="I189" s="39"/>
      <c r="J189" s="39"/>
      <c r="K189" s="39"/>
      <c r="L189" s="39"/>
      <c r="M189" s="39"/>
      <c r="N189" s="39"/>
      <c r="O189" s="39"/>
      <c r="P189" s="39"/>
      <c r="Q189" s="39"/>
      <c r="R189" s="39"/>
      <c r="S189" s="39"/>
      <c r="T189" s="39"/>
      <c r="U189" s="94"/>
      <c r="V189" s="39"/>
      <c r="W189" s="39"/>
      <c r="X189" s="39"/>
      <c r="Y189" s="39"/>
      <c r="Z189" s="39"/>
      <c r="AA189" s="39"/>
      <c r="AB189" s="39"/>
      <c r="AC189" s="39"/>
      <c r="AD189" s="39"/>
      <c r="AE189" s="39"/>
      <c r="AF189" s="39"/>
      <c r="AG189" s="39"/>
      <c r="AH189" s="39"/>
      <c r="AI189" s="39"/>
      <c r="AJ189" s="39"/>
      <c r="AK189" s="39"/>
      <c r="AL189" s="39"/>
      <c r="AM189" s="39"/>
      <c r="AN189" s="39"/>
      <c r="AO189" s="39"/>
      <c r="AP189" s="39"/>
      <c r="AQ189" s="96"/>
      <c r="AR189" s="96"/>
      <c r="AS189" s="44"/>
    </row>
    <row r="190">
      <c r="A190" s="92"/>
      <c r="B190" s="93"/>
      <c r="C190" s="39"/>
      <c r="D190" s="39"/>
      <c r="E190" s="39"/>
      <c r="F190" s="39"/>
      <c r="G190" s="94"/>
      <c r="H190" s="95"/>
      <c r="I190" s="39"/>
      <c r="J190" s="39"/>
      <c r="K190" s="39"/>
      <c r="L190" s="39"/>
      <c r="M190" s="39"/>
      <c r="N190" s="39"/>
      <c r="O190" s="39"/>
      <c r="P190" s="39"/>
      <c r="Q190" s="39"/>
      <c r="R190" s="39"/>
      <c r="S190" s="39"/>
      <c r="T190" s="39"/>
      <c r="U190" s="94"/>
      <c r="V190" s="39"/>
      <c r="W190" s="39"/>
      <c r="X190" s="39"/>
      <c r="Y190" s="39"/>
      <c r="Z190" s="39"/>
      <c r="AA190" s="39"/>
      <c r="AB190" s="39"/>
      <c r="AC190" s="39"/>
      <c r="AD190" s="39"/>
      <c r="AE190" s="39"/>
      <c r="AF190" s="39"/>
      <c r="AG190" s="39"/>
      <c r="AH190" s="39"/>
      <c r="AI190" s="39"/>
      <c r="AJ190" s="39"/>
      <c r="AK190" s="39"/>
      <c r="AL190" s="39"/>
      <c r="AM190" s="39"/>
      <c r="AN190" s="39"/>
      <c r="AO190" s="39"/>
      <c r="AP190" s="39"/>
      <c r="AQ190" s="96"/>
      <c r="AR190" s="96"/>
      <c r="AS190" s="44"/>
    </row>
    <row r="191">
      <c r="A191" s="92"/>
      <c r="B191" s="93"/>
      <c r="C191" s="39"/>
      <c r="D191" s="39"/>
      <c r="E191" s="39"/>
      <c r="F191" s="39"/>
      <c r="G191" s="94"/>
      <c r="H191" s="95"/>
      <c r="I191" s="39"/>
      <c r="J191" s="39"/>
      <c r="K191" s="39"/>
      <c r="L191" s="39"/>
      <c r="M191" s="39"/>
      <c r="N191" s="39"/>
      <c r="O191" s="39"/>
      <c r="P191" s="39"/>
      <c r="Q191" s="39"/>
      <c r="R191" s="39"/>
      <c r="S191" s="39"/>
      <c r="T191" s="39"/>
      <c r="U191" s="94"/>
      <c r="V191" s="39"/>
      <c r="W191" s="39"/>
      <c r="X191" s="39"/>
      <c r="Y191" s="39"/>
      <c r="Z191" s="39"/>
      <c r="AA191" s="39"/>
      <c r="AB191" s="39"/>
      <c r="AC191" s="39"/>
      <c r="AD191" s="39"/>
      <c r="AE191" s="39"/>
      <c r="AF191" s="39"/>
      <c r="AG191" s="39"/>
      <c r="AH191" s="39"/>
      <c r="AI191" s="39"/>
      <c r="AJ191" s="39"/>
      <c r="AK191" s="39"/>
      <c r="AL191" s="39"/>
      <c r="AM191" s="39"/>
      <c r="AN191" s="39"/>
      <c r="AO191" s="39"/>
      <c r="AP191" s="39"/>
      <c r="AQ191" s="96"/>
      <c r="AR191" s="96"/>
      <c r="AS191" s="44"/>
    </row>
    <row r="192">
      <c r="A192" s="92"/>
      <c r="B192" s="93"/>
      <c r="C192" s="39"/>
      <c r="D192" s="39"/>
      <c r="E192" s="39"/>
      <c r="F192" s="39"/>
      <c r="G192" s="94"/>
      <c r="H192" s="95"/>
      <c r="I192" s="39"/>
      <c r="J192" s="39"/>
      <c r="K192" s="39"/>
      <c r="L192" s="39"/>
      <c r="M192" s="39"/>
      <c r="N192" s="39"/>
      <c r="O192" s="39"/>
      <c r="P192" s="39"/>
      <c r="Q192" s="39"/>
      <c r="R192" s="39"/>
      <c r="S192" s="39"/>
      <c r="T192" s="39"/>
      <c r="U192" s="94"/>
      <c r="V192" s="39"/>
      <c r="W192" s="39"/>
      <c r="X192" s="39"/>
      <c r="Y192" s="39"/>
      <c r="Z192" s="39"/>
      <c r="AA192" s="39"/>
      <c r="AB192" s="39"/>
      <c r="AC192" s="39"/>
      <c r="AD192" s="39"/>
      <c r="AE192" s="39"/>
      <c r="AF192" s="39"/>
      <c r="AG192" s="39"/>
      <c r="AH192" s="39"/>
      <c r="AI192" s="39"/>
      <c r="AJ192" s="39"/>
      <c r="AK192" s="39"/>
      <c r="AL192" s="39"/>
      <c r="AM192" s="39"/>
      <c r="AN192" s="39"/>
      <c r="AO192" s="39"/>
      <c r="AP192" s="39"/>
      <c r="AQ192" s="96"/>
      <c r="AR192" s="96"/>
      <c r="AS192" s="44"/>
    </row>
    <row r="193">
      <c r="A193" s="92"/>
      <c r="B193" s="93"/>
      <c r="C193" s="39"/>
      <c r="D193" s="39"/>
      <c r="E193" s="39"/>
      <c r="F193" s="39"/>
      <c r="G193" s="94"/>
      <c r="H193" s="95"/>
      <c r="I193" s="39"/>
      <c r="J193" s="39"/>
      <c r="K193" s="39"/>
      <c r="L193" s="39"/>
      <c r="M193" s="39"/>
      <c r="N193" s="39"/>
      <c r="O193" s="39"/>
      <c r="P193" s="39"/>
      <c r="Q193" s="39"/>
      <c r="R193" s="39"/>
      <c r="S193" s="39"/>
      <c r="T193" s="39"/>
      <c r="U193" s="94"/>
      <c r="V193" s="39"/>
      <c r="W193" s="39"/>
      <c r="X193" s="39"/>
      <c r="Y193" s="39"/>
      <c r="Z193" s="39"/>
      <c r="AA193" s="39"/>
      <c r="AB193" s="39"/>
      <c r="AC193" s="39"/>
      <c r="AD193" s="39"/>
      <c r="AE193" s="39"/>
      <c r="AF193" s="39"/>
      <c r="AG193" s="39"/>
      <c r="AH193" s="39"/>
      <c r="AI193" s="39"/>
      <c r="AJ193" s="39"/>
      <c r="AK193" s="39"/>
      <c r="AL193" s="39"/>
      <c r="AM193" s="39"/>
      <c r="AN193" s="39"/>
      <c r="AO193" s="39"/>
      <c r="AP193" s="39"/>
      <c r="AQ193" s="96"/>
      <c r="AR193" s="96"/>
      <c r="AS193" s="44"/>
    </row>
    <row r="194">
      <c r="A194" s="92"/>
      <c r="B194" s="93"/>
      <c r="C194" s="39"/>
      <c r="D194" s="39"/>
      <c r="E194" s="39"/>
      <c r="F194" s="39"/>
      <c r="G194" s="94"/>
      <c r="H194" s="95"/>
      <c r="I194" s="39"/>
      <c r="J194" s="39"/>
      <c r="K194" s="39"/>
      <c r="L194" s="39"/>
      <c r="M194" s="39"/>
      <c r="N194" s="39"/>
      <c r="O194" s="39"/>
      <c r="P194" s="39"/>
      <c r="Q194" s="39"/>
      <c r="R194" s="39"/>
      <c r="S194" s="39"/>
      <c r="T194" s="39"/>
      <c r="U194" s="94"/>
      <c r="V194" s="39"/>
      <c r="W194" s="39"/>
      <c r="X194" s="39"/>
      <c r="Y194" s="39"/>
      <c r="Z194" s="39"/>
      <c r="AA194" s="39"/>
      <c r="AB194" s="39"/>
      <c r="AC194" s="39"/>
      <c r="AD194" s="39"/>
      <c r="AE194" s="39"/>
      <c r="AF194" s="39"/>
      <c r="AG194" s="39"/>
      <c r="AH194" s="39"/>
      <c r="AI194" s="39"/>
      <c r="AJ194" s="39"/>
      <c r="AK194" s="39"/>
      <c r="AL194" s="39"/>
      <c r="AM194" s="39"/>
      <c r="AN194" s="39"/>
      <c r="AO194" s="39"/>
      <c r="AP194" s="39"/>
      <c r="AQ194" s="96"/>
      <c r="AR194" s="96"/>
      <c r="AS194" s="44"/>
    </row>
    <row r="195">
      <c r="A195" s="92"/>
      <c r="B195" s="93"/>
      <c r="C195" s="39"/>
      <c r="D195" s="39"/>
      <c r="E195" s="39"/>
      <c r="F195" s="39"/>
      <c r="G195" s="94"/>
      <c r="H195" s="95"/>
      <c r="I195" s="39"/>
      <c r="J195" s="39"/>
      <c r="K195" s="39"/>
      <c r="L195" s="39"/>
      <c r="M195" s="39"/>
      <c r="N195" s="39"/>
      <c r="O195" s="39"/>
      <c r="P195" s="39"/>
      <c r="Q195" s="39"/>
      <c r="R195" s="39"/>
      <c r="S195" s="39"/>
      <c r="T195" s="39"/>
      <c r="U195" s="94"/>
      <c r="V195" s="39"/>
      <c r="W195" s="39"/>
      <c r="X195" s="39"/>
      <c r="Y195" s="39"/>
      <c r="Z195" s="39"/>
      <c r="AA195" s="39"/>
      <c r="AB195" s="39"/>
      <c r="AC195" s="39"/>
      <c r="AD195" s="39"/>
      <c r="AE195" s="39"/>
      <c r="AF195" s="39"/>
      <c r="AG195" s="39"/>
      <c r="AH195" s="39"/>
      <c r="AI195" s="39"/>
      <c r="AJ195" s="39"/>
      <c r="AK195" s="39"/>
      <c r="AL195" s="39"/>
      <c r="AM195" s="39"/>
      <c r="AN195" s="39"/>
      <c r="AO195" s="39"/>
      <c r="AP195" s="39"/>
      <c r="AQ195" s="96"/>
      <c r="AR195" s="96"/>
      <c r="AS195" s="44"/>
    </row>
    <row r="196">
      <c r="A196" s="92"/>
      <c r="B196" s="93"/>
      <c r="C196" s="39"/>
      <c r="D196" s="39"/>
      <c r="E196" s="39"/>
      <c r="F196" s="39"/>
      <c r="G196" s="94"/>
      <c r="H196" s="95"/>
      <c r="I196" s="39"/>
      <c r="J196" s="39"/>
      <c r="K196" s="39"/>
      <c r="L196" s="39"/>
      <c r="M196" s="39"/>
      <c r="N196" s="39"/>
      <c r="O196" s="39"/>
      <c r="P196" s="39"/>
      <c r="Q196" s="39"/>
      <c r="R196" s="39"/>
      <c r="S196" s="39"/>
      <c r="T196" s="39"/>
      <c r="U196" s="94"/>
      <c r="V196" s="39"/>
      <c r="W196" s="39"/>
      <c r="X196" s="39"/>
      <c r="Y196" s="39"/>
      <c r="Z196" s="39"/>
      <c r="AA196" s="39"/>
      <c r="AB196" s="39"/>
      <c r="AC196" s="39"/>
      <c r="AD196" s="39"/>
      <c r="AE196" s="39"/>
      <c r="AF196" s="39"/>
      <c r="AG196" s="39"/>
      <c r="AH196" s="39"/>
      <c r="AI196" s="39"/>
      <c r="AJ196" s="39"/>
      <c r="AK196" s="39"/>
      <c r="AL196" s="39"/>
      <c r="AM196" s="39"/>
      <c r="AN196" s="39"/>
      <c r="AO196" s="39"/>
      <c r="AP196" s="39"/>
      <c r="AQ196" s="96"/>
      <c r="AR196" s="96"/>
      <c r="AS196" s="44"/>
    </row>
    <row r="197">
      <c r="A197" s="92"/>
      <c r="B197" s="93"/>
      <c r="C197" s="39"/>
      <c r="D197" s="39"/>
      <c r="E197" s="39"/>
      <c r="F197" s="39"/>
      <c r="G197" s="94"/>
      <c r="H197" s="95"/>
      <c r="I197" s="39"/>
      <c r="J197" s="39"/>
      <c r="K197" s="39"/>
      <c r="L197" s="39"/>
      <c r="M197" s="39"/>
      <c r="N197" s="39"/>
      <c r="O197" s="39"/>
      <c r="P197" s="39"/>
      <c r="Q197" s="39"/>
      <c r="R197" s="39"/>
      <c r="S197" s="39"/>
      <c r="T197" s="39"/>
      <c r="U197" s="94"/>
      <c r="V197" s="39"/>
      <c r="W197" s="39"/>
      <c r="X197" s="39"/>
      <c r="Y197" s="39"/>
      <c r="Z197" s="39"/>
      <c r="AA197" s="39"/>
      <c r="AB197" s="39"/>
      <c r="AC197" s="39"/>
      <c r="AD197" s="39"/>
      <c r="AE197" s="39"/>
      <c r="AF197" s="39"/>
      <c r="AG197" s="39"/>
      <c r="AH197" s="39"/>
      <c r="AI197" s="39"/>
      <c r="AJ197" s="39"/>
      <c r="AK197" s="39"/>
      <c r="AL197" s="39"/>
      <c r="AM197" s="39"/>
      <c r="AN197" s="39"/>
      <c r="AO197" s="39"/>
      <c r="AP197" s="39"/>
      <c r="AQ197" s="96"/>
      <c r="AR197" s="96"/>
      <c r="AS197" s="44"/>
    </row>
    <row r="198">
      <c r="A198" s="92"/>
      <c r="B198" s="93"/>
      <c r="C198" s="39"/>
      <c r="D198" s="39"/>
      <c r="E198" s="39"/>
      <c r="F198" s="39"/>
      <c r="G198" s="94"/>
      <c r="H198" s="95"/>
      <c r="I198" s="39"/>
      <c r="J198" s="39"/>
      <c r="K198" s="39"/>
      <c r="L198" s="39"/>
      <c r="M198" s="39"/>
      <c r="N198" s="39"/>
      <c r="O198" s="39"/>
      <c r="P198" s="39"/>
      <c r="Q198" s="39"/>
      <c r="R198" s="39"/>
      <c r="S198" s="39"/>
      <c r="T198" s="39"/>
      <c r="U198" s="94"/>
      <c r="V198" s="39"/>
      <c r="W198" s="39"/>
      <c r="X198" s="39"/>
      <c r="Y198" s="39"/>
      <c r="Z198" s="39"/>
      <c r="AA198" s="39"/>
      <c r="AB198" s="39"/>
      <c r="AC198" s="39"/>
      <c r="AD198" s="39"/>
      <c r="AE198" s="39"/>
      <c r="AF198" s="39"/>
      <c r="AG198" s="39"/>
      <c r="AH198" s="39"/>
      <c r="AI198" s="39"/>
      <c r="AJ198" s="39"/>
      <c r="AK198" s="39"/>
      <c r="AL198" s="39"/>
      <c r="AM198" s="39"/>
      <c r="AN198" s="39"/>
      <c r="AO198" s="39"/>
      <c r="AP198" s="39"/>
      <c r="AQ198" s="96"/>
      <c r="AR198" s="96"/>
      <c r="AS198" s="44"/>
    </row>
    <row r="199">
      <c r="A199" s="92"/>
      <c r="B199" s="93"/>
      <c r="C199" s="39"/>
      <c r="D199" s="39"/>
      <c r="E199" s="39"/>
      <c r="F199" s="39"/>
      <c r="G199" s="94"/>
      <c r="H199" s="95"/>
      <c r="I199" s="39"/>
      <c r="J199" s="39"/>
      <c r="K199" s="39"/>
      <c r="L199" s="39"/>
      <c r="M199" s="39"/>
      <c r="N199" s="39"/>
      <c r="O199" s="39"/>
      <c r="P199" s="39"/>
      <c r="Q199" s="39"/>
      <c r="R199" s="39"/>
      <c r="S199" s="39"/>
      <c r="T199" s="39"/>
      <c r="U199" s="94"/>
      <c r="V199" s="39"/>
      <c r="W199" s="39"/>
      <c r="X199" s="39"/>
      <c r="Y199" s="39"/>
      <c r="Z199" s="39"/>
      <c r="AA199" s="39"/>
      <c r="AB199" s="39"/>
      <c r="AC199" s="39"/>
      <c r="AD199" s="39"/>
      <c r="AE199" s="39"/>
      <c r="AF199" s="39"/>
      <c r="AG199" s="39"/>
      <c r="AH199" s="39"/>
      <c r="AI199" s="39"/>
      <c r="AJ199" s="39"/>
      <c r="AK199" s="39"/>
      <c r="AL199" s="39"/>
      <c r="AM199" s="39"/>
      <c r="AN199" s="39"/>
      <c r="AO199" s="39"/>
      <c r="AP199" s="39"/>
      <c r="AQ199" s="96"/>
      <c r="AR199" s="96"/>
      <c r="AS199" s="44"/>
    </row>
    <row r="200">
      <c r="A200" s="92"/>
      <c r="B200" s="93"/>
      <c r="C200" s="39"/>
      <c r="D200" s="39"/>
      <c r="E200" s="39"/>
      <c r="F200" s="39"/>
      <c r="G200" s="94"/>
      <c r="H200" s="95"/>
      <c r="I200" s="39"/>
      <c r="J200" s="39"/>
      <c r="K200" s="39"/>
      <c r="L200" s="39"/>
      <c r="M200" s="39"/>
      <c r="N200" s="39"/>
      <c r="O200" s="39"/>
      <c r="P200" s="39"/>
      <c r="Q200" s="39"/>
      <c r="R200" s="39"/>
      <c r="S200" s="39"/>
      <c r="T200" s="39"/>
      <c r="U200" s="94"/>
      <c r="V200" s="39"/>
      <c r="W200" s="39"/>
      <c r="X200" s="39"/>
      <c r="Y200" s="39"/>
      <c r="Z200" s="39"/>
      <c r="AA200" s="39"/>
      <c r="AB200" s="39"/>
      <c r="AC200" s="39"/>
      <c r="AD200" s="39"/>
      <c r="AE200" s="39"/>
      <c r="AF200" s="39"/>
      <c r="AG200" s="39"/>
      <c r="AH200" s="39"/>
      <c r="AI200" s="39"/>
      <c r="AJ200" s="39"/>
      <c r="AK200" s="39"/>
      <c r="AL200" s="39"/>
      <c r="AM200" s="39"/>
      <c r="AN200" s="39"/>
      <c r="AO200" s="39"/>
      <c r="AP200" s="39"/>
      <c r="AQ200" s="96"/>
      <c r="AR200" s="96"/>
      <c r="AS200" s="44"/>
    </row>
    <row r="201">
      <c r="A201" s="92"/>
      <c r="B201" s="93"/>
      <c r="C201" s="39"/>
      <c r="D201" s="39"/>
      <c r="E201" s="39"/>
      <c r="F201" s="39"/>
      <c r="G201" s="94"/>
      <c r="H201" s="95"/>
      <c r="I201" s="39"/>
      <c r="J201" s="39"/>
      <c r="K201" s="39"/>
      <c r="L201" s="39"/>
      <c r="M201" s="39"/>
      <c r="N201" s="39"/>
      <c r="O201" s="39"/>
      <c r="P201" s="39"/>
      <c r="Q201" s="39"/>
      <c r="R201" s="39"/>
      <c r="S201" s="39"/>
      <c r="T201" s="39"/>
      <c r="U201" s="94"/>
      <c r="V201" s="39"/>
      <c r="W201" s="39"/>
      <c r="X201" s="39"/>
      <c r="Y201" s="39"/>
      <c r="Z201" s="39"/>
      <c r="AA201" s="39"/>
      <c r="AB201" s="39"/>
      <c r="AC201" s="39"/>
      <c r="AD201" s="39"/>
      <c r="AE201" s="39"/>
      <c r="AF201" s="39"/>
      <c r="AG201" s="39"/>
      <c r="AH201" s="39"/>
      <c r="AI201" s="39"/>
      <c r="AJ201" s="39"/>
      <c r="AK201" s="39"/>
      <c r="AL201" s="39"/>
      <c r="AM201" s="39"/>
      <c r="AN201" s="39"/>
      <c r="AO201" s="39"/>
      <c r="AP201" s="39"/>
      <c r="AQ201" s="96"/>
      <c r="AR201" s="96"/>
      <c r="AS201" s="44"/>
    </row>
    <row r="202">
      <c r="A202" s="92"/>
      <c r="B202" s="93"/>
      <c r="C202" s="39"/>
      <c r="D202" s="39"/>
      <c r="E202" s="39"/>
      <c r="F202" s="39"/>
      <c r="G202" s="94"/>
      <c r="H202" s="95"/>
      <c r="I202" s="39"/>
      <c r="J202" s="39"/>
      <c r="K202" s="39"/>
      <c r="L202" s="39"/>
      <c r="M202" s="39"/>
      <c r="N202" s="39"/>
      <c r="O202" s="39"/>
      <c r="P202" s="39"/>
      <c r="Q202" s="39"/>
      <c r="R202" s="39"/>
      <c r="S202" s="39"/>
      <c r="T202" s="39"/>
      <c r="U202" s="94"/>
      <c r="V202" s="39"/>
      <c r="W202" s="39"/>
      <c r="X202" s="39"/>
      <c r="Y202" s="39"/>
      <c r="Z202" s="39"/>
      <c r="AA202" s="39"/>
      <c r="AB202" s="39"/>
      <c r="AC202" s="39"/>
      <c r="AD202" s="39"/>
      <c r="AE202" s="39"/>
      <c r="AF202" s="39"/>
      <c r="AG202" s="39"/>
      <c r="AH202" s="39"/>
      <c r="AI202" s="39"/>
      <c r="AJ202" s="39"/>
      <c r="AK202" s="39"/>
      <c r="AL202" s="39"/>
      <c r="AM202" s="39"/>
      <c r="AN202" s="39"/>
      <c r="AO202" s="39"/>
      <c r="AP202" s="39"/>
      <c r="AQ202" s="96"/>
      <c r="AR202" s="96"/>
      <c r="AS202" s="44"/>
    </row>
    <row r="203">
      <c r="A203" s="92"/>
      <c r="B203" s="93"/>
      <c r="C203" s="39"/>
      <c r="D203" s="39"/>
      <c r="E203" s="39"/>
      <c r="F203" s="39"/>
      <c r="G203" s="94"/>
      <c r="H203" s="95"/>
      <c r="I203" s="39"/>
      <c r="J203" s="39"/>
      <c r="K203" s="39"/>
      <c r="L203" s="39"/>
      <c r="M203" s="39"/>
      <c r="N203" s="39"/>
      <c r="O203" s="39"/>
      <c r="P203" s="39"/>
      <c r="Q203" s="39"/>
      <c r="R203" s="39"/>
      <c r="S203" s="39"/>
      <c r="T203" s="39"/>
      <c r="U203" s="94"/>
      <c r="V203" s="39"/>
      <c r="W203" s="39"/>
      <c r="X203" s="39"/>
      <c r="Y203" s="39"/>
      <c r="Z203" s="39"/>
      <c r="AA203" s="39"/>
      <c r="AB203" s="39"/>
      <c r="AC203" s="39"/>
      <c r="AD203" s="39"/>
      <c r="AE203" s="39"/>
      <c r="AF203" s="39"/>
      <c r="AG203" s="39"/>
      <c r="AH203" s="39"/>
      <c r="AI203" s="39"/>
      <c r="AJ203" s="39"/>
      <c r="AK203" s="39"/>
      <c r="AL203" s="39"/>
      <c r="AM203" s="39"/>
      <c r="AN203" s="39"/>
      <c r="AO203" s="39"/>
      <c r="AP203" s="39"/>
      <c r="AQ203" s="96"/>
      <c r="AR203" s="96"/>
      <c r="AS203" s="44"/>
    </row>
    <row r="204">
      <c r="A204" s="92"/>
      <c r="B204" s="93"/>
      <c r="C204" s="39"/>
      <c r="D204" s="39"/>
      <c r="E204" s="39"/>
      <c r="F204" s="39"/>
      <c r="G204" s="94"/>
      <c r="H204" s="95"/>
      <c r="I204" s="39"/>
      <c r="J204" s="39"/>
      <c r="K204" s="39"/>
      <c r="L204" s="39"/>
      <c r="M204" s="39"/>
      <c r="N204" s="39"/>
      <c r="O204" s="39"/>
      <c r="P204" s="39"/>
      <c r="Q204" s="39"/>
      <c r="R204" s="39"/>
      <c r="S204" s="39"/>
      <c r="T204" s="39"/>
      <c r="U204" s="94"/>
      <c r="V204" s="39"/>
      <c r="W204" s="39"/>
      <c r="X204" s="39"/>
      <c r="Y204" s="39"/>
      <c r="Z204" s="39"/>
      <c r="AA204" s="39"/>
      <c r="AB204" s="39"/>
      <c r="AC204" s="39"/>
      <c r="AD204" s="39"/>
      <c r="AE204" s="39"/>
      <c r="AF204" s="39"/>
      <c r="AG204" s="39"/>
      <c r="AH204" s="39"/>
      <c r="AI204" s="39"/>
      <c r="AJ204" s="39"/>
      <c r="AK204" s="39"/>
      <c r="AL204" s="39"/>
      <c r="AM204" s="39"/>
      <c r="AN204" s="39"/>
      <c r="AO204" s="39"/>
      <c r="AP204" s="39"/>
      <c r="AQ204" s="96"/>
      <c r="AR204" s="96"/>
      <c r="AS204" s="44"/>
    </row>
    <row r="205">
      <c r="A205" s="92"/>
      <c r="B205" s="93"/>
      <c r="C205" s="39"/>
      <c r="D205" s="39"/>
      <c r="E205" s="39"/>
      <c r="F205" s="39"/>
      <c r="G205" s="94"/>
      <c r="H205" s="95"/>
      <c r="I205" s="39"/>
      <c r="J205" s="39"/>
      <c r="K205" s="39"/>
      <c r="L205" s="39"/>
      <c r="M205" s="39"/>
      <c r="N205" s="39"/>
      <c r="O205" s="39"/>
      <c r="P205" s="39"/>
      <c r="Q205" s="39"/>
      <c r="R205" s="39"/>
      <c r="S205" s="39"/>
      <c r="T205" s="39"/>
      <c r="U205" s="94"/>
      <c r="V205" s="39"/>
      <c r="W205" s="39"/>
      <c r="X205" s="39"/>
      <c r="Y205" s="39"/>
      <c r="Z205" s="39"/>
      <c r="AA205" s="39"/>
      <c r="AB205" s="39"/>
      <c r="AC205" s="39"/>
      <c r="AD205" s="39"/>
      <c r="AE205" s="39"/>
      <c r="AF205" s="39"/>
      <c r="AG205" s="39"/>
      <c r="AH205" s="39"/>
      <c r="AI205" s="39"/>
      <c r="AJ205" s="39"/>
      <c r="AK205" s="39"/>
      <c r="AL205" s="39"/>
      <c r="AM205" s="39"/>
      <c r="AN205" s="39"/>
      <c r="AO205" s="39"/>
      <c r="AP205" s="39"/>
      <c r="AQ205" s="96"/>
      <c r="AR205" s="96"/>
      <c r="AS205" s="44"/>
    </row>
    <row r="206">
      <c r="A206" s="92"/>
      <c r="B206" s="93"/>
      <c r="C206" s="39"/>
      <c r="D206" s="39"/>
      <c r="E206" s="39"/>
      <c r="F206" s="39"/>
      <c r="G206" s="94"/>
      <c r="H206" s="95"/>
      <c r="I206" s="39"/>
      <c r="J206" s="39"/>
      <c r="K206" s="39"/>
      <c r="L206" s="39"/>
      <c r="M206" s="39"/>
      <c r="N206" s="39"/>
      <c r="O206" s="39"/>
      <c r="P206" s="39"/>
      <c r="Q206" s="39"/>
      <c r="R206" s="39"/>
      <c r="S206" s="39"/>
      <c r="T206" s="39"/>
      <c r="U206" s="94"/>
      <c r="V206" s="39"/>
      <c r="W206" s="39"/>
      <c r="X206" s="39"/>
      <c r="Y206" s="39"/>
      <c r="Z206" s="39"/>
      <c r="AA206" s="39"/>
      <c r="AB206" s="39"/>
      <c r="AC206" s="39"/>
      <c r="AD206" s="39"/>
      <c r="AE206" s="39"/>
      <c r="AF206" s="39"/>
      <c r="AG206" s="39"/>
      <c r="AH206" s="39"/>
      <c r="AI206" s="39"/>
      <c r="AJ206" s="39"/>
      <c r="AK206" s="39"/>
      <c r="AL206" s="39"/>
      <c r="AM206" s="39"/>
      <c r="AN206" s="39"/>
      <c r="AO206" s="39"/>
      <c r="AP206" s="39"/>
      <c r="AQ206" s="96"/>
      <c r="AR206" s="96"/>
      <c r="AS206" s="44"/>
    </row>
    <row r="207">
      <c r="A207" s="92"/>
      <c r="B207" s="93"/>
      <c r="C207" s="39"/>
      <c r="D207" s="39"/>
      <c r="E207" s="39"/>
      <c r="F207" s="39"/>
      <c r="G207" s="94"/>
      <c r="H207" s="95"/>
      <c r="I207" s="39"/>
      <c r="J207" s="39"/>
      <c r="K207" s="39"/>
      <c r="L207" s="39"/>
      <c r="M207" s="39"/>
      <c r="N207" s="39"/>
      <c r="O207" s="39"/>
      <c r="P207" s="39"/>
      <c r="Q207" s="39"/>
      <c r="R207" s="39"/>
      <c r="S207" s="39"/>
      <c r="T207" s="39"/>
      <c r="U207" s="94"/>
      <c r="V207" s="39"/>
      <c r="W207" s="39"/>
      <c r="X207" s="39"/>
      <c r="Y207" s="39"/>
      <c r="Z207" s="39"/>
      <c r="AA207" s="39"/>
      <c r="AB207" s="39"/>
      <c r="AC207" s="39"/>
      <c r="AD207" s="39"/>
      <c r="AE207" s="39"/>
      <c r="AF207" s="39"/>
      <c r="AG207" s="39"/>
      <c r="AH207" s="39"/>
      <c r="AI207" s="39"/>
      <c r="AJ207" s="39"/>
      <c r="AK207" s="39"/>
      <c r="AL207" s="39"/>
      <c r="AM207" s="39"/>
      <c r="AN207" s="39"/>
      <c r="AO207" s="39"/>
      <c r="AP207" s="39"/>
      <c r="AQ207" s="96"/>
      <c r="AR207" s="96"/>
      <c r="AS207" s="44"/>
    </row>
    <row r="208">
      <c r="A208" s="92"/>
      <c r="B208" s="93"/>
      <c r="C208" s="39"/>
      <c r="D208" s="39"/>
      <c r="E208" s="39"/>
      <c r="F208" s="39"/>
      <c r="G208" s="94"/>
      <c r="H208" s="95"/>
      <c r="I208" s="39"/>
      <c r="J208" s="39"/>
      <c r="K208" s="39"/>
      <c r="L208" s="39"/>
      <c r="M208" s="39"/>
      <c r="N208" s="39"/>
      <c r="O208" s="39"/>
      <c r="P208" s="39"/>
      <c r="Q208" s="39"/>
      <c r="R208" s="39"/>
      <c r="S208" s="39"/>
      <c r="T208" s="39"/>
      <c r="U208" s="94"/>
      <c r="V208" s="39"/>
      <c r="W208" s="39"/>
      <c r="X208" s="39"/>
      <c r="Y208" s="39"/>
      <c r="Z208" s="39"/>
      <c r="AA208" s="39"/>
      <c r="AB208" s="39"/>
      <c r="AC208" s="39"/>
      <c r="AD208" s="39"/>
      <c r="AE208" s="39"/>
      <c r="AF208" s="39"/>
      <c r="AG208" s="39"/>
      <c r="AH208" s="39"/>
      <c r="AI208" s="39"/>
      <c r="AJ208" s="39"/>
      <c r="AK208" s="39"/>
      <c r="AL208" s="39"/>
      <c r="AM208" s="39"/>
      <c r="AN208" s="39"/>
      <c r="AO208" s="39"/>
      <c r="AP208" s="39"/>
      <c r="AQ208" s="96"/>
      <c r="AR208" s="96"/>
      <c r="AS208" s="44"/>
    </row>
    <row r="209">
      <c r="A209" s="92"/>
      <c r="B209" s="93"/>
      <c r="C209" s="39"/>
      <c r="D209" s="39"/>
      <c r="E209" s="39"/>
      <c r="F209" s="39"/>
      <c r="G209" s="94"/>
      <c r="H209" s="95"/>
      <c r="I209" s="39"/>
      <c r="J209" s="39"/>
      <c r="K209" s="39"/>
      <c r="L209" s="39"/>
      <c r="M209" s="39"/>
      <c r="N209" s="39"/>
      <c r="O209" s="39"/>
      <c r="P209" s="39"/>
      <c r="Q209" s="39"/>
      <c r="R209" s="39"/>
      <c r="S209" s="39"/>
      <c r="T209" s="39"/>
      <c r="U209" s="94"/>
      <c r="V209" s="39"/>
      <c r="W209" s="39"/>
      <c r="X209" s="39"/>
      <c r="Y209" s="39"/>
      <c r="Z209" s="39"/>
      <c r="AA209" s="39"/>
      <c r="AB209" s="39"/>
      <c r="AC209" s="39"/>
      <c r="AD209" s="39"/>
      <c r="AE209" s="39"/>
      <c r="AF209" s="39"/>
      <c r="AG209" s="39"/>
      <c r="AH209" s="39"/>
      <c r="AI209" s="39"/>
      <c r="AJ209" s="39"/>
      <c r="AK209" s="39"/>
      <c r="AL209" s="39"/>
      <c r="AM209" s="39"/>
      <c r="AN209" s="39"/>
      <c r="AO209" s="39"/>
      <c r="AP209" s="39"/>
      <c r="AQ209" s="96"/>
      <c r="AR209" s="96"/>
      <c r="AS209" s="44"/>
    </row>
    <row r="210">
      <c r="A210" s="92"/>
      <c r="B210" s="93"/>
      <c r="C210" s="39"/>
      <c r="D210" s="39"/>
      <c r="E210" s="39"/>
      <c r="F210" s="39"/>
      <c r="G210" s="94"/>
      <c r="H210" s="95"/>
      <c r="I210" s="39"/>
      <c r="J210" s="39"/>
      <c r="K210" s="39"/>
      <c r="L210" s="39"/>
      <c r="M210" s="39"/>
      <c r="N210" s="39"/>
      <c r="O210" s="39"/>
      <c r="P210" s="39"/>
      <c r="Q210" s="39"/>
      <c r="R210" s="39"/>
      <c r="S210" s="39"/>
      <c r="T210" s="39"/>
      <c r="U210" s="94"/>
      <c r="V210" s="39"/>
      <c r="W210" s="39"/>
      <c r="X210" s="39"/>
      <c r="Y210" s="39"/>
      <c r="Z210" s="39"/>
      <c r="AA210" s="39"/>
      <c r="AB210" s="39"/>
      <c r="AC210" s="39"/>
      <c r="AD210" s="39"/>
      <c r="AE210" s="39"/>
      <c r="AF210" s="39"/>
      <c r="AG210" s="39"/>
      <c r="AH210" s="39"/>
      <c r="AI210" s="39"/>
      <c r="AJ210" s="39"/>
      <c r="AK210" s="39"/>
      <c r="AL210" s="39"/>
      <c r="AM210" s="39"/>
      <c r="AN210" s="39"/>
      <c r="AO210" s="39"/>
      <c r="AP210" s="39"/>
      <c r="AQ210" s="96"/>
      <c r="AR210" s="96"/>
      <c r="AS210" s="44"/>
    </row>
    <row r="211">
      <c r="A211" s="92"/>
      <c r="B211" s="93"/>
      <c r="C211" s="39"/>
      <c r="D211" s="39"/>
      <c r="E211" s="39"/>
      <c r="F211" s="39"/>
      <c r="G211" s="94"/>
      <c r="H211" s="95"/>
      <c r="I211" s="39"/>
      <c r="J211" s="39"/>
      <c r="K211" s="39"/>
      <c r="L211" s="39"/>
      <c r="M211" s="39"/>
      <c r="N211" s="39"/>
      <c r="O211" s="39"/>
      <c r="P211" s="39"/>
      <c r="Q211" s="39"/>
      <c r="R211" s="39"/>
      <c r="S211" s="39"/>
      <c r="T211" s="39"/>
      <c r="U211" s="94"/>
      <c r="V211" s="39"/>
      <c r="W211" s="39"/>
      <c r="X211" s="39"/>
      <c r="Y211" s="39"/>
      <c r="Z211" s="39"/>
      <c r="AA211" s="39"/>
      <c r="AB211" s="39"/>
      <c r="AC211" s="39"/>
      <c r="AD211" s="39"/>
      <c r="AE211" s="39"/>
      <c r="AF211" s="39"/>
      <c r="AG211" s="39"/>
      <c r="AH211" s="39"/>
      <c r="AI211" s="39"/>
      <c r="AJ211" s="39"/>
      <c r="AK211" s="39"/>
      <c r="AL211" s="39"/>
      <c r="AM211" s="39"/>
      <c r="AN211" s="39"/>
      <c r="AO211" s="39"/>
      <c r="AP211" s="39"/>
      <c r="AQ211" s="96"/>
      <c r="AR211" s="96"/>
      <c r="AS211" s="44"/>
    </row>
    <row r="212">
      <c r="A212" s="92"/>
      <c r="B212" s="93"/>
      <c r="C212" s="39"/>
      <c r="D212" s="39"/>
      <c r="E212" s="39"/>
      <c r="F212" s="39"/>
      <c r="G212" s="94"/>
      <c r="H212" s="95"/>
      <c r="I212" s="39"/>
      <c r="J212" s="39"/>
      <c r="K212" s="39"/>
      <c r="L212" s="39"/>
      <c r="M212" s="39"/>
      <c r="N212" s="39"/>
      <c r="O212" s="39"/>
      <c r="P212" s="39"/>
      <c r="Q212" s="39"/>
      <c r="R212" s="39"/>
      <c r="S212" s="39"/>
      <c r="T212" s="39"/>
      <c r="U212" s="94"/>
      <c r="V212" s="39"/>
      <c r="W212" s="39"/>
      <c r="X212" s="39"/>
      <c r="Y212" s="39"/>
      <c r="Z212" s="39"/>
      <c r="AA212" s="39"/>
      <c r="AB212" s="39"/>
      <c r="AC212" s="39"/>
      <c r="AD212" s="39"/>
      <c r="AE212" s="39"/>
      <c r="AF212" s="39"/>
      <c r="AG212" s="39"/>
      <c r="AH212" s="39"/>
      <c r="AI212" s="39"/>
      <c r="AJ212" s="39"/>
      <c r="AK212" s="39"/>
      <c r="AL212" s="39"/>
      <c r="AM212" s="39"/>
      <c r="AN212" s="39"/>
      <c r="AO212" s="39"/>
      <c r="AP212" s="39"/>
      <c r="AQ212" s="96"/>
      <c r="AR212" s="96"/>
      <c r="AS212" s="44"/>
    </row>
    <row r="213">
      <c r="A213" s="92"/>
      <c r="B213" s="93"/>
      <c r="C213" s="39"/>
      <c r="D213" s="39"/>
      <c r="E213" s="39"/>
      <c r="F213" s="39"/>
      <c r="G213" s="94"/>
      <c r="H213" s="95"/>
      <c r="I213" s="39"/>
      <c r="J213" s="39"/>
      <c r="K213" s="39"/>
      <c r="L213" s="39"/>
      <c r="M213" s="39"/>
      <c r="N213" s="39"/>
      <c r="O213" s="39"/>
      <c r="P213" s="39"/>
      <c r="Q213" s="39"/>
      <c r="R213" s="39"/>
      <c r="S213" s="39"/>
      <c r="T213" s="39"/>
      <c r="U213" s="94"/>
      <c r="V213" s="39"/>
      <c r="W213" s="39"/>
      <c r="X213" s="39"/>
      <c r="Y213" s="39"/>
      <c r="Z213" s="39"/>
      <c r="AA213" s="39"/>
      <c r="AB213" s="39"/>
      <c r="AC213" s="39"/>
      <c r="AD213" s="39"/>
      <c r="AE213" s="39"/>
      <c r="AF213" s="39"/>
      <c r="AG213" s="39"/>
      <c r="AH213" s="39"/>
      <c r="AI213" s="39"/>
      <c r="AJ213" s="39"/>
      <c r="AK213" s="39"/>
      <c r="AL213" s="39"/>
      <c r="AM213" s="39"/>
      <c r="AN213" s="39"/>
      <c r="AO213" s="39"/>
      <c r="AP213" s="39"/>
      <c r="AQ213" s="96"/>
      <c r="AR213" s="96"/>
      <c r="AS213" s="44"/>
    </row>
    <row r="214">
      <c r="A214" s="92"/>
      <c r="B214" s="93"/>
      <c r="C214" s="39"/>
      <c r="D214" s="39"/>
      <c r="E214" s="39"/>
      <c r="F214" s="39"/>
      <c r="G214" s="94"/>
      <c r="H214" s="95"/>
      <c r="I214" s="39"/>
      <c r="J214" s="39"/>
      <c r="K214" s="39"/>
      <c r="L214" s="39"/>
      <c r="M214" s="39"/>
      <c r="N214" s="39"/>
      <c r="O214" s="39"/>
      <c r="P214" s="39"/>
      <c r="Q214" s="39"/>
      <c r="R214" s="39"/>
      <c r="S214" s="39"/>
      <c r="T214" s="39"/>
      <c r="U214" s="94"/>
      <c r="V214" s="39"/>
      <c r="W214" s="39"/>
      <c r="X214" s="39"/>
      <c r="Y214" s="39"/>
      <c r="Z214" s="39"/>
      <c r="AA214" s="39"/>
      <c r="AB214" s="39"/>
      <c r="AC214" s="39"/>
      <c r="AD214" s="39"/>
      <c r="AE214" s="39"/>
      <c r="AF214" s="39"/>
      <c r="AG214" s="39"/>
      <c r="AH214" s="39"/>
      <c r="AI214" s="39"/>
      <c r="AJ214" s="39"/>
      <c r="AK214" s="39"/>
      <c r="AL214" s="39"/>
      <c r="AM214" s="39"/>
      <c r="AN214" s="39"/>
      <c r="AO214" s="39"/>
      <c r="AP214" s="39"/>
      <c r="AQ214" s="96"/>
      <c r="AR214" s="96"/>
      <c r="AS214" s="44"/>
    </row>
    <row r="215">
      <c r="A215" s="92"/>
      <c r="B215" s="93"/>
      <c r="C215" s="39"/>
      <c r="D215" s="39"/>
      <c r="E215" s="39"/>
      <c r="F215" s="39"/>
      <c r="G215" s="94"/>
      <c r="H215" s="95"/>
      <c r="I215" s="39"/>
      <c r="J215" s="39"/>
      <c r="K215" s="39"/>
      <c r="L215" s="39"/>
      <c r="M215" s="39"/>
      <c r="N215" s="39"/>
      <c r="O215" s="39"/>
      <c r="P215" s="39"/>
      <c r="Q215" s="39"/>
      <c r="R215" s="39"/>
      <c r="S215" s="39"/>
      <c r="T215" s="39"/>
      <c r="U215" s="94"/>
      <c r="V215" s="39"/>
      <c r="W215" s="39"/>
      <c r="X215" s="39"/>
      <c r="Y215" s="39"/>
      <c r="Z215" s="39"/>
      <c r="AA215" s="39"/>
      <c r="AB215" s="39"/>
      <c r="AC215" s="39"/>
      <c r="AD215" s="39"/>
      <c r="AE215" s="39"/>
      <c r="AF215" s="39"/>
      <c r="AG215" s="39"/>
      <c r="AH215" s="39"/>
      <c r="AI215" s="39"/>
      <c r="AJ215" s="39"/>
      <c r="AK215" s="39"/>
      <c r="AL215" s="39"/>
      <c r="AM215" s="39"/>
      <c r="AN215" s="39"/>
      <c r="AO215" s="39"/>
      <c r="AP215" s="39"/>
      <c r="AQ215" s="96"/>
      <c r="AR215" s="96"/>
      <c r="AS215" s="44"/>
    </row>
    <row r="216">
      <c r="A216" s="92"/>
      <c r="B216" s="93"/>
      <c r="C216" s="39"/>
      <c r="D216" s="39"/>
      <c r="E216" s="39"/>
      <c r="F216" s="39"/>
      <c r="G216" s="94"/>
      <c r="H216" s="95"/>
      <c r="I216" s="39"/>
      <c r="J216" s="39"/>
      <c r="K216" s="39"/>
      <c r="L216" s="39"/>
      <c r="M216" s="39"/>
      <c r="N216" s="39"/>
      <c r="O216" s="39"/>
      <c r="P216" s="39"/>
      <c r="Q216" s="39"/>
      <c r="R216" s="39"/>
      <c r="S216" s="39"/>
      <c r="T216" s="39"/>
      <c r="U216" s="94"/>
      <c r="V216" s="39"/>
      <c r="W216" s="39"/>
      <c r="X216" s="39"/>
      <c r="Y216" s="39"/>
      <c r="Z216" s="39"/>
      <c r="AA216" s="39"/>
      <c r="AB216" s="39"/>
      <c r="AC216" s="39"/>
      <c r="AD216" s="39"/>
      <c r="AE216" s="39"/>
      <c r="AF216" s="39"/>
      <c r="AG216" s="39"/>
      <c r="AH216" s="39"/>
      <c r="AI216" s="39"/>
      <c r="AJ216" s="39"/>
      <c r="AK216" s="39"/>
      <c r="AL216" s="39"/>
      <c r="AM216" s="39"/>
      <c r="AN216" s="39"/>
      <c r="AO216" s="39"/>
      <c r="AP216" s="39"/>
      <c r="AQ216" s="96"/>
      <c r="AR216" s="96"/>
      <c r="AS216" s="44"/>
    </row>
    <row r="217">
      <c r="A217" s="92"/>
      <c r="B217" s="93"/>
      <c r="C217" s="39"/>
      <c r="D217" s="39"/>
      <c r="E217" s="39"/>
      <c r="F217" s="39"/>
      <c r="G217" s="94"/>
      <c r="H217" s="95"/>
      <c r="I217" s="39"/>
      <c r="J217" s="39"/>
      <c r="K217" s="39"/>
      <c r="L217" s="39"/>
      <c r="M217" s="39"/>
      <c r="N217" s="39"/>
      <c r="O217" s="39"/>
      <c r="P217" s="39"/>
      <c r="Q217" s="39"/>
      <c r="R217" s="39"/>
      <c r="S217" s="39"/>
      <c r="T217" s="39"/>
      <c r="U217" s="94"/>
      <c r="V217" s="39"/>
      <c r="W217" s="39"/>
      <c r="X217" s="39"/>
      <c r="Y217" s="39"/>
      <c r="Z217" s="39"/>
      <c r="AA217" s="39"/>
      <c r="AB217" s="39"/>
      <c r="AC217" s="39"/>
      <c r="AD217" s="39"/>
      <c r="AE217" s="39"/>
      <c r="AF217" s="39"/>
      <c r="AG217" s="39"/>
      <c r="AH217" s="39"/>
      <c r="AI217" s="39"/>
      <c r="AJ217" s="39"/>
      <c r="AK217" s="39"/>
      <c r="AL217" s="39"/>
      <c r="AM217" s="39"/>
      <c r="AN217" s="39"/>
      <c r="AO217" s="39"/>
      <c r="AP217" s="39"/>
      <c r="AQ217" s="96"/>
      <c r="AR217" s="96"/>
      <c r="AS217" s="44"/>
    </row>
    <row r="218">
      <c r="A218" s="92"/>
      <c r="B218" s="93"/>
      <c r="C218" s="39"/>
      <c r="D218" s="39"/>
      <c r="E218" s="39"/>
      <c r="F218" s="39"/>
      <c r="G218" s="94"/>
      <c r="H218" s="95"/>
      <c r="I218" s="39"/>
      <c r="J218" s="39"/>
      <c r="K218" s="39"/>
      <c r="L218" s="39"/>
      <c r="M218" s="39"/>
      <c r="N218" s="39"/>
      <c r="O218" s="39"/>
      <c r="P218" s="39"/>
      <c r="Q218" s="39"/>
      <c r="R218" s="39"/>
      <c r="S218" s="39"/>
      <c r="T218" s="39"/>
      <c r="U218" s="94"/>
      <c r="V218" s="39"/>
      <c r="W218" s="39"/>
      <c r="X218" s="39"/>
      <c r="Y218" s="39"/>
      <c r="Z218" s="39"/>
      <c r="AA218" s="39"/>
      <c r="AB218" s="39"/>
      <c r="AC218" s="39"/>
      <c r="AD218" s="39"/>
      <c r="AE218" s="39"/>
      <c r="AF218" s="39"/>
      <c r="AG218" s="39"/>
      <c r="AH218" s="39"/>
      <c r="AI218" s="39"/>
      <c r="AJ218" s="39"/>
      <c r="AK218" s="39"/>
      <c r="AL218" s="39"/>
      <c r="AM218" s="39"/>
      <c r="AN218" s="39"/>
      <c r="AO218" s="39"/>
      <c r="AP218" s="39"/>
      <c r="AQ218" s="96"/>
      <c r="AR218" s="96"/>
      <c r="AS218" s="44"/>
    </row>
    <row r="219">
      <c r="A219" s="92"/>
      <c r="B219" s="93"/>
      <c r="C219" s="39"/>
      <c r="D219" s="39"/>
      <c r="E219" s="39"/>
      <c r="F219" s="39"/>
      <c r="G219" s="94"/>
      <c r="H219" s="95"/>
      <c r="I219" s="39"/>
      <c r="J219" s="39"/>
      <c r="K219" s="39"/>
      <c r="L219" s="39"/>
      <c r="M219" s="39"/>
      <c r="N219" s="39"/>
      <c r="O219" s="39"/>
      <c r="P219" s="39"/>
      <c r="Q219" s="39"/>
      <c r="R219" s="39"/>
      <c r="S219" s="39"/>
      <c r="T219" s="39"/>
      <c r="U219" s="94"/>
      <c r="V219" s="39"/>
      <c r="W219" s="39"/>
      <c r="X219" s="39"/>
      <c r="Y219" s="39"/>
      <c r="Z219" s="39"/>
      <c r="AA219" s="39"/>
      <c r="AB219" s="39"/>
      <c r="AC219" s="39"/>
      <c r="AD219" s="39"/>
      <c r="AE219" s="39"/>
      <c r="AF219" s="39"/>
      <c r="AG219" s="39"/>
      <c r="AH219" s="39"/>
      <c r="AI219" s="39"/>
      <c r="AJ219" s="39"/>
      <c r="AK219" s="39"/>
      <c r="AL219" s="39"/>
      <c r="AM219" s="39"/>
      <c r="AN219" s="39"/>
      <c r="AO219" s="39"/>
      <c r="AP219" s="39"/>
      <c r="AQ219" s="96"/>
      <c r="AR219" s="96"/>
      <c r="AS219" s="44"/>
    </row>
    <row r="220">
      <c r="A220" s="92"/>
      <c r="B220" s="93"/>
      <c r="C220" s="39"/>
      <c r="D220" s="39"/>
      <c r="E220" s="39"/>
      <c r="F220" s="39"/>
      <c r="G220" s="94"/>
      <c r="H220" s="95"/>
      <c r="I220" s="39"/>
      <c r="J220" s="39"/>
      <c r="K220" s="39"/>
      <c r="L220" s="39"/>
      <c r="M220" s="39"/>
      <c r="N220" s="39"/>
      <c r="O220" s="39"/>
      <c r="P220" s="39"/>
      <c r="Q220" s="39"/>
      <c r="R220" s="39"/>
      <c r="S220" s="39"/>
      <c r="T220" s="39"/>
      <c r="U220" s="94"/>
      <c r="V220" s="39"/>
      <c r="W220" s="39"/>
      <c r="X220" s="39"/>
      <c r="Y220" s="39"/>
      <c r="Z220" s="39"/>
      <c r="AA220" s="39"/>
      <c r="AB220" s="39"/>
      <c r="AC220" s="39"/>
      <c r="AD220" s="39"/>
      <c r="AE220" s="39"/>
      <c r="AF220" s="39"/>
      <c r="AG220" s="39"/>
      <c r="AH220" s="39"/>
      <c r="AI220" s="39"/>
      <c r="AJ220" s="39"/>
      <c r="AK220" s="39"/>
      <c r="AL220" s="39"/>
      <c r="AM220" s="39"/>
      <c r="AN220" s="39"/>
      <c r="AO220" s="39"/>
      <c r="AP220" s="39"/>
      <c r="AQ220" s="96"/>
      <c r="AR220" s="96"/>
      <c r="AS220" s="44"/>
    </row>
    <row r="221">
      <c r="A221" s="92"/>
      <c r="B221" s="93"/>
      <c r="C221" s="39"/>
      <c r="D221" s="39"/>
      <c r="E221" s="39"/>
      <c r="F221" s="39"/>
      <c r="G221" s="94"/>
      <c r="H221" s="95"/>
      <c r="I221" s="39"/>
      <c r="J221" s="39"/>
      <c r="K221" s="39"/>
      <c r="L221" s="39"/>
      <c r="M221" s="39"/>
      <c r="N221" s="39"/>
      <c r="O221" s="39"/>
      <c r="P221" s="39"/>
      <c r="Q221" s="39"/>
      <c r="R221" s="39"/>
      <c r="S221" s="39"/>
      <c r="T221" s="39"/>
      <c r="U221" s="94"/>
      <c r="V221" s="39"/>
      <c r="W221" s="39"/>
      <c r="X221" s="39"/>
      <c r="Y221" s="39"/>
      <c r="Z221" s="39"/>
      <c r="AA221" s="39"/>
      <c r="AB221" s="39"/>
      <c r="AC221" s="39"/>
      <c r="AD221" s="39"/>
      <c r="AE221" s="39"/>
      <c r="AF221" s="39"/>
      <c r="AG221" s="39"/>
      <c r="AH221" s="39"/>
      <c r="AI221" s="39"/>
      <c r="AJ221" s="39"/>
      <c r="AK221" s="39"/>
      <c r="AL221" s="39"/>
      <c r="AM221" s="39"/>
      <c r="AN221" s="39"/>
      <c r="AO221" s="39"/>
      <c r="AP221" s="39"/>
      <c r="AQ221" s="96"/>
      <c r="AR221" s="96"/>
      <c r="AS221" s="44"/>
    </row>
    <row r="222">
      <c r="A222" s="92"/>
      <c r="B222" s="93"/>
      <c r="C222" s="39"/>
      <c r="D222" s="39"/>
      <c r="E222" s="39"/>
      <c r="F222" s="39"/>
      <c r="G222" s="94"/>
      <c r="H222" s="95"/>
      <c r="I222" s="39"/>
      <c r="J222" s="39"/>
      <c r="K222" s="39"/>
      <c r="L222" s="39"/>
      <c r="M222" s="39"/>
      <c r="N222" s="39"/>
      <c r="O222" s="39"/>
      <c r="P222" s="39"/>
      <c r="Q222" s="39"/>
      <c r="R222" s="39"/>
      <c r="S222" s="39"/>
      <c r="T222" s="39"/>
      <c r="U222" s="94"/>
      <c r="V222" s="39"/>
      <c r="W222" s="39"/>
      <c r="X222" s="39"/>
      <c r="Y222" s="39"/>
      <c r="Z222" s="39"/>
      <c r="AA222" s="39"/>
      <c r="AB222" s="39"/>
      <c r="AC222" s="39"/>
      <c r="AD222" s="39"/>
      <c r="AE222" s="39"/>
      <c r="AF222" s="39"/>
      <c r="AG222" s="39"/>
      <c r="AH222" s="39"/>
      <c r="AI222" s="39"/>
      <c r="AJ222" s="39"/>
      <c r="AK222" s="39"/>
      <c r="AL222" s="39"/>
      <c r="AM222" s="39"/>
      <c r="AN222" s="39"/>
      <c r="AO222" s="39"/>
      <c r="AP222" s="39"/>
      <c r="AQ222" s="96"/>
      <c r="AR222" s="96"/>
      <c r="AS222" s="44"/>
    </row>
    <row r="223">
      <c r="A223" s="92"/>
      <c r="B223" s="93"/>
      <c r="C223" s="39"/>
      <c r="D223" s="39"/>
      <c r="E223" s="39"/>
      <c r="F223" s="39"/>
      <c r="G223" s="94"/>
      <c r="H223" s="95"/>
      <c r="I223" s="39"/>
      <c r="J223" s="39"/>
      <c r="K223" s="39"/>
      <c r="L223" s="39"/>
      <c r="M223" s="39"/>
      <c r="N223" s="39"/>
      <c r="O223" s="39"/>
      <c r="P223" s="39"/>
      <c r="Q223" s="39"/>
      <c r="R223" s="39"/>
      <c r="S223" s="39"/>
      <c r="T223" s="39"/>
      <c r="U223" s="94"/>
      <c r="V223" s="39"/>
      <c r="W223" s="39"/>
      <c r="X223" s="39"/>
      <c r="Y223" s="39"/>
      <c r="Z223" s="39"/>
      <c r="AA223" s="39"/>
      <c r="AB223" s="39"/>
      <c r="AC223" s="39"/>
      <c r="AD223" s="39"/>
      <c r="AE223" s="39"/>
      <c r="AF223" s="39"/>
      <c r="AG223" s="39"/>
      <c r="AH223" s="39"/>
      <c r="AI223" s="39"/>
      <c r="AJ223" s="39"/>
      <c r="AK223" s="39"/>
      <c r="AL223" s="39"/>
      <c r="AM223" s="39"/>
      <c r="AN223" s="39"/>
      <c r="AO223" s="39"/>
      <c r="AP223" s="39"/>
      <c r="AQ223" s="96"/>
      <c r="AR223" s="96"/>
      <c r="AS223" s="44"/>
    </row>
    <row r="224">
      <c r="A224" s="92"/>
      <c r="B224" s="93"/>
      <c r="C224" s="39"/>
      <c r="D224" s="39"/>
      <c r="E224" s="39"/>
      <c r="F224" s="39"/>
      <c r="G224" s="94"/>
      <c r="H224" s="95"/>
      <c r="I224" s="39"/>
      <c r="J224" s="39"/>
      <c r="K224" s="39"/>
      <c r="L224" s="39"/>
      <c r="M224" s="39"/>
      <c r="N224" s="39"/>
      <c r="O224" s="39"/>
      <c r="P224" s="39"/>
      <c r="Q224" s="39"/>
      <c r="R224" s="39"/>
      <c r="S224" s="39"/>
      <c r="T224" s="39"/>
      <c r="U224" s="94"/>
      <c r="V224" s="39"/>
      <c r="W224" s="39"/>
      <c r="X224" s="39"/>
      <c r="Y224" s="39"/>
      <c r="Z224" s="39"/>
      <c r="AA224" s="39"/>
      <c r="AB224" s="39"/>
      <c r="AC224" s="39"/>
      <c r="AD224" s="39"/>
      <c r="AE224" s="39"/>
      <c r="AF224" s="39"/>
      <c r="AG224" s="39"/>
      <c r="AH224" s="39"/>
      <c r="AI224" s="39"/>
      <c r="AJ224" s="39"/>
      <c r="AK224" s="39"/>
      <c r="AL224" s="39"/>
      <c r="AM224" s="39"/>
      <c r="AN224" s="39"/>
      <c r="AO224" s="39"/>
      <c r="AP224" s="39"/>
      <c r="AQ224" s="96"/>
      <c r="AR224" s="96"/>
      <c r="AS224" s="44"/>
    </row>
    <row r="225">
      <c r="A225" s="92"/>
      <c r="B225" s="93"/>
      <c r="C225" s="39"/>
      <c r="D225" s="39"/>
      <c r="E225" s="39"/>
      <c r="F225" s="39"/>
      <c r="G225" s="94"/>
      <c r="H225" s="95"/>
      <c r="I225" s="39"/>
      <c r="J225" s="39"/>
      <c r="K225" s="39"/>
      <c r="L225" s="39"/>
      <c r="M225" s="39"/>
      <c r="N225" s="39"/>
      <c r="O225" s="39"/>
      <c r="P225" s="39"/>
      <c r="Q225" s="39"/>
      <c r="R225" s="39"/>
      <c r="S225" s="39"/>
      <c r="T225" s="39"/>
      <c r="U225" s="94"/>
      <c r="V225" s="39"/>
      <c r="W225" s="39"/>
      <c r="X225" s="39"/>
      <c r="Y225" s="39"/>
      <c r="Z225" s="39"/>
      <c r="AA225" s="39"/>
      <c r="AB225" s="39"/>
      <c r="AC225" s="39"/>
      <c r="AD225" s="39"/>
      <c r="AE225" s="39"/>
      <c r="AF225" s="39"/>
      <c r="AG225" s="39"/>
      <c r="AH225" s="39"/>
      <c r="AI225" s="39"/>
      <c r="AJ225" s="39"/>
      <c r="AK225" s="39"/>
      <c r="AL225" s="39"/>
      <c r="AM225" s="39"/>
      <c r="AN225" s="39"/>
      <c r="AO225" s="39"/>
      <c r="AP225" s="39"/>
      <c r="AQ225" s="96"/>
      <c r="AR225" s="96"/>
      <c r="AS225" s="44"/>
    </row>
    <row r="226">
      <c r="A226" s="92"/>
      <c r="B226" s="93"/>
      <c r="C226" s="39"/>
      <c r="D226" s="39"/>
      <c r="E226" s="39"/>
      <c r="F226" s="39"/>
      <c r="G226" s="94"/>
      <c r="H226" s="95"/>
      <c r="I226" s="39"/>
      <c r="J226" s="39"/>
      <c r="K226" s="39"/>
      <c r="L226" s="39"/>
      <c r="M226" s="39"/>
      <c r="N226" s="39"/>
      <c r="O226" s="39"/>
      <c r="P226" s="39"/>
      <c r="Q226" s="39"/>
      <c r="R226" s="39"/>
      <c r="S226" s="39"/>
      <c r="T226" s="39"/>
      <c r="U226" s="94"/>
      <c r="V226" s="39"/>
      <c r="W226" s="39"/>
      <c r="X226" s="39"/>
      <c r="Y226" s="39"/>
      <c r="Z226" s="39"/>
      <c r="AA226" s="39"/>
      <c r="AB226" s="39"/>
      <c r="AC226" s="39"/>
      <c r="AD226" s="39"/>
      <c r="AE226" s="39"/>
      <c r="AF226" s="39"/>
      <c r="AG226" s="39"/>
      <c r="AH226" s="39"/>
      <c r="AI226" s="39"/>
      <c r="AJ226" s="39"/>
      <c r="AK226" s="39"/>
      <c r="AL226" s="39"/>
      <c r="AM226" s="39"/>
      <c r="AN226" s="39"/>
      <c r="AO226" s="39"/>
      <c r="AP226" s="39"/>
      <c r="AQ226" s="96"/>
      <c r="AR226" s="96"/>
      <c r="AS226" s="44"/>
    </row>
    <row r="227">
      <c r="A227" s="92"/>
      <c r="B227" s="93"/>
      <c r="C227" s="39"/>
      <c r="D227" s="39"/>
      <c r="E227" s="39"/>
      <c r="F227" s="39"/>
      <c r="G227" s="94"/>
      <c r="H227" s="95"/>
      <c r="I227" s="39"/>
      <c r="J227" s="39"/>
      <c r="K227" s="39"/>
      <c r="L227" s="39"/>
      <c r="M227" s="39"/>
      <c r="N227" s="39"/>
      <c r="O227" s="39"/>
      <c r="P227" s="39"/>
      <c r="Q227" s="39"/>
      <c r="R227" s="39"/>
      <c r="S227" s="39"/>
      <c r="T227" s="39"/>
      <c r="U227" s="94"/>
      <c r="V227" s="39"/>
      <c r="W227" s="39"/>
      <c r="X227" s="39"/>
      <c r="Y227" s="39"/>
      <c r="Z227" s="39"/>
      <c r="AA227" s="39"/>
      <c r="AB227" s="39"/>
      <c r="AC227" s="39"/>
      <c r="AD227" s="39"/>
      <c r="AE227" s="39"/>
      <c r="AF227" s="39"/>
      <c r="AG227" s="39"/>
      <c r="AH227" s="39"/>
      <c r="AI227" s="39"/>
      <c r="AJ227" s="39"/>
      <c r="AK227" s="39"/>
      <c r="AL227" s="39"/>
      <c r="AM227" s="39"/>
      <c r="AN227" s="39"/>
      <c r="AO227" s="39"/>
      <c r="AP227" s="39"/>
      <c r="AQ227" s="96"/>
      <c r="AR227" s="96"/>
      <c r="AS227" s="44"/>
    </row>
    <row r="228">
      <c r="A228" s="92"/>
      <c r="B228" s="93"/>
      <c r="C228" s="39"/>
      <c r="D228" s="39"/>
      <c r="E228" s="39"/>
      <c r="F228" s="39"/>
      <c r="G228" s="94"/>
      <c r="H228" s="95"/>
      <c r="I228" s="39"/>
      <c r="J228" s="39"/>
      <c r="K228" s="39"/>
      <c r="L228" s="39"/>
      <c r="M228" s="39"/>
      <c r="N228" s="39"/>
      <c r="O228" s="39"/>
      <c r="P228" s="39"/>
      <c r="Q228" s="39"/>
      <c r="R228" s="39"/>
      <c r="S228" s="39"/>
      <c r="T228" s="39"/>
      <c r="U228" s="94"/>
      <c r="V228" s="39"/>
      <c r="W228" s="39"/>
      <c r="X228" s="39"/>
      <c r="Y228" s="39"/>
      <c r="Z228" s="39"/>
      <c r="AA228" s="39"/>
      <c r="AB228" s="39"/>
      <c r="AC228" s="39"/>
      <c r="AD228" s="39"/>
      <c r="AE228" s="39"/>
      <c r="AF228" s="39"/>
      <c r="AG228" s="39"/>
      <c r="AH228" s="39"/>
      <c r="AI228" s="39"/>
      <c r="AJ228" s="39"/>
      <c r="AK228" s="39"/>
      <c r="AL228" s="39"/>
      <c r="AM228" s="39"/>
      <c r="AN228" s="39"/>
      <c r="AO228" s="39"/>
      <c r="AP228" s="39"/>
      <c r="AQ228" s="96"/>
      <c r="AR228" s="96"/>
      <c r="AS228" s="44"/>
    </row>
    <row r="229">
      <c r="A229" s="92"/>
      <c r="B229" s="93"/>
      <c r="C229" s="39"/>
      <c r="D229" s="39"/>
      <c r="E229" s="39"/>
      <c r="F229" s="39"/>
      <c r="G229" s="94"/>
      <c r="H229" s="95"/>
      <c r="I229" s="39"/>
      <c r="J229" s="39"/>
      <c r="K229" s="39"/>
      <c r="L229" s="39"/>
      <c r="M229" s="39"/>
      <c r="N229" s="39"/>
      <c r="O229" s="39"/>
      <c r="P229" s="39"/>
      <c r="Q229" s="39"/>
      <c r="R229" s="39"/>
      <c r="S229" s="39"/>
      <c r="T229" s="39"/>
      <c r="U229" s="94"/>
      <c r="V229" s="39"/>
      <c r="W229" s="39"/>
      <c r="X229" s="39"/>
      <c r="Y229" s="39"/>
      <c r="Z229" s="39"/>
      <c r="AA229" s="39"/>
      <c r="AB229" s="39"/>
      <c r="AC229" s="39"/>
      <c r="AD229" s="39"/>
      <c r="AE229" s="39"/>
      <c r="AF229" s="39"/>
      <c r="AG229" s="39"/>
      <c r="AH229" s="39"/>
      <c r="AI229" s="39"/>
      <c r="AJ229" s="39"/>
      <c r="AK229" s="39"/>
      <c r="AL229" s="39"/>
      <c r="AM229" s="39"/>
      <c r="AN229" s="39"/>
      <c r="AO229" s="39"/>
      <c r="AP229" s="39"/>
      <c r="AQ229" s="96"/>
      <c r="AR229" s="96"/>
      <c r="AS229" s="44"/>
    </row>
    <row r="230">
      <c r="A230" s="92"/>
      <c r="B230" s="93"/>
      <c r="C230" s="39"/>
      <c r="D230" s="39"/>
      <c r="E230" s="39"/>
      <c r="F230" s="39"/>
      <c r="G230" s="94"/>
      <c r="H230" s="95"/>
      <c r="I230" s="39"/>
      <c r="J230" s="39"/>
      <c r="K230" s="39"/>
      <c r="L230" s="39"/>
      <c r="M230" s="39"/>
      <c r="N230" s="39"/>
      <c r="O230" s="39"/>
      <c r="P230" s="39"/>
      <c r="Q230" s="39"/>
      <c r="R230" s="39"/>
      <c r="S230" s="39"/>
      <c r="T230" s="39"/>
      <c r="U230" s="94"/>
      <c r="V230" s="39"/>
      <c r="W230" s="39"/>
      <c r="X230" s="39"/>
      <c r="Y230" s="39"/>
      <c r="Z230" s="39"/>
      <c r="AA230" s="39"/>
      <c r="AB230" s="39"/>
      <c r="AC230" s="39"/>
      <c r="AD230" s="39"/>
      <c r="AE230" s="39"/>
      <c r="AF230" s="39"/>
      <c r="AG230" s="39"/>
      <c r="AH230" s="39"/>
      <c r="AI230" s="39"/>
      <c r="AJ230" s="39"/>
      <c r="AK230" s="39"/>
      <c r="AL230" s="39"/>
      <c r="AM230" s="39"/>
      <c r="AN230" s="39"/>
      <c r="AO230" s="39"/>
      <c r="AP230" s="39"/>
      <c r="AQ230" s="96"/>
      <c r="AR230" s="96"/>
      <c r="AS230" s="44"/>
    </row>
    <row r="231">
      <c r="A231" s="92"/>
      <c r="B231" s="93"/>
      <c r="C231" s="39"/>
      <c r="D231" s="39"/>
      <c r="E231" s="39"/>
      <c r="F231" s="39"/>
      <c r="G231" s="94"/>
      <c r="H231" s="95"/>
      <c r="I231" s="39"/>
      <c r="J231" s="39"/>
      <c r="K231" s="39"/>
      <c r="L231" s="39"/>
      <c r="M231" s="39"/>
      <c r="N231" s="39"/>
      <c r="O231" s="39"/>
      <c r="P231" s="39"/>
      <c r="Q231" s="39"/>
      <c r="R231" s="39"/>
      <c r="S231" s="39"/>
      <c r="T231" s="39"/>
      <c r="U231" s="94"/>
      <c r="V231" s="39"/>
      <c r="W231" s="39"/>
      <c r="X231" s="39"/>
      <c r="Y231" s="39"/>
      <c r="Z231" s="39"/>
      <c r="AA231" s="39"/>
      <c r="AB231" s="39"/>
      <c r="AC231" s="39"/>
      <c r="AD231" s="39"/>
      <c r="AE231" s="39"/>
      <c r="AF231" s="39"/>
      <c r="AG231" s="39"/>
      <c r="AH231" s="39"/>
      <c r="AI231" s="39"/>
      <c r="AJ231" s="39"/>
      <c r="AK231" s="39"/>
      <c r="AL231" s="39"/>
      <c r="AM231" s="39"/>
      <c r="AN231" s="39"/>
      <c r="AO231" s="39"/>
      <c r="AP231" s="39"/>
      <c r="AQ231" s="96"/>
      <c r="AR231" s="96"/>
      <c r="AS231" s="44"/>
    </row>
    <row r="232">
      <c r="A232" s="92"/>
      <c r="B232" s="93"/>
      <c r="C232" s="39"/>
      <c r="D232" s="39"/>
      <c r="E232" s="39"/>
      <c r="F232" s="39"/>
      <c r="G232" s="94"/>
      <c r="H232" s="95"/>
      <c r="I232" s="39"/>
      <c r="J232" s="39"/>
      <c r="K232" s="39"/>
      <c r="L232" s="39"/>
      <c r="M232" s="39"/>
      <c r="N232" s="39"/>
      <c r="O232" s="39"/>
      <c r="P232" s="39"/>
      <c r="Q232" s="39"/>
      <c r="R232" s="39"/>
      <c r="S232" s="39"/>
      <c r="T232" s="39"/>
      <c r="U232" s="94"/>
      <c r="V232" s="39"/>
      <c r="W232" s="39"/>
      <c r="X232" s="39"/>
      <c r="Y232" s="39"/>
      <c r="Z232" s="39"/>
      <c r="AA232" s="39"/>
      <c r="AB232" s="39"/>
      <c r="AC232" s="39"/>
      <c r="AD232" s="39"/>
      <c r="AE232" s="39"/>
      <c r="AF232" s="39"/>
      <c r="AG232" s="39"/>
      <c r="AH232" s="39"/>
      <c r="AI232" s="39"/>
      <c r="AJ232" s="39"/>
      <c r="AK232" s="39"/>
      <c r="AL232" s="39"/>
      <c r="AM232" s="39"/>
      <c r="AN232" s="39"/>
      <c r="AO232" s="39"/>
      <c r="AP232" s="39"/>
      <c r="AQ232" s="96"/>
      <c r="AR232" s="96"/>
      <c r="AS232" s="44"/>
    </row>
    <row r="233">
      <c r="A233" s="92"/>
      <c r="B233" s="93"/>
      <c r="C233" s="39"/>
      <c r="D233" s="39"/>
      <c r="E233" s="39"/>
      <c r="F233" s="39"/>
      <c r="G233" s="94"/>
      <c r="H233" s="95"/>
      <c r="I233" s="39"/>
      <c r="J233" s="39"/>
      <c r="K233" s="39"/>
      <c r="L233" s="39"/>
      <c r="M233" s="39"/>
      <c r="N233" s="39"/>
      <c r="O233" s="39"/>
      <c r="P233" s="39"/>
      <c r="Q233" s="39"/>
      <c r="R233" s="39"/>
      <c r="S233" s="39"/>
      <c r="T233" s="39"/>
      <c r="U233" s="94"/>
      <c r="V233" s="39"/>
      <c r="W233" s="39"/>
      <c r="X233" s="39"/>
      <c r="Y233" s="39"/>
      <c r="Z233" s="39"/>
      <c r="AA233" s="39"/>
      <c r="AB233" s="39"/>
      <c r="AC233" s="39"/>
      <c r="AD233" s="39"/>
      <c r="AE233" s="39"/>
      <c r="AF233" s="39"/>
      <c r="AG233" s="39"/>
      <c r="AH233" s="39"/>
      <c r="AI233" s="39"/>
      <c r="AJ233" s="39"/>
      <c r="AK233" s="39"/>
      <c r="AL233" s="39"/>
      <c r="AM233" s="39"/>
      <c r="AN233" s="39"/>
      <c r="AO233" s="39"/>
      <c r="AP233" s="39"/>
      <c r="AQ233" s="96"/>
      <c r="AR233" s="96"/>
      <c r="AS233" s="44"/>
    </row>
    <row r="234">
      <c r="A234" s="92"/>
      <c r="B234" s="93"/>
      <c r="C234" s="39"/>
      <c r="D234" s="39"/>
      <c r="E234" s="39"/>
      <c r="F234" s="39"/>
      <c r="G234" s="94"/>
      <c r="H234" s="95"/>
      <c r="I234" s="39"/>
      <c r="J234" s="39"/>
      <c r="K234" s="39"/>
      <c r="L234" s="39"/>
      <c r="M234" s="39"/>
      <c r="N234" s="39"/>
      <c r="O234" s="39"/>
      <c r="P234" s="39"/>
      <c r="Q234" s="39"/>
      <c r="R234" s="39"/>
      <c r="S234" s="39"/>
      <c r="T234" s="39"/>
      <c r="U234" s="94"/>
      <c r="V234" s="39"/>
      <c r="W234" s="39"/>
      <c r="X234" s="39"/>
      <c r="Y234" s="39"/>
      <c r="Z234" s="39"/>
      <c r="AA234" s="39"/>
      <c r="AB234" s="39"/>
      <c r="AC234" s="39"/>
      <c r="AD234" s="39"/>
      <c r="AE234" s="39"/>
      <c r="AF234" s="39"/>
      <c r="AG234" s="39"/>
      <c r="AH234" s="39"/>
      <c r="AI234" s="39"/>
      <c r="AJ234" s="39"/>
      <c r="AK234" s="39"/>
      <c r="AL234" s="39"/>
      <c r="AM234" s="39"/>
      <c r="AN234" s="39"/>
      <c r="AO234" s="39"/>
      <c r="AP234" s="39"/>
      <c r="AQ234" s="96"/>
      <c r="AR234" s="96"/>
      <c r="AS234" s="44"/>
    </row>
    <row r="235">
      <c r="A235" s="92"/>
      <c r="B235" s="93"/>
      <c r="C235" s="39"/>
      <c r="D235" s="39"/>
      <c r="E235" s="39"/>
      <c r="F235" s="39"/>
      <c r="G235" s="94"/>
      <c r="H235" s="95"/>
      <c r="I235" s="39"/>
      <c r="J235" s="39"/>
      <c r="K235" s="39"/>
      <c r="L235" s="39"/>
      <c r="M235" s="39"/>
      <c r="N235" s="39"/>
      <c r="O235" s="39"/>
      <c r="P235" s="39"/>
      <c r="Q235" s="39"/>
      <c r="R235" s="39"/>
      <c r="S235" s="39"/>
      <c r="T235" s="39"/>
      <c r="U235" s="94"/>
      <c r="V235" s="39"/>
      <c r="W235" s="39"/>
      <c r="X235" s="39"/>
      <c r="Y235" s="39"/>
      <c r="Z235" s="39"/>
      <c r="AA235" s="39"/>
      <c r="AB235" s="39"/>
      <c r="AC235" s="39"/>
      <c r="AD235" s="39"/>
      <c r="AE235" s="39"/>
      <c r="AF235" s="39"/>
      <c r="AG235" s="39"/>
      <c r="AH235" s="39"/>
      <c r="AI235" s="39"/>
      <c r="AJ235" s="39"/>
      <c r="AK235" s="39"/>
      <c r="AL235" s="39"/>
      <c r="AM235" s="39"/>
      <c r="AN235" s="39"/>
      <c r="AO235" s="39"/>
      <c r="AP235" s="39"/>
      <c r="AQ235" s="96"/>
      <c r="AR235" s="96"/>
      <c r="AS235" s="44"/>
    </row>
    <row r="236">
      <c r="A236" s="92"/>
      <c r="B236" s="93"/>
      <c r="C236" s="39"/>
      <c r="D236" s="39"/>
      <c r="E236" s="39"/>
      <c r="F236" s="39"/>
      <c r="G236" s="94"/>
      <c r="H236" s="95"/>
      <c r="I236" s="39"/>
      <c r="J236" s="39"/>
      <c r="K236" s="39"/>
      <c r="L236" s="39"/>
      <c r="M236" s="39"/>
      <c r="N236" s="39"/>
      <c r="O236" s="39"/>
      <c r="P236" s="39"/>
      <c r="Q236" s="39"/>
      <c r="R236" s="39"/>
      <c r="S236" s="39"/>
      <c r="T236" s="39"/>
      <c r="U236" s="94"/>
      <c r="V236" s="39"/>
      <c r="W236" s="39"/>
      <c r="X236" s="39"/>
      <c r="Y236" s="39"/>
      <c r="Z236" s="39"/>
      <c r="AA236" s="39"/>
      <c r="AB236" s="39"/>
      <c r="AC236" s="39"/>
      <c r="AD236" s="39"/>
      <c r="AE236" s="39"/>
      <c r="AF236" s="39"/>
      <c r="AG236" s="39"/>
      <c r="AH236" s="39"/>
      <c r="AI236" s="39"/>
      <c r="AJ236" s="39"/>
      <c r="AK236" s="39"/>
      <c r="AL236" s="39"/>
      <c r="AM236" s="39"/>
      <c r="AN236" s="39"/>
      <c r="AO236" s="39"/>
      <c r="AP236" s="39"/>
      <c r="AQ236" s="96"/>
      <c r="AR236" s="96"/>
      <c r="AS236" s="44"/>
    </row>
    <row r="237">
      <c r="A237" s="92"/>
      <c r="B237" s="93"/>
      <c r="C237" s="39"/>
      <c r="D237" s="39"/>
      <c r="E237" s="39"/>
      <c r="F237" s="39"/>
      <c r="G237" s="94"/>
      <c r="H237" s="95"/>
      <c r="I237" s="39"/>
      <c r="J237" s="39"/>
      <c r="K237" s="39"/>
      <c r="L237" s="39"/>
      <c r="M237" s="39"/>
      <c r="N237" s="39"/>
      <c r="O237" s="39"/>
      <c r="P237" s="39"/>
      <c r="Q237" s="39"/>
      <c r="R237" s="39"/>
      <c r="S237" s="39"/>
      <c r="T237" s="39"/>
      <c r="U237" s="94"/>
      <c r="V237" s="39"/>
      <c r="W237" s="39"/>
      <c r="X237" s="39"/>
      <c r="Y237" s="39"/>
      <c r="Z237" s="39"/>
      <c r="AA237" s="39"/>
      <c r="AB237" s="39"/>
      <c r="AC237" s="39"/>
      <c r="AD237" s="39"/>
      <c r="AE237" s="39"/>
      <c r="AF237" s="39"/>
      <c r="AG237" s="39"/>
      <c r="AH237" s="39"/>
      <c r="AI237" s="39"/>
      <c r="AJ237" s="39"/>
      <c r="AK237" s="39"/>
      <c r="AL237" s="39"/>
      <c r="AM237" s="39"/>
      <c r="AN237" s="39"/>
      <c r="AO237" s="39"/>
      <c r="AP237" s="39"/>
      <c r="AQ237" s="96"/>
      <c r="AR237" s="96"/>
      <c r="AS237" s="44"/>
    </row>
    <row r="238">
      <c r="A238" s="92"/>
      <c r="B238" s="93"/>
      <c r="C238" s="39"/>
      <c r="D238" s="39"/>
      <c r="E238" s="39"/>
      <c r="F238" s="39"/>
      <c r="G238" s="94"/>
      <c r="H238" s="95"/>
      <c r="I238" s="39"/>
      <c r="J238" s="39"/>
      <c r="K238" s="39"/>
      <c r="L238" s="39"/>
      <c r="M238" s="39"/>
      <c r="N238" s="39"/>
      <c r="O238" s="39"/>
      <c r="P238" s="39"/>
      <c r="Q238" s="39"/>
      <c r="R238" s="39"/>
      <c r="S238" s="39"/>
      <c r="T238" s="39"/>
      <c r="U238" s="94"/>
      <c r="V238" s="39"/>
      <c r="W238" s="39"/>
      <c r="X238" s="39"/>
      <c r="Y238" s="39"/>
      <c r="Z238" s="39"/>
      <c r="AA238" s="39"/>
      <c r="AB238" s="39"/>
      <c r="AC238" s="39"/>
      <c r="AD238" s="39"/>
      <c r="AE238" s="39"/>
      <c r="AF238" s="39"/>
      <c r="AG238" s="39"/>
      <c r="AH238" s="39"/>
      <c r="AI238" s="39"/>
      <c r="AJ238" s="39"/>
      <c r="AK238" s="39"/>
      <c r="AL238" s="39"/>
      <c r="AM238" s="39"/>
      <c r="AN238" s="39"/>
      <c r="AO238" s="39"/>
      <c r="AP238" s="39"/>
      <c r="AQ238" s="96"/>
      <c r="AR238" s="96"/>
      <c r="AS238" s="44"/>
    </row>
    <row r="239">
      <c r="A239" s="92"/>
      <c r="B239" s="93"/>
      <c r="C239" s="39"/>
      <c r="D239" s="39"/>
      <c r="E239" s="39"/>
      <c r="F239" s="39"/>
      <c r="G239" s="94"/>
      <c r="H239" s="95"/>
      <c r="I239" s="39"/>
      <c r="J239" s="39"/>
      <c r="K239" s="39"/>
      <c r="L239" s="39"/>
      <c r="M239" s="39"/>
      <c r="N239" s="39"/>
      <c r="O239" s="39"/>
      <c r="P239" s="39"/>
      <c r="Q239" s="39"/>
      <c r="R239" s="39"/>
      <c r="S239" s="39"/>
      <c r="T239" s="39"/>
      <c r="U239" s="94"/>
      <c r="V239" s="39"/>
      <c r="W239" s="39"/>
      <c r="X239" s="39"/>
      <c r="Y239" s="39"/>
      <c r="Z239" s="39"/>
      <c r="AA239" s="39"/>
      <c r="AB239" s="39"/>
      <c r="AC239" s="39"/>
      <c r="AD239" s="39"/>
      <c r="AE239" s="39"/>
      <c r="AF239" s="39"/>
      <c r="AG239" s="39"/>
      <c r="AH239" s="39"/>
      <c r="AI239" s="39"/>
      <c r="AJ239" s="39"/>
      <c r="AK239" s="39"/>
      <c r="AL239" s="39"/>
      <c r="AM239" s="39"/>
      <c r="AN239" s="39"/>
      <c r="AO239" s="39"/>
      <c r="AP239" s="39"/>
      <c r="AQ239" s="96"/>
      <c r="AR239" s="96"/>
      <c r="AS239" s="44"/>
    </row>
    <row r="240">
      <c r="A240" s="92"/>
      <c r="B240" s="93"/>
      <c r="C240" s="39"/>
      <c r="D240" s="39"/>
      <c r="E240" s="39"/>
      <c r="F240" s="39"/>
      <c r="G240" s="94"/>
      <c r="H240" s="95"/>
      <c r="I240" s="39"/>
      <c r="J240" s="39"/>
      <c r="K240" s="39"/>
      <c r="L240" s="39"/>
      <c r="M240" s="39"/>
      <c r="N240" s="39"/>
      <c r="O240" s="39"/>
      <c r="P240" s="39"/>
      <c r="Q240" s="39"/>
      <c r="R240" s="39"/>
      <c r="S240" s="39"/>
      <c r="T240" s="39"/>
      <c r="U240" s="94"/>
      <c r="V240" s="39"/>
      <c r="W240" s="39"/>
      <c r="X240" s="39"/>
      <c r="Y240" s="39"/>
      <c r="Z240" s="39"/>
      <c r="AA240" s="39"/>
      <c r="AB240" s="39"/>
      <c r="AC240" s="39"/>
      <c r="AD240" s="39"/>
      <c r="AE240" s="39"/>
      <c r="AF240" s="39"/>
      <c r="AG240" s="39"/>
      <c r="AH240" s="39"/>
      <c r="AI240" s="39"/>
      <c r="AJ240" s="39"/>
      <c r="AK240" s="39"/>
      <c r="AL240" s="39"/>
      <c r="AM240" s="39"/>
      <c r="AN240" s="39"/>
      <c r="AO240" s="39"/>
      <c r="AP240" s="39"/>
      <c r="AQ240" s="96"/>
      <c r="AR240" s="96"/>
      <c r="AS240" s="44"/>
    </row>
    <row r="241">
      <c r="A241" s="92"/>
      <c r="B241" s="93"/>
      <c r="C241" s="39"/>
      <c r="D241" s="39"/>
      <c r="E241" s="39"/>
      <c r="F241" s="39"/>
      <c r="G241" s="94"/>
      <c r="H241" s="95"/>
      <c r="I241" s="39"/>
      <c r="J241" s="39"/>
      <c r="K241" s="39"/>
      <c r="L241" s="39"/>
      <c r="M241" s="39"/>
      <c r="N241" s="39"/>
      <c r="O241" s="39"/>
      <c r="P241" s="39"/>
      <c r="Q241" s="39"/>
      <c r="R241" s="39"/>
      <c r="S241" s="39"/>
      <c r="T241" s="39"/>
      <c r="U241" s="94"/>
      <c r="V241" s="39"/>
      <c r="W241" s="39"/>
      <c r="X241" s="39"/>
      <c r="Y241" s="39"/>
      <c r="Z241" s="39"/>
      <c r="AA241" s="39"/>
      <c r="AB241" s="39"/>
      <c r="AC241" s="39"/>
      <c r="AD241" s="39"/>
      <c r="AE241" s="39"/>
      <c r="AF241" s="39"/>
      <c r="AG241" s="39"/>
      <c r="AH241" s="39"/>
      <c r="AI241" s="39"/>
      <c r="AJ241" s="39"/>
      <c r="AK241" s="39"/>
      <c r="AL241" s="39"/>
      <c r="AM241" s="39"/>
      <c r="AN241" s="39"/>
      <c r="AO241" s="39"/>
      <c r="AP241" s="39"/>
      <c r="AQ241" s="96"/>
      <c r="AR241" s="96"/>
      <c r="AS241" s="44"/>
    </row>
    <row r="242">
      <c r="A242" s="92"/>
      <c r="B242" s="93"/>
      <c r="C242" s="39"/>
      <c r="D242" s="39"/>
      <c r="E242" s="39"/>
      <c r="F242" s="39"/>
      <c r="G242" s="94"/>
      <c r="H242" s="95"/>
      <c r="I242" s="39"/>
      <c r="J242" s="39"/>
      <c r="K242" s="39"/>
      <c r="L242" s="39"/>
      <c r="M242" s="39"/>
      <c r="N242" s="39"/>
      <c r="O242" s="39"/>
      <c r="P242" s="39"/>
      <c r="Q242" s="39"/>
      <c r="R242" s="39"/>
      <c r="S242" s="39"/>
      <c r="T242" s="39"/>
      <c r="U242" s="94"/>
      <c r="V242" s="39"/>
      <c r="W242" s="39"/>
      <c r="X242" s="39"/>
      <c r="Y242" s="39"/>
      <c r="Z242" s="39"/>
      <c r="AA242" s="39"/>
      <c r="AB242" s="39"/>
      <c r="AC242" s="39"/>
      <c r="AD242" s="39"/>
      <c r="AE242" s="39"/>
      <c r="AF242" s="39"/>
      <c r="AG242" s="39"/>
      <c r="AH242" s="39"/>
      <c r="AI242" s="39"/>
      <c r="AJ242" s="39"/>
      <c r="AK242" s="39"/>
      <c r="AL242" s="39"/>
      <c r="AM242" s="39"/>
      <c r="AN242" s="39"/>
      <c r="AO242" s="39"/>
      <c r="AP242" s="39"/>
      <c r="AQ242" s="96"/>
      <c r="AR242" s="96"/>
      <c r="AS242" s="44"/>
    </row>
    <row r="243">
      <c r="A243" s="92"/>
      <c r="B243" s="93"/>
      <c r="C243" s="39"/>
      <c r="D243" s="39"/>
      <c r="E243" s="39"/>
      <c r="F243" s="39"/>
      <c r="G243" s="94"/>
      <c r="H243" s="95"/>
      <c r="I243" s="39"/>
      <c r="J243" s="39"/>
      <c r="K243" s="39"/>
      <c r="L243" s="39"/>
      <c r="M243" s="39"/>
      <c r="N243" s="39"/>
      <c r="O243" s="39"/>
      <c r="P243" s="39"/>
      <c r="Q243" s="39"/>
      <c r="R243" s="39"/>
      <c r="S243" s="39"/>
      <c r="T243" s="39"/>
      <c r="U243" s="94"/>
      <c r="V243" s="39"/>
      <c r="W243" s="39"/>
      <c r="X243" s="39"/>
      <c r="Y243" s="39"/>
      <c r="Z243" s="39"/>
      <c r="AA243" s="39"/>
      <c r="AB243" s="39"/>
      <c r="AC243" s="39"/>
      <c r="AD243" s="39"/>
      <c r="AE243" s="39"/>
      <c r="AF243" s="39"/>
      <c r="AG243" s="39"/>
      <c r="AH243" s="39"/>
      <c r="AI243" s="39"/>
      <c r="AJ243" s="39"/>
      <c r="AK243" s="39"/>
      <c r="AL243" s="39"/>
      <c r="AM243" s="39"/>
      <c r="AN243" s="39"/>
      <c r="AO243" s="39"/>
      <c r="AP243" s="39"/>
      <c r="AQ243" s="96"/>
      <c r="AR243" s="96"/>
      <c r="AS243" s="44"/>
    </row>
    <row r="244">
      <c r="A244" s="92"/>
      <c r="B244" s="93"/>
      <c r="C244" s="39"/>
      <c r="D244" s="39"/>
      <c r="E244" s="39"/>
      <c r="F244" s="39"/>
      <c r="G244" s="94"/>
      <c r="H244" s="95"/>
      <c r="I244" s="39"/>
      <c r="J244" s="39"/>
      <c r="K244" s="39"/>
      <c r="L244" s="39"/>
      <c r="M244" s="39"/>
      <c r="N244" s="39"/>
      <c r="O244" s="39"/>
      <c r="P244" s="39"/>
      <c r="Q244" s="39"/>
      <c r="R244" s="39"/>
      <c r="S244" s="39"/>
      <c r="T244" s="39"/>
      <c r="U244" s="94"/>
      <c r="V244" s="39"/>
      <c r="W244" s="39"/>
      <c r="X244" s="39"/>
      <c r="Y244" s="39"/>
      <c r="Z244" s="39"/>
      <c r="AA244" s="39"/>
      <c r="AB244" s="39"/>
      <c r="AC244" s="39"/>
      <c r="AD244" s="39"/>
      <c r="AE244" s="39"/>
      <c r="AF244" s="39"/>
      <c r="AG244" s="39"/>
      <c r="AH244" s="39"/>
      <c r="AI244" s="39"/>
      <c r="AJ244" s="39"/>
      <c r="AK244" s="39"/>
      <c r="AL244" s="39"/>
      <c r="AM244" s="39"/>
      <c r="AN244" s="39"/>
      <c r="AO244" s="39"/>
      <c r="AP244" s="39"/>
      <c r="AQ244" s="96"/>
      <c r="AR244" s="96"/>
      <c r="AS244" s="44"/>
    </row>
    <row r="245">
      <c r="A245" s="92"/>
      <c r="B245" s="93"/>
      <c r="C245" s="39"/>
      <c r="D245" s="39"/>
      <c r="E245" s="39"/>
      <c r="F245" s="39"/>
      <c r="G245" s="94"/>
      <c r="H245" s="95"/>
      <c r="I245" s="39"/>
      <c r="J245" s="39"/>
      <c r="K245" s="39"/>
      <c r="L245" s="39"/>
      <c r="M245" s="39"/>
      <c r="N245" s="39"/>
      <c r="O245" s="39"/>
      <c r="P245" s="39"/>
      <c r="Q245" s="39"/>
      <c r="R245" s="39"/>
      <c r="S245" s="39"/>
      <c r="T245" s="39"/>
      <c r="U245" s="94"/>
      <c r="V245" s="39"/>
      <c r="W245" s="39"/>
      <c r="X245" s="39"/>
      <c r="Y245" s="39"/>
      <c r="Z245" s="39"/>
      <c r="AA245" s="39"/>
      <c r="AB245" s="39"/>
      <c r="AC245" s="39"/>
      <c r="AD245" s="39"/>
      <c r="AE245" s="39"/>
      <c r="AF245" s="39"/>
      <c r="AG245" s="39"/>
      <c r="AH245" s="39"/>
      <c r="AI245" s="39"/>
      <c r="AJ245" s="39"/>
      <c r="AK245" s="39"/>
      <c r="AL245" s="39"/>
      <c r="AM245" s="39"/>
      <c r="AN245" s="39"/>
      <c r="AO245" s="39"/>
      <c r="AP245" s="39"/>
      <c r="AQ245" s="96"/>
      <c r="AR245" s="96"/>
      <c r="AS245" s="44"/>
    </row>
    <row r="246">
      <c r="A246" s="92"/>
      <c r="B246" s="93"/>
      <c r="C246" s="39"/>
      <c r="D246" s="39"/>
      <c r="E246" s="39"/>
      <c r="F246" s="39"/>
      <c r="G246" s="94"/>
      <c r="H246" s="95"/>
      <c r="I246" s="39"/>
      <c r="J246" s="39"/>
      <c r="K246" s="39"/>
      <c r="L246" s="39"/>
      <c r="M246" s="39"/>
      <c r="N246" s="39"/>
      <c r="O246" s="39"/>
      <c r="P246" s="39"/>
      <c r="Q246" s="39"/>
      <c r="R246" s="39"/>
      <c r="S246" s="39"/>
      <c r="T246" s="39"/>
      <c r="U246" s="94"/>
      <c r="V246" s="39"/>
      <c r="W246" s="39"/>
      <c r="X246" s="39"/>
      <c r="Y246" s="39"/>
      <c r="Z246" s="39"/>
      <c r="AA246" s="39"/>
      <c r="AB246" s="39"/>
      <c r="AC246" s="39"/>
      <c r="AD246" s="39"/>
      <c r="AE246" s="39"/>
      <c r="AF246" s="39"/>
      <c r="AG246" s="39"/>
      <c r="AH246" s="39"/>
      <c r="AI246" s="39"/>
      <c r="AJ246" s="39"/>
      <c r="AK246" s="39"/>
      <c r="AL246" s="39"/>
      <c r="AM246" s="39"/>
      <c r="AN246" s="39"/>
      <c r="AO246" s="39"/>
      <c r="AP246" s="39"/>
      <c r="AQ246" s="96"/>
      <c r="AR246" s="96"/>
      <c r="AS246" s="44"/>
    </row>
    <row r="247">
      <c r="A247" s="92"/>
      <c r="B247" s="93"/>
      <c r="C247" s="39"/>
      <c r="D247" s="39"/>
      <c r="E247" s="39"/>
      <c r="F247" s="39"/>
      <c r="G247" s="94"/>
      <c r="H247" s="95"/>
      <c r="I247" s="39"/>
      <c r="J247" s="39"/>
      <c r="K247" s="39"/>
      <c r="L247" s="39"/>
      <c r="M247" s="39"/>
      <c r="N247" s="39"/>
      <c r="O247" s="39"/>
      <c r="P247" s="39"/>
      <c r="Q247" s="39"/>
      <c r="R247" s="39"/>
      <c r="S247" s="39"/>
      <c r="T247" s="39"/>
      <c r="U247" s="94"/>
      <c r="V247" s="39"/>
      <c r="W247" s="39"/>
      <c r="X247" s="39"/>
      <c r="Y247" s="39"/>
      <c r="Z247" s="39"/>
      <c r="AA247" s="39"/>
      <c r="AB247" s="39"/>
      <c r="AC247" s="39"/>
      <c r="AD247" s="39"/>
      <c r="AE247" s="39"/>
      <c r="AF247" s="39"/>
      <c r="AG247" s="39"/>
      <c r="AH247" s="39"/>
      <c r="AI247" s="39"/>
      <c r="AJ247" s="39"/>
      <c r="AK247" s="39"/>
      <c r="AL247" s="39"/>
      <c r="AM247" s="39"/>
      <c r="AN247" s="39"/>
      <c r="AO247" s="39"/>
      <c r="AP247" s="39"/>
      <c r="AQ247" s="96"/>
      <c r="AR247" s="96"/>
      <c r="AS247" s="44"/>
    </row>
    <row r="248">
      <c r="A248" s="92"/>
      <c r="B248" s="93"/>
      <c r="C248" s="39"/>
      <c r="D248" s="39"/>
      <c r="E248" s="39"/>
      <c r="F248" s="39"/>
      <c r="G248" s="94"/>
      <c r="H248" s="95"/>
      <c r="I248" s="39"/>
      <c r="J248" s="39"/>
      <c r="K248" s="39"/>
      <c r="L248" s="39"/>
      <c r="M248" s="39"/>
      <c r="N248" s="39"/>
      <c r="O248" s="39"/>
      <c r="P248" s="39"/>
      <c r="Q248" s="39"/>
      <c r="R248" s="39"/>
      <c r="S248" s="39"/>
      <c r="T248" s="39"/>
      <c r="U248" s="94"/>
      <c r="V248" s="39"/>
      <c r="W248" s="39"/>
      <c r="X248" s="39"/>
      <c r="Y248" s="39"/>
      <c r="Z248" s="39"/>
      <c r="AA248" s="39"/>
      <c r="AB248" s="39"/>
      <c r="AC248" s="39"/>
      <c r="AD248" s="39"/>
      <c r="AE248" s="39"/>
      <c r="AF248" s="39"/>
      <c r="AG248" s="39"/>
      <c r="AH248" s="39"/>
      <c r="AI248" s="39"/>
      <c r="AJ248" s="39"/>
      <c r="AK248" s="39"/>
      <c r="AL248" s="39"/>
      <c r="AM248" s="39"/>
      <c r="AN248" s="39"/>
      <c r="AO248" s="39"/>
      <c r="AP248" s="39"/>
      <c r="AQ248" s="96"/>
      <c r="AR248" s="96"/>
      <c r="AS248" s="44"/>
    </row>
    <row r="249">
      <c r="A249" s="92"/>
      <c r="B249" s="93"/>
      <c r="C249" s="39"/>
      <c r="D249" s="39"/>
      <c r="E249" s="39"/>
      <c r="F249" s="39"/>
      <c r="G249" s="94"/>
      <c r="H249" s="95"/>
      <c r="I249" s="39"/>
      <c r="J249" s="39"/>
      <c r="K249" s="39"/>
      <c r="L249" s="39"/>
      <c r="M249" s="39"/>
      <c r="N249" s="39"/>
      <c r="O249" s="39"/>
      <c r="P249" s="39"/>
      <c r="Q249" s="39"/>
      <c r="R249" s="39"/>
      <c r="S249" s="39"/>
      <c r="T249" s="39"/>
      <c r="U249" s="94"/>
      <c r="V249" s="39"/>
      <c r="W249" s="39"/>
      <c r="X249" s="39"/>
      <c r="Y249" s="39"/>
      <c r="Z249" s="39"/>
      <c r="AA249" s="39"/>
      <c r="AB249" s="39"/>
      <c r="AC249" s="39"/>
      <c r="AD249" s="39"/>
      <c r="AE249" s="39"/>
      <c r="AF249" s="39"/>
      <c r="AG249" s="39"/>
      <c r="AH249" s="39"/>
      <c r="AI249" s="39"/>
      <c r="AJ249" s="39"/>
      <c r="AK249" s="39"/>
      <c r="AL249" s="39"/>
      <c r="AM249" s="39"/>
      <c r="AN249" s="39"/>
      <c r="AO249" s="39"/>
      <c r="AP249" s="39"/>
      <c r="AQ249" s="96"/>
      <c r="AR249" s="96"/>
      <c r="AS249" s="44"/>
    </row>
    <row r="250">
      <c r="A250" s="92"/>
      <c r="B250" s="93"/>
      <c r="C250" s="39"/>
      <c r="D250" s="39"/>
      <c r="E250" s="39"/>
      <c r="F250" s="39"/>
      <c r="G250" s="94"/>
      <c r="H250" s="95"/>
      <c r="I250" s="39"/>
      <c r="J250" s="39"/>
      <c r="K250" s="39"/>
      <c r="L250" s="39"/>
      <c r="M250" s="39"/>
      <c r="N250" s="39"/>
      <c r="O250" s="39"/>
      <c r="P250" s="39"/>
      <c r="Q250" s="39"/>
      <c r="R250" s="39"/>
      <c r="S250" s="39"/>
      <c r="T250" s="39"/>
      <c r="U250" s="94"/>
      <c r="V250" s="39"/>
      <c r="W250" s="39"/>
      <c r="X250" s="39"/>
      <c r="Y250" s="39"/>
      <c r="Z250" s="39"/>
      <c r="AA250" s="39"/>
      <c r="AB250" s="39"/>
      <c r="AC250" s="39"/>
      <c r="AD250" s="39"/>
      <c r="AE250" s="39"/>
      <c r="AF250" s="39"/>
      <c r="AG250" s="39"/>
      <c r="AH250" s="39"/>
      <c r="AI250" s="39"/>
      <c r="AJ250" s="39"/>
      <c r="AK250" s="39"/>
      <c r="AL250" s="39"/>
      <c r="AM250" s="39"/>
      <c r="AN250" s="39"/>
      <c r="AO250" s="39"/>
      <c r="AP250" s="39"/>
      <c r="AQ250" s="96"/>
      <c r="AR250" s="96"/>
      <c r="AS250" s="44"/>
    </row>
    <row r="251">
      <c r="A251" s="92"/>
      <c r="B251" s="93"/>
      <c r="C251" s="39"/>
      <c r="D251" s="39"/>
      <c r="E251" s="39"/>
      <c r="F251" s="39"/>
      <c r="G251" s="94"/>
      <c r="H251" s="95"/>
      <c r="I251" s="39"/>
      <c r="J251" s="39"/>
      <c r="K251" s="39"/>
      <c r="L251" s="39"/>
      <c r="M251" s="39"/>
      <c r="N251" s="39"/>
      <c r="O251" s="39"/>
      <c r="P251" s="39"/>
      <c r="Q251" s="39"/>
      <c r="R251" s="39"/>
      <c r="S251" s="39"/>
      <c r="T251" s="39"/>
      <c r="U251" s="94"/>
      <c r="V251" s="39"/>
      <c r="W251" s="39"/>
      <c r="X251" s="39"/>
      <c r="Y251" s="39"/>
      <c r="Z251" s="39"/>
      <c r="AA251" s="39"/>
      <c r="AB251" s="39"/>
      <c r="AC251" s="39"/>
      <c r="AD251" s="39"/>
      <c r="AE251" s="39"/>
      <c r="AF251" s="39"/>
      <c r="AG251" s="39"/>
      <c r="AH251" s="39"/>
      <c r="AI251" s="39"/>
      <c r="AJ251" s="39"/>
      <c r="AK251" s="39"/>
      <c r="AL251" s="39"/>
      <c r="AM251" s="39"/>
      <c r="AN251" s="39"/>
      <c r="AO251" s="39"/>
      <c r="AP251" s="39"/>
      <c r="AQ251" s="96"/>
      <c r="AR251" s="96"/>
      <c r="AS251" s="44"/>
    </row>
    <row r="252">
      <c r="A252" s="92"/>
      <c r="B252" s="93"/>
      <c r="C252" s="39"/>
      <c r="D252" s="39"/>
      <c r="E252" s="39"/>
      <c r="F252" s="39"/>
      <c r="G252" s="94"/>
      <c r="H252" s="95"/>
      <c r="I252" s="39"/>
      <c r="J252" s="39"/>
      <c r="K252" s="39"/>
      <c r="L252" s="39"/>
      <c r="M252" s="39"/>
      <c r="N252" s="39"/>
      <c r="O252" s="39"/>
      <c r="P252" s="39"/>
      <c r="Q252" s="39"/>
      <c r="R252" s="39"/>
      <c r="S252" s="39"/>
      <c r="T252" s="39"/>
      <c r="U252" s="94"/>
      <c r="V252" s="39"/>
      <c r="W252" s="39"/>
      <c r="X252" s="39"/>
      <c r="Y252" s="39"/>
      <c r="Z252" s="39"/>
      <c r="AA252" s="39"/>
      <c r="AB252" s="39"/>
      <c r="AC252" s="39"/>
      <c r="AD252" s="39"/>
      <c r="AE252" s="39"/>
      <c r="AF252" s="39"/>
      <c r="AG252" s="39"/>
      <c r="AH252" s="39"/>
      <c r="AI252" s="39"/>
      <c r="AJ252" s="39"/>
      <c r="AK252" s="39"/>
      <c r="AL252" s="39"/>
      <c r="AM252" s="39"/>
      <c r="AN252" s="39"/>
      <c r="AO252" s="39"/>
      <c r="AP252" s="39"/>
      <c r="AQ252" s="96"/>
      <c r="AR252" s="96"/>
      <c r="AS252" s="44"/>
    </row>
    <row r="253">
      <c r="A253" s="92"/>
      <c r="B253" s="93"/>
      <c r="C253" s="39"/>
      <c r="D253" s="39"/>
      <c r="E253" s="39"/>
      <c r="F253" s="39"/>
      <c r="G253" s="94"/>
      <c r="H253" s="95"/>
      <c r="I253" s="39"/>
      <c r="J253" s="39"/>
      <c r="K253" s="39"/>
      <c r="L253" s="39"/>
      <c r="M253" s="39"/>
      <c r="N253" s="39"/>
      <c r="O253" s="39"/>
      <c r="P253" s="39"/>
      <c r="Q253" s="39"/>
      <c r="R253" s="39"/>
      <c r="S253" s="39"/>
      <c r="T253" s="39"/>
      <c r="U253" s="94"/>
      <c r="V253" s="39"/>
      <c r="W253" s="39"/>
      <c r="X253" s="39"/>
      <c r="Y253" s="39"/>
      <c r="Z253" s="39"/>
      <c r="AA253" s="39"/>
      <c r="AB253" s="39"/>
      <c r="AC253" s="39"/>
      <c r="AD253" s="39"/>
      <c r="AE253" s="39"/>
      <c r="AF253" s="39"/>
      <c r="AG253" s="39"/>
      <c r="AH253" s="39"/>
      <c r="AI253" s="39"/>
      <c r="AJ253" s="39"/>
      <c r="AK253" s="39"/>
      <c r="AL253" s="39"/>
      <c r="AM253" s="39"/>
      <c r="AN253" s="39"/>
      <c r="AO253" s="39"/>
      <c r="AP253" s="39"/>
      <c r="AQ253" s="96"/>
      <c r="AR253" s="96"/>
      <c r="AS253" s="44"/>
    </row>
    <row r="254">
      <c r="A254" s="92"/>
      <c r="B254" s="93"/>
      <c r="C254" s="39"/>
      <c r="D254" s="39"/>
      <c r="E254" s="39"/>
      <c r="F254" s="39"/>
      <c r="G254" s="94"/>
      <c r="H254" s="95"/>
      <c r="I254" s="39"/>
      <c r="J254" s="39"/>
      <c r="K254" s="39"/>
      <c r="L254" s="39"/>
      <c r="M254" s="39"/>
      <c r="N254" s="39"/>
      <c r="O254" s="39"/>
      <c r="P254" s="39"/>
      <c r="Q254" s="39"/>
      <c r="R254" s="39"/>
      <c r="S254" s="39"/>
      <c r="T254" s="39"/>
      <c r="U254" s="94"/>
      <c r="V254" s="39"/>
      <c r="W254" s="39"/>
      <c r="X254" s="39"/>
      <c r="Y254" s="39"/>
      <c r="Z254" s="39"/>
      <c r="AA254" s="39"/>
      <c r="AB254" s="39"/>
      <c r="AC254" s="39"/>
      <c r="AD254" s="39"/>
      <c r="AE254" s="39"/>
      <c r="AF254" s="39"/>
      <c r="AG254" s="39"/>
      <c r="AH254" s="39"/>
      <c r="AI254" s="39"/>
      <c r="AJ254" s="39"/>
      <c r="AK254" s="39"/>
      <c r="AL254" s="39"/>
      <c r="AM254" s="39"/>
      <c r="AN254" s="39"/>
      <c r="AO254" s="39"/>
      <c r="AP254" s="39"/>
      <c r="AQ254" s="96"/>
      <c r="AR254" s="96"/>
      <c r="AS254" s="44"/>
    </row>
    <row r="255">
      <c r="A255" s="92"/>
      <c r="B255" s="93"/>
      <c r="C255" s="39"/>
      <c r="D255" s="39"/>
      <c r="E255" s="39"/>
      <c r="F255" s="39"/>
      <c r="G255" s="94"/>
      <c r="H255" s="95"/>
      <c r="I255" s="39"/>
      <c r="J255" s="39"/>
      <c r="K255" s="39"/>
      <c r="L255" s="39"/>
      <c r="M255" s="39"/>
      <c r="N255" s="39"/>
      <c r="O255" s="39"/>
      <c r="P255" s="39"/>
      <c r="Q255" s="39"/>
      <c r="R255" s="39"/>
      <c r="S255" s="39"/>
      <c r="T255" s="39"/>
      <c r="U255" s="94"/>
      <c r="V255" s="39"/>
      <c r="W255" s="39"/>
      <c r="X255" s="39"/>
      <c r="Y255" s="39"/>
      <c r="Z255" s="39"/>
      <c r="AA255" s="39"/>
      <c r="AB255" s="39"/>
      <c r="AC255" s="39"/>
      <c r="AD255" s="39"/>
      <c r="AE255" s="39"/>
      <c r="AF255" s="39"/>
      <c r="AG255" s="39"/>
      <c r="AH255" s="39"/>
      <c r="AI255" s="39"/>
      <c r="AJ255" s="39"/>
      <c r="AK255" s="39"/>
      <c r="AL255" s="39"/>
      <c r="AM255" s="39"/>
      <c r="AN255" s="39"/>
      <c r="AO255" s="39"/>
      <c r="AP255" s="39"/>
      <c r="AQ255" s="96"/>
      <c r="AR255" s="96"/>
      <c r="AS255" s="44"/>
    </row>
    <row r="256">
      <c r="A256" s="92"/>
      <c r="B256" s="93"/>
      <c r="C256" s="39"/>
      <c r="D256" s="39"/>
      <c r="E256" s="39"/>
      <c r="F256" s="39"/>
      <c r="G256" s="94"/>
      <c r="H256" s="95"/>
      <c r="I256" s="39"/>
      <c r="J256" s="39"/>
      <c r="K256" s="39"/>
      <c r="L256" s="39"/>
      <c r="M256" s="39"/>
      <c r="N256" s="39"/>
      <c r="O256" s="39"/>
      <c r="P256" s="39"/>
      <c r="Q256" s="39"/>
      <c r="R256" s="39"/>
      <c r="S256" s="39"/>
      <c r="T256" s="39"/>
      <c r="U256" s="94"/>
      <c r="V256" s="39"/>
      <c r="W256" s="39"/>
      <c r="X256" s="39"/>
      <c r="Y256" s="39"/>
      <c r="Z256" s="39"/>
      <c r="AA256" s="39"/>
      <c r="AB256" s="39"/>
      <c r="AC256" s="39"/>
      <c r="AD256" s="39"/>
      <c r="AE256" s="39"/>
      <c r="AF256" s="39"/>
      <c r="AG256" s="39"/>
      <c r="AH256" s="39"/>
      <c r="AI256" s="39"/>
      <c r="AJ256" s="39"/>
      <c r="AK256" s="39"/>
      <c r="AL256" s="39"/>
      <c r="AM256" s="39"/>
      <c r="AN256" s="39"/>
      <c r="AO256" s="39"/>
      <c r="AP256" s="39"/>
      <c r="AQ256" s="96"/>
      <c r="AR256" s="96"/>
      <c r="AS256" s="44"/>
    </row>
    <row r="257">
      <c r="A257" s="92"/>
      <c r="B257" s="93"/>
      <c r="C257" s="39"/>
      <c r="D257" s="39"/>
      <c r="E257" s="39"/>
      <c r="F257" s="39"/>
      <c r="G257" s="94"/>
      <c r="H257" s="95"/>
      <c r="I257" s="39"/>
      <c r="J257" s="39"/>
      <c r="K257" s="39"/>
      <c r="L257" s="39"/>
      <c r="M257" s="39"/>
      <c r="N257" s="39"/>
      <c r="O257" s="39"/>
      <c r="P257" s="39"/>
      <c r="Q257" s="39"/>
      <c r="R257" s="39"/>
      <c r="S257" s="39"/>
      <c r="T257" s="39"/>
      <c r="U257" s="94"/>
      <c r="V257" s="39"/>
      <c r="W257" s="39"/>
      <c r="X257" s="39"/>
      <c r="Y257" s="39"/>
      <c r="Z257" s="39"/>
      <c r="AA257" s="39"/>
      <c r="AB257" s="39"/>
      <c r="AC257" s="39"/>
      <c r="AD257" s="39"/>
      <c r="AE257" s="39"/>
      <c r="AF257" s="39"/>
      <c r="AG257" s="39"/>
      <c r="AH257" s="39"/>
      <c r="AI257" s="39"/>
      <c r="AJ257" s="39"/>
      <c r="AK257" s="39"/>
      <c r="AL257" s="39"/>
      <c r="AM257" s="39"/>
      <c r="AN257" s="39"/>
      <c r="AO257" s="39"/>
      <c r="AP257" s="39"/>
      <c r="AQ257" s="96"/>
      <c r="AR257" s="96"/>
      <c r="AS257" s="44"/>
    </row>
    <row r="258">
      <c r="A258" s="92"/>
      <c r="B258" s="93"/>
      <c r="C258" s="39"/>
      <c r="D258" s="39"/>
      <c r="E258" s="39"/>
      <c r="F258" s="39"/>
      <c r="G258" s="94"/>
      <c r="H258" s="95"/>
      <c r="I258" s="39"/>
      <c r="J258" s="39"/>
      <c r="K258" s="39"/>
      <c r="L258" s="39"/>
      <c r="M258" s="39"/>
      <c r="N258" s="39"/>
      <c r="O258" s="39"/>
      <c r="P258" s="39"/>
      <c r="Q258" s="39"/>
      <c r="R258" s="39"/>
      <c r="S258" s="39"/>
      <c r="T258" s="39"/>
      <c r="U258" s="94"/>
      <c r="V258" s="39"/>
      <c r="W258" s="39"/>
      <c r="X258" s="39"/>
      <c r="Y258" s="39"/>
      <c r="Z258" s="39"/>
      <c r="AA258" s="39"/>
      <c r="AB258" s="39"/>
      <c r="AC258" s="39"/>
      <c r="AD258" s="39"/>
      <c r="AE258" s="39"/>
      <c r="AF258" s="39"/>
      <c r="AG258" s="39"/>
      <c r="AH258" s="39"/>
      <c r="AI258" s="39"/>
      <c r="AJ258" s="39"/>
      <c r="AK258" s="39"/>
      <c r="AL258" s="39"/>
      <c r="AM258" s="39"/>
      <c r="AN258" s="39"/>
      <c r="AO258" s="39"/>
      <c r="AP258" s="39"/>
      <c r="AQ258" s="96"/>
      <c r="AR258" s="96"/>
      <c r="AS258" s="44"/>
    </row>
    <row r="259">
      <c r="A259" s="92"/>
      <c r="B259" s="93"/>
      <c r="C259" s="39"/>
      <c r="D259" s="39"/>
      <c r="E259" s="39"/>
      <c r="F259" s="39"/>
      <c r="G259" s="94"/>
      <c r="H259" s="95"/>
      <c r="I259" s="39"/>
      <c r="J259" s="39"/>
      <c r="K259" s="39"/>
      <c r="L259" s="39"/>
      <c r="M259" s="39"/>
      <c r="N259" s="39"/>
      <c r="O259" s="39"/>
      <c r="P259" s="39"/>
      <c r="Q259" s="39"/>
      <c r="R259" s="39"/>
      <c r="S259" s="39"/>
      <c r="T259" s="39"/>
      <c r="U259" s="94"/>
      <c r="V259" s="39"/>
      <c r="W259" s="39"/>
      <c r="X259" s="39"/>
      <c r="Y259" s="39"/>
      <c r="Z259" s="39"/>
      <c r="AA259" s="39"/>
      <c r="AB259" s="39"/>
      <c r="AC259" s="39"/>
      <c r="AD259" s="39"/>
      <c r="AE259" s="39"/>
      <c r="AF259" s="39"/>
      <c r="AG259" s="39"/>
      <c r="AH259" s="39"/>
      <c r="AI259" s="39"/>
      <c r="AJ259" s="39"/>
      <c r="AK259" s="39"/>
      <c r="AL259" s="39"/>
      <c r="AM259" s="39"/>
      <c r="AN259" s="39"/>
      <c r="AO259" s="39"/>
      <c r="AP259" s="39"/>
      <c r="AQ259" s="96"/>
      <c r="AR259" s="96"/>
      <c r="AS259" s="44"/>
    </row>
    <row r="260">
      <c r="A260" s="92"/>
      <c r="B260" s="93"/>
      <c r="C260" s="39"/>
      <c r="D260" s="39"/>
      <c r="E260" s="39"/>
      <c r="F260" s="39"/>
      <c r="G260" s="94"/>
      <c r="H260" s="95"/>
      <c r="I260" s="39"/>
      <c r="J260" s="39"/>
      <c r="K260" s="39"/>
      <c r="L260" s="39"/>
      <c r="M260" s="39"/>
      <c r="N260" s="39"/>
      <c r="O260" s="39"/>
      <c r="P260" s="39"/>
      <c r="Q260" s="39"/>
      <c r="R260" s="39"/>
      <c r="S260" s="39"/>
      <c r="T260" s="39"/>
      <c r="U260" s="94"/>
      <c r="V260" s="39"/>
      <c r="W260" s="39"/>
      <c r="X260" s="39"/>
      <c r="Y260" s="39"/>
      <c r="Z260" s="39"/>
      <c r="AA260" s="39"/>
      <c r="AB260" s="39"/>
      <c r="AC260" s="39"/>
      <c r="AD260" s="39"/>
      <c r="AE260" s="39"/>
      <c r="AF260" s="39"/>
      <c r="AG260" s="39"/>
      <c r="AH260" s="39"/>
      <c r="AI260" s="39"/>
      <c r="AJ260" s="39"/>
      <c r="AK260" s="39"/>
      <c r="AL260" s="39"/>
      <c r="AM260" s="39"/>
      <c r="AN260" s="39"/>
      <c r="AO260" s="39"/>
      <c r="AP260" s="39"/>
      <c r="AQ260" s="96"/>
      <c r="AR260" s="96"/>
      <c r="AS260" s="44"/>
    </row>
    <row r="261">
      <c r="A261" s="92"/>
      <c r="B261" s="93"/>
      <c r="C261" s="39"/>
      <c r="D261" s="39"/>
      <c r="E261" s="39"/>
      <c r="F261" s="39"/>
      <c r="G261" s="94"/>
      <c r="H261" s="95"/>
      <c r="I261" s="39"/>
      <c r="J261" s="39"/>
      <c r="K261" s="39"/>
      <c r="L261" s="39"/>
      <c r="M261" s="39"/>
      <c r="N261" s="39"/>
      <c r="O261" s="39"/>
      <c r="P261" s="39"/>
      <c r="Q261" s="39"/>
      <c r="R261" s="39"/>
      <c r="S261" s="39"/>
      <c r="T261" s="39"/>
      <c r="U261" s="94"/>
      <c r="V261" s="39"/>
      <c r="W261" s="39"/>
      <c r="X261" s="39"/>
      <c r="Y261" s="39"/>
      <c r="Z261" s="39"/>
      <c r="AA261" s="39"/>
      <c r="AB261" s="39"/>
      <c r="AC261" s="39"/>
      <c r="AD261" s="39"/>
      <c r="AE261" s="39"/>
      <c r="AF261" s="39"/>
      <c r="AG261" s="39"/>
      <c r="AH261" s="39"/>
      <c r="AI261" s="39"/>
      <c r="AJ261" s="39"/>
      <c r="AK261" s="39"/>
      <c r="AL261" s="39"/>
      <c r="AM261" s="39"/>
      <c r="AN261" s="39"/>
      <c r="AO261" s="39"/>
      <c r="AP261" s="39"/>
      <c r="AQ261" s="96"/>
      <c r="AR261" s="96"/>
      <c r="AS261" s="44"/>
    </row>
    <row r="262">
      <c r="A262" s="92"/>
      <c r="B262" s="93"/>
      <c r="C262" s="39"/>
      <c r="D262" s="39"/>
      <c r="E262" s="39"/>
      <c r="F262" s="39"/>
      <c r="G262" s="94"/>
      <c r="H262" s="95"/>
      <c r="I262" s="39"/>
      <c r="J262" s="39"/>
      <c r="K262" s="39"/>
      <c r="L262" s="39"/>
      <c r="M262" s="39"/>
      <c r="N262" s="39"/>
      <c r="O262" s="39"/>
      <c r="P262" s="39"/>
      <c r="Q262" s="39"/>
      <c r="R262" s="39"/>
      <c r="S262" s="39"/>
      <c r="T262" s="39"/>
      <c r="U262" s="94"/>
      <c r="V262" s="39"/>
      <c r="W262" s="39"/>
      <c r="X262" s="39"/>
      <c r="Y262" s="39"/>
      <c r="Z262" s="39"/>
      <c r="AA262" s="39"/>
      <c r="AB262" s="39"/>
      <c r="AC262" s="39"/>
      <c r="AD262" s="39"/>
      <c r="AE262" s="39"/>
      <c r="AF262" s="39"/>
      <c r="AG262" s="39"/>
      <c r="AH262" s="39"/>
      <c r="AI262" s="39"/>
      <c r="AJ262" s="39"/>
      <c r="AK262" s="39"/>
      <c r="AL262" s="39"/>
      <c r="AM262" s="39"/>
      <c r="AN262" s="39"/>
      <c r="AO262" s="39"/>
      <c r="AP262" s="39"/>
      <c r="AQ262" s="96"/>
      <c r="AR262" s="96"/>
      <c r="AS262" s="44"/>
    </row>
    <row r="263">
      <c r="A263" s="92"/>
      <c r="B263" s="93"/>
      <c r="C263" s="39"/>
      <c r="D263" s="39"/>
      <c r="E263" s="39"/>
      <c r="F263" s="39"/>
      <c r="G263" s="94"/>
      <c r="H263" s="95"/>
      <c r="I263" s="39"/>
      <c r="J263" s="39"/>
      <c r="K263" s="39"/>
      <c r="L263" s="39"/>
      <c r="M263" s="39"/>
      <c r="N263" s="39"/>
      <c r="O263" s="39"/>
      <c r="P263" s="39"/>
      <c r="Q263" s="39"/>
      <c r="R263" s="39"/>
      <c r="S263" s="39"/>
      <c r="T263" s="39"/>
      <c r="U263" s="94"/>
      <c r="V263" s="39"/>
      <c r="W263" s="39"/>
      <c r="X263" s="39"/>
      <c r="Y263" s="39"/>
      <c r="Z263" s="39"/>
      <c r="AA263" s="39"/>
      <c r="AB263" s="39"/>
      <c r="AC263" s="39"/>
      <c r="AD263" s="39"/>
      <c r="AE263" s="39"/>
      <c r="AF263" s="39"/>
      <c r="AG263" s="39"/>
      <c r="AH263" s="39"/>
      <c r="AI263" s="39"/>
      <c r="AJ263" s="39"/>
      <c r="AK263" s="39"/>
      <c r="AL263" s="39"/>
      <c r="AM263" s="39"/>
      <c r="AN263" s="39"/>
      <c r="AO263" s="39"/>
      <c r="AP263" s="39"/>
      <c r="AQ263" s="96"/>
      <c r="AR263" s="96"/>
      <c r="AS263" s="44"/>
    </row>
    <row r="264">
      <c r="A264" s="92"/>
      <c r="B264" s="93"/>
      <c r="C264" s="39"/>
      <c r="D264" s="39"/>
      <c r="E264" s="39"/>
      <c r="F264" s="39"/>
      <c r="G264" s="94"/>
      <c r="H264" s="95"/>
      <c r="I264" s="39"/>
      <c r="J264" s="39"/>
      <c r="K264" s="39"/>
      <c r="L264" s="39"/>
      <c r="M264" s="39"/>
      <c r="N264" s="39"/>
      <c r="O264" s="39"/>
      <c r="P264" s="39"/>
      <c r="Q264" s="39"/>
      <c r="R264" s="39"/>
      <c r="S264" s="39"/>
      <c r="T264" s="39"/>
      <c r="U264" s="94"/>
      <c r="V264" s="39"/>
      <c r="W264" s="39"/>
      <c r="X264" s="39"/>
      <c r="Y264" s="39"/>
      <c r="Z264" s="39"/>
      <c r="AA264" s="39"/>
      <c r="AB264" s="39"/>
      <c r="AC264" s="39"/>
      <c r="AD264" s="39"/>
      <c r="AE264" s="39"/>
      <c r="AF264" s="39"/>
      <c r="AG264" s="39"/>
      <c r="AH264" s="39"/>
      <c r="AI264" s="39"/>
      <c r="AJ264" s="39"/>
      <c r="AK264" s="39"/>
      <c r="AL264" s="39"/>
      <c r="AM264" s="39"/>
      <c r="AN264" s="39"/>
      <c r="AO264" s="39"/>
      <c r="AP264" s="39"/>
      <c r="AQ264" s="96"/>
      <c r="AR264" s="96"/>
      <c r="AS264" s="44"/>
    </row>
    <row r="265">
      <c r="A265" s="92"/>
      <c r="B265" s="93"/>
      <c r="C265" s="39"/>
      <c r="D265" s="39"/>
      <c r="E265" s="39"/>
      <c r="F265" s="39"/>
      <c r="G265" s="94"/>
      <c r="H265" s="95"/>
      <c r="I265" s="39"/>
      <c r="J265" s="39"/>
      <c r="K265" s="39"/>
      <c r="L265" s="39"/>
      <c r="M265" s="39"/>
      <c r="N265" s="39"/>
      <c r="O265" s="39"/>
      <c r="P265" s="39"/>
      <c r="Q265" s="39"/>
      <c r="R265" s="39"/>
      <c r="S265" s="39"/>
      <c r="T265" s="39"/>
      <c r="U265" s="94"/>
      <c r="V265" s="39"/>
      <c r="W265" s="39"/>
      <c r="X265" s="39"/>
      <c r="Y265" s="39"/>
      <c r="Z265" s="39"/>
      <c r="AA265" s="39"/>
      <c r="AB265" s="39"/>
      <c r="AC265" s="39"/>
      <c r="AD265" s="39"/>
      <c r="AE265" s="39"/>
      <c r="AF265" s="39"/>
      <c r="AG265" s="39"/>
      <c r="AH265" s="39"/>
      <c r="AI265" s="39"/>
      <c r="AJ265" s="39"/>
      <c r="AK265" s="39"/>
      <c r="AL265" s="39"/>
      <c r="AM265" s="39"/>
      <c r="AN265" s="39"/>
      <c r="AO265" s="39"/>
      <c r="AP265" s="39"/>
      <c r="AQ265" s="96"/>
      <c r="AR265" s="96"/>
      <c r="AS265" s="44"/>
    </row>
    <row r="266">
      <c r="A266" s="92"/>
      <c r="B266" s="93"/>
      <c r="C266" s="39"/>
      <c r="D266" s="39"/>
      <c r="E266" s="39"/>
      <c r="F266" s="39"/>
      <c r="G266" s="94"/>
      <c r="H266" s="95"/>
      <c r="I266" s="39"/>
      <c r="J266" s="39"/>
      <c r="K266" s="39"/>
      <c r="L266" s="39"/>
      <c r="M266" s="39"/>
      <c r="N266" s="39"/>
      <c r="O266" s="39"/>
      <c r="P266" s="39"/>
      <c r="Q266" s="39"/>
      <c r="R266" s="39"/>
      <c r="S266" s="39"/>
      <c r="T266" s="39"/>
      <c r="U266" s="94"/>
      <c r="V266" s="39"/>
      <c r="W266" s="39"/>
      <c r="X266" s="39"/>
      <c r="Y266" s="39"/>
      <c r="Z266" s="39"/>
      <c r="AA266" s="39"/>
      <c r="AB266" s="39"/>
      <c r="AC266" s="39"/>
      <c r="AD266" s="39"/>
      <c r="AE266" s="39"/>
      <c r="AF266" s="39"/>
      <c r="AG266" s="39"/>
      <c r="AH266" s="39"/>
      <c r="AI266" s="39"/>
      <c r="AJ266" s="39"/>
      <c r="AK266" s="39"/>
      <c r="AL266" s="39"/>
      <c r="AM266" s="39"/>
      <c r="AN266" s="39"/>
      <c r="AO266" s="39"/>
      <c r="AP266" s="39"/>
      <c r="AQ266" s="96"/>
      <c r="AR266" s="96"/>
      <c r="AS266" s="44"/>
    </row>
    <row r="267">
      <c r="A267" s="92"/>
      <c r="B267" s="93"/>
      <c r="C267" s="39"/>
      <c r="D267" s="39"/>
      <c r="E267" s="39"/>
      <c r="F267" s="39"/>
      <c r="G267" s="94"/>
      <c r="H267" s="95"/>
      <c r="I267" s="39"/>
      <c r="J267" s="39"/>
      <c r="K267" s="39"/>
      <c r="L267" s="39"/>
      <c r="M267" s="39"/>
      <c r="N267" s="39"/>
      <c r="O267" s="39"/>
      <c r="P267" s="39"/>
      <c r="Q267" s="39"/>
      <c r="R267" s="39"/>
      <c r="S267" s="39"/>
      <c r="T267" s="39"/>
      <c r="U267" s="94"/>
      <c r="V267" s="39"/>
      <c r="W267" s="39"/>
      <c r="X267" s="39"/>
      <c r="Y267" s="39"/>
      <c r="Z267" s="39"/>
      <c r="AA267" s="39"/>
      <c r="AB267" s="39"/>
      <c r="AC267" s="39"/>
      <c r="AD267" s="39"/>
      <c r="AE267" s="39"/>
      <c r="AF267" s="39"/>
      <c r="AG267" s="39"/>
      <c r="AH267" s="39"/>
      <c r="AI267" s="39"/>
      <c r="AJ267" s="39"/>
      <c r="AK267" s="39"/>
      <c r="AL267" s="39"/>
      <c r="AM267" s="39"/>
      <c r="AN267" s="39"/>
      <c r="AO267" s="39"/>
      <c r="AP267" s="39"/>
      <c r="AQ267" s="96"/>
      <c r="AR267" s="96"/>
      <c r="AS267" s="44"/>
    </row>
    <row r="268">
      <c r="A268" s="92"/>
      <c r="B268" s="93"/>
      <c r="C268" s="39"/>
      <c r="D268" s="39"/>
      <c r="E268" s="39"/>
      <c r="F268" s="39"/>
      <c r="G268" s="94"/>
      <c r="H268" s="95"/>
      <c r="I268" s="39"/>
      <c r="J268" s="39"/>
      <c r="K268" s="39"/>
      <c r="L268" s="39"/>
      <c r="M268" s="39"/>
      <c r="N268" s="39"/>
      <c r="O268" s="39"/>
      <c r="P268" s="39"/>
      <c r="Q268" s="39"/>
      <c r="R268" s="39"/>
      <c r="S268" s="39"/>
      <c r="T268" s="39"/>
      <c r="U268" s="94"/>
      <c r="V268" s="39"/>
      <c r="W268" s="39"/>
      <c r="X268" s="39"/>
      <c r="Y268" s="39"/>
      <c r="Z268" s="39"/>
      <c r="AA268" s="39"/>
      <c r="AB268" s="39"/>
      <c r="AC268" s="39"/>
      <c r="AD268" s="39"/>
      <c r="AE268" s="39"/>
      <c r="AF268" s="39"/>
      <c r="AG268" s="39"/>
      <c r="AH268" s="39"/>
      <c r="AI268" s="39"/>
      <c r="AJ268" s="39"/>
      <c r="AK268" s="39"/>
      <c r="AL268" s="39"/>
      <c r="AM268" s="39"/>
      <c r="AN268" s="39"/>
      <c r="AO268" s="39"/>
      <c r="AP268" s="39"/>
      <c r="AQ268" s="96"/>
      <c r="AR268" s="96"/>
      <c r="AS268" s="44"/>
    </row>
    <row r="269">
      <c r="A269" s="92"/>
      <c r="B269" s="93"/>
      <c r="C269" s="39"/>
      <c r="D269" s="39"/>
      <c r="E269" s="39"/>
      <c r="F269" s="39"/>
      <c r="G269" s="94"/>
      <c r="H269" s="95"/>
      <c r="I269" s="39"/>
      <c r="J269" s="39"/>
      <c r="K269" s="39"/>
      <c r="L269" s="39"/>
      <c r="M269" s="39"/>
      <c r="N269" s="39"/>
      <c r="O269" s="39"/>
      <c r="P269" s="39"/>
      <c r="Q269" s="39"/>
      <c r="R269" s="39"/>
      <c r="S269" s="39"/>
      <c r="T269" s="39"/>
      <c r="U269" s="94"/>
      <c r="V269" s="39"/>
      <c r="W269" s="39"/>
      <c r="X269" s="39"/>
      <c r="Y269" s="39"/>
      <c r="Z269" s="39"/>
      <c r="AA269" s="39"/>
      <c r="AB269" s="39"/>
      <c r="AC269" s="39"/>
      <c r="AD269" s="39"/>
      <c r="AE269" s="39"/>
      <c r="AF269" s="39"/>
      <c r="AG269" s="39"/>
      <c r="AH269" s="39"/>
      <c r="AI269" s="39"/>
      <c r="AJ269" s="39"/>
      <c r="AK269" s="39"/>
      <c r="AL269" s="39"/>
      <c r="AM269" s="39"/>
      <c r="AN269" s="39"/>
      <c r="AO269" s="39"/>
      <c r="AP269" s="39"/>
      <c r="AQ269" s="96"/>
      <c r="AR269" s="96"/>
      <c r="AS269" s="44"/>
    </row>
    <row r="270">
      <c r="A270" s="92"/>
      <c r="B270" s="93"/>
      <c r="C270" s="39"/>
      <c r="D270" s="39"/>
      <c r="E270" s="39"/>
      <c r="F270" s="39"/>
      <c r="G270" s="94"/>
      <c r="H270" s="95"/>
      <c r="I270" s="39"/>
      <c r="J270" s="39"/>
      <c r="K270" s="39"/>
      <c r="L270" s="39"/>
      <c r="M270" s="39"/>
      <c r="N270" s="39"/>
      <c r="O270" s="39"/>
      <c r="P270" s="39"/>
      <c r="Q270" s="39"/>
      <c r="R270" s="39"/>
      <c r="S270" s="39"/>
      <c r="T270" s="39"/>
      <c r="U270" s="94"/>
      <c r="V270" s="39"/>
      <c r="W270" s="39"/>
      <c r="X270" s="39"/>
      <c r="Y270" s="39"/>
      <c r="Z270" s="39"/>
      <c r="AA270" s="39"/>
      <c r="AB270" s="39"/>
      <c r="AC270" s="39"/>
      <c r="AD270" s="39"/>
      <c r="AE270" s="39"/>
      <c r="AF270" s="39"/>
      <c r="AG270" s="39"/>
      <c r="AH270" s="39"/>
      <c r="AI270" s="39"/>
      <c r="AJ270" s="39"/>
      <c r="AK270" s="39"/>
      <c r="AL270" s="39"/>
      <c r="AM270" s="39"/>
      <c r="AN270" s="39"/>
      <c r="AO270" s="39"/>
      <c r="AP270" s="39"/>
      <c r="AQ270" s="96"/>
      <c r="AR270" s="96"/>
      <c r="AS270" s="44"/>
    </row>
    <row r="271">
      <c r="A271" s="92"/>
      <c r="B271" s="93"/>
      <c r="C271" s="39"/>
      <c r="D271" s="39"/>
      <c r="E271" s="39"/>
      <c r="F271" s="39"/>
      <c r="G271" s="94"/>
      <c r="H271" s="95"/>
      <c r="I271" s="39"/>
      <c r="J271" s="39"/>
      <c r="K271" s="39"/>
      <c r="L271" s="39"/>
      <c r="M271" s="39"/>
      <c r="N271" s="39"/>
      <c r="O271" s="39"/>
      <c r="P271" s="39"/>
      <c r="Q271" s="39"/>
      <c r="R271" s="39"/>
      <c r="S271" s="39"/>
      <c r="T271" s="39"/>
      <c r="U271" s="94"/>
      <c r="V271" s="39"/>
      <c r="W271" s="39"/>
      <c r="X271" s="39"/>
      <c r="Y271" s="39"/>
      <c r="Z271" s="39"/>
      <c r="AA271" s="39"/>
      <c r="AB271" s="39"/>
      <c r="AC271" s="39"/>
      <c r="AD271" s="39"/>
      <c r="AE271" s="39"/>
      <c r="AF271" s="39"/>
      <c r="AG271" s="39"/>
      <c r="AH271" s="39"/>
      <c r="AI271" s="39"/>
      <c r="AJ271" s="39"/>
      <c r="AK271" s="39"/>
      <c r="AL271" s="39"/>
      <c r="AM271" s="39"/>
      <c r="AN271" s="39"/>
      <c r="AO271" s="39"/>
      <c r="AP271" s="39"/>
      <c r="AQ271" s="96"/>
      <c r="AR271" s="96"/>
      <c r="AS271" s="44"/>
    </row>
    <row r="272">
      <c r="A272" s="92"/>
      <c r="B272" s="93"/>
      <c r="C272" s="39"/>
      <c r="D272" s="39"/>
      <c r="E272" s="39"/>
      <c r="F272" s="39"/>
      <c r="G272" s="94"/>
      <c r="H272" s="95"/>
      <c r="I272" s="39"/>
      <c r="J272" s="39"/>
      <c r="K272" s="39"/>
      <c r="L272" s="39"/>
      <c r="M272" s="39"/>
      <c r="N272" s="39"/>
      <c r="O272" s="39"/>
      <c r="P272" s="39"/>
      <c r="Q272" s="39"/>
      <c r="R272" s="39"/>
      <c r="S272" s="39"/>
      <c r="T272" s="39"/>
      <c r="U272" s="94"/>
      <c r="V272" s="39"/>
      <c r="W272" s="39"/>
      <c r="X272" s="39"/>
      <c r="Y272" s="39"/>
      <c r="Z272" s="39"/>
      <c r="AA272" s="39"/>
      <c r="AB272" s="39"/>
      <c r="AC272" s="39"/>
      <c r="AD272" s="39"/>
      <c r="AE272" s="39"/>
      <c r="AF272" s="39"/>
      <c r="AG272" s="39"/>
      <c r="AH272" s="39"/>
      <c r="AI272" s="39"/>
      <c r="AJ272" s="39"/>
      <c r="AK272" s="39"/>
      <c r="AL272" s="39"/>
      <c r="AM272" s="39"/>
      <c r="AN272" s="39"/>
      <c r="AO272" s="39"/>
      <c r="AP272" s="39"/>
      <c r="AQ272" s="96"/>
      <c r="AR272" s="96"/>
      <c r="AS272" s="44"/>
    </row>
    <row r="273">
      <c r="A273" s="92"/>
      <c r="B273" s="93"/>
      <c r="C273" s="39"/>
      <c r="D273" s="39"/>
      <c r="E273" s="39"/>
      <c r="F273" s="39"/>
      <c r="G273" s="94"/>
      <c r="H273" s="95"/>
      <c r="I273" s="39"/>
      <c r="J273" s="39"/>
      <c r="K273" s="39"/>
      <c r="L273" s="39"/>
      <c r="M273" s="39"/>
      <c r="N273" s="39"/>
      <c r="O273" s="39"/>
      <c r="P273" s="39"/>
      <c r="Q273" s="39"/>
      <c r="R273" s="39"/>
      <c r="S273" s="39"/>
      <c r="T273" s="39"/>
      <c r="U273" s="94"/>
      <c r="V273" s="39"/>
      <c r="W273" s="39"/>
      <c r="X273" s="39"/>
      <c r="Y273" s="39"/>
      <c r="Z273" s="39"/>
      <c r="AA273" s="39"/>
      <c r="AB273" s="39"/>
      <c r="AC273" s="39"/>
      <c r="AD273" s="39"/>
      <c r="AE273" s="39"/>
      <c r="AF273" s="39"/>
      <c r="AG273" s="39"/>
      <c r="AH273" s="39"/>
      <c r="AI273" s="39"/>
      <c r="AJ273" s="39"/>
      <c r="AK273" s="39"/>
      <c r="AL273" s="39"/>
      <c r="AM273" s="39"/>
      <c r="AN273" s="39"/>
      <c r="AO273" s="39"/>
      <c r="AP273" s="39"/>
      <c r="AQ273" s="96"/>
      <c r="AR273" s="96"/>
      <c r="AS273" s="44"/>
    </row>
    <row r="274">
      <c r="A274" s="92"/>
      <c r="B274" s="93"/>
      <c r="C274" s="39"/>
      <c r="D274" s="39"/>
      <c r="E274" s="39"/>
      <c r="F274" s="39"/>
      <c r="G274" s="94"/>
      <c r="H274" s="95"/>
      <c r="I274" s="39"/>
      <c r="J274" s="39"/>
      <c r="K274" s="39"/>
      <c r="L274" s="39"/>
      <c r="M274" s="39"/>
      <c r="N274" s="39"/>
      <c r="O274" s="39"/>
      <c r="P274" s="39"/>
      <c r="Q274" s="39"/>
      <c r="R274" s="39"/>
      <c r="S274" s="39"/>
      <c r="T274" s="39"/>
      <c r="U274" s="94"/>
      <c r="V274" s="39"/>
      <c r="W274" s="39"/>
      <c r="X274" s="39"/>
      <c r="Y274" s="39"/>
      <c r="Z274" s="39"/>
      <c r="AA274" s="39"/>
      <c r="AB274" s="39"/>
      <c r="AC274" s="39"/>
      <c r="AD274" s="39"/>
      <c r="AE274" s="39"/>
      <c r="AF274" s="39"/>
      <c r="AG274" s="39"/>
      <c r="AH274" s="39"/>
      <c r="AI274" s="39"/>
      <c r="AJ274" s="39"/>
      <c r="AK274" s="39"/>
      <c r="AL274" s="39"/>
      <c r="AM274" s="39"/>
      <c r="AN274" s="39"/>
      <c r="AO274" s="39"/>
      <c r="AP274" s="39"/>
      <c r="AQ274" s="96"/>
      <c r="AR274" s="96"/>
      <c r="AS274" s="44"/>
    </row>
    <row r="275">
      <c r="A275" s="92"/>
      <c r="B275" s="93"/>
      <c r="C275" s="39"/>
      <c r="D275" s="39"/>
      <c r="E275" s="39"/>
      <c r="F275" s="39"/>
      <c r="G275" s="94"/>
      <c r="H275" s="95"/>
      <c r="I275" s="39"/>
      <c r="J275" s="39"/>
      <c r="K275" s="39"/>
      <c r="L275" s="39"/>
      <c r="M275" s="39"/>
      <c r="N275" s="39"/>
      <c r="O275" s="39"/>
      <c r="P275" s="39"/>
      <c r="Q275" s="39"/>
      <c r="R275" s="39"/>
      <c r="S275" s="39"/>
      <c r="T275" s="39"/>
      <c r="U275" s="94"/>
      <c r="V275" s="39"/>
      <c r="W275" s="39"/>
      <c r="X275" s="39"/>
      <c r="Y275" s="39"/>
      <c r="Z275" s="39"/>
      <c r="AA275" s="39"/>
      <c r="AB275" s="39"/>
      <c r="AC275" s="39"/>
      <c r="AD275" s="39"/>
      <c r="AE275" s="39"/>
      <c r="AF275" s="39"/>
      <c r="AG275" s="39"/>
      <c r="AH275" s="39"/>
      <c r="AI275" s="39"/>
      <c r="AJ275" s="39"/>
      <c r="AK275" s="39"/>
      <c r="AL275" s="39"/>
      <c r="AM275" s="39"/>
      <c r="AN275" s="39"/>
      <c r="AO275" s="39"/>
      <c r="AP275" s="39"/>
      <c r="AQ275" s="96"/>
      <c r="AR275" s="96"/>
      <c r="AS275" s="44"/>
    </row>
    <row r="276">
      <c r="A276" s="92"/>
      <c r="B276" s="93"/>
      <c r="C276" s="39"/>
      <c r="D276" s="39"/>
      <c r="E276" s="39"/>
      <c r="F276" s="39"/>
      <c r="G276" s="94"/>
      <c r="H276" s="95"/>
      <c r="I276" s="39"/>
      <c r="J276" s="39"/>
      <c r="K276" s="39"/>
      <c r="L276" s="39"/>
      <c r="M276" s="39"/>
      <c r="N276" s="39"/>
      <c r="O276" s="39"/>
      <c r="P276" s="39"/>
      <c r="Q276" s="39"/>
      <c r="R276" s="39"/>
      <c r="S276" s="39"/>
      <c r="T276" s="39"/>
      <c r="U276" s="94"/>
      <c r="V276" s="39"/>
      <c r="W276" s="39"/>
      <c r="X276" s="39"/>
      <c r="Y276" s="39"/>
      <c r="Z276" s="39"/>
      <c r="AA276" s="39"/>
      <c r="AB276" s="39"/>
      <c r="AC276" s="39"/>
      <c r="AD276" s="39"/>
      <c r="AE276" s="39"/>
      <c r="AF276" s="39"/>
      <c r="AG276" s="39"/>
      <c r="AH276" s="39"/>
      <c r="AI276" s="39"/>
      <c r="AJ276" s="39"/>
      <c r="AK276" s="39"/>
      <c r="AL276" s="39"/>
      <c r="AM276" s="39"/>
      <c r="AN276" s="39"/>
      <c r="AO276" s="39"/>
      <c r="AP276" s="39"/>
      <c r="AQ276" s="96"/>
      <c r="AR276" s="96"/>
      <c r="AS276" s="44"/>
    </row>
    <row r="277">
      <c r="A277" s="92"/>
      <c r="B277" s="93"/>
      <c r="C277" s="39"/>
      <c r="D277" s="39"/>
      <c r="E277" s="39"/>
      <c r="F277" s="39"/>
      <c r="G277" s="94"/>
      <c r="H277" s="95"/>
      <c r="I277" s="39"/>
      <c r="J277" s="39"/>
      <c r="K277" s="39"/>
      <c r="L277" s="39"/>
      <c r="M277" s="39"/>
      <c r="N277" s="39"/>
      <c r="O277" s="39"/>
      <c r="P277" s="39"/>
      <c r="Q277" s="39"/>
      <c r="R277" s="39"/>
      <c r="S277" s="39"/>
      <c r="T277" s="39"/>
      <c r="U277" s="94"/>
      <c r="V277" s="39"/>
      <c r="W277" s="39"/>
      <c r="X277" s="39"/>
      <c r="Y277" s="39"/>
      <c r="Z277" s="39"/>
      <c r="AA277" s="39"/>
      <c r="AB277" s="39"/>
      <c r="AC277" s="39"/>
      <c r="AD277" s="39"/>
      <c r="AE277" s="39"/>
      <c r="AF277" s="39"/>
      <c r="AG277" s="39"/>
      <c r="AH277" s="39"/>
      <c r="AI277" s="39"/>
      <c r="AJ277" s="39"/>
      <c r="AK277" s="39"/>
      <c r="AL277" s="39"/>
      <c r="AM277" s="39"/>
      <c r="AN277" s="39"/>
      <c r="AO277" s="39"/>
      <c r="AP277" s="39"/>
      <c r="AQ277" s="96"/>
      <c r="AR277" s="96"/>
      <c r="AS277" s="44"/>
    </row>
    <row r="278">
      <c r="A278" s="92"/>
      <c r="B278" s="93"/>
      <c r="C278" s="39"/>
      <c r="D278" s="39"/>
      <c r="E278" s="39"/>
      <c r="F278" s="39"/>
      <c r="G278" s="94"/>
      <c r="H278" s="95"/>
      <c r="I278" s="39"/>
      <c r="J278" s="39"/>
      <c r="K278" s="39"/>
      <c r="L278" s="39"/>
      <c r="M278" s="39"/>
      <c r="N278" s="39"/>
      <c r="O278" s="39"/>
      <c r="P278" s="39"/>
      <c r="Q278" s="39"/>
      <c r="R278" s="39"/>
      <c r="S278" s="39"/>
      <c r="T278" s="39"/>
      <c r="U278" s="94"/>
      <c r="V278" s="39"/>
      <c r="W278" s="39"/>
      <c r="X278" s="39"/>
      <c r="Y278" s="39"/>
      <c r="Z278" s="39"/>
      <c r="AA278" s="39"/>
      <c r="AB278" s="39"/>
      <c r="AC278" s="39"/>
      <c r="AD278" s="39"/>
      <c r="AE278" s="39"/>
      <c r="AF278" s="39"/>
      <c r="AG278" s="39"/>
      <c r="AH278" s="39"/>
      <c r="AI278" s="39"/>
      <c r="AJ278" s="39"/>
      <c r="AK278" s="39"/>
      <c r="AL278" s="39"/>
      <c r="AM278" s="39"/>
      <c r="AN278" s="39"/>
      <c r="AO278" s="39"/>
      <c r="AP278" s="39"/>
      <c r="AQ278" s="96"/>
      <c r="AR278" s="96"/>
      <c r="AS278" s="44"/>
    </row>
    <row r="279">
      <c r="A279" s="92"/>
      <c r="B279" s="93"/>
      <c r="C279" s="39"/>
      <c r="D279" s="39"/>
      <c r="E279" s="39"/>
      <c r="F279" s="39"/>
      <c r="G279" s="94"/>
      <c r="H279" s="95"/>
      <c r="I279" s="39"/>
      <c r="J279" s="39"/>
      <c r="K279" s="39"/>
      <c r="L279" s="39"/>
      <c r="M279" s="39"/>
      <c r="N279" s="39"/>
      <c r="O279" s="39"/>
      <c r="P279" s="39"/>
      <c r="Q279" s="39"/>
      <c r="R279" s="39"/>
      <c r="S279" s="39"/>
      <c r="T279" s="39"/>
      <c r="U279" s="94"/>
      <c r="V279" s="39"/>
      <c r="W279" s="39"/>
      <c r="X279" s="39"/>
      <c r="Y279" s="39"/>
      <c r="Z279" s="39"/>
      <c r="AA279" s="39"/>
      <c r="AB279" s="39"/>
      <c r="AC279" s="39"/>
      <c r="AD279" s="39"/>
      <c r="AE279" s="39"/>
      <c r="AF279" s="39"/>
      <c r="AG279" s="39"/>
      <c r="AH279" s="39"/>
      <c r="AI279" s="39"/>
      <c r="AJ279" s="39"/>
      <c r="AK279" s="39"/>
      <c r="AL279" s="39"/>
      <c r="AM279" s="39"/>
      <c r="AN279" s="39"/>
      <c r="AO279" s="39"/>
      <c r="AP279" s="39"/>
      <c r="AQ279" s="96"/>
      <c r="AR279" s="96"/>
      <c r="AS279" s="44"/>
    </row>
    <row r="280">
      <c r="A280" s="92"/>
      <c r="B280" s="93"/>
      <c r="C280" s="39"/>
      <c r="D280" s="39"/>
      <c r="E280" s="39"/>
      <c r="F280" s="39"/>
      <c r="G280" s="94"/>
      <c r="H280" s="95"/>
      <c r="I280" s="39"/>
      <c r="J280" s="39"/>
      <c r="K280" s="39"/>
      <c r="L280" s="39"/>
      <c r="M280" s="39"/>
      <c r="N280" s="39"/>
      <c r="O280" s="39"/>
      <c r="P280" s="39"/>
      <c r="Q280" s="39"/>
      <c r="R280" s="39"/>
      <c r="S280" s="39"/>
      <c r="T280" s="39"/>
      <c r="U280" s="94"/>
      <c r="V280" s="39"/>
      <c r="W280" s="39"/>
      <c r="X280" s="39"/>
      <c r="Y280" s="39"/>
      <c r="Z280" s="39"/>
      <c r="AA280" s="39"/>
      <c r="AB280" s="39"/>
      <c r="AC280" s="39"/>
      <c r="AD280" s="39"/>
      <c r="AE280" s="39"/>
      <c r="AF280" s="39"/>
      <c r="AG280" s="39"/>
      <c r="AH280" s="39"/>
      <c r="AI280" s="39"/>
      <c r="AJ280" s="39"/>
      <c r="AK280" s="39"/>
      <c r="AL280" s="39"/>
      <c r="AM280" s="39"/>
      <c r="AN280" s="39"/>
      <c r="AO280" s="39"/>
      <c r="AP280" s="39"/>
      <c r="AQ280" s="96"/>
      <c r="AR280" s="96"/>
      <c r="AS280" s="44"/>
    </row>
    <row r="281">
      <c r="A281" s="92"/>
      <c r="B281" s="93"/>
      <c r="C281" s="39"/>
      <c r="D281" s="39"/>
      <c r="E281" s="39"/>
      <c r="F281" s="39"/>
      <c r="G281" s="94"/>
      <c r="H281" s="95"/>
      <c r="I281" s="39"/>
      <c r="J281" s="39"/>
      <c r="K281" s="39"/>
      <c r="L281" s="39"/>
      <c r="M281" s="39"/>
      <c r="N281" s="39"/>
      <c r="O281" s="39"/>
      <c r="P281" s="39"/>
      <c r="Q281" s="39"/>
      <c r="R281" s="39"/>
      <c r="S281" s="39"/>
      <c r="T281" s="39"/>
      <c r="U281" s="94"/>
      <c r="V281" s="39"/>
      <c r="W281" s="39"/>
      <c r="X281" s="39"/>
      <c r="Y281" s="39"/>
      <c r="Z281" s="39"/>
      <c r="AA281" s="39"/>
      <c r="AB281" s="39"/>
      <c r="AC281" s="39"/>
      <c r="AD281" s="39"/>
      <c r="AE281" s="39"/>
      <c r="AF281" s="39"/>
      <c r="AG281" s="39"/>
      <c r="AH281" s="39"/>
      <c r="AI281" s="39"/>
      <c r="AJ281" s="39"/>
      <c r="AK281" s="39"/>
      <c r="AL281" s="39"/>
      <c r="AM281" s="39"/>
      <c r="AN281" s="39"/>
      <c r="AO281" s="39"/>
      <c r="AP281" s="39"/>
      <c r="AQ281" s="96"/>
      <c r="AR281" s="96"/>
      <c r="AS281" s="44"/>
    </row>
    <row r="282">
      <c r="A282" s="92"/>
      <c r="B282" s="93"/>
      <c r="C282" s="39"/>
      <c r="D282" s="39"/>
      <c r="E282" s="39"/>
      <c r="F282" s="39"/>
      <c r="G282" s="94"/>
      <c r="H282" s="95"/>
      <c r="I282" s="39"/>
      <c r="J282" s="39"/>
      <c r="K282" s="39"/>
      <c r="L282" s="39"/>
      <c r="M282" s="39"/>
      <c r="N282" s="39"/>
      <c r="O282" s="39"/>
      <c r="P282" s="39"/>
      <c r="Q282" s="39"/>
      <c r="R282" s="39"/>
      <c r="S282" s="39"/>
      <c r="T282" s="39"/>
      <c r="U282" s="94"/>
      <c r="V282" s="39"/>
      <c r="W282" s="39"/>
      <c r="X282" s="39"/>
      <c r="Y282" s="39"/>
      <c r="Z282" s="39"/>
      <c r="AA282" s="39"/>
      <c r="AB282" s="39"/>
      <c r="AC282" s="39"/>
      <c r="AD282" s="39"/>
      <c r="AE282" s="39"/>
      <c r="AF282" s="39"/>
      <c r="AG282" s="39"/>
      <c r="AH282" s="39"/>
      <c r="AI282" s="39"/>
      <c r="AJ282" s="39"/>
      <c r="AK282" s="39"/>
      <c r="AL282" s="39"/>
      <c r="AM282" s="39"/>
      <c r="AN282" s="39"/>
      <c r="AO282" s="39"/>
      <c r="AP282" s="39"/>
      <c r="AQ282" s="96"/>
      <c r="AR282" s="96"/>
      <c r="AS282" s="44"/>
    </row>
    <row r="283">
      <c r="A283" s="92"/>
      <c r="B283" s="93"/>
      <c r="C283" s="39"/>
      <c r="D283" s="39"/>
      <c r="E283" s="39"/>
      <c r="F283" s="39"/>
      <c r="G283" s="94"/>
      <c r="H283" s="95"/>
      <c r="I283" s="39"/>
      <c r="J283" s="39"/>
      <c r="K283" s="39"/>
      <c r="L283" s="39"/>
      <c r="M283" s="39"/>
      <c r="N283" s="39"/>
      <c r="O283" s="39"/>
      <c r="P283" s="39"/>
      <c r="Q283" s="39"/>
      <c r="R283" s="39"/>
      <c r="S283" s="39"/>
      <c r="T283" s="39"/>
      <c r="U283" s="94"/>
      <c r="V283" s="39"/>
      <c r="W283" s="39"/>
      <c r="X283" s="39"/>
      <c r="Y283" s="39"/>
      <c r="Z283" s="39"/>
      <c r="AA283" s="39"/>
      <c r="AB283" s="39"/>
      <c r="AC283" s="39"/>
      <c r="AD283" s="39"/>
      <c r="AE283" s="39"/>
      <c r="AF283" s="39"/>
      <c r="AG283" s="39"/>
      <c r="AH283" s="39"/>
      <c r="AI283" s="39"/>
      <c r="AJ283" s="39"/>
      <c r="AK283" s="39"/>
      <c r="AL283" s="39"/>
      <c r="AM283" s="39"/>
      <c r="AN283" s="39"/>
      <c r="AO283" s="39"/>
      <c r="AP283" s="39"/>
      <c r="AQ283" s="96"/>
      <c r="AR283" s="96"/>
      <c r="AS283" s="44"/>
    </row>
    <row r="284">
      <c r="A284" s="92"/>
      <c r="B284" s="93"/>
      <c r="C284" s="39"/>
      <c r="D284" s="39"/>
      <c r="E284" s="39"/>
      <c r="F284" s="39"/>
      <c r="G284" s="94"/>
      <c r="H284" s="95"/>
      <c r="I284" s="39"/>
      <c r="J284" s="39"/>
      <c r="K284" s="39"/>
      <c r="L284" s="39"/>
      <c r="M284" s="39"/>
      <c r="N284" s="39"/>
      <c r="O284" s="39"/>
      <c r="P284" s="39"/>
      <c r="Q284" s="39"/>
      <c r="R284" s="39"/>
      <c r="S284" s="39"/>
      <c r="T284" s="39"/>
      <c r="U284" s="94"/>
      <c r="V284" s="39"/>
      <c r="W284" s="39"/>
      <c r="X284" s="39"/>
      <c r="Y284" s="39"/>
      <c r="Z284" s="39"/>
      <c r="AA284" s="39"/>
      <c r="AB284" s="39"/>
      <c r="AC284" s="39"/>
      <c r="AD284" s="39"/>
      <c r="AE284" s="39"/>
      <c r="AF284" s="39"/>
      <c r="AG284" s="39"/>
      <c r="AH284" s="39"/>
      <c r="AI284" s="39"/>
      <c r="AJ284" s="39"/>
      <c r="AK284" s="39"/>
      <c r="AL284" s="39"/>
      <c r="AM284" s="39"/>
      <c r="AN284" s="39"/>
      <c r="AO284" s="39"/>
      <c r="AP284" s="39"/>
      <c r="AQ284" s="96"/>
      <c r="AR284" s="96"/>
      <c r="AS284" s="44"/>
    </row>
    <row r="285">
      <c r="A285" s="92"/>
      <c r="B285" s="93"/>
      <c r="C285" s="39"/>
      <c r="D285" s="39"/>
      <c r="E285" s="39"/>
      <c r="F285" s="39"/>
      <c r="G285" s="94"/>
      <c r="H285" s="95"/>
      <c r="I285" s="39"/>
      <c r="J285" s="39"/>
      <c r="K285" s="39"/>
      <c r="L285" s="39"/>
      <c r="M285" s="39"/>
      <c r="N285" s="39"/>
      <c r="O285" s="39"/>
      <c r="P285" s="39"/>
      <c r="Q285" s="39"/>
      <c r="R285" s="39"/>
      <c r="S285" s="39"/>
      <c r="T285" s="39"/>
      <c r="U285" s="94"/>
      <c r="V285" s="39"/>
      <c r="W285" s="39"/>
      <c r="X285" s="39"/>
      <c r="Y285" s="39"/>
      <c r="Z285" s="39"/>
      <c r="AA285" s="39"/>
      <c r="AB285" s="39"/>
      <c r="AC285" s="39"/>
      <c r="AD285" s="39"/>
      <c r="AE285" s="39"/>
      <c r="AF285" s="39"/>
      <c r="AG285" s="39"/>
      <c r="AH285" s="39"/>
      <c r="AI285" s="39"/>
      <c r="AJ285" s="39"/>
      <c r="AK285" s="39"/>
      <c r="AL285" s="39"/>
      <c r="AM285" s="39"/>
      <c r="AN285" s="39"/>
      <c r="AO285" s="39"/>
      <c r="AP285" s="39"/>
      <c r="AQ285" s="96"/>
      <c r="AR285" s="96"/>
      <c r="AS285" s="44"/>
    </row>
    <row r="286">
      <c r="A286" s="92"/>
      <c r="B286" s="93"/>
      <c r="C286" s="39"/>
      <c r="D286" s="39"/>
      <c r="E286" s="39"/>
      <c r="F286" s="39"/>
      <c r="G286" s="94"/>
      <c r="H286" s="95"/>
      <c r="I286" s="39"/>
      <c r="J286" s="39"/>
      <c r="K286" s="39"/>
      <c r="L286" s="39"/>
      <c r="M286" s="39"/>
      <c r="N286" s="39"/>
      <c r="O286" s="39"/>
      <c r="P286" s="39"/>
      <c r="Q286" s="39"/>
      <c r="R286" s="39"/>
      <c r="S286" s="39"/>
      <c r="T286" s="39"/>
      <c r="U286" s="94"/>
      <c r="V286" s="39"/>
      <c r="W286" s="39"/>
      <c r="X286" s="39"/>
      <c r="Y286" s="39"/>
      <c r="Z286" s="39"/>
      <c r="AA286" s="39"/>
      <c r="AB286" s="39"/>
      <c r="AC286" s="39"/>
      <c r="AD286" s="39"/>
      <c r="AE286" s="39"/>
      <c r="AF286" s="39"/>
      <c r="AG286" s="39"/>
      <c r="AH286" s="39"/>
      <c r="AI286" s="39"/>
      <c r="AJ286" s="39"/>
      <c r="AK286" s="39"/>
      <c r="AL286" s="39"/>
      <c r="AM286" s="39"/>
      <c r="AN286" s="39"/>
      <c r="AO286" s="39"/>
      <c r="AP286" s="39"/>
      <c r="AQ286" s="96"/>
      <c r="AR286" s="96"/>
      <c r="AS286" s="44"/>
    </row>
    <row r="287">
      <c r="A287" s="92"/>
      <c r="B287" s="93"/>
      <c r="C287" s="39"/>
      <c r="D287" s="39"/>
      <c r="E287" s="39"/>
      <c r="F287" s="39"/>
      <c r="G287" s="94"/>
      <c r="H287" s="95"/>
      <c r="I287" s="39"/>
      <c r="J287" s="39"/>
      <c r="K287" s="39"/>
      <c r="L287" s="39"/>
      <c r="M287" s="39"/>
      <c r="N287" s="39"/>
      <c r="O287" s="39"/>
      <c r="P287" s="39"/>
      <c r="Q287" s="39"/>
      <c r="R287" s="39"/>
      <c r="S287" s="39"/>
      <c r="T287" s="39"/>
      <c r="U287" s="94"/>
      <c r="V287" s="39"/>
      <c r="W287" s="39"/>
      <c r="X287" s="39"/>
      <c r="Y287" s="39"/>
      <c r="Z287" s="39"/>
      <c r="AA287" s="39"/>
      <c r="AB287" s="39"/>
      <c r="AC287" s="39"/>
      <c r="AD287" s="39"/>
      <c r="AE287" s="39"/>
      <c r="AF287" s="39"/>
      <c r="AG287" s="39"/>
      <c r="AH287" s="39"/>
      <c r="AI287" s="39"/>
      <c r="AJ287" s="39"/>
      <c r="AK287" s="39"/>
      <c r="AL287" s="39"/>
      <c r="AM287" s="39"/>
      <c r="AN287" s="39"/>
      <c r="AO287" s="39"/>
      <c r="AP287" s="39"/>
      <c r="AQ287" s="96"/>
      <c r="AR287" s="96"/>
      <c r="AS287" s="44"/>
    </row>
    <row r="288">
      <c r="A288" s="92"/>
      <c r="B288" s="93"/>
      <c r="C288" s="39"/>
      <c r="D288" s="39"/>
      <c r="E288" s="39"/>
      <c r="F288" s="39"/>
      <c r="G288" s="94"/>
      <c r="H288" s="95"/>
      <c r="I288" s="39"/>
      <c r="J288" s="39"/>
      <c r="K288" s="39"/>
      <c r="L288" s="39"/>
      <c r="M288" s="39"/>
      <c r="N288" s="39"/>
      <c r="O288" s="39"/>
      <c r="P288" s="39"/>
      <c r="Q288" s="39"/>
      <c r="R288" s="39"/>
      <c r="S288" s="39"/>
      <c r="T288" s="39"/>
      <c r="U288" s="94"/>
      <c r="V288" s="39"/>
      <c r="W288" s="39"/>
      <c r="X288" s="39"/>
      <c r="Y288" s="39"/>
      <c r="Z288" s="39"/>
      <c r="AA288" s="39"/>
      <c r="AB288" s="39"/>
      <c r="AC288" s="39"/>
      <c r="AD288" s="39"/>
      <c r="AE288" s="39"/>
      <c r="AF288" s="39"/>
      <c r="AG288" s="39"/>
      <c r="AH288" s="39"/>
      <c r="AI288" s="39"/>
      <c r="AJ288" s="39"/>
      <c r="AK288" s="39"/>
      <c r="AL288" s="39"/>
      <c r="AM288" s="39"/>
      <c r="AN288" s="39"/>
      <c r="AO288" s="39"/>
      <c r="AP288" s="39"/>
      <c r="AQ288" s="96"/>
      <c r="AR288" s="96"/>
      <c r="AS288" s="44"/>
    </row>
    <row r="289">
      <c r="A289" s="92"/>
      <c r="B289" s="93"/>
      <c r="C289" s="39"/>
      <c r="D289" s="39"/>
      <c r="E289" s="39"/>
      <c r="F289" s="39"/>
      <c r="G289" s="94"/>
      <c r="H289" s="95"/>
      <c r="I289" s="39"/>
      <c r="J289" s="39"/>
      <c r="K289" s="39"/>
      <c r="L289" s="39"/>
      <c r="M289" s="39"/>
      <c r="N289" s="39"/>
      <c r="O289" s="39"/>
      <c r="P289" s="39"/>
      <c r="Q289" s="39"/>
      <c r="R289" s="39"/>
      <c r="S289" s="39"/>
      <c r="T289" s="39"/>
      <c r="U289" s="94"/>
      <c r="V289" s="39"/>
      <c r="W289" s="39"/>
      <c r="X289" s="39"/>
      <c r="Y289" s="39"/>
      <c r="Z289" s="39"/>
      <c r="AA289" s="39"/>
      <c r="AB289" s="39"/>
      <c r="AC289" s="39"/>
      <c r="AD289" s="39"/>
      <c r="AE289" s="39"/>
      <c r="AF289" s="39"/>
      <c r="AG289" s="39"/>
      <c r="AH289" s="39"/>
      <c r="AI289" s="39"/>
      <c r="AJ289" s="39"/>
      <c r="AK289" s="39"/>
      <c r="AL289" s="39"/>
      <c r="AM289" s="39"/>
      <c r="AN289" s="39"/>
      <c r="AO289" s="39"/>
      <c r="AP289" s="39"/>
      <c r="AQ289" s="96"/>
      <c r="AR289" s="96"/>
      <c r="AS289" s="44"/>
    </row>
    <row r="290">
      <c r="A290" s="92"/>
      <c r="B290" s="93"/>
      <c r="C290" s="39"/>
      <c r="D290" s="39"/>
      <c r="E290" s="39"/>
      <c r="F290" s="39"/>
      <c r="G290" s="94"/>
      <c r="H290" s="95"/>
      <c r="I290" s="39"/>
      <c r="J290" s="39"/>
      <c r="K290" s="39"/>
      <c r="L290" s="39"/>
      <c r="M290" s="39"/>
      <c r="N290" s="39"/>
      <c r="O290" s="39"/>
      <c r="P290" s="39"/>
      <c r="Q290" s="39"/>
      <c r="R290" s="39"/>
      <c r="S290" s="39"/>
      <c r="T290" s="39"/>
      <c r="U290" s="94"/>
      <c r="V290" s="39"/>
      <c r="W290" s="39"/>
      <c r="X290" s="39"/>
      <c r="Y290" s="39"/>
      <c r="Z290" s="39"/>
      <c r="AA290" s="39"/>
      <c r="AB290" s="39"/>
      <c r="AC290" s="39"/>
      <c r="AD290" s="39"/>
      <c r="AE290" s="39"/>
      <c r="AF290" s="39"/>
      <c r="AG290" s="39"/>
      <c r="AH290" s="39"/>
      <c r="AI290" s="39"/>
      <c r="AJ290" s="39"/>
      <c r="AK290" s="39"/>
      <c r="AL290" s="39"/>
      <c r="AM290" s="39"/>
      <c r="AN290" s="39"/>
      <c r="AO290" s="39"/>
      <c r="AP290" s="39"/>
      <c r="AQ290" s="96"/>
      <c r="AR290" s="96"/>
      <c r="AS290" s="44"/>
    </row>
    <row r="291">
      <c r="A291" s="92"/>
      <c r="B291" s="93"/>
      <c r="C291" s="39"/>
      <c r="D291" s="39"/>
      <c r="E291" s="39"/>
      <c r="F291" s="39"/>
      <c r="G291" s="94"/>
      <c r="H291" s="95"/>
      <c r="I291" s="39"/>
      <c r="J291" s="39"/>
      <c r="K291" s="39"/>
      <c r="L291" s="39"/>
      <c r="M291" s="39"/>
      <c r="N291" s="39"/>
      <c r="O291" s="39"/>
      <c r="P291" s="39"/>
      <c r="Q291" s="39"/>
      <c r="R291" s="39"/>
      <c r="S291" s="39"/>
      <c r="T291" s="39"/>
      <c r="U291" s="94"/>
      <c r="V291" s="39"/>
      <c r="W291" s="39"/>
      <c r="X291" s="39"/>
      <c r="Y291" s="39"/>
      <c r="Z291" s="39"/>
      <c r="AA291" s="39"/>
      <c r="AB291" s="39"/>
      <c r="AC291" s="39"/>
      <c r="AD291" s="39"/>
      <c r="AE291" s="39"/>
      <c r="AF291" s="39"/>
      <c r="AG291" s="39"/>
      <c r="AH291" s="39"/>
      <c r="AI291" s="39"/>
      <c r="AJ291" s="39"/>
      <c r="AK291" s="39"/>
      <c r="AL291" s="39"/>
      <c r="AM291" s="39"/>
      <c r="AN291" s="39"/>
      <c r="AO291" s="39"/>
      <c r="AP291" s="39"/>
      <c r="AQ291" s="96"/>
      <c r="AR291" s="96"/>
      <c r="AS291" s="44"/>
    </row>
    <row r="292">
      <c r="A292" s="92"/>
      <c r="B292" s="93"/>
      <c r="C292" s="39"/>
      <c r="D292" s="39"/>
      <c r="E292" s="39"/>
      <c r="F292" s="39"/>
      <c r="G292" s="94"/>
      <c r="H292" s="95"/>
      <c r="I292" s="39"/>
      <c r="J292" s="39"/>
      <c r="K292" s="39"/>
      <c r="L292" s="39"/>
      <c r="M292" s="39"/>
      <c r="N292" s="39"/>
      <c r="O292" s="39"/>
      <c r="P292" s="39"/>
      <c r="Q292" s="39"/>
      <c r="R292" s="39"/>
      <c r="S292" s="39"/>
      <c r="T292" s="39"/>
      <c r="U292" s="94"/>
      <c r="V292" s="39"/>
      <c r="W292" s="39"/>
      <c r="X292" s="39"/>
      <c r="Y292" s="39"/>
      <c r="Z292" s="39"/>
      <c r="AA292" s="39"/>
      <c r="AB292" s="39"/>
      <c r="AC292" s="39"/>
      <c r="AD292" s="39"/>
      <c r="AE292" s="39"/>
      <c r="AF292" s="39"/>
      <c r="AG292" s="39"/>
      <c r="AH292" s="39"/>
      <c r="AI292" s="39"/>
      <c r="AJ292" s="39"/>
      <c r="AK292" s="39"/>
      <c r="AL292" s="39"/>
      <c r="AM292" s="39"/>
      <c r="AN292" s="39"/>
      <c r="AO292" s="39"/>
      <c r="AP292" s="39"/>
      <c r="AQ292" s="96"/>
      <c r="AR292" s="96"/>
      <c r="AS292" s="44"/>
    </row>
    <row r="293">
      <c r="A293" s="92"/>
      <c r="B293" s="93"/>
      <c r="C293" s="39"/>
      <c r="D293" s="39"/>
      <c r="E293" s="39"/>
      <c r="F293" s="39"/>
      <c r="G293" s="94"/>
      <c r="H293" s="95"/>
      <c r="I293" s="39"/>
      <c r="J293" s="39"/>
      <c r="K293" s="39"/>
      <c r="L293" s="39"/>
      <c r="M293" s="39"/>
      <c r="N293" s="39"/>
      <c r="O293" s="39"/>
      <c r="P293" s="39"/>
      <c r="Q293" s="39"/>
      <c r="R293" s="39"/>
      <c r="S293" s="39"/>
      <c r="T293" s="39"/>
      <c r="U293" s="94"/>
      <c r="V293" s="39"/>
      <c r="W293" s="39"/>
      <c r="X293" s="39"/>
      <c r="Y293" s="39"/>
      <c r="Z293" s="39"/>
      <c r="AA293" s="39"/>
      <c r="AB293" s="39"/>
      <c r="AC293" s="39"/>
      <c r="AD293" s="39"/>
      <c r="AE293" s="39"/>
      <c r="AF293" s="39"/>
      <c r="AG293" s="39"/>
      <c r="AH293" s="39"/>
      <c r="AI293" s="39"/>
      <c r="AJ293" s="39"/>
      <c r="AK293" s="39"/>
      <c r="AL293" s="39"/>
      <c r="AM293" s="39"/>
      <c r="AN293" s="39"/>
      <c r="AO293" s="39"/>
      <c r="AP293" s="39"/>
      <c r="AQ293" s="96"/>
      <c r="AR293" s="96"/>
      <c r="AS293" s="44"/>
    </row>
    <row r="294">
      <c r="A294" s="92"/>
      <c r="B294" s="93"/>
      <c r="C294" s="39"/>
      <c r="D294" s="39"/>
      <c r="E294" s="39"/>
      <c r="F294" s="39"/>
      <c r="G294" s="94"/>
      <c r="H294" s="95"/>
      <c r="I294" s="39"/>
      <c r="J294" s="39"/>
      <c r="K294" s="39"/>
      <c r="L294" s="39"/>
      <c r="M294" s="39"/>
      <c r="N294" s="39"/>
      <c r="O294" s="39"/>
      <c r="P294" s="39"/>
      <c r="Q294" s="39"/>
      <c r="R294" s="39"/>
      <c r="S294" s="39"/>
      <c r="T294" s="39"/>
      <c r="U294" s="94"/>
      <c r="V294" s="39"/>
      <c r="W294" s="39"/>
      <c r="X294" s="39"/>
      <c r="Y294" s="39"/>
      <c r="Z294" s="39"/>
      <c r="AA294" s="39"/>
      <c r="AB294" s="39"/>
      <c r="AC294" s="39"/>
      <c r="AD294" s="39"/>
      <c r="AE294" s="39"/>
      <c r="AF294" s="39"/>
      <c r="AG294" s="39"/>
      <c r="AH294" s="39"/>
      <c r="AI294" s="39"/>
      <c r="AJ294" s="39"/>
      <c r="AK294" s="39"/>
      <c r="AL294" s="39"/>
      <c r="AM294" s="39"/>
      <c r="AN294" s="39"/>
      <c r="AO294" s="39"/>
      <c r="AP294" s="39"/>
      <c r="AQ294" s="96"/>
      <c r="AR294" s="96"/>
      <c r="AS294" s="44"/>
    </row>
    <row r="295">
      <c r="A295" s="92"/>
      <c r="B295" s="93"/>
      <c r="C295" s="39"/>
      <c r="D295" s="39"/>
      <c r="E295" s="39"/>
      <c r="F295" s="39"/>
      <c r="G295" s="94"/>
      <c r="H295" s="95"/>
      <c r="I295" s="39"/>
      <c r="J295" s="39"/>
      <c r="K295" s="39"/>
      <c r="L295" s="39"/>
      <c r="M295" s="39"/>
      <c r="N295" s="39"/>
      <c r="O295" s="39"/>
      <c r="P295" s="39"/>
      <c r="Q295" s="39"/>
      <c r="R295" s="39"/>
      <c r="S295" s="39"/>
      <c r="T295" s="39"/>
      <c r="U295" s="94"/>
      <c r="V295" s="39"/>
      <c r="W295" s="39"/>
      <c r="X295" s="39"/>
      <c r="Y295" s="39"/>
      <c r="Z295" s="39"/>
      <c r="AA295" s="39"/>
      <c r="AB295" s="39"/>
      <c r="AC295" s="39"/>
      <c r="AD295" s="39"/>
      <c r="AE295" s="39"/>
      <c r="AF295" s="39"/>
      <c r="AG295" s="39"/>
      <c r="AH295" s="39"/>
      <c r="AI295" s="39"/>
      <c r="AJ295" s="39"/>
      <c r="AK295" s="39"/>
      <c r="AL295" s="39"/>
      <c r="AM295" s="39"/>
      <c r="AN295" s="39"/>
      <c r="AO295" s="39"/>
      <c r="AP295" s="39"/>
      <c r="AQ295" s="96"/>
      <c r="AR295" s="96"/>
      <c r="AS295" s="44"/>
    </row>
    <row r="296">
      <c r="A296" s="92"/>
      <c r="B296" s="93"/>
      <c r="C296" s="39"/>
      <c r="D296" s="39"/>
      <c r="E296" s="39"/>
      <c r="F296" s="39"/>
      <c r="G296" s="94"/>
      <c r="H296" s="95"/>
      <c r="I296" s="39"/>
      <c r="J296" s="39"/>
      <c r="K296" s="39"/>
      <c r="L296" s="39"/>
      <c r="M296" s="39"/>
      <c r="N296" s="39"/>
      <c r="O296" s="39"/>
      <c r="P296" s="39"/>
      <c r="Q296" s="39"/>
      <c r="R296" s="39"/>
      <c r="S296" s="39"/>
      <c r="T296" s="39"/>
      <c r="U296" s="94"/>
      <c r="V296" s="39"/>
      <c r="W296" s="39"/>
      <c r="X296" s="39"/>
      <c r="Y296" s="39"/>
      <c r="Z296" s="39"/>
      <c r="AA296" s="39"/>
      <c r="AB296" s="39"/>
      <c r="AC296" s="39"/>
      <c r="AD296" s="39"/>
      <c r="AE296" s="39"/>
      <c r="AF296" s="39"/>
      <c r="AG296" s="39"/>
      <c r="AH296" s="39"/>
      <c r="AI296" s="39"/>
      <c r="AJ296" s="39"/>
      <c r="AK296" s="39"/>
      <c r="AL296" s="39"/>
      <c r="AM296" s="39"/>
      <c r="AN296" s="39"/>
      <c r="AO296" s="39"/>
      <c r="AP296" s="39"/>
      <c r="AQ296" s="96"/>
      <c r="AR296" s="96"/>
      <c r="AS296" s="44"/>
    </row>
    <row r="297">
      <c r="A297" s="92"/>
      <c r="B297" s="93"/>
      <c r="C297" s="39"/>
      <c r="D297" s="39"/>
      <c r="E297" s="39"/>
      <c r="F297" s="39"/>
      <c r="G297" s="94"/>
      <c r="H297" s="95"/>
      <c r="I297" s="39"/>
      <c r="J297" s="39"/>
      <c r="K297" s="39"/>
      <c r="L297" s="39"/>
      <c r="M297" s="39"/>
      <c r="N297" s="39"/>
      <c r="O297" s="39"/>
      <c r="P297" s="39"/>
      <c r="Q297" s="39"/>
      <c r="R297" s="39"/>
      <c r="S297" s="39"/>
      <c r="T297" s="39"/>
      <c r="U297" s="94"/>
      <c r="V297" s="39"/>
      <c r="W297" s="39"/>
      <c r="X297" s="39"/>
      <c r="Y297" s="39"/>
      <c r="Z297" s="39"/>
      <c r="AA297" s="39"/>
      <c r="AB297" s="39"/>
      <c r="AC297" s="39"/>
      <c r="AD297" s="39"/>
      <c r="AE297" s="39"/>
      <c r="AF297" s="39"/>
      <c r="AG297" s="39"/>
      <c r="AH297" s="39"/>
      <c r="AI297" s="39"/>
      <c r="AJ297" s="39"/>
      <c r="AK297" s="39"/>
      <c r="AL297" s="39"/>
      <c r="AM297" s="39"/>
      <c r="AN297" s="39"/>
      <c r="AO297" s="39"/>
      <c r="AP297" s="39"/>
      <c r="AQ297" s="96"/>
      <c r="AR297" s="96"/>
      <c r="AS297" s="44"/>
    </row>
    <row r="298">
      <c r="A298" s="92"/>
      <c r="B298" s="93"/>
      <c r="C298" s="39"/>
      <c r="D298" s="39"/>
      <c r="E298" s="39"/>
      <c r="F298" s="39"/>
      <c r="G298" s="94"/>
      <c r="H298" s="95"/>
      <c r="I298" s="39"/>
      <c r="J298" s="39"/>
      <c r="K298" s="39"/>
      <c r="L298" s="39"/>
      <c r="M298" s="39"/>
      <c r="N298" s="39"/>
      <c r="O298" s="39"/>
      <c r="P298" s="39"/>
      <c r="Q298" s="39"/>
      <c r="R298" s="39"/>
      <c r="S298" s="39"/>
      <c r="T298" s="39"/>
      <c r="U298" s="94"/>
      <c r="V298" s="39"/>
      <c r="W298" s="39"/>
      <c r="X298" s="39"/>
      <c r="Y298" s="39"/>
      <c r="Z298" s="39"/>
      <c r="AA298" s="39"/>
      <c r="AB298" s="39"/>
      <c r="AC298" s="39"/>
      <c r="AD298" s="39"/>
      <c r="AE298" s="39"/>
      <c r="AF298" s="39"/>
      <c r="AG298" s="39"/>
      <c r="AH298" s="39"/>
      <c r="AI298" s="39"/>
      <c r="AJ298" s="39"/>
      <c r="AK298" s="39"/>
      <c r="AL298" s="39"/>
      <c r="AM298" s="39"/>
      <c r="AN298" s="39"/>
      <c r="AO298" s="39"/>
      <c r="AP298" s="39"/>
      <c r="AQ298" s="96"/>
      <c r="AR298" s="96"/>
      <c r="AS298" s="44"/>
    </row>
    <row r="299">
      <c r="A299" s="92"/>
      <c r="B299" s="93"/>
      <c r="C299" s="39"/>
      <c r="D299" s="39"/>
      <c r="E299" s="39"/>
      <c r="F299" s="39"/>
      <c r="G299" s="94"/>
      <c r="H299" s="95"/>
      <c r="I299" s="39"/>
      <c r="J299" s="39"/>
      <c r="K299" s="39"/>
      <c r="L299" s="39"/>
      <c r="M299" s="39"/>
      <c r="N299" s="39"/>
      <c r="O299" s="39"/>
      <c r="P299" s="39"/>
      <c r="Q299" s="39"/>
      <c r="R299" s="39"/>
      <c r="S299" s="39"/>
      <c r="T299" s="39"/>
      <c r="U299" s="94"/>
      <c r="V299" s="39"/>
      <c r="W299" s="39"/>
      <c r="X299" s="39"/>
      <c r="Y299" s="39"/>
      <c r="Z299" s="39"/>
      <c r="AA299" s="39"/>
      <c r="AB299" s="39"/>
      <c r="AC299" s="39"/>
      <c r="AD299" s="39"/>
      <c r="AE299" s="39"/>
      <c r="AF299" s="39"/>
      <c r="AG299" s="39"/>
      <c r="AH299" s="39"/>
      <c r="AI299" s="39"/>
      <c r="AJ299" s="39"/>
      <c r="AK299" s="39"/>
      <c r="AL299" s="39"/>
      <c r="AM299" s="39"/>
      <c r="AN299" s="39"/>
      <c r="AO299" s="39"/>
      <c r="AP299" s="39"/>
      <c r="AQ299" s="96"/>
      <c r="AR299" s="96"/>
      <c r="AS299" s="44"/>
    </row>
    <row r="300">
      <c r="A300" s="92"/>
      <c r="B300" s="93"/>
      <c r="C300" s="39"/>
      <c r="D300" s="39"/>
      <c r="E300" s="39"/>
      <c r="F300" s="39"/>
      <c r="G300" s="94"/>
      <c r="H300" s="95"/>
      <c r="I300" s="39"/>
      <c r="J300" s="39"/>
      <c r="K300" s="39"/>
      <c r="L300" s="39"/>
      <c r="M300" s="39"/>
      <c r="N300" s="39"/>
      <c r="O300" s="39"/>
      <c r="P300" s="39"/>
      <c r="Q300" s="39"/>
      <c r="R300" s="39"/>
      <c r="S300" s="39"/>
      <c r="T300" s="39"/>
      <c r="U300" s="94"/>
      <c r="V300" s="39"/>
      <c r="W300" s="39"/>
      <c r="X300" s="39"/>
      <c r="Y300" s="39"/>
      <c r="Z300" s="39"/>
      <c r="AA300" s="39"/>
      <c r="AB300" s="39"/>
      <c r="AC300" s="39"/>
      <c r="AD300" s="39"/>
      <c r="AE300" s="39"/>
      <c r="AF300" s="39"/>
      <c r="AG300" s="39"/>
      <c r="AH300" s="39"/>
      <c r="AI300" s="39"/>
      <c r="AJ300" s="39"/>
      <c r="AK300" s="39"/>
      <c r="AL300" s="39"/>
      <c r="AM300" s="39"/>
      <c r="AN300" s="39"/>
      <c r="AO300" s="39"/>
      <c r="AP300" s="39"/>
      <c r="AQ300" s="96"/>
      <c r="AR300" s="96"/>
      <c r="AS300" s="44"/>
    </row>
    <row r="301">
      <c r="A301" s="92"/>
      <c r="B301" s="93"/>
      <c r="C301" s="39"/>
      <c r="D301" s="39"/>
      <c r="E301" s="39"/>
      <c r="F301" s="39"/>
      <c r="G301" s="94"/>
      <c r="H301" s="95"/>
      <c r="I301" s="39"/>
      <c r="J301" s="39"/>
      <c r="K301" s="39"/>
      <c r="L301" s="39"/>
      <c r="M301" s="39"/>
      <c r="N301" s="39"/>
      <c r="O301" s="39"/>
      <c r="P301" s="39"/>
      <c r="Q301" s="39"/>
      <c r="R301" s="39"/>
      <c r="S301" s="39"/>
      <c r="T301" s="39"/>
      <c r="U301" s="94"/>
      <c r="V301" s="39"/>
      <c r="W301" s="39"/>
      <c r="X301" s="39"/>
      <c r="Y301" s="39"/>
      <c r="Z301" s="39"/>
      <c r="AA301" s="39"/>
      <c r="AB301" s="39"/>
      <c r="AC301" s="39"/>
      <c r="AD301" s="39"/>
      <c r="AE301" s="39"/>
      <c r="AF301" s="39"/>
      <c r="AG301" s="39"/>
      <c r="AH301" s="39"/>
      <c r="AI301" s="39"/>
      <c r="AJ301" s="39"/>
      <c r="AK301" s="39"/>
      <c r="AL301" s="39"/>
      <c r="AM301" s="39"/>
      <c r="AN301" s="39"/>
      <c r="AO301" s="39"/>
      <c r="AP301" s="39"/>
      <c r="AQ301" s="96"/>
      <c r="AR301" s="96"/>
      <c r="AS301" s="44"/>
    </row>
    <row r="302">
      <c r="A302" s="92"/>
      <c r="B302" s="93"/>
      <c r="C302" s="39"/>
      <c r="D302" s="39"/>
      <c r="E302" s="39"/>
      <c r="F302" s="39"/>
      <c r="G302" s="94"/>
      <c r="H302" s="95"/>
      <c r="I302" s="39"/>
      <c r="J302" s="39"/>
      <c r="K302" s="39"/>
      <c r="L302" s="39"/>
      <c r="M302" s="39"/>
      <c r="N302" s="39"/>
      <c r="O302" s="39"/>
      <c r="P302" s="39"/>
      <c r="Q302" s="39"/>
      <c r="R302" s="39"/>
      <c r="S302" s="39"/>
      <c r="T302" s="39"/>
      <c r="U302" s="94"/>
      <c r="V302" s="39"/>
      <c r="W302" s="39"/>
      <c r="X302" s="39"/>
      <c r="Y302" s="39"/>
      <c r="Z302" s="39"/>
      <c r="AA302" s="39"/>
      <c r="AB302" s="39"/>
      <c r="AC302" s="39"/>
      <c r="AD302" s="39"/>
      <c r="AE302" s="39"/>
      <c r="AF302" s="39"/>
      <c r="AG302" s="39"/>
      <c r="AH302" s="39"/>
      <c r="AI302" s="39"/>
      <c r="AJ302" s="39"/>
      <c r="AK302" s="39"/>
      <c r="AL302" s="39"/>
      <c r="AM302" s="39"/>
      <c r="AN302" s="39"/>
      <c r="AO302" s="39"/>
      <c r="AP302" s="39"/>
      <c r="AQ302" s="96"/>
      <c r="AR302" s="96"/>
      <c r="AS302" s="44"/>
    </row>
    <row r="303">
      <c r="A303" s="92"/>
      <c r="B303" s="93"/>
      <c r="C303" s="39"/>
      <c r="D303" s="39"/>
      <c r="E303" s="39"/>
      <c r="F303" s="39"/>
      <c r="G303" s="94"/>
      <c r="H303" s="95"/>
      <c r="I303" s="39"/>
      <c r="J303" s="39"/>
      <c r="K303" s="39"/>
      <c r="L303" s="39"/>
      <c r="M303" s="39"/>
      <c r="N303" s="39"/>
      <c r="O303" s="39"/>
      <c r="P303" s="39"/>
      <c r="Q303" s="39"/>
      <c r="R303" s="39"/>
      <c r="S303" s="39"/>
      <c r="T303" s="39"/>
      <c r="U303" s="94"/>
      <c r="V303" s="39"/>
      <c r="W303" s="39"/>
      <c r="X303" s="39"/>
      <c r="Y303" s="39"/>
      <c r="Z303" s="39"/>
      <c r="AA303" s="39"/>
      <c r="AB303" s="39"/>
      <c r="AC303" s="39"/>
      <c r="AD303" s="39"/>
      <c r="AE303" s="39"/>
      <c r="AF303" s="39"/>
      <c r="AG303" s="39"/>
      <c r="AH303" s="39"/>
      <c r="AI303" s="39"/>
      <c r="AJ303" s="39"/>
      <c r="AK303" s="39"/>
      <c r="AL303" s="39"/>
      <c r="AM303" s="39"/>
      <c r="AN303" s="39"/>
      <c r="AO303" s="39"/>
      <c r="AP303" s="39"/>
      <c r="AQ303" s="96"/>
      <c r="AR303" s="96"/>
      <c r="AS303" s="44"/>
    </row>
    <row r="304">
      <c r="A304" s="92"/>
      <c r="B304" s="93"/>
      <c r="C304" s="39"/>
      <c r="D304" s="39"/>
      <c r="E304" s="39"/>
      <c r="F304" s="39"/>
      <c r="G304" s="94"/>
      <c r="H304" s="95"/>
      <c r="I304" s="39"/>
      <c r="J304" s="39"/>
      <c r="K304" s="39"/>
      <c r="L304" s="39"/>
      <c r="M304" s="39"/>
      <c r="N304" s="39"/>
      <c r="O304" s="39"/>
      <c r="P304" s="39"/>
      <c r="Q304" s="39"/>
      <c r="R304" s="39"/>
      <c r="S304" s="39"/>
      <c r="T304" s="39"/>
      <c r="U304" s="94"/>
      <c r="V304" s="39"/>
      <c r="W304" s="39"/>
      <c r="X304" s="39"/>
      <c r="Y304" s="39"/>
      <c r="Z304" s="39"/>
      <c r="AA304" s="39"/>
      <c r="AB304" s="39"/>
      <c r="AC304" s="39"/>
      <c r="AD304" s="39"/>
      <c r="AE304" s="39"/>
      <c r="AF304" s="39"/>
      <c r="AG304" s="39"/>
      <c r="AH304" s="39"/>
      <c r="AI304" s="39"/>
      <c r="AJ304" s="39"/>
      <c r="AK304" s="39"/>
      <c r="AL304" s="39"/>
      <c r="AM304" s="39"/>
      <c r="AN304" s="39"/>
      <c r="AO304" s="39"/>
      <c r="AP304" s="39"/>
      <c r="AQ304" s="96"/>
      <c r="AR304" s="96"/>
      <c r="AS304" s="44"/>
    </row>
    <row r="305">
      <c r="A305" s="92"/>
      <c r="B305" s="93"/>
      <c r="C305" s="39"/>
      <c r="D305" s="39"/>
      <c r="E305" s="39"/>
      <c r="F305" s="39"/>
      <c r="G305" s="94"/>
      <c r="H305" s="95"/>
      <c r="I305" s="39"/>
      <c r="J305" s="39"/>
      <c r="K305" s="39"/>
      <c r="L305" s="39"/>
      <c r="M305" s="39"/>
      <c r="N305" s="39"/>
      <c r="O305" s="39"/>
      <c r="P305" s="39"/>
      <c r="Q305" s="39"/>
      <c r="R305" s="39"/>
      <c r="S305" s="39"/>
      <c r="T305" s="39"/>
      <c r="U305" s="94"/>
      <c r="V305" s="39"/>
      <c r="W305" s="39"/>
      <c r="X305" s="39"/>
      <c r="Y305" s="39"/>
      <c r="Z305" s="39"/>
      <c r="AA305" s="39"/>
      <c r="AB305" s="39"/>
      <c r="AC305" s="39"/>
      <c r="AD305" s="39"/>
      <c r="AE305" s="39"/>
      <c r="AF305" s="39"/>
      <c r="AG305" s="39"/>
      <c r="AH305" s="39"/>
      <c r="AI305" s="39"/>
      <c r="AJ305" s="39"/>
      <c r="AK305" s="39"/>
      <c r="AL305" s="39"/>
      <c r="AM305" s="39"/>
      <c r="AN305" s="39"/>
      <c r="AO305" s="39"/>
      <c r="AP305" s="39"/>
      <c r="AQ305" s="96"/>
      <c r="AR305" s="96"/>
      <c r="AS305" s="44"/>
    </row>
    <row r="306">
      <c r="A306" s="92"/>
      <c r="B306" s="93"/>
      <c r="C306" s="39"/>
      <c r="D306" s="39"/>
      <c r="E306" s="39"/>
      <c r="F306" s="39"/>
      <c r="G306" s="94"/>
      <c r="H306" s="95"/>
      <c r="I306" s="39"/>
      <c r="J306" s="39"/>
      <c r="K306" s="39"/>
      <c r="L306" s="39"/>
      <c r="M306" s="39"/>
      <c r="N306" s="39"/>
      <c r="O306" s="39"/>
      <c r="P306" s="39"/>
      <c r="Q306" s="39"/>
      <c r="R306" s="39"/>
      <c r="S306" s="39"/>
      <c r="T306" s="39"/>
      <c r="U306" s="94"/>
      <c r="V306" s="39"/>
      <c r="W306" s="39"/>
      <c r="X306" s="39"/>
      <c r="Y306" s="39"/>
      <c r="Z306" s="39"/>
      <c r="AA306" s="39"/>
      <c r="AB306" s="39"/>
      <c r="AC306" s="39"/>
      <c r="AD306" s="39"/>
      <c r="AE306" s="39"/>
      <c r="AF306" s="39"/>
      <c r="AG306" s="39"/>
      <c r="AH306" s="39"/>
      <c r="AI306" s="39"/>
      <c r="AJ306" s="39"/>
      <c r="AK306" s="39"/>
      <c r="AL306" s="39"/>
      <c r="AM306" s="39"/>
      <c r="AN306" s="39"/>
      <c r="AO306" s="39"/>
      <c r="AP306" s="39"/>
      <c r="AQ306" s="96"/>
      <c r="AR306" s="96"/>
      <c r="AS306" s="44"/>
    </row>
    <row r="307">
      <c r="A307" s="92"/>
      <c r="B307" s="93"/>
      <c r="C307" s="39"/>
      <c r="D307" s="39"/>
      <c r="E307" s="39"/>
      <c r="F307" s="39"/>
      <c r="G307" s="94"/>
      <c r="H307" s="95"/>
      <c r="I307" s="39"/>
      <c r="J307" s="39"/>
      <c r="K307" s="39"/>
      <c r="L307" s="39"/>
      <c r="M307" s="39"/>
      <c r="N307" s="39"/>
      <c r="O307" s="39"/>
      <c r="P307" s="39"/>
      <c r="Q307" s="39"/>
      <c r="R307" s="39"/>
      <c r="S307" s="39"/>
      <c r="T307" s="39"/>
      <c r="U307" s="94"/>
      <c r="V307" s="39"/>
      <c r="W307" s="39"/>
      <c r="X307" s="39"/>
      <c r="Y307" s="39"/>
      <c r="Z307" s="39"/>
      <c r="AA307" s="39"/>
      <c r="AB307" s="39"/>
      <c r="AC307" s="39"/>
      <c r="AD307" s="39"/>
      <c r="AE307" s="39"/>
      <c r="AF307" s="39"/>
      <c r="AG307" s="39"/>
      <c r="AH307" s="39"/>
      <c r="AI307" s="39"/>
      <c r="AJ307" s="39"/>
      <c r="AK307" s="39"/>
      <c r="AL307" s="39"/>
      <c r="AM307" s="39"/>
      <c r="AN307" s="39"/>
      <c r="AO307" s="39"/>
      <c r="AP307" s="39"/>
      <c r="AQ307" s="96"/>
      <c r="AR307" s="96"/>
      <c r="AS307" s="44"/>
    </row>
    <row r="308">
      <c r="A308" s="92"/>
      <c r="B308" s="93"/>
      <c r="C308" s="39"/>
      <c r="D308" s="39"/>
      <c r="E308" s="39"/>
      <c r="F308" s="39"/>
      <c r="G308" s="94"/>
      <c r="H308" s="95"/>
      <c r="I308" s="39"/>
      <c r="J308" s="39"/>
      <c r="K308" s="39"/>
      <c r="L308" s="39"/>
      <c r="M308" s="39"/>
      <c r="N308" s="39"/>
      <c r="O308" s="39"/>
      <c r="P308" s="39"/>
      <c r="Q308" s="39"/>
      <c r="R308" s="39"/>
      <c r="S308" s="39"/>
      <c r="T308" s="39"/>
      <c r="U308" s="94"/>
      <c r="V308" s="39"/>
      <c r="W308" s="39"/>
      <c r="X308" s="39"/>
      <c r="Y308" s="39"/>
      <c r="Z308" s="39"/>
      <c r="AA308" s="39"/>
      <c r="AB308" s="39"/>
      <c r="AC308" s="39"/>
      <c r="AD308" s="39"/>
      <c r="AE308" s="39"/>
      <c r="AF308" s="39"/>
      <c r="AG308" s="39"/>
      <c r="AH308" s="39"/>
      <c r="AI308" s="39"/>
      <c r="AJ308" s="39"/>
      <c r="AK308" s="39"/>
      <c r="AL308" s="39"/>
      <c r="AM308" s="39"/>
      <c r="AN308" s="39"/>
      <c r="AO308" s="39"/>
      <c r="AP308" s="39"/>
      <c r="AQ308" s="96"/>
      <c r="AR308" s="96"/>
      <c r="AS308" s="44"/>
    </row>
    <row r="309">
      <c r="A309" s="92"/>
      <c r="B309" s="93"/>
      <c r="C309" s="39"/>
      <c r="D309" s="39"/>
      <c r="E309" s="39"/>
      <c r="F309" s="39"/>
      <c r="G309" s="94"/>
      <c r="H309" s="95"/>
      <c r="I309" s="39"/>
      <c r="J309" s="39"/>
      <c r="K309" s="39"/>
      <c r="L309" s="39"/>
      <c r="M309" s="39"/>
      <c r="N309" s="39"/>
      <c r="O309" s="39"/>
      <c r="P309" s="39"/>
      <c r="Q309" s="39"/>
      <c r="R309" s="39"/>
      <c r="S309" s="39"/>
      <c r="T309" s="39"/>
      <c r="U309" s="94"/>
      <c r="V309" s="39"/>
      <c r="W309" s="39"/>
      <c r="X309" s="39"/>
      <c r="Y309" s="39"/>
      <c r="Z309" s="39"/>
      <c r="AA309" s="39"/>
      <c r="AB309" s="39"/>
      <c r="AC309" s="39"/>
      <c r="AD309" s="39"/>
      <c r="AE309" s="39"/>
      <c r="AF309" s="39"/>
      <c r="AG309" s="39"/>
      <c r="AH309" s="39"/>
      <c r="AI309" s="39"/>
      <c r="AJ309" s="39"/>
      <c r="AK309" s="39"/>
      <c r="AL309" s="39"/>
      <c r="AM309" s="39"/>
      <c r="AN309" s="39"/>
      <c r="AO309" s="39"/>
      <c r="AP309" s="39"/>
      <c r="AQ309" s="96"/>
      <c r="AR309" s="96"/>
      <c r="AS309" s="44"/>
    </row>
    <row r="310">
      <c r="A310" s="92"/>
      <c r="B310" s="93"/>
      <c r="C310" s="39"/>
      <c r="D310" s="39"/>
      <c r="E310" s="39"/>
      <c r="F310" s="39"/>
      <c r="G310" s="94"/>
      <c r="H310" s="95"/>
      <c r="I310" s="39"/>
      <c r="J310" s="39"/>
      <c r="K310" s="39"/>
      <c r="L310" s="39"/>
      <c r="M310" s="39"/>
      <c r="N310" s="39"/>
      <c r="O310" s="39"/>
      <c r="P310" s="39"/>
      <c r="Q310" s="39"/>
      <c r="R310" s="39"/>
      <c r="S310" s="39"/>
      <c r="T310" s="39"/>
      <c r="U310" s="94"/>
      <c r="V310" s="39"/>
      <c r="W310" s="39"/>
      <c r="X310" s="39"/>
      <c r="Y310" s="39"/>
      <c r="Z310" s="39"/>
      <c r="AA310" s="39"/>
      <c r="AB310" s="39"/>
      <c r="AC310" s="39"/>
      <c r="AD310" s="39"/>
      <c r="AE310" s="39"/>
      <c r="AF310" s="39"/>
      <c r="AG310" s="39"/>
      <c r="AH310" s="39"/>
      <c r="AI310" s="39"/>
      <c r="AJ310" s="39"/>
      <c r="AK310" s="39"/>
      <c r="AL310" s="39"/>
      <c r="AM310" s="39"/>
      <c r="AN310" s="39"/>
      <c r="AO310" s="39"/>
      <c r="AP310" s="39"/>
      <c r="AQ310" s="96"/>
      <c r="AR310" s="96"/>
      <c r="AS310" s="44"/>
    </row>
    <row r="311">
      <c r="A311" s="92"/>
      <c r="B311" s="93"/>
      <c r="C311" s="39"/>
      <c r="D311" s="39"/>
      <c r="E311" s="39"/>
      <c r="F311" s="39"/>
      <c r="G311" s="94"/>
      <c r="H311" s="95"/>
      <c r="I311" s="39"/>
      <c r="J311" s="39"/>
      <c r="K311" s="39"/>
      <c r="L311" s="39"/>
      <c r="M311" s="39"/>
      <c r="N311" s="39"/>
      <c r="O311" s="39"/>
      <c r="P311" s="39"/>
      <c r="Q311" s="39"/>
      <c r="R311" s="39"/>
      <c r="S311" s="39"/>
      <c r="T311" s="39"/>
      <c r="U311" s="94"/>
      <c r="V311" s="39"/>
      <c r="W311" s="39"/>
      <c r="X311" s="39"/>
      <c r="Y311" s="39"/>
      <c r="Z311" s="39"/>
      <c r="AA311" s="39"/>
      <c r="AB311" s="39"/>
      <c r="AC311" s="39"/>
      <c r="AD311" s="39"/>
      <c r="AE311" s="39"/>
      <c r="AF311" s="39"/>
      <c r="AG311" s="39"/>
      <c r="AH311" s="39"/>
      <c r="AI311" s="39"/>
      <c r="AJ311" s="39"/>
      <c r="AK311" s="39"/>
      <c r="AL311" s="39"/>
      <c r="AM311" s="39"/>
      <c r="AN311" s="39"/>
      <c r="AO311" s="39"/>
      <c r="AP311" s="39"/>
      <c r="AQ311" s="96"/>
      <c r="AR311" s="96"/>
      <c r="AS311" s="44"/>
    </row>
    <row r="312">
      <c r="A312" s="92"/>
      <c r="B312" s="93"/>
      <c r="C312" s="39"/>
      <c r="D312" s="39"/>
      <c r="E312" s="39"/>
      <c r="F312" s="39"/>
      <c r="G312" s="94"/>
      <c r="H312" s="95"/>
      <c r="I312" s="39"/>
      <c r="J312" s="39"/>
      <c r="K312" s="39"/>
      <c r="L312" s="39"/>
      <c r="M312" s="39"/>
      <c r="N312" s="39"/>
      <c r="O312" s="39"/>
      <c r="P312" s="39"/>
      <c r="Q312" s="39"/>
      <c r="R312" s="39"/>
      <c r="S312" s="39"/>
      <c r="T312" s="39"/>
      <c r="U312" s="94"/>
      <c r="V312" s="39"/>
      <c r="W312" s="39"/>
      <c r="X312" s="39"/>
      <c r="Y312" s="39"/>
      <c r="Z312" s="39"/>
      <c r="AA312" s="39"/>
      <c r="AB312" s="39"/>
      <c r="AC312" s="39"/>
      <c r="AD312" s="39"/>
      <c r="AE312" s="39"/>
      <c r="AF312" s="39"/>
      <c r="AG312" s="39"/>
      <c r="AH312" s="39"/>
      <c r="AI312" s="39"/>
      <c r="AJ312" s="39"/>
      <c r="AK312" s="39"/>
      <c r="AL312" s="39"/>
      <c r="AM312" s="39"/>
      <c r="AN312" s="39"/>
      <c r="AO312" s="39"/>
      <c r="AP312" s="39"/>
      <c r="AQ312" s="96"/>
      <c r="AR312" s="96"/>
      <c r="AS312" s="44"/>
    </row>
    <row r="313">
      <c r="A313" s="92"/>
      <c r="B313" s="93"/>
      <c r="C313" s="39"/>
      <c r="D313" s="39"/>
      <c r="E313" s="39"/>
      <c r="F313" s="39"/>
      <c r="G313" s="94"/>
      <c r="H313" s="95"/>
      <c r="I313" s="39"/>
      <c r="J313" s="39"/>
      <c r="K313" s="39"/>
      <c r="L313" s="39"/>
      <c r="M313" s="39"/>
      <c r="N313" s="39"/>
      <c r="O313" s="39"/>
      <c r="P313" s="39"/>
      <c r="Q313" s="39"/>
      <c r="R313" s="39"/>
      <c r="S313" s="39"/>
      <c r="T313" s="39"/>
      <c r="U313" s="94"/>
      <c r="V313" s="39"/>
      <c r="W313" s="39"/>
      <c r="X313" s="39"/>
      <c r="Y313" s="39"/>
      <c r="Z313" s="39"/>
      <c r="AA313" s="39"/>
      <c r="AB313" s="39"/>
      <c r="AC313" s="39"/>
      <c r="AD313" s="39"/>
      <c r="AE313" s="39"/>
      <c r="AF313" s="39"/>
      <c r="AG313" s="39"/>
      <c r="AH313" s="39"/>
      <c r="AI313" s="39"/>
      <c r="AJ313" s="39"/>
      <c r="AK313" s="39"/>
      <c r="AL313" s="39"/>
      <c r="AM313" s="39"/>
      <c r="AN313" s="39"/>
      <c r="AO313" s="39"/>
      <c r="AP313" s="39"/>
      <c r="AQ313" s="96"/>
      <c r="AR313" s="96"/>
      <c r="AS313" s="44"/>
    </row>
    <row r="314">
      <c r="A314" s="92"/>
      <c r="B314" s="93"/>
      <c r="C314" s="39"/>
      <c r="D314" s="39"/>
      <c r="E314" s="39"/>
      <c r="F314" s="39"/>
      <c r="G314" s="94"/>
      <c r="H314" s="95"/>
      <c r="I314" s="39"/>
      <c r="J314" s="39"/>
      <c r="K314" s="39"/>
      <c r="L314" s="39"/>
      <c r="M314" s="39"/>
      <c r="N314" s="39"/>
      <c r="O314" s="39"/>
      <c r="P314" s="39"/>
      <c r="Q314" s="39"/>
      <c r="R314" s="39"/>
      <c r="S314" s="39"/>
      <c r="T314" s="39"/>
      <c r="U314" s="94"/>
      <c r="V314" s="39"/>
      <c r="W314" s="39"/>
      <c r="X314" s="39"/>
      <c r="Y314" s="39"/>
      <c r="Z314" s="39"/>
      <c r="AA314" s="39"/>
      <c r="AB314" s="39"/>
      <c r="AC314" s="39"/>
      <c r="AD314" s="39"/>
      <c r="AE314" s="39"/>
      <c r="AF314" s="39"/>
      <c r="AG314" s="39"/>
      <c r="AH314" s="39"/>
      <c r="AI314" s="39"/>
      <c r="AJ314" s="39"/>
      <c r="AK314" s="39"/>
      <c r="AL314" s="39"/>
      <c r="AM314" s="39"/>
      <c r="AN314" s="39"/>
      <c r="AO314" s="39"/>
      <c r="AP314" s="39"/>
      <c r="AQ314" s="96"/>
      <c r="AR314" s="96"/>
      <c r="AS314" s="44"/>
    </row>
    <row r="315">
      <c r="A315" s="92"/>
      <c r="B315" s="93"/>
      <c r="C315" s="39"/>
      <c r="D315" s="39"/>
      <c r="E315" s="39"/>
      <c r="F315" s="39"/>
      <c r="G315" s="94"/>
      <c r="H315" s="95"/>
      <c r="I315" s="39"/>
      <c r="J315" s="39"/>
      <c r="K315" s="39"/>
      <c r="L315" s="39"/>
      <c r="M315" s="39"/>
      <c r="N315" s="39"/>
      <c r="O315" s="39"/>
      <c r="P315" s="39"/>
      <c r="Q315" s="39"/>
      <c r="R315" s="39"/>
      <c r="S315" s="39"/>
      <c r="T315" s="39"/>
      <c r="U315" s="94"/>
      <c r="V315" s="39"/>
      <c r="W315" s="39"/>
      <c r="X315" s="39"/>
      <c r="Y315" s="39"/>
      <c r="Z315" s="39"/>
      <c r="AA315" s="39"/>
      <c r="AB315" s="39"/>
      <c r="AC315" s="39"/>
      <c r="AD315" s="39"/>
      <c r="AE315" s="39"/>
      <c r="AF315" s="39"/>
      <c r="AG315" s="39"/>
      <c r="AH315" s="39"/>
      <c r="AI315" s="39"/>
      <c r="AJ315" s="39"/>
      <c r="AK315" s="39"/>
      <c r="AL315" s="39"/>
      <c r="AM315" s="39"/>
      <c r="AN315" s="39"/>
      <c r="AO315" s="39"/>
      <c r="AP315" s="39"/>
      <c r="AQ315" s="96"/>
      <c r="AR315" s="96"/>
      <c r="AS315" s="44"/>
    </row>
    <row r="316">
      <c r="A316" s="92"/>
      <c r="B316" s="93"/>
      <c r="C316" s="39"/>
      <c r="D316" s="39"/>
      <c r="E316" s="39"/>
      <c r="F316" s="39"/>
      <c r="G316" s="94"/>
      <c r="H316" s="95"/>
      <c r="I316" s="39"/>
      <c r="J316" s="39"/>
      <c r="K316" s="39"/>
      <c r="L316" s="39"/>
      <c r="M316" s="39"/>
      <c r="N316" s="39"/>
      <c r="O316" s="39"/>
      <c r="P316" s="39"/>
      <c r="Q316" s="39"/>
      <c r="R316" s="39"/>
      <c r="S316" s="39"/>
      <c r="T316" s="39"/>
      <c r="U316" s="94"/>
      <c r="V316" s="39"/>
      <c r="W316" s="39"/>
      <c r="X316" s="39"/>
      <c r="Y316" s="39"/>
      <c r="Z316" s="39"/>
      <c r="AA316" s="39"/>
      <c r="AB316" s="39"/>
      <c r="AC316" s="39"/>
      <c r="AD316" s="39"/>
      <c r="AE316" s="39"/>
      <c r="AF316" s="39"/>
      <c r="AG316" s="39"/>
      <c r="AH316" s="39"/>
      <c r="AI316" s="39"/>
      <c r="AJ316" s="39"/>
      <c r="AK316" s="39"/>
      <c r="AL316" s="39"/>
      <c r="AM316" s="39"/>
      <c r="AN316" s="39"/>
      <c r="AO316" s="39"/>
      <c r="AP316" s="39"/>
      <c r="AQ316" s="96"/>
      <c r="AR316" s="96"/>
      <c r="AS316" s="44"/>
    </row>
    <row r="317">
      <c r="A317" s="92"/>
      <c r="B317" s="93"/>
      <c r="C317" s="39"/>
      <c r="D317" s="39"/>
      <c r="E317" s="39"/>
      <c r="F317" s="39"/>
      <c r="G317" s="94"/>
      <c r="H317" s="95"/>
      <c r="I317" s="39"/>
      <c r="J317" s="39"/>
      <c r="K317" s="39"/>
      <c r="L317" s="39"/>
      <c r="M317" s="39"/>
      <c r="N317" s="39"/>
      <c r="O317" s="39"/>
      <c r="P317" s="39"/>
      <c r="Q317" s="39"/>
      <c r="R317" s="39"/>
      <c r="S317" s="39"/>
      <c r="T317" s="39"/>
      <c r="U317" s="94"/>
      <c r="V317" s="39"/>
      <c r="W317" s="39"/>
      <c r="X317" s="39"/>
      <c r="Y317" s="39"/>
      <c r="Z317" s="39"/>
      <c r="AA317" s="39"/>
      <c r="AB317" s="39"/>
      <c r="AC317" s="39"/>
      <c r="AD317" s="39"/>
      <c r="AE317" s="39"/>
      <c r="AF317" s="39"/>
      <c r="AG317" s="39"/>
      <c r="AH317" s="39"/>
      <c r="AI317" s="39"/>
      <c r="AJ317" s="39"/>
      <c r="AK317" s="39"/>
      <c r="AL317" s="39"/>
      <c r="AM317" s="39"/>
      <c r="AN317" s="39"/>
      <c r="AO317" s="39"/>
      <c r="AP317" s="39"/>
      <c r="AQ317" s="96"/>
      <c r="AR317" s="96"/>
      <c r="AS317" s="44"/>
    </row>
    <row r="318">
      <c r="A318" s="92"/>
      <c r="B318" s="93"/>
      <c r="C318" s="39"/>
      <c r="D318" s="39"/>
      <c r="E318" s="39"/>
      <c r="F318" s="39"/>
      <c r="G318" s="94"/>
      <c r="H318" s="95"/>
      <c r="I318" s="39"/>
      <c r="J318" s="39"/>
      <c r="K318" s="39"/>
      <c r="L318" s="39"/>
      <c r="M318" s="39"/>
      <c r="N318" s="39"/>
      <c r="O318" s="39"/>
      <c r="P318" s="39"/>
      <c r="Q318" s="39"/>
      <c r="R318" s="39"/>
      <c r="S318" s="39"/>
      <c r="T318" s="39"/>
      <c r="U318" s="94"/>
      <c r="V318" s="39"/>
      <c r="W318" s="39"/>
      <c r="X318" s="39"/>
      <c r="Y318" s="39"/>
      <c r="Z318" s="39"/>
      <c r="AA318" s="39"/>
      <c r="AB318" s="39"/>
      <c r="AC318" s="39"/>
      <c r="AD318" s="39"/>
      <c r="AE318" s="39"/>
      <c r="AF318" s="39"/>
      <c r="AG318" s="39"/>
      <c r="AH318" s="39"/>
      <c r="AI318" s="39"/>
      <c r="AJ318" s="39"/>
      <c r="AK318" s="39"/>
      <c r="AL318" s="39"/>
      <c r="AM318" s="39"/>
      <c r="AN318" s="39"/>
      <c r="AO318" s="39"/>
      <c r="AP318" s="39"/>
      <c r="AQ318" s="96"/>
      <c r="AR318" s="96"/>
      <c r="AS318" s="44"/>
    </row>
    <row r="319">
      <c r="A319" s="92"/>
      <c r="B319" s="93"/>
      <c r="C319" s="39"/>
      <c r="D319" s="39"/>
      <c r="E319" s="39"/>
      <c r="F319" s="39"/>
      <c r="G319" s="94"/>
      <c r="H319" s="95"/>
      <c r="I319" s="39"/>
      <c r="J319" s="39"/>
      <c r="K319" s="39"/>
      <c r="L319" s="39"/>
      <c r="M319" s="39"/>
      <c r="N319" s="39"/>
      <c r="O319" s="39"/>
      <c r="P319" s="39"/>
      <c r="Q319" s="39"/>
      <c r="R319" s="39"/>
      <c r="S319" s="39"/>
      <c r="T319" s="39"/>
      <c r="U319" s="94"/>
      <c r="V319" s="39"/>
      <c r="W319" s="39"/>
      <c r="X319" s="39"/>
      <c r="Y319" s="39"/>
      <c r="Z319" s="39"/>
      <c r="AA319" s="39"/>
      <c r="AB319" s="39"/>
      <c r="AC319" s="39"/>
      <c r="AD319" s="39"/>
      <c r="AE319" s="39"/>
      <c r="AF319" s="39"/>
      <c r="AG319" s="39"/>
      <c r="AH319" s="39"/>
      <c r="AI319" s="39"/>
      <c r="AJ319" s="39"/>
      <c r="AK319" s="39"/>
      <c r="AL319" s="39"/>
      <c r="AM319" s="39"/>
      <c r="AN319" s="39"/>
      <c r="AO319" s="39"/>
      <c r="AP319" s="39"/>
      <c r="AQ319" s="96"/>
      <c r="AR319" s="96"/>
      <c r="AS319" s="44"/>
    </row>
    <row r="320">
      <c r="A320" s="92"/>
      <c r="B320" s="93"/>
      <c r="C320" s="39"/>
      <c r="D320" s="39"/>
      <c r="E320" s="39"/>
      <c r="F320" s="39"/>
      <c r="G320" s="94"/>
      <c r="H320" s="95"/>
      <c r="I320" s="39"/>
      <c r="J320" s="39"/>
      <c r="K320" s="39"/>
      <c r="L320" s="39"/>
      <c r="M320" s="39"/>
      <c r="N320" s="39"/>
      <c r="O320" s="39"/>
      <c r="P320" s="39"/>
      <c r="Q320" s="39"/>
      <c r="R320" s="39"/>
      <c r="S320" s="39"/>
      <c r="T320" s="39"/>
      <c r="U320" s="94"/>
      <c r="V320" s="39"/>
      <c r="W320" s="39"/>
      <c r="X320" s="39"/>
      <c r="Y320" s="39"/>
      <c r="Z320" s="39"/>
      <c r="AA320" s="39"/>
      <c r="AB320" s="39"/>
      <c r="AC320" s="39"/>
      <c r="AD320" s="39"/>
      <c r="AE320" s="39"/>
      <c r="AF320" s="39"/>
      <c r="AG320" s="39"/>
      <c r="AH320" s="39"/>
      <c r="AI320" s="39"/>
      <c r="AJ320" s="39"/>
      <c r="AK320" s="39"/>
      <c r="AL320" s="39"/>
      <c r="AM320" s="39"/>
      <c r="AN320" s="39"/>
      <c r="AO320" s="39"/>
      <c r="AP320" s="39"/>
      <c r="AQ320" s="96"/>
      <c r="AR320" s="96"/>
      <c r="AS320" s="44"/>
    </row>
    <row r="321">
      <c r="A321" s="92"/>
      <c r="B321" s="93"/>
      <c r="C321" s="39"/>
      <c r="D321" s="39"/>
      <c r="E321" s="39"/>
      <c r="F321" s="39"/>
      <c r="G321" s="94"/>
      <c r="H321" s="95"/>
      <c r="I321" s="39"/>
      <c r="J321" s="39"/>
      <c r="K321" s="39"/>
      <c r="L321" s="39"/>
      <c r="M321" s="39"/>
      <c r="N321" s="39"/>
      <c r="O321" s="39"/>
      <c r="P321" s="39"/>
      <c r="Q321" s="39"/>
      <c r="R321" s="39"/>
      <c r="S321" s="39"/>
      <c r="T321" s="39"/>
      <c r="U321" s="94"/>
      <c r="V321" s="39"/>
      <c r="W321" s="39"/>
      <c r="X321" s="39"/>
      <c r="Y321" s="39"/>
      <c r="Z321" s="39"/>
      <c r="AA321" s="39"/>
      <c r="AB321" s="39"/>
      <c r="AC321" s="39"/>
      <c r="AD321" s="39"/>
      <c r="AE321" s="39"/>
      <c r="AF321" s="39"/>
      <c r="AG321" s="39"/>
      <c r="AH321" s="39"/>
      <c r="AI321" s="39"/>
      <c r="AJ321" s="39"/>
      <c r="AK321" s="39"/>
      <c r="AL321" s="39"/>
      <c r="AM321" s="39"/>
      <c r="AN321" s="39"/>
      <c r="AO321" s="39"/>
      <c r="AP321" s="39"/>
      <c r="AQ321" s="96"/>
      <c r="AR321" s="96"/>
      <c r="AS321" s="44"/>
    </row>
    <row r="322">
      <c r="A322" s="92"/>
      <c r="B322" s="93"/>
      <c r="C322" s="39"/>
      <c r="D322" s="39"/>
      <c r="E322" s="39"/>
      <c r="F322" s="39"/>
      <c r="G322" s="94"/>
      <c r="H322" s="95"/>
      <c r="I322" s="39"/>
      <c r="J322" s="39"/>
      <c r="K322" s="39"/>
      <c r="L322" s="39"/>
      <c r="M322" s="39"/>
      <c r="N322" s="39"/>
      <c r="O322" s="39"/>
      <c r="P322" s="39"/>
      <c r="Q322" s="39"/>
      <c r="R322" s="39"/>
      <c r="S322" s="39"/>
      <c r="T322" s="39"/>
      <c r="U322" s="94"/>
      <c r="V322" s="39"/>
      <c r="W322" s="39"/>
      <c r="X322" s="39"/>
      <c r="Y322" s="39"/>
      <c r="Z322" s="39"/>
      <c r="AA322" s="39"/>
      <c r="AB322" s="39"/>
      <c r="AC322" s="39"/>
      <c r="AD322" s="39"/>
      <c r="AE322" s="39"/>
      <c r="AF322" s="39"/>
      <c r="AG322" s="39"/>
      <c r="AH322" s="39"/>
      <c r="AI322" s="39"/>
      <c r="AJ322" s="39"/>
      <c r="AK322" s="39"/>
      <c r="AL322" s="39"/>
      <c r="AM322" s="39"/>
      <c r="AN322" s="39"/>
      <c r="AO322" s="39"/>
      <c r="AP322" s="39"/>
      <c r="AQ322" s="96"/>
      <c r="AR322" s="96"/>
      <c r="AS322" s="44"/>
    </row>
    <row r="323">
      <c r="A323" s="92"/>
      <c r="B323" s="93"/>
      <c r="C323" s="39"/>
      <c r="D323" s="39"/>
      <c r="E323" s="39"/>
      <c r="F323" s="39"/>
      <c r="G323" s="94"/>
      <c r="H323" s="95"/>
      <c r="I323" s="39"/>
      <c r="J323" s="39"/>
      <c r="K323" s="39"/>
      <c r="L323" s="39"/>
      <c r="M323" s="39"/>
      <c r="N323" s="39"/>
      <c r="O323" s="39"/>
      <c r="P323" s="39"/>
      <c r="Q323" s="39"/>
      <c r="R323" s="39"/>
      <c r="S323" s="39"/>
      <c r="T323" s="39"/>
      <c r="U323" s="94"/>
      <c r="V323" s="39"/>
      <c r="W323" s="39"/>
      <c r="X323" s="39"/>
      <c r="Y323" s="39"/>
      <c r="Z323" s="39"/>
      <c r="AA323" s="39"/>
      <c r="AB323" s="39"/>
      <c r="AC323" s="39"/>
      <c r="AD323" s="39"/>
      <c r="AE323" s="39"/>
      <c r="AF323" s="39"/>
      <c r="AG323" s="39"/>
      <c r="AH323" s="39"/>
      <c r="AI323" s="39"/>
      <c r="AJ323" s="39"/>
      <c r="AK323" s="39"/>
      <c r="AL323" s="39"/>
      <c r="AM323" s="39"/>
      <c r="AN323" s="39"/>
      <c r="AO323" s="39"/>
      <c r="AP323" s="39"/>
      <c r="AQ323" s="96"/>
      <c r="AR323" s="96"/>
      <c r="AS323" s="44"/>
    </row>
    <row r="324">
      <c r="A324" s="92"/>
      <c r="B324" s="93"/>
      <c r="C324" s="39"/>
      <c r="D324" s="39"/>
      <c r="E324" s="39"/>
      <c r="F324" s="39"/>
      <c r="G324" s="94"/>
      <c r="H324" s="95"/>
      <c r="I324" s="39"/>
      <c r="J324" s="39"/>
      <c r="K324" s="39"/>
      <c r="L324" s="39"/>
      <c r="M324" s="39"/>
      <c r="N324" s="39"/>
      <c r="O324" s="39"/>
      <c r="P324" s="39"/>
      <c r="Q324" s="39"/>
      <c r="R324" s="39"/>
      <c r="S324" s="39"/>
      <c r="T324" s="39"/>
      <c r="U324" s="94"/>
      <c r="V324" s="39"/>
      <c r="W324" s="39"/>
      <c r="X324" s="39"/>
      <c r="Y324" s="39"/>
      <c r="Z324" s="39"/>
      <c r="AA324" s="39"/>
      <c r="AB324" s="39"/>
      <c r="AC324" s="39"/>
      <c r="AD324" s="39"/>
      <c r="AE324" s="39"/>
      <c r="AF324" s="39"/>
      <c r="AG324" s="39"/>
      <c r="AH324" s="39"/>
      <c r="AI324" s="39"/>
      <c r="AJ324" s="39"/>
      <c r="AK324" s="39"/>
      <c r="AL324" s="39"/>
      <c r="AM324" s="39"/>
      <c r="AN324" s="39"/>
      <c r="AO324" s="39"/>
      <c r="AP324" s="39"/>
      <c r="AQ324" s="96"/>
      <c r="AR324" s="96"/>
      <c r="AS324" s="44"/>
    </row>
    <row r="325">
      <c r="A325" s="92"/>
      <c r="B325" s="93"/>
      <c r="C325" s="39"/>
      <c r="D325" s="39"/>
      <c r="E325" s="39"/>
      <c r="F325" s="39"/>
      <c r="G325" s="94"/>
      <c r="H325" s="95"/>
      <c r="I325" s="39"/>
      <c r="J325" s="39"/>
      <c r="K325" s="39"/>
      <c r="L325" s="39"/>
      <c r="M325" s="39"/>
      <c r="N325" s="39"/>
      <c r="O325" s="39"/>
      <c r="P325" s="39"/>
      <c r="Q325" s="39"/>
      <c r="R325" s="39"/>
      <c r="S325" s="39"/>
      <c r="T325" s="39"/>
      <c r="U325" s="94"/>
      <c r="V325" s="39"/>
      <c r="W325" s="39"/>
      <c r="X325" s="39"/>
      <c r="Y325" s="39"/>
      <c r="Z325" s="39"/>
      <c r="AA325" s="39"/>
      <c r="AB325" s="39"/>
      <c r="AC325" s="39"/>
      <c r="AD325" s="39"/>
      <c r="AE325" s="39"/>
      <c r="AF325" s="39"/>
      <c r="AG325" s="39"/>
      <c r="AH325" s="39"/>
      <c r="AI325" s="39"/>
      <c r="AJ325" s="39"/>
      <c r="AK325" s="39"/>
      <c r="AL325" s="39"/>
      <c r="AM325" s="39"/>
      <c r="AN325" s="39"/>
      <c r="AO325" s="39"/>
      <c r="AP325" s="39"/>
      <c r="AQ325" s="96"/>
      <c r="AR325" s="96"/>
      <c r="AS325" s="44"/>
    </row>
    <row r="326">
      <c r="A326" s="92"/>
      <c r="B326" s="93"/>
      <c r="C326" s="39"/>
      <c r="D326" s="39"/>
      <c r="E326" s="39"/>
      <c r="F326" s="39"/>
      <c r="G326" s="94"/>
      <c r="H326" s="95"/>
      <c r="I326" s="39"/>
      <c r="J326" s="39"/>
      <c r="K326" s="39"/>
      <c r="L326" s="39"/>
      <c r="M326" s="39"/>
      <c r="N326" s="39"/>
      <c r="O326" s="39"/>
      <c r="P326" s="39"/>
      <c r="Q326" s="39"/>
      <c r="R326" s="39"/>
      <c r="S326" s="39"/>
      <c r="T326" s="39"/>
      <c r="U326" s="94"/>
      <c r="V326" s="39"/>
      <c r="W326" s="39"/>
      <c r="X326" s="39"/>
      <c r="Y326" s="39"/>
      <c r="Z326" s="39"/>
      <c r="AA326" s="39"/>
      <c r="AB326" s="39"/>
      <c r="AC326" s="39"/>
      <c r="AD326" s="39"/>
      <c r="AE326" s="39"/>
      <c r="AF326" s="39"/>
      <c r="AG326" s="39"/>
      <c r="AH326" s="39"/>
      <c r="AI326" s="39"/>
      <c r="AJ326" s="39"/>
      <c r="AK326" s="39"/>
      <c r="AL326" s="39"/>
      <c r="AM326" s="39"/>
      <c r="AN326" s="39"/>
      <c r="AO326" s="39"/>
      <c r="AP326" s="39"/>
      <c r="AQ326" s="96"/>
      <c r="AR326" s="96"/>
      <c r="AS326" s="44"/>
    </row>
    <row r="327">
      <c r="A327" s="92"/>
      <c r="B327" s="93"/>
      <c r="C327" s="39"/>
      <c r="D327" s="39"/>
      <c r="E327" s="39"/>
      <c r="F327" s="39"/>
      <c r="G327" s="94"/>
      <c r="H327" s="95"/>
      <c r="I327" s="39"/>
      <c r="J327" s="39"/>
      <c r="K327" s="39"/>
      <c r="L327" s="39"/>
      <c r="M327" s="39"/>
      <c r="N327" s="39"/>
      <c r="O327" s="39"/>
      <c r="P327" s="39"/>
      <c r="Q327" s="39"/>
      <c r="R327" s="39"/>
      <c r="S327" s="39"/>
      <c r="T327" s="39"/>
      <c r="U327" s="94"/>
      <c r="V327" s="39"/>
      <c r="W327" s="39"/>
      <c r="X327" s="39"/>
      <c r="Y327" s="39"/>
      <c r="Z327" s="39"/>
      <c r="AA327" s="39"/>
      <c r="AB327" s="39"/>
      <c r="AC327" s="39"/>
      <c r="AD327" s="39"/>
      <c r="AE327" s="39"/>
      <c r="AF327" s="39"/>
      <c r="AG327" s="39"/>
      <c r="AH327" s="39"/>
      <c r="AI327" s="39"/>
      <c r="AJ327" s="39"/>
      <c r="AK327" s="39"/>
      <c r="AL327" s="39"/>
      <c r="AM327" s="39"/>
      <c r="AN327" s="39"/>
      <c r="AO327" s="39"/>
      <c r="AP327" s="39"/>
      <c r="AQ327" s="96"/>
      <c r="AR327" s="96"/>
      <c r="AS327" s="44"/>
    </row>
    <row r="328">
      <c r="A328" s="92"/>
      <c r="B328" s="93"/>
      <c r="C328" s="39"/>
      <c r="D328" s="39"/>
      <c r="E328" s="39"/>
      <c r="F328" s="39"/>
      <c r="G328" s="94"/>
      <c r="H328" s="95"/>
      <c r="I328" s="39"/>
      <c r="J328" s="39"/>
      <c r="K328" s="39"/>
      <c r="L328" s="39"/>
      <c r="M328" s="39"/>
      <c r="N328" s="39"/>
      <c r="O328" s="39"/>
      <c r="P328" s="39"/>
      <c r="Q328" s="39"/>
      <c r="R328" s="39"/>
      <c r="S328" s="39"/>
      <c r="T328" s="39"/>
      <c r="U328" s="94"/>
      <c r="V328" s="39"/>
      <c r="W328" s="39"/>
      <c r="X328" s="39"/>
      <c r="Y328" s="39"/>
      <c r="Z328" s="39"/>
      <c r="AA328" s="39"/>
      <c r="AB328" s="39"/>
      <c r="AC328" s="39"/>
      <c r="AD328" s="39"/>
      <c r="AE328" s="39"/>
      <c r="AF328" s="39"/>
      <c r="AG328" s="39"/>
      <c r="AH328" s="39"/>
      <c r="AI328" s="39"/>
      <c r="AJ328" s="39"/>
      <c r="AK328" s="39"/>
      <c r="AL328" s="39"/>
      <c r="AM328" s="39"/>
      <c r="AN328" s="39"/>
      <c r="AO328" s="39"/>
      <c r="AP328" s="39"/>
      <c r="AQ328" s="96"/>
      <c r="AR328" s="96"/>
      <c r="AS328" s="44"/>
    </row>
    <row r="329">
      <c r="A329" s="92"/>
      <c r="B329" s="93"/>
      <c r="C329" s="39"/>
      <c r="D329" s="39"/>
      <c r="E329" s="39"/>
      <c r="F329" s="39"/>
      <c r="G329" s="94"/>
      <c r="H329" s="95"/>
      <c r="I329" s="39"/>
      <c r="J329" s="39"/>
      <c r="K329" s="39"/>
      <c r="L329" s="39"/>
      <c r="M329" s="39"/>
      <c r="N329" s="39"/>
      <c r="O329" s="39"/>
      <c r="P329" s="39"/>
      <c r="Q329" s="39"/>
      <c r="R329" s="39"/>
      <c r="S329" s="39"/>
      <c r="T329" s="39"/>
      <c r="U329" s="94"/>
      <c r="V329" s="39"/>
      <c r="W329" s="39"/>
      <c r="X329" s="39"/>
      <c r="Y329" s="39"/>
      <c r="Z329" s="39"/>
      <c r="AA329" s="39"/>
      <c r="AB329" s="39"/>
      <c r="AC329" s="39"/>
      <c r="AD329" s="39"/>
      <c r="AE329" s="39"/>
      <c r="AF329" s="39"/>
      <c r="AG329" s="39"/>
      <c r="AH329" s="39"/>
      <c r="AI329" s="39"/>
      <c r="AJ329" s="39"/>
      <c r="AK329" s="39"/>
      <c r="AL329" s="39"/>
      <c r="AM329" s="39"/>
      <c r="AN329" s="39"/>
      <c r="AO329" s="39"/>
      <c r="AP329" s="39"/>
      <c r="AQ329" s="96"/>
      <c r="AR329" s="96"/>
      <c r="AS329" s="44"/>
    </row>
    <row r="330">
      <c r="A330" s="92"/>
      <c r="B330" s="93"/>
      <c r="C330" s="39"/>
      <c r="D330" s="39"/>
      <c r="E330" s="39"/>
      <c r="F330" s="39"/>
      <c r="G330" s="94"/>
      <c r="H330" s="95"/>
      <c r="I330" s="39"/>
      <c r="J330" s="39"/>
      <c r="K330" s="39"/>
      <c r="L330" s="39"/>
      <c r="M330" s="39"/>
      <c r="N330" s="39"/>
      <c r="O330" s="39"/>
      <c r="P330" s="39"/>
      <c r="Q330" s="39"/>
      <c r="R330" s="39"/>
      <c r="S330" s="39"/>
      <c r="T330" s="39"/>
      <c r="U330" s="94"/>
      <c r="V330" s="39"/>
      <c r="W330" s="39"/>
      <c r="X330" s="39"/>
      <c r="Y330" s="39"/>
      <c r="Z330" s="39"/>
      <c r="AA330" s="39"/>
      <c r="AB330" s="39"/>
      <c r="AC330" s="39"/>
      <c r="AD330" s="39"/>
      <c r="AE330" s="39"/>
      <c r="AF330" s="39"/>
      <c r="AG330" s="39"/>
      <c r="AH330" s="39"/>
      <c r="AI330" s="39"/>
      <c r="AJ330" s="39"/>
      <c r="AK330" s="39"/>
      <c r="AL330" s="39"/>
      <c r="AM330" s="39"/>
      <c r="AN330" s="39"/>
      <c r="AO330" s="39"/>
      <c r="AP330" s="39"/>
      <c r="AQ330" s="96"/>
      <c r="AR330" s="96"/>
      <c r="AS330" s="44"/>
    </row>
    <row r="331">
      <c r="A331" s="92"/>
      <c r="B331" s="93"/>
      <c r="C331" s="39"/>
      <c r="D331" s="39"/>
      <c r="E331" s="39"/>
      <c r="F331" s="39"/>
      <c r="G331" s="94"/>
      <c r="H331" s="95"/>
      <c r="I331" s="39"/>
      <c r="J331" s="39"/>
      <c r="K331" s="39"/>
      <c r="L331" s="39"/>
      <c r="M331" s="39"/>
      <c r="N331" s="39"/>
      <c r="O331" s="39"/>
      <c r="P331" s="39"/>
      <c r="Q331" s="39"/>
      <c r="R331" s="39"/>
      <c r="S331" s="39"/>
      <c r="T331" s="39"/>
      <c r="U331" s="94"/>
      <c r="V331" s="39"/>
      <c r="W331" s="39"/>
      <c r="X331" s="39"/>
      <c r="Y331" s="39"/>
      <c r="Z331" s="39"/>
      <c r="AA331" s="39"/>
      <c r="AB331" s="39"/>
      <c r="AC331" s="39"/>
      <c r="AD331" s="39"/>
      <c r="AE331" s="39"/>
      <c r="AF331" s="39"/>
      <c r="AG331" s="39"/>
      <c r="AH331" s="39"/>
      <c r="AI331" s="39"/>
      <c r="AJ331" s="39"/>
      <c r="AK331" s="39"/>
      <c r="AL331" s="39"/>
      <c r="AM331" s="39"/>
      <c r="AN331" s="39"/>
      <c r="AO331" s="39"/>
      <c r="AP331" s="39"/>
      <c r="AQ331" s="96"/>
      <c r="AR331" s="96"/>
      <c r="AS331" s="44"/>
    </row>
    <row r="332">
      <c r="A332" s="92"/>
      <c r="B332" s="93"/>
      <c r="C332" s="39"/>
      <c r="D332" s="39"/>
      <c r="E332" s="39"/>
      <c r="F332" s="39"/>
      <c r="G332" s="94"/>
      <c r="H332" s="95"/>
      <c r="I332" s="39"/>
      <c r="J332" s="39"/>
      <c r="K332" s="39"/>
      <c r="L332" s="39"/>
      <c r="M332" s="39"/>
      <c r="N332" s="39"/>
      <c r="O332" s="39"/>
      <c r="P332" s="39"/>
      <c r="Q332" s="39"/>
      <c r="R332" s="39"/>
      <c r="S332" s="39"/>
      <c r="T332" s="39"/>
      <c r="U332" s="94"/>
      <c r="V332" s="39"/>
      <c r="W332" s="39"/>
      <c r="X332" s="39"/>
      <c r="Y332" s="39"/>
      <c r="Z332" s="39"/>
      <c r="AA332" s="39"/>
      <c r="AB332" s="39"/>
      <c r="AC332" s="39"/>
      <c r="AD332" s="39"/>
      <c r="AE332" s="39"/>
      <c r="AF332" s="39"/>
      <c r="AG332" s="39"/>
      <c r="AH332" s="39"/>
      <c r="AI332" s="39"/>
      <c r="AJ332" s="39"/>
      <c r="AK332" s="39"/>
      <c r="AL332" s="39"/>
      <c r="AM332" s="39"/>
      <c r="AN332" s="39"/>
      <c r="AO332" s="39"/>
      <c r="AP332" s="39"/>
      <c r="AQ332" s="96"/>
      <c r="AR332" s="96"/>
      <c r="AS332" s="44"/>
    </row>
    <row r="333">
      <c r="A333" s="92"/>
      <c r="B333" s="93"/>
      <c r="C333" s="39"/>
      <c r="D333" s="39"/>
      <c r="E333" s="39"/>
      <c r="F333" s="39"/>
      <c r="G333" s="94"/>
      <c r="H333" s="95"/>
      <c r="I333" s="39"/>
      <c r="J333" s="39"/>
      <c r="K333" s="39"/>
      <c r="L333" s="39"/>
      <c r="M333" s="39"/>
      <c r="N333" s="39"/>
      <c r="O333" s="39"/>
      <c r="P333" s="39"/>
      <c r="Q333" s="39"/>
      <c r="R333" s="39"/>
      <c r="S333" s="39"/>
      <c r="T333" s="39"/>
      <c r="U333" s="94"/>
      <c r="V333" s="39"/>
      <c r="W333" s="39"/>
      <c r="X333" s="39"/>
      <c r="Y333" s="39"/>
      <c r="Z333" s="39"/>
      <c r="AA333" s="39"/>
      <c r="AB333" s="39"/>
      <c r="AC333" s="39"/>
      <c r="AD333" s="39"/>
      <c r="AE333" s="39"/>
      <c r="AF333" s="39"/>
      <c r="AG333" s="39"/>
      <c r="AH333" s="39"/>
      <c r="AI333" s="39"/>
      <c r="AJ333" s="39"/>
      <c r="AK333" s="39"/>
      <c r="AL333" s="39"/>
      <c r="AM333" s="39"/>
      <c r="AN333" s="39"/>
      <c r="AO333" s="39"/>
      <c r="AP333" s="39"/>
      <c r="AQ333" s="96"/>
      <c r="AR333" s="96"/>
      <c r="AS333" s="44"/>
    </row>
    <row r="334">
      <c r="A334" s="92"/>
      <c r="B334" s="93"/>
      <c r="C334" s="39"/>
      <c r="D334" s="39"/>
      <c r="E334" s="39"/>
      <c r="F334" s="39"/>
      <c r="G334" s="94"/>
      <c r="H334" s="95"/>
      <c r="I334" s="39"/>
      <c r="J334" s="39"/>
      <c r="K334" s="39"/>
      <c r="L334" s="39"/>
      <c r="M334" s="39"/>
      <c r="N334" s="39"/>
      <c r="O334" s="39"/>
      <c r="P334" s="39"/>
      <c r="Q334" s="39"/>
      <c r="R334" s="39"/>
      <c r="S334" s="39"/>
      <c r="T334" s="39"/>
      <c r="U334" s="94"/>
      <c r="V334" s="39"/>
      <c r="W334" s="39"/>
      <c r="X334" s="39"/>
      <c r="Y334" s="39"/>
      <c r="Z334" s="39"/>
      <c r="AA334" s="39"/>
      <c r="AB334" s="39"/>
      <c r="AC334" s="39"/>
      <c r="AD334" s="39"/>
      <c r="AE334" s="39"/>
      <c r="AF334" s="39"/>
      <c r="AG334" s="39"/>
      <c r="AH334" s="39"/>
      <c r="AI334" s="39"/>
      <c r="AJ334" s="39"/>
      <c r="AK334" s="39"/>
      <c r="AL334" s="39"/>
      <c r="AM334" s="39"/>
      <c r="AN334" s="39"/>
      <c r="AO334" s="39"/>
      <c r="AP334" s="39"/>
      <c r="AQ334" s="96"/>
      <c r="AR334" s="96"/>
      <c r="AS334" s="44"/>
    </row>
    <row r="335">
      <c r="A335" s="92"/>
      <c r="B335" s="93"/>
      <c r="C335" s="39"/>
      <c r="D335" s="39"/>
      <c r="E335" s="39"/>
      <c r="F335" s="39"/>
      <c r="G335" s="94"/>
      <c r="H335" s="95"/>
      <c r="I335" s="39"/>
      <c r="J335" s="39"/>
      <c r="K335" s="39"/>
      <c r="L335" s="39"/>
      <c r="M335" s="39"/>
      <c r="N335" s="39"/>
      <c r="O335" s="39"/>
      <c r="P335" s="39"/>
      <c r="Q335" s="39"/>
      <c r="R335" s="39"/>
      <c r="S335" s="39"/>
      <c r="T335" s="39"/>
      <c r="U335" s="94"/>
      <c r="V335" s="39"/>
      <c r="W335" s="39"/>
      <c r="X335" s="39"/>
      <c r="Y335" s="39"/>
      <c r="Z335" s="39"/>
      <c r="AA335" s="39"/>
      <c r="AB335" s="39"/>
      <c r="AC335" s="39"/>
      <c r="AD335" s="39"/>
      <c r="AE335" s="39"/>
      <c r="AF335" s="39"/>
      <c r="AG335" s="39"/>
      <c r="AH335" s="39"/>
      <c r="AI335" s="39"/>
      <c r="AJ335" s="39"/>
      <c r="AK335" s="39"/>
      <c r="AL335" s="39"/>
      <c r="AM335" s="39"/>
      <c r="AN335" s="39"/>
      <c r="AO335" s="39"/>
      <c r="AP335" s="39"/>
      <c r="AQ335" s="96"/>
      <c r="AR335" s="96"/>
      <c r="AS335" s="44"/>
    </row>
    <row r="336">
      <c r="A336" s="92"/>
      <c r="B336" s="93"/>
      <c r="C336" s="39"/>
      <c r="D336" s="39"/>
      <c r="E336" s="39"/>
      <c r="F336" s="39"/>
      <c r="G336" s="94"/>
      <c r="H336" s="95"/>
      <c r="I336" s="39"/>
      <c r="J336" s="39"/>
      <c r="K336" s="39"/>
      <c r="L336" s="39"/>
      <c r="M336" s="39"/>
      <c r="N336" s="39"/>
      <c r="O336" s="39"/>
      <c r="P336" s="39"/>
      <c r="Q336" s="39"/>
      <c r="R336" s="39"/>
      <c r="S336" s="39"/>
      <c r="T336" s="39"/>
      <c r="U336" s="94"/>
      <c r="V336" s="39"/>
      <c r="W336" s="39"/>
      <c r="X336" s="39"/>
      <c r="Y336" s="39"/>
      <c r="Z336" s="39"/>
      <c r="AA336" s="39"/>
      <c r="AB336" s="39"/>
      <c r="AC336" s="39"/>
      <c r="AD336" s="39"/>
      <c r="AE336" s="39"/>
      <c r="AF336" s="39"/>
      <c r="AG336" s="39"/>
      <c r="AH336" s="39"/>
      <c r="AI336" s="39"/>
      <c r="AJ336" s="39"/>
      <c r="AK336" s="39"/>
      <c r="AL336" s="39"/>
      <c r="AM336" s="39"/>
      <c r="AN336" s="39"/>
      <c r="AO336" s="39"/>
      <c r="AP336" s="39"/>
      <c r="AQ336" s="96"/>
      <c r="AR336" s="96"/>
      <c r="AS336" s="44"/>
    </row>
    <row r="337">
      <c r="A337" s="92"/>
      <c r="B337" s="93"/>
      <c r="C337" s="39"/>
      <c r="D337" s="39"/>
      <c r="E337" s="39"/>
      <c r="F337" s="39"/>
      <c r="G337" s="94"/>
      <c r="H337" s="95"/>
      <c r="I337" s="39"/>
      <c r="J337" s="39"/>
      <c r="K337" s="39"/>
      <c r="L337" s="39"/>
      <c r="M337" s="39"/>
      <c r="N337" s="39"/>
      <c r="O337" s="39"/>
      <c r="P337" s="39"/>
      <c r="Q337" s="39"/>
      <c r="R337" s="39"/>
      <c r="S337" s="39"/>
      <c r="T337" s="39"/>
      <c r="U337" s="94"/>
      <c r="V337" s="39"/>
      <c r="W337" s="39"/>
      <c r="X337" s="39"/>
      <c r="Y337" s="39"/>
      <c r="Z337" s="39"/>
      <c r="AA337" s="39"/>
      <c r="AB337" s="39"/>
      <c r="AC337" s="39"/>
      <c r="AD337" s="39"/>
      <c r="AE337" s="39"/>
      <c r="AF337" s="39"/>
      <c r="AG337" s="39"/>
      <c r="AH337" s="39"/>
      <c r="AI337" s="39"/>
      <c r="AJ337" s="39"/>
      <c r="AK337" s="39"/>
      <c r="AL337" s="39"/>
      <c r="AM337" s="39"/>
      <c r="AN337" s="39"/>
      <c r="AO337" s="39"/>
      <c r="AP337" s="39"/>
      <c r="AQ337" s="96"/>
      <c r="AR337" s="96"/>
      <c r="AS337" s="44"/>
    </row>
    <row r="338">
      <c r="A338" s="92"/>
      <c r="B338" s="93"/>
      <c r="C338" s="39"/>
      <c r="D338" s="39"/>
      <c r="E338" s="39"/>
      <c r="F338" s="39"/>
      <c r="G338" s="94"/>
      <c r="H338" s="95"/>
      <c r="I338" s="39"/>
      <c r="J338" s="39"/>
      <c r="K338" s="39"/>
      <c r="L338" s="39"/>
      <c r="M338" s="39"/>
      <c r="N338" s="39"/>
      <c r="O338" s="39"/>
      <c r="P338" s="39"/>
      <c r="Q338" s="39"/>
      <c r="R338" s="39"/>
      <c r="S338" s="39"/>
      <c r="T338" s="39"/>
      <c r="U338" s="94"/>
      <c r="V338" s="39"/>
      <c r="W338" s="39"/>
      <c r="X338" s="39"/>
      <c r="Y338" s="39"/>
      <c r="Z338" s="39"/>
      <c r="AA338" s="39"/>
      <c r="AB338" s="39"/>
      <c r="AC338" s="39"/>
      <c r="AD338" s="39"/>
      <c r="AE338" s="39"/>
      <c r="AF338" s="39"/>
      <c r="AG338" s="39"/>
      <c r="AH338" s="39"/>
      <c r="AI338" s="39"/>
      <c r="AJ338" s="39"/>
      <c r="AK338" s="39"/>
      <c r="AL338" s="39"/>
      <c r="AM338" s="39"/>
      <c r="AN338" s="39"/>
      <c r="AO338" s="39"/>
      <c r="AP338" s="39"/>
      <c r="AQ338" s="96"/>
      <c r="AR338" s="96"/>
      <c r="AS338" s="44"/>
    </row>
    <row r="339">
      <c r="A339" s="92"/>
      <c r="B339" s="93"/>
      <c r="C339" s="39"/>
      <c r="D339" s="39"/>
      <c r="E339" s="39"/>
      <c r="F339" s="39"/>
      <c r="G339" s="94"/>
      <c r="H339" s="95"/>
      <c r="I339" s="39"/>
      <c r="J339" s="39"/>
      <c r="K339" s="39"/>
      <c r="L339" s="39"/>
      <c r="M339" s="39"/>
      <c r="N339" s="39"/>
      <c r="O339" s="39"/>
      <c r="P339" s="39"/>
      <c r="Q339" s="39"/>
      <c r="R339" s="39"/>
      <c r="S339" s="39"/>
      <c r="T339" s="39"/>
      <c r="U339" s="94"/>
      <c r="V339" s="39"/>
      <c r="W339" s="39"/>
      <c r="X339" s="39"/>
      <c r="Y339" s="39"/>
      <c r="Z339" s="39"/>
      <c r="AA339" s="39"/>
      <c r="AB339" s="39"/>
      <c r="AC339" s="39"/>
      <c r="AD339" s="39"/>
      <c r="AE339" s="39"/>
      <c r="AF339" s="39"/>
      <c r="AG339" s="39"/>
      <c r="AH339" s="39"/>
      <c r="AI339" s="39"/>
      <c r="AJ339" s="39"/>
      <c r="AK339" s="39"/>
      <c r="AL339" s="39"/>
      <c r="AM339" s="39"/>
      <c r="AN339" s="39"/>
      <c r="AO339" s="39"/>
      <c r="AP339" s="39"/>
      <c r="AQ339" s="96"/>
      <c r="AR339" s="96"/>
      <c r="AS339" s="44"/>
    </row>
    <row r="340">
      <c r="A340" s="92"/>
      <c r="B340" s="93"/>
      <c r="C340" s="39"/>
      <c r="D340" s="39"/>
      <c r="E340" s="39"/>
      <c r="F340" s="39"/>
      <c r="G340" s="94"/>
      <c r="H340" s="95"/>
      <c r="I340" s="39"/>
      <c r="J340" s="39"/>
      <c r="K340" s="39"/>
      <c r="L340" s="39"/>
      <c r="M340" s="39"/>
      <c r="N340" s="39"/>
      <c r="O340" s="39"/>
      <c r="P340" s="39"/>
      <c r="Q340" s="39"/>
      <c r="R340" s="39"/>
      <c r="S340" s="39"/>
      <c r="T340" s="39"/>
      <c r="U340" s="94"/>
      <c r="V340" s="39"/>
      <c r="W340" s="39"/>
      <c r="X340" s="39"/>
      <c r="Y340" s="39"/>
      <c r="Z340" s="39"/>
      <c r="AA340" s="39"/>
      <c r="AB340" s="39"/>
      <c r="AC340" s="39"/>
      <c r="AD340" s="39"/>
      <c r="AE340" s="39"/>
      <c r="AF340" s="39"/>
      <c r="AG340" s="39"/>
      <c r="AH340" s="39"/>
      <c r="AI340" s="39"/>
      <c r="AJ340" s="39"/>
      <c r="AK340" s="39"/>
      <c r="AL340" s="39"/>
      <c r="AM340" s="39"/>
      <c r="AN340" s="39"/>
      <c r="AO340" s="39"/>
      <c r="AP340" s="39"/>
      <c r="AQ340" s="96"/>
      <c r="AR340" s="96"/>
      <c r="AS340" s="44"/>
    </row>
    <row r="341">
      <c r="A341" s="92"/>
      <c r="B341" s="93"/>
      <c r="C341" s="39"/>
      <c r="D341" s="39"/>
      <c r="E341" s="39"/>
      <c r="F341" s="39"/>
      <c r="G341" s="94"/>
      <c r="H341" s="95"/>
      <c r="I341" s="39"/>
      <c r="J341" s="39"/>
      <c r="K341" s="39"/>
      <c r="L341" s="39"/>
      <c r="M341" s="39"/>
      <c r="N341" s="39"/>
      <c r="O341" s="39"/>
      <c r="P341" s="39"/>
      <c r="Q341" s="39"/>
      <c r="R341" s="39"/>
      <c r="S341" s="39"/>
      <c r="T341" s="39"/>
      <c r="U341" s="94"/>
      <c r="V341" s="39"/>
      <c r="W341" s="39"/>
      <c r="X341" s="39"/>
      <c r="Y341" s="39"/>
      <c r="Z341" s="39"/>
      <c r="AA341" s="39"/>
      <c r="AB341" s="39"/>
      <c r="AC341" s="39"/>
      <c r="AD341" s="39"/>
      <c r="AE341" s="39"/>
      <c r="AF341" s="39"/>
      <c r="AG341" s="39"/>
      <c r="AH341" s="39"/>
      <c r="AI341" s="39"/>
      <c r="AJ341" s="39"/>
      <c r="AK341" s="39"/>
      <c r="AL341" s="39"/>
      <c r="AM341" s="39"/>
      <c r="AN341" s="39"/>
      <c r="AO341" s="39"/>
      <c r="AP341" s="39"/>
      <c r="AQ341" s="96"/>
      <c r="AR341" s="96"/>
      <c r="AS341" s="44"/>
    </row>
    <row r="342">
      <c r="A342" s="92"/>
      <c r="B342" s="93"/>
      <c r="C342" s="39"/>
      <c r="D342" s="39"/>
      <c r="E342" s="39"/>
      <c r="F342" s="39"/>
      <c r="G342" s="94"/>
      <c r="H342" s="95"/>
      <c r="I342" s="39"/>
      <c r="J342" s="39"/>
      <c r="K342" s="39"/>
      <c r="L342" s="39"/>
      <c r="M342" s="39"/>
      <c r="N342" s="39"/>
      <c r="O342" s="39"/>
      <c r="P342" s="39"/>
      <c r="Q342" s="39"/>
      <c r="R342" s="39"/>
      <c r="S342" s="39"/>
      <c r="T342" s="39"/>
      <c r="U342" s="94"/>
      <c r="V342" s="39"/>
      <c r="W342" s="39"/>
      <c r="X342" s="39"/>
      <c r="Y342" s="39"/>
      <c r="Z342" s="39"/>
      <c r="AA342" s="39"/>
      <c r="AB342" s="39"/>
      <c r="AC342" s="39"/>
      <c r="AD342" s="39"/>
      <c r="AE342" s="39"/>
      <c r="AF342" s="39"/>
      <c r="AG342" s="39"/>
      <c r="AH342" s="39"/>
      <c r="AI342" s="39"/>
      <c r="AJ342" s="39"/>
      <c r="AK342" s="39"/>
      <c r="AL342" s="39"/>
      <c r="AM342" s="39"/>
      <c r="AN342" s="39"/>
      <c r="AO342" s="39"/>
      <c r="AP342" s="39"/>
      <c r="AQ342" s="96"/>
      <c r="AR342" s="96"/>
      <c r="AS342" s="44"/>
    </row>
    <row r="343">
      <c r="A343" s="92"/>
      <c r="B343" s="93"/>
      <c r="C343" s="39"/>
      <c r="D343" s="39"/>
      <c r="E343" s="39"/>
      <c r="F343" s="39"/>
      <c r="G343" s="94"/>
      <c r="H343" s="95"/>
      <c r="I343" s="39"/>
      <c r="J343" s="39"/>
      <c r="K343" s="39"/>
      <c r="L343" s="39"/>
      <c r="M343" s="39"/>
      <c r="N343" s="39"/>
      <c r="O343" s="39"/>
      <c r="P343" s="39"/>
      <c r="Q343" s="39"/>
      <c r="R343" s="39"/>
      <c r="S343" s="39"/>
      <c r="T343" s="39"/>
      <c r="U343" s="94"/>
      <c r="V343" s="39"/>
      <c r="W343" s="39"/>
      <c r="X343" s="39"/>
      <c r="Y343" s="39"/>
      <c r="Z343" s="39"/>
      <c r="AA343" s="39"/>
      <c r="AB343" s="39"/>
      <c r="AC343" s="39"/>
      <c r="AD343" s="39"/>
      <c r="AE343" s="39"/>
      <c r="AF343" s="39"/>
      <c r="AG343" s="39"/>
      <c r="AH343" s="39"/>
      <c r="AI343" s="39"/>
      <c r="AJ343" s="39"/>
      <c r="AK343" s="39"/>
      <c r="AL343" s="39"/>
      <c r="AM343" s="39"/>
      <c r="AN343" s="39"/>
      <c r="AO343" s="39"/>
      <c r="AP343" s="39"/>
      <c r="AQ343" s="96"/>
      <c r="AR343" s="96"/>
      <c r="AS343" s="44"/>
    </row>
    <row r="344">
      <c r="A344" s="92"/>
      <c r="B344" s="93"/>
      <c r="C344" s="39"/>
      <c r="D344" s="39"/>
      <c r="E344" s="39"/>
      <c r="F344" s="39"/>
      <c r="G344" s="94"/>
      <c r="H344" s="95"/>
      <c r="I344" s="39"/>
      <c r="J344" s="39"/>
      <c r="K344" s="39"/>
      <c r="L344" s="39"/>
      <c r="M344" s="39"/>
      <c r="N344" s="39"/>
      <c r="O344" s="39"/>
      <c r="P344" s="39"/>
      <c r="Q344" s="39"/>
      <c r="R344" s="39"/>
      <c r="S344" s="39"/>
      <c r="T344" s="39"/>
      <c r="U344" s="94"/>
      <c r="V344" s="39"/>
      <c r="W344" s="39"/>
      <c r="X344" s="39"/>
      <c r="Y344" s="39"/>
      <c r="Z344" s="39"/>
      <c r="AA344" s="39"/>
      <c r="AB344" s="39"/>
      <c r="AC344" s="39"/>
      <c r="AD344" s="39"/>
      <c r="AE344" s="39"/>
      <c r="AF344" s="39"/>
      <c r="AG344" s="39"/>
      <c r="AH344" s="39"/>
      <c r="AI344" s="39"/>
      <c r="AJ344" s="39"/>
      <c r="AK344" s="39"/>
      <c r="AL344" s="39"/>
      <c r="AM344" s="39"/>
      <c r="AN344" s="39"/>
      <c r="AO344" s="39"/>
      <c r="AP344" s="39"/>
      <c r="AQ344" s="96"/>
      <c r="AR344" s="96"/>
      <c r="AS344" s="44"/>
    </row>
    <row r="345">
      <c r="A345" s="92"/>
      <c r="B345" s="93"/>
      <c r="C345" s="39"/>
      <c r="D345" s="39"/>
      <c r="E345" s="39"/>
      <c r="F345" s="39"/>
      <c r="G345" s="94"/>
      <c r="H345" s="95"/>
      <c r="I345" s="39"/>
      <c r="J345" s="39"/>
      <c r="K345" s="39"/>
      <c r="L345" s="39"/>
      <c r="M345" s="39"/>
      <c r="N345" s="39"/>
      <c r="O345" s="39"/>
      <c r="P345" s="39"/>
      <c r="Q345" s="39"/>
      <c r="R345" s="39"/>
      <c r="S345" s="39"/>
      <c r="T345" s="39"/>
      <c r="U345" s="94"/>
      <c r="V345" s="39"/>
      <c r="W345" s="39"/>
      <c r="X345" s="39"/>
      <c r="Y345" s="39"/>
      <c r="Z345" s="39"/>
      <c r="AA345" s="39"/>
      <c r="AB345" s="39"/>
      <c r="AC345" s="39"/>
      <c r="AD345" s="39"/>
      <c r="AE345" s="39"/>
      <c r="AF345" s="39"/>
      <c r="AG345" s="39"/>
      <c r="AH345" s="39"/>
      <c r="AI345" s="39"/>
      <c r="AJ345" s="39"/>
      <c r="AK345" s="39"/>
      <c r="AL345" s="39"/>
      <c r="AM345" s="39"/>
      <c r="AN345" s="39"/>
      <c r="AO345" s="39"/>
      <c r="AP345" s="39"/>
      <c r="AQ345" s="96"/>
      <c r="AR345" s="96"/>
      <c r="AS345" s="44"/>
    </row>
    <row r="346">
      <c r="A346" s="92"/>
      <c r="B346" s="93"/>
      <c r="C346" s="39"/>
      <c r="D346" s="39"/>
      <c r="E346" s="39"/>
      <c r="F346" s="39"/>
      <c r="G346" s="94"/>
      <c r="H346" s="95"/>
      <c r="I346" s="39"/>
      <c r="J346" s="39"/>
      <c r="K346" s="39"/>
      <c r="L346" s="39"/>
      <c r="M346" s="39"/>
      <c r="N346" s="39"/>
      <c r="O346" s="39"/>
      <c r="P346" s="39"/>
      <c r="Q346" s="39"/>
      <c r="R346" s="39"/>
      <c r="S346" s="39"/>
      <c r="T346" s="39"/>
      <c r="U346" s="94"/>
      <c r="V346" s="39"/>
      <c r="W346" s="39"/>
      <c r="X346" s="39"/>
      <c r="Y346" s="39"/>
      <c r="Z346" s="39"/>
      <c r="AA346" s="39"/>
      <c r="AB346" s="39"/>
      <c r="AC346" s="39"/>
      <c r="AD346" s="39"/>
      <c r="AE346" s="39"/>
      <c r="AF346" s="39"/>
      <c r="AG346" s="39"/>
      <c r="AH346" s="39"/>
      <c r="AI346" s="39"/>
      <c r="AJ346" s="39"/>
      <c r="AK346" s="39"/>
      <c r="AL346" s="39"/>
      <c r="AM346" s="39"/>
      <c r="AN346" s="39"/>
      <c r="AO346" s="39"/>
      <c r="AP346" s="39"/>
      <c r="AQ346" s="96"/>
      <c r="AR346" s="96"/>
      <c r="AS346" s="44"/>
    </row>
    <row r="347">
      <c r="A347" s="92"/>
      <c r="B347" s="93"/>
      <c r="C347" s="39"/>
      <c r="D347" s="39"/>
      <c r="E347" s="39"/>
      <c r="F347" s="39"/>
      <c r="G347" s="94"/>
      <c r="H347" s="95"/>
      <c r="I347" s="39"/>
      <c r="J347" s="39"/>
      <c r="K347" s="39"/>
      <c r="L347" s="39"/>
      <c r="M347" s="39"/>
      <c r="N347" s="39"/>
      <c r="O347" s="39"/>
      <c r="P347" s="39"/>
      <c r="Q347" s="39"/>
      <c r="R347" s="39"/>
      <c r="S347" s="39"/>
      <c r="T347" s="39"/>
      <c r="U347" s="94"/>
      <c r="V347" s="39"/>
      <c r="W347" s="39"/>
      <c r="X347" s="39"/>
      <c r="Y347" s="39"/>
      <c r="Z347" s="39"/>
      <c r="AA347" s="39"/>
      <c r="AB347" s="39"/>
      <c r="AC347" s="39"/>
      <c r="AD347" s="39"/>
      <c r="AE347" s="39"/>
      <c r="AF347" s="39"/>
      <c r="AG347" s="39"/>
      <c r="AH347" s="39"/>
      <c r="AI347" s="39"/>
      <c r="AJ347" s="39"/>
      <c r="AK347" s="39"/>
      <c r="AL347" s="39"/>
      <c r="AM347" s="39"/>
      <c r="AN347" s="39"/>
      <c r="AO347" s="39"/>
      <c r="AP347" s="39"/>
      <c r="AQ347" s="96"/>
      <c r="AR347" s="96"/>
      <c r="AS347" s="44"/>
    </row>
    <row r="348">
      <c r="A348" s="92"/>
      <c r="B348" s="93"/>
      <c r="C348" s="39"/>
      <c r="D348" s="39"/>
      <c r="E348" s="39"/>
      <c r="F348" s="39"/>
      <c r="G348" s="94"/>
      <c r="H348" s="95"/>
      <c r="I348" s="39"/>
      <c r="J348" s="39"/>
      <c r="K348" s="39"/>
      <c r="L348" s="39"/>
      <c r="M348" s="39"/>
      <c r="N348" s="39"/>
      <c r="O348" s="39"/>
      <c r="P348" s="39"/>
      <c r="Q348" s="39"/>
      <c r="R348" s="39"/>
      <c r="S348" s="39"/>
      <c r="T348" s="39"/>
      <c r="U348" s="94"/>
      <c r="V348" s="39"/>
      <c r="W348" s="39"/>
      <c r="X348" s="39"/>
      <c r="Y348" s="39"/>
      <c r="Z348" s="39"/>
      <c r="AA348" s="39"/>
      <c r="AB348" s="39"/>
      <c r="AC348" s="39"/>
      <c r="AD348" s="39"/>
      <c r="AE348" s="39"/>
      <c r="AF348" s="39"/>
      <c r="AG348" s="39"/>
      <c r="AH348" s="39"/>
      <c r="AI348" s="39"/>
      <c r="AJ348" s="39"/>
      <c r="AK348" s="39"/>
      <c r="AL348" s="39"/>
      <c r="AM348" s="39"/>
      <c r="AN348" s="39"/>
      <c r="AO348" s="39"/>
      <c r="AP348" s="39"/>
      <c r="AQ348" s="96"/>
      <c r="AR348" s="96"/>
      <c r="AS348" s="44"/>
    </row>
    <row r="349">
      <c r="A349" s="92"/>
      <c r="B349" s="93"/>
      <c r="C349" s="39"/>
      <c r="D349" s="39"/>
      <c r="E349" s="39"/>
      <c r="F349" s="39"/>
      <c r="G349" s="94"/>
      <c r="H349" s="95"/>
      <c r="I349" s="39"/>
      <c r="J349" s="39"/>
      <c r="K349" s="39"/>
      <c r="L349" s="39"/>
      <c r="M349" s="39"/>
      <c r="N349" s="39"/>
      <c r="O349" s="39"/>
      <c r="P349" s="39"/>
      <c r="Q349" s="39"/>
      <c r="R349" s="39"/>
      <c r="S349" s="39"/>
      <c r="T349" s="39"/>
      <c r="U349" s="94"/>
      <c r="V349" s="39"/>
      <c r="W349" s="39"/>
      <c r="X349" s="39"/>
      <c r="Y349" s="39"/>
      <c r="Z349" s="39"/>
      <c r="AA349" s="39"/>
      <c r="AB349" s="39"/>
      <c r="AC349" s="39"/>
      <c r="AD349" s="39"/>
      <c r="AE349" s="39"/>
      <c r="AF349" s="39"/>
      <c r="AG349" s="39"/>
      <c r="AH349" s="39"/>
      <c r="AI349" s="39"/>
      <c r="AJ349" s="39"/>
      <c r="AK349" s="39"/>
      <c r="AL349" s="39"/>
      <c r="AM349" s="39"/>
      <c r="AN349" s="39"/>
      <c r="AO349" s="39"/>
      <c r="AP349" s="39"/>
      <c r="AQ349" s="96"/>
      <c r="AR349" s="96"/>
      <c r="AS349" s="44"/>
    </row>
    <row r="350">
      <c r="A350" s="92"/>
      <c r="B350" s="93"/>
      <c r="C350" s="39"/>
      <c r="D350" s="39"/>
      <c r="E350" s="39"/>
      <c r="F350" s="39"/>
      <c r="G350" s="94"/>
      <c r="H350" s="95"/>
      <c r="I350" s="39"/>
      <c r="J350" s="39"/>
      <c r="K350" s="39"/>
      <c r="L350" s="39"/>
      <c r="M350" s="39"/>
      <c r="N350" s="39"/>
      <c r="O350" s="39"/>
      <c r="P350" s="39"/>
      <c r="Q350" s="39"/>
      <c r="R350" s="39"/>
      <c r="S350" s="39"/>
      <c r="T350" s="39"/>
      <c r="U350" s="94"/>
      <c r="V350" s="39"/>
      <c r="W350" s="39"/>
      <c r="X350" s="39"/>
      <c r="Y350" s="39"/>
      <c r="Z350" s="39"/>
      <c r="AA350" s="39"/>
      <c r="AB350" s="39"/>
      <c r="AC350" s="39"/>
      <c r="AD350" s="39"/>
      <c r="AE350" s="39"/>
      <c r="AF350" s="39"/>
      <c r="AG350" s="39"/>
      <c r="AH350" s="39"/>
      <c r="AI350" s="39"/>
      <c r="AJ350" s="39"/>
      <c r="AK350" s="39"/>
      <c r="AL350" s="39"/>
      <c r="AM350" s="39"/>
      <c r="AN350" s="39"/>
      <c r="AO350" s="39"/>
      <c r="AP350" s="39"/>
      <c r="AQ350" s="96"/>
      <c r="AR350" s="96"/>
      <c r="AS350" s="44"/>
    </row>
    <row r="351">
      <c r="A351" s="92"/>
      <c r="B351" s="93"/>
      <c r="C351" s="39"/>
      <c r="D351" s="39"/>
      <c r="E351" s="39"/>
      <c r="F351" s="39"/>
      <c r="G351" s="94"/>
      <c r="H351" s="95"/>
      <c r="I351" s="39"/>
      <c r="J351" s="39"/>
      <c r="K351" s="39"/>
      <c r="L351" s="39"/>
      <c r="M351" s="39"/>
      <c r="N351" s="39"/>
      <c r="O351" s="39"/>
      <c r="P351" s="39"/>
      <c r="Q351" s="39"/>
      <c r="R351" s="39"/>
      <c r="S351" s="39"/>
      <c r="T351" s="39"/>
      <c r="U351" s="94"/>
      <c r="V351" s="39"/>
      <c r="W351" s="39"/>
      <c r="X351" s="39"/>
      <c r="Y351" s="39"/>
      <c r="Z351" s="39"/>
      <c r="AA351" s="39"/>
      <c r="AB351" s="39"/>
      <c r="AC351" s="39"/>
      <c r="AD351" s="39"/>
      <c r="AE351" s="39"/>
      <c r="AF351" s="39"/>
      <c r="AG351" s="39"/>
      <c r="AH351" s="39"/>
      <c r="AI351" s="39"/>
      <c r="AJ351" s="39"/>
      <c r="AK351" s="39"/>
      <c r="AL351" s="39"/>
      <c r="AM351" s="39"/>
      <c r="AN351" s="39"/>
      <c r="AO351" s="39"/>
      <c r="AP351" s="39"/>
      <c r="AQ351" s="96"/>
      <c r="AR351" s="96"/>
      <c r="AS351" s="44"/>
    </row>
    <row r="352">
      <c r="A352" s="92"/>
      <c r="B352" s="93"/>
      <c r="C352" s="39"/>
      <c r="D352" s="39"/>
      <c r="E352" s="39"/>
      <c r="F352" s="39"/>
      <c r="G352" s="94"/>
      <c r="H352" s="95"/>
      <c r="I352" s="39"/>
      <c r="J352" s="39"/>
      <c r="K352" s="39"/>
      <c r="L352" s="39"/>
      <c r="M352" s="39"/>
      <c r="N352" s="39"/>
      <c r="O352" s="39"/>
      <c r="P352" s="39"/>
      <c r="Q352" s="39"/>
      <c r="R352" s="39"/>
      <c r="S352" s="39"/>
      <c r="T352" s="39"/>
      <c r="U352" s="94"/>
      <c r="V352" s="39"/>
      <c r="W352" s="39"/>
      <c r="X352" s="39"/>
      <c r="Y352" s="39"/>
      <c r="Z352" s="39"/>
      <c r="AA352" s="39"/>
      <c r="AB352" s="39"/>
      <c r="AC352" s="39"/>
      <c r="AD352" s="39"/>
      <c r="AE352" s="39"/>
      <c r="AF352" s="39"/>
      <c r="AG352" s="39"/>
      <c r="AH352" s="39"/>
      <c r="AI352" s="39"/>
      <c r="AJ352" s="39"/>
      <c r="AK352" s="39"/>
      <c r="AL352" s="39"/>
      <c r="AM352" s="39"/>
      <c r="AN352" s="39"/>
      <c r="AO352" s="39"/>
      <c r="AP352" s="39"/>
      <c r="AQ352" s="96"/>
      <c r="AR352" s="96"/>
      <c r="AS352" s="44"/>
    </row>
    <row r="353">
      <c r="A353" s="92"/>
      <c r="B353" s="93"/>
      <c r="C353" s="39"/>
      <c r="D353" s="39"/>
      <c r="E353" s="39"/>
      <c r="F353" s="39"/>
      <c r="G353" s="94"/>
      <c r="H353" s="95"/>
      <c r="I353" s="39"/>
      <c r="J353" s="39"/>
      <c r="K353" s="39"/>
      <c r="L353" s="39"/>
      <c r="M353" s="39"/>
      <c r="N353" s="39"/>
      <c r="O353" s="39"/>
      <c r="P353" s="39"/>
      <c r="Q353" s="39"/>
      <c r="R353" s="39"/>
      <c r="S353" s="39"/>
      <c r="T353" s="39"/>
      <c r="U353" s="94"/>
      <c r="V353" s="39"/>
      <c r="W353" s="39"/>
      <c r="X353" s="39"/>
      <c r="Y353" s="39"/>
      <c r="Z353" s="39"/>
      <c r="AA353" s="39"/>
      <c r="AB353" s="39"/>
      <c r="AC353" s="39"/>
      <c r="AD353" s="39"/>
      <c r="AE353" s="39"/>
      <c r="AF353" s="39"/>
      <c r="AG353" s="39"/>
      <c r="AH353" s="39"/>
      <c r="AI353" s="39"/>
      <c r="AJ353" s="39"/>
      <c r="AK353" s="39"/>
      <c r="AL353" s="39"/>
      <c r="AM353" s="39"/>
      <c r="AN353" s="39"/>
      <c r="AO353" s="39"/>
      <c r="AP353" s="39"/>
      <c r="AQ353" s="96"/>
      <c r="AR353" s="96"/>
      <c r="AS353" s="44"/>
    </row>
    <row r="354">
      <c r="A354" s="92"/>
      <c r="B354" s="93"/>
      <c r="C354" s="39"/>
      <c r="D354" s="39"/>
      <c r="E354" s="39"/>
      <c r="F354" s="39"/>
      <c r="G354" s="94"/>
      <c r="H354" s="95"/>
      <c r="I354" s="39"/>
      <c r="J354" s="39"/>
      <c r="K354" s="39"/>
      <c r="L354" s="39"/>
      <c r="M354" s="39"/>
      <c r="N354" s="39"/>
      <c r="O354" s="39"/>
      <c r="P354" s="39"/>
      <c r="Q354" s="39"/>
      <c r="R354" s="39"/>
      <c r="S354" s="39"/>
      <c r="T354" s="39"/>
      <c r="U354" s="94"/>
      <c r="V354" s="39"/>
      <c r="W354" s="39"/>
      <c r="X354" s="39"/>
      <c r="Y354" s="39"/>
      <c r="Z354" s="39"/>
      <c r="AA354" s="39"/>
      <c r="AB354" s="39"/>
      <c r="AC354" s="39"/>
      <c r="AD354" s="39"/>
      <c r="AE354" s="39"/>
      <c r="AF354" s="39"/>
      <c r="AG354" s="39"/>
      <c r="AH354" s="39"/>
      <c r="AI354" s="39"/>
      <c r="AJ354" s="39"/>
      <c r="AK354" s="39"/>
      <c r="AL354" s="39"/>
      <c r="AM354" s="39"/>
      <c r="AN354" s="39"/>
      <c r="AO354" s="39"/>
      <c r="AP354" s="39"/>
      <c r="AQ354" s="96"/>
      <c r="AR354" s="96"/>
      <c r="AS354" s="44"/>
    </row>
    <row r="355">
      <c r="A355" s="92"/>
      <c r="B355" s="93"/>
      <c r="C355" s="39"/>
      <c r="D355" s="39"/>
      <c r="E355" s="39"/>
      <c r="F355" s="39"/>
      <c r="G355" s="94"/>
      <c r="H355" s="95"/>
      <c r="I355" s="39"/>
      <c r="J355" s="39"/>
      <c r="K355" s="39"/>
      <c r="L355" s="39"/>
      <c r="M355" s="39"/>
      <c r="N355" s="39"/>
      <c r="O355" s="39"/>
      <c r="P355" s="39"/>
      <c r="Q355" s="39"/>
      <c r="R355" s="39"/>
      <c r="S355" s="39"/>
      <c r="T355" s="39"/>
      <c r="U355" s="94"/>
      <c r="V355" s="39"/>
      <c r="W355" s="39"/>
      <c r="X355" s="39"/>
      <c r="Y355" s="39"/>
      <c r="Z355" s="39"/>
      <c r="AA355" s="39"/>
      <c r="AB355" s="39"/>
      <c r="AC355" s="39"/>
      <c r="AD355" s="39"/>
      <c r="AE355" s="39"/>
      <c r="AF355" s="39"/>
      <c r="AG355" s="39"/>
      <c r="AH355" s="39"/>
      <c r="AI355" s="39"/>
      <c r="AJ355" s="39"/>
      <c r="AK355" s="39"/>
      <c r="AL355" s="39"/>
      <c r="AM355" s="39"/>
      <c r="AN355" s="39"/>
      <c r="AO355" s="39"/>
      <c r="AP355" s="39"/>
      <c r="AQ355" s="96"/>
      <c r="AR355" s="96"/>
      <c r="AS355" s="44"/>
    </row>
    <row r="356">
      <c r="A356" s="92"/>
      <c r="B356" s="93"/>
      <c r="C356" s="39"/>
      <c r="D356" s="39"/>
      <c r="E356" s="39"/>
      <c r="F356" s="39"/>
      <c r="G356" s="94"/>
      <c r="H356" s="95"/>
      <c r="I356" s="39"/>
      <c r="J356" s="39"/>
      <c r="K356" s="39"/>
      <c r="L356" s="39"/>
      <c r="M356" s="39"/>
      <c r="N356" s="39"/>
      <c r="O356" s="39"/>
      <c r="P356" s="39"/>
      <c r="Q356" s="39"/>
      <c r="R356" s="39"/>
      <c r="S356" s="39"/>
      <c r="T356" s="39"/>
      <c r="U356" s="94"/>
      <c r="V356" s="39"/>
      <c r="W356" s="39"/>
      <c r="X356" s="39"/>
      <c r="Y356" s="39"/>
      <c r="Z356" s="39"/>
      <c r="AA356" s="39"/>
      <c r="AB356" s="39"/>
      <c r="AC356" s="39"/>
      <c r="AD356" s="39"/>
      <c r="AE356" s="39"/>
      <c r="AF356" s="39"/>
      <c r="AG356" s="39"/>
      <c r="AH356" s="39"/>
      <c r="AI356" s="39"/>
      <c r="AJ356" s="39"/>
      <c r="AK356" s="39"/>
      <c r="AL356" s="39"/>
      <c r="AM356" s="39"/>
      <c r="AN356" s="39"/>
      <c r="AO356" s="39"/>
      <c r="AP356" s="39"/>
      <c r="AQ356" s="96"/>
      <c r="AR356" s="96"/>
      <c r="AS356" s="44"/>
    </row>
    <row r="357">
      <c r="A357" s="92"/>
      <c r="B357" s="93"/>
      <c r="C357" s="39"/>
      <c r="D357" s="39"/>
      <c r="E357" s="39"/>
      <c r="F357" s="39"/>
      <c r="G357" s="94"/>
      <c r="H357" s="95"/>
      <c r="I357" s="39"/>
      <c r="J357" s="39"/>
      <c r="K357" s="39"/>
      <c r="L357" s="39"/>
      <c r="M357" s="39"/>
      <c r="N357" s="39"/>
      <c r="O357" s="39"/>
      <c r="P357" s="39"/>
      <c r="Q357" s="39"/>
      <c r="R357" s="39"/>
      <c r="S357" s="39"/>
      <c r="T357" s="39"/>
      <c r="U357" s="94"/>
      <c r="V357" s="39"/>
      <c r="W357" s="39"/>
      <c r="X357" s="39"/>
      <c r="Y357" s="39"/>
      <c r="Z357" s="39"/>
      <c r="AA357" s="39"/>
      <c r="AB357" s="39"/>
      <c r="AC357" s="39"/>
      <c r="AD357" s="39"/>
      <c r="AE357" s="39"/>
      <c r="AF357" s="39"/>
      <c r="AG357" s="39"/>
      <c r="AH357" s="39"/>
      <c r="AI357" s="39"/>
      <c r="AJ357" s="39"/>
      <c r="AK357" s="39"/>
      <c r="AL357" s="39"/>
      <c r="AM357" s="39"/>
      <c r="AN357" s="39"/>
      <c r="AO357" s="39"/>
      <c r="AP357" s="39"/>
      <c r="AQ357" s="96"/>
      <c r="AR357" s="96"/>
      <c r="AS357" s="44"/>
    </row>
    <row r="358">
      <c r="A358" s="92"/>
      <c r="B358" s="93"/>
      <c r="C358" s="39"/>
      <c r="D358" s="39"/>
      <c r="E358" s="39"/>
      <c r="F358" s="39"/>
      <c r="G358" s="94"/>
      <c r="H358" s="95"/>
      <c r="I358" s="39"/>
      <c r="J358" s="39"/>
      <c r="K358" s="39"/>
      <c r="L358" s="39"/>
      <c r="M358" s="39"/>
      <c r="N358" s="39"/>
      <c r="O358" s="39"/>
      <c r="P358" s="39"/>
      <c r="Q358" s="39"/>
      <c r="R358" s="39"/>
      <c r="S358" s="39"/>
      <c r="T358" s="39"/>
      <c r="U358" s="94"/>
      <c r="V358" s="39"/>
      <c r="W358" s="39"/>
      <c r="X358" s="39"/>
      <c r="Y358" s="39"/>
      <c r="Z358" s="39"/>
      <c r="AA358" s="39"/>
      <c r="AB358" s="39"/>
      <c r="AC358" s="39"/>
      <c r="AD358" s="39"/>
      <c r="AE358" s="39"/>
      <c r="AF358" s="39"/>
      <c r="AG358" s="39"/>
      <c r="AH358" s="39"/>
      <c r="AI358" s="39"/>
      <c r="AJ358" s="39"/>
      <c r="AK358" s="39"/>
      <c r="AL358" s="39"/>
      <c r="AM358" s="39"/>
      <c r="AN358" s="39"/>
      <c r="AO358" s="39"/>
      <c r="AP358" s="39"/>
      <c r="AQ358" s="96"/>
      <c r="AR358" s="96"/>
      <c r="AS358" s="44"/>
    </row>
    <row r="359">
      <c r="A359" s="92"/>
      <c r="B359" s="93"/>
      <c r="C359" s="39"/>
      <c r="D359" s="39"/>
      <c r="E359" s="39"/>
      <c r="F359" s="39"/>
      <c r="G359" s="94"/>
      <c r="H359" s="95"/>
      <c r="I359" s="39"/>
      <c r="J359" s="39"/>
      <c r="K359" s="39"/>
      <c r="L359" s="39"/>
      <c r="M359" s="39"/>
      <c r="N359" s="39"/>
      <c r="O359" s="39"/>
      <c r="P359" s="39"/>
      <c r="Q359" s="39"/>
      <c r="R359" s="39"/>
      <c r="S359" s="39"/>
      <c r="T359" s="39"/>
      <c r="U359" s="94"/>
      <c r="V359" s="39"/>
      <c r="W359" s="39"/>
      <c r="X359" s="39"/>
      <c r="Y359" s="39"/>
      <c r="Z359" s="39"/>
      <c r="AA359" s="39"/>
      <c r="AB359" s="39"/>
      <c r="AC359" s="39"/>
      <c r="AD359" s="39"/>
      <c r="AE359" s="39"/>
      <c r="AF359" s="39"/>
      <c r="AG359" s="39"/>
      <c r="AH359" s="39"/>
      <c r="AI359" s="39"/>
      <c r="AJ359" s="39"/>
      <c r="AK359" s="39"/>
      <c r="AL359" s="39"/>
      <c r="AM359" s="39"/>
      <c r="AN359" s="39"/>
      <c r="AO359" s="39"/>
      <c r="AP359" s="39"/>
      <c r="AQ359" s="96"/>
      <c r="AR359" s="96"/>
      <c r="AS359" s="44"/>
    </row>
    <row r="360">
      <c r="A360" s="92"/>
      <c r="B360" s="93"/>
      <c r="C360" s="39"/>
      <c r="D360" s="39"/>
      <c r="E360" s="39"/>
      <c r="F360" s="39"/>
      <c r="G360" s="94"/>
      <c r="H360" s="95"/>
      <c r="I360" s="39"/>
      <c r="J360" s="39"/>
      <c r="K360" s="39"/>
      <c r="L360" s="39"/>
      <c r="M360" s="39"/>
      <c r="N360" s="39"/>
      <c r="O360" s="39"/>
      <c r="P360" s="39"/>
      <c r="Q360" s="39"/>
      <c r="R360" s="39"/>
      <c r="S360" s="39"/>
      <c r="T360" s="39"/>
      <c r="U360" s="94"/>
      <c r="V360" s="39"/>
      <c r="W360" s="39"/>
      <c r="X360" s="39"/>
      <c r="Y360" s="39"/>
      <c r="Z360" s="39"/>
      <c r="AA360" s="39"/>
      <c r="AB360" s="39"/>
      <c r="AC360" s="39"/>
      <c r="AD360" s="39"/>
      <c r="AE360" s="39"/>
      <c r="AF360" s="39"/>
      <c r="AG360" s="39"/>
      <c r="AH360" s="39"/>
      <c r="AI360" s="39"/>
      <c r="AJ360" s="39"/>
      <c r="AK360" s="39"/>
      <c r="AL360" s="39"/>
      <c r="AM360" s="39"/>
      <c r="AN360" s="39"/>
      <c r="AO360" s="39"/>
      <c r="AP360" s="39"/>
      <c r="AQ360" s="96"/>
      <c r="AR360" s="96"/>
      <c r="AS360" s="44"/>
    </row>
    <row r="361">
      <c r="A361" s="92"/>
      <c r="B361" s="93"/>
      <c r="C361" s="39"/>
      <c r="D361" s="39"/>
      <c r="E361" s="39"/>
      <c r="F361" s="39"/>
      <c r="G361" s="94"/>
      <c r="H361" s="95"/>
      <c r="I361" s="39"/>
      <c r="J361" s="39"/>
      <c r="K361" s="39"/>
      <c r="L361" s="39"/>
      <c r="M361" s="39"/>
      <c r="N361" s="39"/>
      <c r="O361" s="39"/>
      <c r="P361" s="39"/>
      <c r="Q361" s="39"/>
      <c r="R361" s="39"/>
      <c r="S361" s="39"/>
      <c r="T361" s="39"/>
      <c r="U361" s="94"/>
      <c r="V361" s="39"/>
      <c r="W361" s="39"/>
      <c r="X361" s="39"/>
      <c r="Y361" s="39"/>
      <c r="Z361" s="39"/>
      <c r="AA361" s="39"/>
      <c r="AB361" s="39"/>
      <c r="AC361" s="39"/>
      <c r="AD361" s="39"/>
      <c r="AE361" s="39"/>
      <c r="AF361" s="39"/>
      <c r="AG361" s="39"/>
      <c r="AH361" s="39"/>
      <c r="AI361" s="39"/>
      <c r="AJ361" s="39"/>
      <c r="AK361" s="39"/>
      <c r="AL361" s="39"/>
      <c r="AM361" s="39"/>
      <c r="AN361" s="39"/>
      <c r="AO361" s="39"/>
      <c r="AP361" s="39"/>
      <c r="AQ361" s="96"/>
      <c r="AR361" s="96"/>
      <c r="AS361" s="44"/>
    </row>
    <row r="362">
      <c r="A362" s="97"/>
      <c r="B362" s="97"/>
      <c r="C362" s="97"/>
      <c r="D362" s="97"/>
      <c r="E362" s="97"/>
      <c r="F362" s="97"/>
      <c r="G362" s="98"/>
      <c r="H362" s="97"/>
      <c r="I362" s="97"/>
      <c r="J362" s="97"/>
      <c r="K362" s="97"/>
      <c r="L362" s="97"/>
      <c r="M362" s="97"/>
      <c r="N362" s="97"/>
      <c r="O362" s="97"/>
      <c r="P362" s="97"/>
      <c r="Q362" s="97"/>
      <c r="R362" s="97"/>
      <c r="S362" s="97"/>
      <c r="T362" s="97"/>
      <c r="U362" s="98"/>
      <c r="V362" s="97"/>
      <c r="W362" s="97"/>
      <c r="X362" s="97"/>
      <c r="Y362" s="97"/>
      <c r="Z362" s="97"/>
      <c r="AA362" s="97"/>
      <c r="AB362" s="97"/>
      <c r="AC362" s="97"/>
      <c r="AD362" s="97"/>
      <c r="AE362" s="97"/>
      <c r="AF362" s="97"/>
      <c r="AG362" s="97"/>
      <c r="AH362" s="97"/>
      <c r="AI362" s="97"/>
      <c r="AJ362" s="97"/>
      <c r="AK362" s="97"/>
      <c r="AL362" s="97"/>
      <c r="AM362" s="97"/>
      <c r="AN362" s="97"/>
      <c r="AO362" s="97"/>
      <c r="AP362" s="97"/>
      <c r="AQ362" s="99"/>
      <c r="AR362" s="99"/>
      <c r="AS362" s="99"/>
    </row>
    <row r="363">
      <c r="A363" s="97"/>
      <c r="B363" s="97"/>
      <c r="C363" s="97"/>
      <c r="D363" s="97"/>
      <c r="E363" s="97"/>
      <c r="F363" s="97"/>
      <c r="G363" s="98"/>
      <c r="H363" s="97"/>
      <c r="I363" s="97"/>
      <c r="J363" s="97"/>
      <c r="K363" s="97"/>
      <c r="L363" s="97"/>
      <c r="M363" s="97"/>
      <c r="N363" s="97"/>
      <c r="O363" s="97"/>
      <c r="P363" s="97"/>
      <c r="Q363" s="97"/>
      <c r="R363" s="97"/>
      <c r="S363" s="97"/>
      <c r="T363" s="97"/>
      <c r="U363" s="98"/>
      <c r="V363" s="97"/>
      <c r="W363" s="97"/>
      <c r="X363" s="97"/>
      <c r="Y363" s="97"/>
      <c r="Z363" s="97"/>
      <c r="AA363" s="97"/>
      <c r="AB363" s="97"/>
      <c r="AC363" s="97"/>
      <c r="AD363" s="97"/>
      <c r="AE363" s="97"/>
      <c r="AF363" s="97"/>
      <c r="AG363" s="97"/>
      <c r="AH363" s="97"/>
      <c r="AI363" s="97"/>
      <c r="AJ363" s="97"/>
      <c r="AK363" s="97"/>
      <c r="AL363" s="97"/>
      <c r="AM363" s="97"/>
      <c r="AN363" s="97"/>
      <c r="AO363" s="97"/>
      <c r="AP363" s="97"/>
      <c r="AQ363" s="99"/>
      <c r="AR363" s="99"/>
      <c r="AS363" s="99"/>
    </row>
    <row r="364">
      <c r="A364" s="97"/>
      <c r="B364" s="97"/>
      <c r="C364" s="97"/>
      <c r="D364" s="97"/>
      <c r="E364" s="97"/>
      <c r="F364" s="97"/>
      <c r="G364" s="98"/>
      <c r="H364" s="97"/>
      <c r="I364" s="97"/>
      <c r="J364" s="97"/>
      <c r="K364" s="97"/>
      <c r="L364" s="97"/>
      <c r="M364" s="97"/>
      <c r="N364" s="97"/>
      <c r="O364" s="97"/>
      <c r="P364" s="97"/>
      <c r="Q364" s="97"/>
      <c r="R364" s="97"/>
      <c r="S364" s="97"/>
      <c r="T364" s="97"/>
      <c r="U364" s="98"/>
      <c r="V364" s="97"/>
      <c r="W364" s="97"/>
      <c r="X364" s="97"/>
      <c r="Y364" s="97"/>
      <c r="Z364" s="97"/>
      <c r="AA364" s="97"/>
      <c r="AB364" s="97"/>
      <c r="AC364" s="97"/>
      <c r="AD364" s="97"/>
      <c r="AE364" s="97"/>
      <c r="AF364" s="97"/>
      <c r="AG364" s="97"/>
      <c r="AH364" s="97"/>
      <c r="AI364" s="97"/>
      <c r="AJ364" s="97"/>
      <c r="AK364" s="97"/>
      <c r="AL364" s="97"/>
      <c r="AM364" s="97"/>
      <c r="AN364" s="97"/>
      <c r="AO364" s="97"/>
      <c r="AP364" s="97"/>
      <c r="AQ364" s="99"/>
      <c r="AR364" s="99"/>
      <c r="AS364" s="99"/>
    </row>
    <row r="365">
      <c r="A365" s="97"/>
      <c r="B365" s="97"/>
      <c r="C365" s="97"/>
      <c r="D365" s="97"/>
      <c r="E365" s="97"/>
      <c r="F365" s="97"/>
      <c r="G365" s="98"/>
      <c r="H365" s="97"/>
      <c r="I365" s="97"/>
      <c r="J365" s="97"/>
      <c r="K365" s="97"/>
      <c r="L365" s="97"/>
      <c r="M365" s="97"/>
      <c r="N365" s="97"/>
      <c r="O365" s="97"/>
      <c r="P365" s="97"/>
      <c r="Q365" s="97"/>
      <c r="R365" s="97"/>
      <c r="S365" s="97"/>
      <c r="T365" s="97"/>
      <c r="U365" s="98"/>
      <c r="V365" s="97"/>
      <c r="W365" s="97"/>
      <c r="X365" s="97"/>
      <c r="Y365" s="97"/>
      <c r="Z365" s="97"/>
      <c r="AA365" s="97"/>
      <c r="AB365" s="97"/>
      <c r="AC365" s="97"/>
      <c r="AD365" s="97"/>
      <c r="AE365" s="97"/>
      <c r="AF365" s="97"/>
      <c r="AG365" s="97"/>
      <c r="AH365" s="97"/>
      <c r="AI365" s="97"/>
      <c r="AJ365" s="97"/>
      <c r="AK365" s="97"/>
      <c r="AL365" s="97"/>
      <c r="AM365" s="97"/>
      <c r="AN365" s="97"/>
      <c r="AO365" s="97"/>
      <c r="AP365" s="97"/>
      <c r="AQ365" s="99"/>
      <c r="AR365" s="99"/>
      <c r="AS365" s="99"/>
    </row>
    <row r="366">
      <c r="A366" s="97"/>
      <c r="B366" s="97"/>
      <c r="C366" s="97"/>
      <c r="D366" s="97"/>
      <c r="E366" s="97"/>
      <c r="F366" s="97"/>
      <c r="G366" s="98"/>
      <c r="H366" s="97"/>
      <c r="I366" s="97"/>
      <c r="J366" s="97"/>
      <c r="K366" s="97"/>
      <c r="L366" s="97"/>
      <c r="M366" s="97"/>
      <c r="N366" s="97"/>
      <c r="O366" s="97"/>
      <c r="P366" s="97"/>
      <c r="Q366" s="97"/>
      <c r="R366" s="97"/>
      <c r="S366" s="97"/>
      <c r="T366" s="97"/>
      <c r="U366" s="98"/>
      <c r="V366" s="97"/>
      <c r="W366" s="97"/>
      <c r="X366" s="97"/>
      <c r="Y366" s="97"/>
      <c r="Z366" s="97"/>
      <c r="AA366" s="97"/>
      <c r="AB366" s="97"/>
      <c r="AC366" s="97"/>
      <c r="AD366" s="97"/>
      <c r="AE366" s="97"/>
      <c r="AF366" s="97"/>
      <c r="AG366" s="97"/>
      <c r="AH366" s="97"/>
      <c r="AI366" s="97"/>
      <c r="AJ366" s="97"/>
      <c r="AK366" s="97"/>
      <c r="AL366" s="97"/>
      <c r="AM366" s="97"/>
      <c r="AN366" s="97"/>
      <c r="AO366" s="97"/>
      <c r="AP366" s="97"/>
      <c r="AQ366" s="99"/>
      <c r="AR366" s="99"/>
      <c r="AS366" s="99"/>
    </row>
    <row r="367">
      <c r="A367" s="97"/>
      <c r="B367" s="97"/>
      <c r="C367" s="97"/>
      <c r="D367" s="97"/>
      <c r="E367" s="97"/>
      <c r="F367" s="97"/>
      <c r="G367" s="98"/>
      <c r="H367" s="97"/>
      <c r="I367" s="97"/>
      <c r="J367" s="97"/>
      <c r="K367" s="97"/>
      <c r="L367" s="97"/>
      <c r="M367" s="97"/>
      <c r="N367" s="97"/>
      <c r="O367" s="97"/>
      <c r="P367" s="97"/>
      <c r="Q367" s="97"/>
      <c r="R367" s="97"/>
      <c r="S367" s="97"/>
      <c r="T367" s="97"/>
      <c r="U367" s="98"/>
      <c r="V367" s="97"/>
      <c r="W367" s="97"/>
      <c r="X367" s="97"/>
      <c r="Y367" s="97"/>
      <c r="Z367" s="97"/>
      <c r="AA367" s="97"/>
      <c r="AB367" s="97"/>
      <c r="AC367" s="97"/>
      <c r="AD367" s="97"/>
      <c r="AE367" s="97"/>
      <c r="AF367" s="97"/>
      <c r="AG367" s="97"/>
      <c r="AH367" s="97"/>
      <c r="AI367" s="97"/>
      <c r="AJ367" s="97"/>
      <c r="AK367" s="97"/>
      <c r="AL367" s="97"/>
      <c r="AM367" s="97"/>
      <c r="AN367" s="97"/>
      <c r="AO367" s="97"/>
      <c r="AP367" s="97"/>
      <c r="AQ367" s="99"/>
      <c r="AR367" s="99"/>
      <c r="AS367" s="99"/>
    </row>
    <row r="368">
      <c r="A368" s="97"/>
      <c r="B368" s="97"/>
      <c r="C368" s="97"/>
      <c r="D368" s="97"/>
      <c r="E368" s="97"/>
      <c r="F368" s="97"/>
      <c r="G368" s="98"/>
      <c r="H368" s="97"/>
      <c r="I368" s="97"/>
      <c r="J368" s="97"/>
      <c r="K368" s="97"/>
      <c r="L368" s="97"/>
      <c r="M368" s="97"/>
      <c r="N368" s="97"/>
      <c r="O368" s="97"/>
      <c r="P368" s="97"/>
      <c r="Q368" s="97"/>
      <c r="R368" s="97"/>
      <c r="S368" s="97"/>
      <c r="T368" s="97"/>
      <c r="U368" s="98"/>
      <c r="V368" s="97"/>
      <c r="W368" s="97"/>
      <c r="X368" s="97"/>
      <c r="Y368" s="97"/>
      <c r="Z368" s="97"/>
      <c r="AA368" s="97"/>
      <c r="AB368" s="97"/>
      <c r="AC368" s="97"/>
      <c r="AD368" s="97"/>
      <c r="AE368" s="97"/>
      <c r="AF368" s="97"/>
      <c r="AG368" s="97"/>
      <c r="AH368" s="97"/>
      <c r="AI368" s="97"/>
      <c r="AJ368" s="97"/>
      <c r="AK368" s="97"/>
      <c r="AL368" s="97"/>
      <c r="AM368" s="97"/>
      <c r="AN368" s="97"/>
      <c r="AO368" s="97"/>
      <c r="AP368" s="97"/>
      <c r="AQ368" s="99"/>
      <c r="AR368" s="99"/>
      <c r="AS368" s="99"/>
    </row>
    <row r="369">
      <c r="A369" s="97"/>
      <c r="B369" s="97"/>
      <c r="C369" s="97"/>
      <c r="D369" s="97"/>
      <c r="E369" s="97"/>
      <c r="F369" s="97"/>
      <c r="G369" s="98"/>
      <c r="H369" s="97"/>
      <c r="I369" s="97"/>
      <c r="J369" s="97"/>
      <c r="K369" s="97"/>
      <c r="L369" s="97"/>
      <c r="M369" s="97"/>
      <c r="N369" s="97"/>
      <c r="O369" s="97"/>
      <c r="P369" s="97"/>
      <c r="Q369" s="97"/>
      <c r="R369" s="97"/>
      <c r="S369" s="97"/>
      <c r="T369" s="97"/>
      <c r="U369" s="98"/>
      <c r="V369" s="97"/>
      <c r="W369" s="97"/>
      <c r="X369" s="97"/>
      <c r="Y369" s="97"/>
      <c r="Z369" s="97"/>
      <c r="AA369" s="97"/>
      <c r="AB369" s="97"/>
      <c r="AC369" s="97"/>
      <c r="AD369" s="97"/>
      <c r="AE369" s="97"/>
      <c r="AF369" s="97"/>
      <c r="AG369" s="97"/>
      <c r="AH369" s="97"/>
      <c r="AI369" s="97"/>
      <c r="AJ369" s="97"/>
      <c r="AK369" s="97"/>
      <c r="AL369" s="97"/>
      <c r="AM369" s="97"/>
      <c r="AN369" s="97"/>
      <c r="AO369" s="97"/>
      <c r="AP369" s="97"/>
      <c r="AQ369" s="99"/>
      <c r="AR369" s="99"/>
      <c r="AS369" s="99"/>
    </row>
    <row r="370">
      <c r="A370" s="97"/>
      <c r="B370" s="97"/>
      <c r="C370" s="97"/>
      <c r="D370" s="97"/>
      <c r="E370" s="97"/>
      <c r="F370" s="97"/>
      <c r="G370" s="98"/>
      <c r="H370" s="97"/>
      <c r="I370" s="97"/>
      <c r="J370" s="97"/>
      <c r="K370" s="97"/>
      <c r="L370" s="97"/>
      <c r="M370" s="97"/>
      <c r="N370" s="97"/>
      <c r="O370" s="97"/>
      <c r="P370" s="97"/>
      <c r="Q370" s="97"/>
      <c r="R370" s="97"/>
      <c r="S370" s="97"/>
      <c r="T370" s="97"/>
      <c r="U370" s="98"/>
      <c r="V370" s="97"/>
      <c r="W370" s="97"/>
      <c r="X370" s="97"/>
      <c r="Y370" s="97"/>
      <c r="Z370" s="97"/>
      <c r="AA370" s="97"/>
      <c r="AB370" s="97"/>
      <c r="AC370" s="97"/>
      <c r="AD370" s="97"/>
      <c r="AE370" s="97"/>
      <c r="AF370" s="97"/>
      <c r="AG370" s="97"/>
      <c r="AH370" s="97"/>
      <c r="AI370" s="97"/>
      <c r="AJ370" s="97"/>
      <c r="AK370" s="97"/>
      <c r="AL370" s="97"/>
      <c r="AM370" s="97"/>
      <c r="AN370" s="97"/>
      <c r="AO370" s="97"/>
      <c r="AP370" s="97"/>
      <c r="AQ370" s="99"/>
      <c r="AR370" s="99"/>
      <c r="AS370" s="99"/>
    </row>
    <row r="371">
      <c r="A371" s="97"/>
      <c r="B371" s="97"/>
      <c r="C371" s="97"/>
      <c r="D371" s="97"/>
      <c r="E371" s="97"/>
      <c r="F371" s="97"/>
      <c r="G371" s="98"/>
      <c r="H371" s="97"/>
      <c r="I371" s="97"/>
      <c r="J371" s="97"/>
      <c r="K371" s="97"/>
      <c r="L371" s="97"/>
      <c r="M371" s="97"/>
      <c r="N371" s="97"/>
      <c r="O371" s="97"/>
      <c r="P371" s="97"/>
      <c r="Q371" s="97"/>
      <c r="R371" s="97"/>
      <c r="S371" s="97"/>
      <c r="T371" s="97"/>
      <c r="U371" s="98"/>
      <c r="V371" s="97"/>
      <c r="W371" s="97"/>
      <c r="X371" s="97"/>
      <c r="Y371" s="97"/>
      <c r="Z371" s="97"/>
      <c r="AA371" s="97"/>
      <c r="AB371" s="97"/>
      <c r="AC371" s="97"/>
      <c r="AD371" s="97"/>
      <c r="AE371" s="97"/>
      <c r="AF371" s="97"/>
      <c r="AG371" s="97"/>
      <c r="AH371" s="97"/>
      <c r="AI371" s="97"/>
      <c r="AJ371" s="97"/>
      <c r="AK371" s="97"/>
      <c r="AL371" s="97"/>
      <c r="AM371" s="97"/>
      <c r="AN371" s="97"/>
      <c r="AO371" s="97"/>
      <c r="AP371" s="97"/>
      <c r="AQ371" s="99"/>
      <c r="AR371" s="99"/>
      <c r="AS371" s="99"/>
    </row>
    <row r="372">
      <c r="A372" s="97"/>
      <c r="B372" s="97"/>
      <c r="C372" s="97"/>
      <c r="D372" s="97"/>
      <c r="E372" s="97"/>
      <c r="F372" s="97"/>
      <c r="G372" s="98"/>
      <c r="H372" s="97"/>
      <c r="I372" s="97"/>
      <c r="J372" s="97"/>
      <c r="K372" s="97"/>
      <c r="L372" s="97"/>
      <c r="M372" s="97"/>
      <c r="N372" s="97"/>
      <c r="O372" s="97"/>
      <c r="P372" s="97"/>
      <c r="Q372" s="97"/>
      <c r="R372" s="97"/>
      <c r="S372" s="97"/>
      <c r="T372" s="97"/>
      <c r="U372" s="98"/>
      <c r="V372" s="97"/>
      <c r="W372" s="97"/>
      <c r="X372" s="97"/>
      <c r="Y372" s="97"/>
      <c r="Z372" s="97"/>
      <c r="AA372" s="97"/>
      <c r="AB372" s="97"/>
      <c r="AC372" s="97"/>
      <c r="AD372" s="97"/>
      <c r="AE372" s="97"/>
      <c r="AF372" s="97"/>
      <c r="AG372" s="97"/>
      <c r="AH372" s="97"/>
      <c r="AI372" s="97"/>
      <c r="AJ372" s="97"/>
      <c r="AK372" s="97"/>
      <c r="AL372" s="97"/>
      <c r="AM372" s="97"/>
      <c r="AN372" s="97"/>
      <c r="AO372" s="97"/>
      <c r="AP372" s="97"/>
      <c r="AQ372" s="99"/>
      <c r="AR372" s="99"/>
      <c r="AS372" s="99"/>
    </row>
    <row r="373">
      <c r="A373" s="97"/>
      <c r="B373" s="97"/>
      <c r="C373" s="97"/>
      <c r="D373" s="97"/>
      <c r="E373" s="97"/>
      <c r="F373" s="97"/>
      <c r="G373" s="98"/>
      <c r="H373" s="97"/>
      <c r="I373" s="97"/>
      <c r="J373" s="97"/>
      <c r="K373" s="97"/>
      <c r="L373" s="97"/>
      <c r="M373" s="97"/>
      <c r="N373" s="97"/>
      <c r="O373" s="97"/>
      <c r="P373" s="97"/>
      <c r="Q373" s="97"/>
      <c r="R373" s="97"/>
      <c r="S373" s="97"/>
      <c r="T373" s="97"/>
      <c r="U373" s="98"/>
      <c r="V373" s="97"/>
      <c r="W373" s="97"/>
      <c r="X373" s="97"/>
      <c r="Y373" s="97"/>
      <c r="Z373" s="97"/>
      <c r="AA373" s="97"/>
      <c r="AB373" s="97"/>
      <c r="AC373" s="97"/>
      <c r="AD373" s="97"/>
      <c r="AE373" s="97"/>
      <c r="AF373" s="97"/>
      <c r="AG373" s="97"/>
      <c r="AH373" s="97"/>
      <c r="AI373" s="97"/>
      <c r="AJ373" s="97"/>
      <c r="AK373" s="97"/>
      <c r="AL373" s="97"/>
      <c r="AM373" s="97"/>
      <c r="AN373" s="97"/>
      <c r="AO373" s="97"/>
      <c r="AP373" s="97"/>
      <c r="AQ373" s="99"/>
      <c r="AR373" s="99"/>
      <c r="AS373" s="99"/>
    </row>
    <row r="374">
      <c r="A374" s="97"/>
      <c r="B374" s="97"/>
      <c r="C374" s="97"/>
      <c r="D374" s="97"/>
      <c r="E374" s="97"/>
      <c r="F374" s="97"/>
      <c r="G374" s="98"/>
      <c r="H374" s="97"/>
      <c r="I374" s="97"/>
      <c r="J374" s="97"/>
      <c r="K374" s="97"/>
      <c r="L374" s="97"/>
      <c r="M374" s="97"/>
      <c r="N374" s="97"/>
      <c r="O374" s="97"/>
      <c r="P374" s="97"/>
      <c r="Q374" s="97"/>
      <c r="R374" s="97"/>
      <c r="S374" s="97"/>
      <c r="T374" s="97"/>
      <c r="U374" s="98"/>
      <c r="V374" s="97"/>
      <c r="W374" s="97"/>
      <c r="X374" s="97"/>
      <c r="Y374" s="97"/>
      <c r="Z374" s="97"/>
      <c r="AA374" s="97"/>
      <c r="AB374" s="97"/>
      <c r="AC374" s="97"/>
      <c r="AD374" s="97"/>
      <c r="AE374" s="97"/>
      <c r="AF374" s="97"/>
      <c r="AG374" s="97"/>
      <c r="AH374" s="97"/>
      <c r="AI374" s="97"/>
      <c r="AJ374" s="97"/>
      <c r="AK374" s="97"/>
      <c r="AL374" s="97"/>
      <c r="AM374" s="97"/>
      <c r="AN374" s="97"/>
      <c r="AO374" s="97"/>
      <c r="AP374" s="97"/>
      <c r="AQ374" s="99"/>
      <c r="AR374" s="99"/>
      <c r="AS374" s="99"/>
    </row>
    <row r="375">
      <c r="A375" s="97"/>
      <c r="B375" s="97"/>
      <c r="C375" s="97"/>
      <c r="D375" s="97"/>
      <c r="E375" s="97"/>
      <c r="F375" s="97"/>
      <c r="G375" s="98"/>
      <c r="H375" s="97"/>
      <c r="I375" s="97"/>
      <c r="J375" s="97"/>
      <c r="K375" s="97"/>
      <c r="L375" s="97"/>
      <c r="M375" s="97"/>
      <c r="N375" s="97"/>
      <c r="O375" s="97"/>
      <c r="P375" s="97"/>
      <c r="Q375" s="97"/>
      <c r="R375" s="97"/>
      <c r="S375" s="97"/>
      <c r="T375" s="97"/>
      <c r="U375" s="98"/>
      <c r="V375" s="97"/>
      <c r="W375" s="97"/>
      <c r="X375" s="97"/>
      <c r="Y375" s="97"/>
      <c r="Z375" s="97"/>
      <c r="AA375" s="97"/>
      <c r="AB375" s="97"/>
      <c r="AC375" s="97"/>
      <c r="AD375" s="97"/>
      <c r="AE375" s="97"/>
      <c r="AF375" s="97"/>
      <c r="AG375" s="97"/>
      <c r="AH375" s="97"/>
      <c r="AI375" s="97"/>
      <c r="AJ375" s="97"/>
      <c r="AK375" s="97"/>
      <c r="AL375" s="97"/>
      <c r="AM375" s="97"/>
      <c r="AN375" s="97"/>
      <c r="AO375" s="97"/>
      <c r="AP375" s="97"/>
      <c r="AQ375" s="99"/>
      <c r="AR375" s="99"/>
      <c r="AS375" s="99"/>
    </row>
    <row r="376">
      <c r="A376" s="97"/>
      <c r="B376" s="97"/>
      <c r="C376" s="97"/>
      <c r="D376" s="97"/>
      <c r="E376" s="97"/>
      <c r="F376" s="97"/>
      <c r="G376" s="98"/>
      <c r="H376" s="97"/>
      <c r="I376" s="97"/>
      <c r="J376" s="97"/>
      <c r="K376" s="97"/>
      <c r="L376" s="97"/>
      <c r="M376" s="97"/>
      <c r="N376" s="97"/>
      <c r="O376" s="97"/>
      <c r="P376" s="97"/>
      <c r="Q376" s="97"/>
      <c r="R376" s="97"/>
      <c r="S376" s="97"/>
      <c r="T376" s="97"/>
      <c r="U376" s="98"/>
      <c r="V376" s="97"/>
      <c r="W376" s="97"/>
      <c r="X376" s="97"/>
      <c r="Y376" s="97"/>
      <c r="Z376" s="97"/>
      <c r="AA376" s="97"/>
      <c r="AB376" s="97"/>
      <c r="AC376" s="97"/>
      <c r="AD376" s="97"/>
      <c r="AE376" s="97"/>
      <c r="AF376" s="97"/>
      <c r="AG376" s="97"/>
      <c r="AH376" s="97"/>
      <c r="AI376" s="97"/>
      <c r="AJ376" s="97"/>
      <c r="AK376" s="97"/>
      <c r="AL376" s="97"/>
      <c r="AM376" s="97"/>
      <c r="AN376" s="97"/>
      <c r="AO376" s="97"/>
      <c r="AP376" s="97"/>
      <c r="AQ376" s="99"/>
      <c r="AR376" s="99"/>
      <c r="AS376" s="99"/>
    </row>
    <row r="377">
      <c r="A377" s="97"/>
      <c r="B377" s="97"/>
      <c r="C377" s="97"/>
      <c r="D377" s="97"/>
      <c r="E377" s="97"/>
      <c r="F377" s="97"/>
      <c r="G377" s="98"/>
      <c r="H377" s="97"/>
      <c r="I377" s="97"/>
      <c r="J377" s="97"/>
      <c r="K377" s="97"/>
      <c r="L377" s="97"/>
      <c r="M377" s="97"/>
      <c r="N377" s="97"/>
      <c r="O377" s="97"/>
      <c r="P377" s="97"/>
      <c r="Q377" s="97"/>
      <c r="R377" s="97"/>
      <c r="S377" s="97"/>
      <c r="T377" s="97"/>
      <c r="U377" s="98"/>
      <c r="V377" s="97"/>
      <c r="W377" s="97"/>
      <c r="X377" s="97"/>
      <c r="Y377" s="97"/>
      <c r="Z377" s="97"/>
      <c r="AA377" s="97"/>
      <c r="AB377" s="97"/>
      <c r="AC377" s="97"/>
      <c r="AD377" s="97"/>
      <c r="AE377" s="97"/>
      <c r="AF377" s="97"/>
      <c r="AG377" s="97"/>
      <c r="AH377" s="97"/>
      <c r="AI377" s="97"/>
      <c r="AJ377" s="97"/>
      <c r="AK377" s="97"/>
      <c r="AL377" s="97"/>
      <c r="AM377" s="97"/>
      <c r="AN377" s="97"/>
      <c r="AO377" s="97"/>
      <c r="AP377" s="97"/>
      <c r="AQ377" s="99"/>
      <c r="AR377" s="99"/>
      <c r="AS377" s="99"/>
    </row>
    <row r="378">
      <c r="A378" s="97"/>
      <c r="B378" s="97"/>
      <c r="C378" s="97"/>
      <c r="D378" s="97"/>
      <c r="E378" s="97"/>
      <c r="F378" s="97"/>
      <c r="G378" s="98"/>
      <c r="H378" s="97"/>
      <c r="I378" s="97"/>
      <c r="J378" s="97"/>
      <c r="K378" s="97"/>
      <c r="L378" s="97"/>
      <c r="M378" s="97"/>
      <c r="N378" s="97"/>
      <c r="O378" s="97"/>
      <c r="P378" s="97"/>
      <c r="Q378" s="97"/>
      <c r="R378" s="97"/>
      <c r="S378" s="97"/>
      <c r="T378" s="97"/>
      <c r="U378" s="98"/>
      <c r="V378" s="97"/>
      <c r="W378" s="97"/>
      <c r="X378" s="97"/>
      <c r="Y378" s="97"/>
      <c r="Z378" s="97"/>
      <c r="AA378" s="97"/>
      <c r="AB378" s="97"/>
      <c r="AC378" s="97"/>
      <c r="AD378" s="97"/>
      <c r="AE378" s="97"/>
      <c r="AF378" s="97"/>
      <c r="AG378" s="97"/>
      <c r="AH378" s="97"/>
      <c r="AI378" s="97"/>
      <c r="AJ378" s="97"/>
      <c r="AK378" s="97"/>
      <c r="AL378" s="97"/>
      <c r="AM378" s="97"/>
      <c r="AN378" s="97"/>
      <c r="AO378" s="97"/>
      <c r="AP378" s="97"/>
      <c r="AQ378" s="99"/>
      <c r="AR378" s="99"/>
      <c r="AS378" s="99"/>
    </row>
    <row r="379">
      <c r="A379" s="97"/>
      <c r="B379" s="97"/>
      <c r="C379" s="97"/>
      <c r="D379" s="97"/>
      <c r="E379" s="97"/>
      <c r="F379" s="97"/>
      <c r="G379" s="98"/>
      <c r="H379" s="97"/>
      <c r="I379" s="97"/>
      <c r="J379" s="97"/>
      <c r="K379" s="97"/>
      <c r="L379" s="97"/>
      <c r="M379" s="97"/>
      <c r="N379" s="97"/>
      <c r="O379" s="97"/>
      <c r="P379" s="97"/>
      <c r="Q379" s="97"/>
      <c r="R379" s="97"/>
      <c r="S379" s="97"/>
      <c r="T379" s="97"/>
      <c r="U379" s="98"/>
      <c r="V379" s="97"/>
      <c r="W379" s="97"/>
      <c r="X379" s="97"/>
      <c r="Y379" s="97"/>
      <c r="Z379" s="97"/>
      <c r="AA379" s="97"/>
      <c r="AB379" s="97"/>
      <c r="AC379" s="97"/>
      <c r="AD379" s="97"/>
      <c r="AE379" s="97"/>
      <c r="AF379" s="97"/>
      <c r="AG379" s="97"/>
      <c r="AH379" s="97"/>
      <c r="AI379" s="97"/>
      <c r="AJ379" s="97"/>
      <c r="AK379" s="97"/>
      <c r="AL379" s="97"/>
      <c r="AM379" s="97"/>
      <c r="AN379" s="97"/>
      <c r="AO379" s="97"/>
      <c r="AP379" s="97"/>
      <c r="AQ379" s="99"/>
      <c r="AR379" s="99"/>
      <c r="AS379" s="99"/>
    </row>
    <row r="380">
      <c r="A380" s="97"/>
      <c r="B380" s="97"/>
      <c r="C380" s="97"/>
      <c r="D380" s="97"/>
      <c r="E380" s="97"/>
      <c r="F380" s="97"/>
      <c r="G380" s="98"/>
      <c r="H380" s="97"/>
      <c r="I380" s="97"/>
      <c r="J380" s="97"/>
      <c r="K380" s="97"/>
      <c r="L380" s="97"/>
      <c r="M380" s="97"/>
      <c r="N380" s="97"/>
      <c r="O380" s="97"/>
      <c r="P380" s="97"/>
      <c r="Q380" s="97"/>
      <c r="R380" s="97"/>
      <c r="S380" s="97"/>
      <c r="T380" s="97"/>
      <c r="U380" s="98"/>
      <c r="V380" s="97"/>
      <c r="W380" s="97"/>
      <c r="X380" s="97"/>
      <c r="Y380" s="97"/>
      <c r="Z380" s="97"/>
      <c r="AA380" s="97"/>
      <c r="AB380" s="97"/>
      <c r="AC380" s="97"/>
      <c r="AD380" s="97"/>
      <c r="AE380" s="97"/>
      <c r="AF380" s="97"/>
      <c r="AG380" s="97"/>
      <c r="AH380" s="97"/>
      <c r="AI380" s="97"/>
      <c r="AJ380" s="97"/>
      <c r="AK380" s="97"/>
      <c r="AL380" s="97"/>
      <c r="AM380" s="97"/>
      <c r="AN380" s="97"/>
      <c r="AO380" s="97"/>
      <c r="AP380" s="97"/>
      <c r="AQ380" s="99"/>
      <c r="AR380" s="99"/>
      <c r="AS380" s="99"/>
    </row>
    <row r="381">
      <c r="A381" s="97"/>
      <c r="B381" s="97"/>
      <c r="C381" s="97"/>
      <c r="D381" s="97"/>
      <c r="E381" s="97"/>
      <c r="F381" s="97"/>
      <c r="G381" s="98"/>
      <c r="H381" s="97"/>
      <c r="I381" s="97"/>
      <c r="J381" s="97"/>
      <c r="K381" s="97"/>
      <c r="L381" s="97"/>
      <c r="M381" s="97"/>
      <c r="N381" s="97"/>
      <c r="O381" s="97"/>
      <c r="P381" s="97"/>
      <c r="Q381" s="97"/>
      <c r="R381" s="97"/>
      <c r="S381" s="97"/>
      <c r="T381" s="97"/>
      <c r="U381" s="98"/>
      <c r="V381" s="97"/>
      <c r="W381" s="97"/>
      <c r="X381" s="97"/>
      <c r="Y381" s="97"/>
      <c r="Z381" s="97"/>
      <c r="AA381" s="97"/>
      <c r="AB381" s="97"/>
      <c r="AC381" s="97"/>
      <c r="AD381" s="97"/>
      <c r="AE381" s="97"/>
      <c r="AF381" s="97"/>
      <c r="AG381" s="97"/>
      <c r="AH381" s="97"/>
      <c r="AI381" s="97"/>
      <c r="AJ381" s="97"/>
      <c r="AK381" s="97"/>
      <c r="AL381" s="97"/>
      <c r="AM381" s="97"/>
      <c r="AN381" s="97"/>
      <c r="AO381" s="97"/>
      <c r="AP381" s="97"/>
      <c r="AQ381" s="99"/>
      <c r="AR381" s="99"/>
      <c r="AS381" s="99"/>
    </row>
    <row r="382">
      <c r="A382" s="97"/>
      <c r="B382" s="97"/>
      <c r="C382" s="97"/>
      <c r="D382" s="97"/>
      <c r="E382" s="97"/>
      <c r="F382" s="97"/>
      <c r="G382" s="98"/>
      <c r="H382" s="97"/>
      <c r="I382" s="97"/>
      <c r="J382" s="97"/>
      <c r="K382" s="97"/>
      <c r="L382" s="97"/>
      <c r="M382" s="97"/>
      <c r="N382" s="97"/>
      <c r="O382" s="97"/>
      <c r="P382" s="97"/>
      <c r="Q382" s="97"/>
      <c r="R382" s="97"/>
      <c r="S382" s="97"/>
      <c r="T382" s="97"/>
      <c r="U382" s="98"/>
      <c r="V382" s="97"/>
      <c r="W382" s="97"/>
      <c r="X382" s="97"/>
      <c r="Y382" s="97"/>
      <c r="Z382" s="97"/>
      <c r="AA382" s="97"/>
      <c r="AB382" s="97"/>
      <c r="AC382" s="97"/>
      <c r="AD382" s="97"/>
      <c r="AE382" s="97"/>
      <c r="AF382" s="97"/>
      <c r="AG382" s="97"/>
      <c r="AH382" s="97"/>
      <c r="AI382" s="97"/>
      <c r="AJ382" s="97"/>
      <c r="AK382" s="97"/>
      <c r="AL382" s="97"/>
      <c r="AM382" s="97"/>
      <c r="AN382" s="97"/>
      <c r="AO382" s="97"/>
      <c r="AP382" s="97"/>
      <c r="AQ382" s="99"/>
      <c r="AR382" s="99"/>
      <c r="AS382" s="99"/>
    </row>
    <row r="383">
      <c r="A383" s="97"/>
      <c r="B383" s="97"/>
      <c r="C383" s="97"/>
      <c r="D383" s="97"/>
      <c r="E383" s="97"/>
      <c r="F383" s="97"/>
      <c r="G383" s="98"/>
      <c r="H383" s="97"/>
      <c r="I383" s="97"/>
      <c r="J383" s="97"/>
      <c r="K383" s="97"/>
      <c r="L383" s="97"/>
      <c r="M383" s="97"/>
      <c r="N383" s="97"/>
      <c r="O383" s="97"/>
      <c r="P383" s="97"/>
      <c r="Q383" s="97"/>
      <c r="R383" s="97"/>
      <c r="S383" s="97"/>
      <c r="T383" s="97"/>
      <c r="U383" s="98"/>
      <c r="V383" s="97"/>
      <c r="W383" s="97"/>
      <c r="X383" s="97"/>
      <c r="Y383" s="97"/>
      <c r="Z383" s="97"/>
      <c r="AA383" s="97"/>
      <c r="AB383" s="97"/>
      <c r="AC383" s="97"/>
      <c r="AD383" s="97"/>
      <c r="AE383" s="97"/>
      <c r="AF383" s="97"/>
      <c r="AG383" s="97"/>
      <c r="AH383" s="97"/>
      <c r="AI383" s="97"/>
      <c r="AJ383" s="97"/>
      <c r="AK383" s="97"/>
      <c r="AL383" s="97"/>
      <c r="AM383" s="97"/>
      <c r="AN383" s="97"/>
      <c r="AO383" s="97"/>
      <c r="AP383" s="97"/>
      <c r="AQ383" s="99"/>
      <c r="AR383" s="99"/>
      <c r="AS383" s="99"/>
    </row>
    <row r="384">
      <c r="A384" s="97"/>
      <c r="B384" s="97"/>
      <c r="C384" s="97"/>
      <c r="D384" s="97"/>
      <c r="E384" s="97"/>
      <c r="F384" s="97"/>
      <c r="G384" s="98"/>
      <c r="H384" s="97"/>
      <c r="I384" s="97"/>
      <c r="J384" s="97"/>
      <c r="K384" s="97"/>
      <c r="L384" s="97"/>
      <c r="M384" s="97"/>
      <c r="N384" s="97"/>
      <c r="O384" s="97"/>
      <c r="P384" s="97"/>
      <c r="Q384" s="97"/>
      <c r="R384" s="97"/>
      <c r="S384" s="97"/>
      <c r="T384" s="97"/>
      <c r="U384" s="98"/>
      <c r="V384" s="97"/>
      <c r="W384" s="97"/>
      <c r="X384" s="97"/>
      <c r="Y384" s="97"/>
      <c r="Z384" s="97"/>
      <c r="AA384" s="97"/>
      <c r="AB384" s="97"/>
      <c r="AC384" s="97"/>
      <c r="AD384" s="97"/>
      <c r="AE384" s="97"/>
      <c r="AF384" s="97"/>
      <c r="AG384" s="97"/>
      <c r="AH384" s="97"/>
      <c r="AI384" s="97"/>
      <c r="AJ384" s="97"/>
      <c r="AK384" s="97"/>
      <c r="AL384" s="97"/>
      <c r="AM384" s="97"/>
      <c r="AN384" s="97"/>
      <c r="AO384" s="97"/>
      <c r="AP384" s="97"/>
      <c r="AQ384" s="99"/>
      <c r="AR384" s="99"/>
      <c r="AS384" s="99"/>
    </row>
    <row r="385">
      <c r="A385" s="97"/>
      <c r="B385" s="97"/>
      <c r="C385" s="97"/>
      <c r="D385" s="97"/>
      <c r="E385" s="97"/>
      <c r="F385" s="97"/>
      <c r="G385" s="98"/>
      <c r="H385" s="97"/>
      <c r="I385" s="97"/>
      <c r="J385" s="97"/>
      <c r="K385" s="97"/>
      <c r="L385" s="97"/>
      <c r="M385" s="97"/>
      <c r="N385" s="97"/>
      <c r="O385" s="97"/>
      <c r="P385" s="97"/>
      <c r="Q385" s="97"/>
      <c r="R385" s="97"/>
      <c r="S385" s="97"/>
      <c r="T385" s="97"/>
      <c r="U385" s="98"/>
      <c r="V385" s="97"/>
      <c r="W385" s="97"/>
      <c r="X385" s="97"/>
      <c r="Y385" s="97"/>
      <c r="Z385" s="97"/>
      <c r="AA385" s="97"/>
      <c r="AB385" s="97"/>
      <c r="AC385" s="97"/>
      <c r="AD385" s="97"/>
      <c r="AE385" s="97"/>
      <c r="AF385" s="97"/>
      <c r="AG385" s="97"/>
      <c r="AH385" s="97"/>
      <c r="AI385" s="97"/>
      <c r="AJ385" s="97"/>
      <c r="AK385" s="97"/>
      <c r="AL385" s="97"/>
      <c r="AM385" s="97"/>
      <c r="AN385" s="97"/>
      <c r="AO385" s="97"/>
      <c r="AP385" s="97"/>
      <c r="AQ385" s="99"/>
      <c r="AR385" s="99"/>
      <c r="AS385" s="99"/>
    </row>
    <row r="386">
      <c r="A386" s="97"/>
      <c r="B386" s="97"/>
      <c r="C386" s="97"/>
      <c r="D386" s="97"/>
      <c r="E386" s="97"/>
      <c r="F386" s="97"/>
      <c r="G386" s="98"/>
      <c r="H386" s="97"/>
      <c r="I386" s="97"/>
      <c r="J386" s="97"/>
      <c r="K386" s="97"/>
      <c r="L386" s="97"/>
      <c r="M386" s="97"/>
      <c r="N386" s="97"/>
      <c r="O386" s="97"/>
      <c r="P386" s="97"/>
      <c r="Q386" s="97"/>
      <c r="R386" s="97"/>
      <c r="S386" s="97"/>
      <c r="T386" s="97"/>
      <c r="U386" s="98"/>
      <c r="V386" s="97"/>
      <c r="W386" s="97"/>
      <c r="X386" s="97"/>
      <c r="Y386" s="97"/>
      <c r="Z386" s="97"/>
      <c r="AA386" s="97"/>
      <c r="AB386" s="97"/>
      <c r="AC386" s="97"/>
      <c r="AD386" s="97"/>
      <c r="AE386" s="97"/>
      <c r="AF386" s="97"/>
      <c r="AG386" s="97"/>
      <c r="AH386" s="97"/>
      <c r="AI386" s="97"/>
      <c r="AJ386" s="97"/>
      <c r="AK386" s="97"/>
      <c r="AL386" s="97"/>
      <c r="AM386" s="97"/>
      <c r="AN386" s="97"/>
      <c r="AO386" s="97"/>
      <c r="AP386" s="97"/>
      <c r="AQ386" s="99"/>
      <c r="AR386" s="99"/>
      <c r="AS386" s="99"/>
    </row>
    <row r="387">
      <c r="A387" s="97"/>
      <c r="B387" s="97"/>
      <c r="C387" s="97"/>
      <c r="D387" s="97"/>
      <c r="E387" s="97"/>
      <c r="F387" s="97"/>
      <c r="G387" s="98"/>
      <c r="H387" s="97"/>
      <c r="I387" s="97"/>
      <c r="J387" s="97"/>
      <c r="K387" s="97"/>
      <c r="L387" s="97"/>
      <c r="M387" s="97"/>
      <c r="N387" s="97"/>
      <c r="O387" s="97"/>
      <c r="P387" s="97"/>
      <c r="Q387" s="97"/>
      <c r="R387" s="97"/>
      <c r="S387" s="97"/>
      <c r="T387" s="97"/>
      <c r="U387" s="98"/>
      <c r="V387" s="97"/>
      <c r="W387" s="97"/>
      <c r="X387" s="97"/>
      <c r="Y387" s="97"/>
      <c r="Z387" s="97"/>
      <c r="AA387" s="97"/>
      <c r="AB387" s="97"/>
      <c r="AC387" s="97"/>
      <c r="AD387" s="97"/>
      <c r="AE387" s="97"/>
      <c r="AF387" s="97"/>
      <c r="AG387" s="97"/>
      <c r="AH387" s="97"/>
      <c r="AI387" s="97"/>
      <c r="AJ387" s="97"/>
      <c r="AK387" s="97"/>
      <c r="AL387" s="97"/>
      <c r="AM387" s="97"/>
      <c r="AN387" s="97"/>
      <c r="AO387" s="97"/>
      <c r="AP387" s="97"/>
      <c r="AQ387" s="99"/>
      <c r="AR387" s="99"/>
      <c r="AS387" s="99"/>
    </row>
    <row r="388">
      <c r="A388" s="97"/>
      <c r="B388" s="97"/>
      <c r="C388" s="97"/>
      <c r="D388" s="97"/>
      <c r="E388" s="97"/>
      <c r="F388" s="97"/>
      <c r="G388" s="98"/>
      <c r="H388" s="97"/>
      <c r="I388" s="97"/>
      <c r="J388" s="97"/>
      <c r="K388" s="97"/>
      <c r="L388" s="97"/>
      <c r="M388" s="97"/>
      <c r="N388" s="97"/>
      <c r="O388" s="97"/>
      <c r="P388" s="97"/>
      <c r="Q388" s="97"/>
      <c r="R388" s="97"/>
      <c r="S388" s="97"/>
      <c r="T388" s="97"/>
      <c r="U388" s="98"/>
      <c r="V388" s="97"/>
      <c r="W388" s="97"/>
      <c r="X388" s="97"/>
      <c r="Y388" s="97"/>
      <c r="Z388" s="97"/>
      <c r="AA388" s="97"/>
      <c r="AB388" s="97"/>
      <c r="AC388" s="97"/>
      <c r="AD388" s="97"/>
      <c r="AE388" s="97"/>
      <c r="AF388" s="97"/>
      <c r="AG388" s="97"/>
      <c r="AH388" s="97"/>
      <c r="AI388" s="97"/>
      <c r="AJ388" s="97"/>
      <c r="AK388" s="97"/>
      <c r="AL388" s="97"/>
      <c r="AM388" s="97"/>
      <c r="AN388" s="97"/>
      <c r="AO388" s="97"/>
      <c r="AP388" s="97"/>
      <c r="AQ388" s="99"/>
      <c r="AR388" s="99"/>
      <c r="AS388" s="99"/>
    </row>
    <row r="389">
      <c r="A389" s="97"/>
      <c r="B389" s="97"/>
      <c r="C389" s="97"/>
      <c r="D389" s="97"/>
      <c r="E389" s="97"/>
      <c r="F389" s="97"/>
      <c r="G389" s="98"/>
      <c r="H389" s="97"/>
      <c r="I389" s="97"/>
      <c r="J389" s="97"/>
      <c r="K389" s="97"/>
      <c r="L389" s="97"/>
      <c r="M389" s="97"/>
      <c r="N389" s="97"/>
      <c r="O389" s="97"/>
      <c r="P389" s="97"/>
      <c r="Q389" s="97"/>
      <c r="R389" s="97"/>
      <c r="S389" s="97"/>
      <c r="T389" s="97"/>
      <c r="U389" s="98"/>
      <c r="V389" s="97"/>
      <c r="W389" s="97"/>
      <c r="X389" s="97"/>
      <c r="Y389" s="97"/>
      <c r="Z389" s="97"/>
      <c r="AA389" s="97"/>
      <c r="AB389" s="97"/>
      <c r="AC389" s="97"/>
      <c r="AD389" s="97"/>
      <c r="AE389" s="97"/>
      <c r="AF389" s="97"/>
      <c r="AG389" s="97"/>
      <c r="AH389" s="97"/>
      <c r="AI389" s="97"/>
      <c r="AJ389" s="97"/>
      <c r="AK389" s="97"/>
      <c r="AL389" s="97"/>
      <c r="AM389" s="97"/>
      <c r="AN389" s="97"/>
      <c r="AO389" s="97"/>
      <c r="AP389" s="97"/>
      <c r="AQ389" s="99"/>
      <c r="AR389" s="99"/>
      <c r="AS389" s="99"/>
    </row>
    <row r="390">
      <c r="A390" s="97"/>
      <c r="B390" s="97"/>
      <c r="C390" s="97"/>
      <c r="D390" s="97"/>
      <c r="E390" s="97"/>
      <c r="F390" s="97"/>
      <c r="G390" s="98"/>
      <c r="H390" s="97"/>
      <c r="I390" s="97"/>
      <c r="J390" s="97"/>
      <c r="K390" s="97"/>
      <c r="L390" s="97"/>
      <c r="M390" s="97"/>
      <c r="N390" s="97"/>
      <c r="O390" s="97"/>
      <c r="P390" s="97"/>
      <c r="Q390" s="97"/>
      <c r="R390" s="97"/>
      <c r="S390" s="97"/>
      <c r="T390" s="97"/>
      <c r="U390" s="98"/>
      <c r="V390" s="97"/>
      <c r="W390" s="97"/>
      <c r="X390" s="97"/>
      <c r="Y390" s="97"/>
      <c r="Z390" s="97"/>
      <c r="AA390" s="97"/>
      <c r="AB390" s="97"/>
      <c r="AC390" s="97"/>
      <c r="AD390" s="97"/>
      <c r="AE390" s="97"/>
      <c r="AF390" s="97"/>
      <c r="AG390" s="97"/>
      <c r="AH390" s="97"/>
      <c r="AI390" s="97"/>
      <c r="AJ390" s="97"/>
      <c r="AK390" s="97"/>
      <c r="AL390" s="97"/>
      <c r="AM390" s="97"/>
      <c r="AN390" s="97"/>
      <c r="AO390" s="97"/>
      <c r="AP390" s="97"/>
      <c r="AQ390" s="99"/>
      <c r="AR390" s="99"/>
      <c r="AS390" s="99"/>
    </row>
    <row r="391">
      <c r="A391" s="97"/>
      <c r="B391" s="97"/>
      <c r="C391" s="97"/>
      <c r="D391" s="97"/>
      <c r="E391" s="97"/>
      <c r="F391" s="97"/>
      <c r="G391" s="98"/>
      <c r="H391" s="97"/>
      <c r="I391" s="97"/>
      <c r="J391" s="97"/>
      <c r="K391" s="97"/>
      <c r="L391" s="97"/>
      <c r="M391" s="97"/>
      <c r="N391" s="97"/>
      <c r="O391" s="97"/>
      <c r="P391" s="97"/>
      <c r="Q391" s="97"/>
      <c r="R391" s="97"/>
      <c r="S391" s="97"/>
      <c r="T391" s="97"/>
      <c r="U391" s="98"/>
      <c r="V391" s="97"/>
      <c r="W391" s="97"/>
      <c r="X391" s="97"/>
      <c r="Y391" s="97"/>
      <c r="Z391" s="97"/>
      <c r="AA391" s="97"/>
      <c r="AB391" s="97"/>
      <c r="AC391" s="97"/>
      <c r="AD391" s="97"/>
      <c r="AE391" s="97"/>
      <c r="AF391" s="97"/>
      <c r="AG391" s="97"/>
      <c r="AH391" s="97"/>
      <c r="AI391" s="97"/>
      <c r="AJ391" s="97"/>
      <c r="AK391" s="97"/>
      <c r="AL391" s="97"/>
      <c r="AM391" s="97"/>
      <c r="AN391" s="97"/>
      <c r="AO391" s="97"/>
      <c r="AP391" s="97"/>
      <c r="AQ391" s="99"/>
      <c r="AR391" s="99"/>
      <c r="AS391" s="99"/>
    </row>
    <row r="392">
      <c r="A392" s="97"/>
      <c r="B392" s="97"/>
      <c r="C392" s="97"/>
      <c r="D392" s="97"/>
      <c r="E392" s="97"/>
      <c r="F392" s="97"/>
      <c r="G392" s="98"/>
      <c r="H392" s="97"/>
      <c r="I392" s="97"/>
      <c r="J392" s="97"/>
      <c r="K392" s="97"/>
      <c r="L392" s="97"/>
      <c r="M392" s="97"/>
      <c r="N392" s="97"/>
      <c r="O392" s="97"/>
      <c r="P392" s="97"/>
      <c r="Q392" s="97"/>
      <c r="R392" s="97"/>
      <c r="S392" s="97"/>
      <c r="T392" s="97"/>
      <c r="U392" s="98"/>
      <c r="V392" s="97"/>
      <c r="W392" s="97"/>
      <c r="X392" s="97"/>
      <c r="Y392" s="97"/>
      <c r="Z392" s="97"/>
      <c r="AA392" s="97"/>
      <c r="AB392" s="97"/>
      <c r="AC392" s="97"/>
      <c r="AD392" s="97"/>
      <c r="AE392" s="97"/>
      <c r="AF392" s="97"/>
      <c r="AG392" s="97"/>
      <c r="AH392" s="97"/>
      <c r="AI392" s="97"/>
      <c r="AJ392" s="97"/>
      <c r="AK392" s="97"/>
      <c r="AL392" s="97"/>
      <c r="AM392" s="97"/>
      <c r="AN392" s="97"/>
      <c r="AO392" s="97"/>
      <c r="AP392" s="97"/>
      <c r="AQ392" s="99"/>
      <c r="AR392" s="99"/>
      <c r="AS392" s="99"/>
    </row>
    <row r="393">
      <c r="A393" s="97"/>
      <c r="B393" s="97"/>
      <c r="C393" s="97"/>
      <c r="D393" s="97"/>
      <c r="E393" s="97"/>
      <c r="F393" s="97"/>
      <c r="G393" s="98"/>
      <c r="H393" s="97"/>
      <c r="I393" s="97"/>
      <c r="J393" s="97"/>
      <c r="K393" s="97"/>
      <c r="L393" s="97"/>
      <c r="M393" s="97"/>
      <c r="N393" s="97"/>
      <c r="O393" s="97"/>
      <c r="P393" s="97"/>
      <c r="Q393" s="97"/>
      <c r="R393" s="97"/>
      <c r="S393" s="97"/>
      <c r="T393" s="97"/>
      <c r="U393" s="98"/>
      <c r="V393" s="97"/>
      <c r="W393" s="97"/>
      <c r="X393" s="97"/>
      <c r="Y393" s="97"/>
      <c r="Z393" s="97"/>
      <c r="AA393" s="97"/>
      <c r="AB393" s="97"/>
      <c r="AC393" s="97"/>
      <c r="AD393" s="97"/>
      <c r="AE393" s="97"/>
      <c r="AF393" s="97"/>
      <c r="AG393" s="97"/>
      <c r="AH393" s="97"/>
      <c r="AI393" s="97"/>
      <c r="AJ393" s="97"/>
      <c r="AK393" s="97"/>
      <c r="AL393" s="97"/>
      <c r="AM393" s="97"/>
      <c r="AN393" s="97"/>
      <c r="AO393" s="97"/>
      <c r="AP393" s="97"/>
      <c r="AQ393" s="99"/>
      <c r="AR393" s="99"/>
      <c r="AS393" s="99"/>
    </row>
    <row r="394">
      <c r="A394" s="97"/>
      <c r="B394" s="97"/>
      <c r="C394" s="97"/>
      <c r="D394" s="97"/>
      <c r="E394" s="97"/>
      <c r="F394" s="97"/>
      <c r="G394" s="98"/>
      <c r="H394" s="97"/>
      <c r="I394" s="97"/>
      <c r="J394" s="97"/>
      <c r="K394" s="97"/>
      <c r="L394" s="97"/>
      <c r="M394" s="97"/>
      <c r="N394" s="97"/>
      <c r="O394" s="97"/>
      <c r="P394" s="97"/>
      <c r="Q394" s="97"/>
      <c r="R394" s="97"/>
      <c r="S394" s="97"/>
      <c r="T394" s="97"/>
      <c r="U394" s="98"/>
      <c r="V394" s="97"/>
      <c r="W394" s="97"/>
      <c r="X394" s="97"/>
      <c r="Y394" s="97"/>
      <c r="Z394" s="97"/>
      <c r="AA394" s="97"/>
      <c r="AB394" s="97"/>
      <c r="AC394" s="97"/>
      <c r="AD394" s="97"/>
      <c r="AE394" s="97"/>
      <c r="AF394" s="97"/>
      <c r="AG394" s="97"/>
      <c r="AH394" s="97"/>
      <c r="AI394" s="97"/>
      <c r="AJ394" s="97"/>
      <c r="AK394" s="97"/>
      <c r="AL394" s="97"/>
      <c r="AM394" s="97"/>
      <c r="AN394" s="97"/>
      <c r="AO394" s="97"/>
      <c r="AP394" s="97"/>
      <c r="AQ394" s="99"/>
      <c r="AR394" s="99"/>
      <c r="AS394" s="99"/>
    </row>
    <row r="395">
      <c r="A395" s="97"/>
      <c r="B395" s="97"/>
      <c r="C395" s="97"/>
      <c r="D395" s="97"/>
      <c r="E395" s="97"/>
      <c r="F395" s="97"/>
      <c r="G395" s="98"/>
      <c r="H395" s="97"/>
      <c r="I395" s="97"/>
      <c r="J395" s="97"/>
      <c r="K395" s="97"/>
      <c r="L395" s="97"/>
      <c r="M395" s="97"/>
      <c r="N395" s="97"/>
      <c r="O395" s="97"/>
      <c r="P395" s="97"/>
      <c r="Q395" s="97"/>
      <c r="R395" s="97"/>
      <c r="S395" s="97"/>
      <c r="T395" s="97"/>
      <c r="U395" s="98"/>
      <c r="V395" s="97"/>
      <c r="W395" s="97"/>
      <c r="X395" s="97"/>
      <c r="Y395" s="97"/>
      <c r="Z395" s="97"/>
      <c r="AA395" s="97"/>
      <c r="AB395" s="97"/>
      <c r="AC395" s="97"/>
      <c r="AD395" s="97"/>
      <c r="AE395" s="97"/>
      <c r="AF395" s="97"/>
      <c r="AG395" s="97"/>
      <c r="AH395" s="97"/>
      <c r="AI395" s="97"/>
      <c r="AJ395" s="97"/>
      <c r="AK395" s="97"/>
      <c r="AL395" s="97"/>
      <c r="AM395" s="97"/>
      <c r="AN395" s="97"/>
      <c r="AO395" s="97"/>
      <c r="AP395" s="97"/>
      <c r="AQ395" s="99"/>
      <c r="AR395" s="99"/>
      <c r="AS395" s="99"/>
    </row>
    <row r="396">
      <c r="A396" s="97"/>
      <c r="B396" s="97"/>
      <c r="C396" s="97"/>
      <c r="D396" s="97"/>
      <c r="E396" s="97"/>
      <c r="F396" s="97"/>
      <c r="G396" s="98"/>
      <c r="H396" s="97"/>
      <c r="I396" s="97"/>
      <c r="J396" s="97"/>
      <c r="K396" s="97"/>
      <c r="L396" s="97"/>
      <c r="M396" s="97"/>
      <c r="N396" s="97"/>
      <c r="O396" s="97"/>
      <c r="P396" s="97"/>
      <c r="Q396" s="97"/>
      <c r="R396" s="97"/>
      <c r="S396" s="97"/>
      <c r="T396" s="97"/>
      <c r="U396" s="98"/>
      <c r="V396" s="97"/>
      <c r="W396" s="97"/>
      <c r="X396" s="97"/>
      <c r="Y396" s="97"/>
      <c r="Z396" s="97"/>
      <c r="AA396" s="97"/>
      <c r="AB396" s="97"/>
      <c r="AC396" s="97"/>
      <c r="AD396" s="97"/>
      <c r="AE396" s="97"/>
      <c r="AF396" s="97"/>
      <c r="AG396" s="97"/>
      <c r="AH396" s="97"/>
      <c r="AI396" s="97"/>
      <c r="AJ396" s="97"/>
      <c r="AK396" s="97"/>
      <c r="AL396" s="97"/>
      <c r="AM396" s="97"/>
      <c r="AN396" s="97"/>
      <c r="AO396" s="97"/>
      <c r="AP396" s="97"/>
      <c r="AQ396" s="99"/>
      <c r="AR396" s="99"/>
      <c r="AS396" s="99"/>
    </row>
    <row r="397">
      <c r="A397" s="97"/>
      <c r="B397" s="97"/>
      <c r="C397" s="97"/>
      <c r="D397" s="97"/>
      <c r="E397" s="97"/>
      <c r="F397" s="97"/>
      <c r="G397" s="98"/>
      <c r="H397" s="97"/>
      <c r="I397" s="97"/>
      <c r="J397" s="97"/>
      <c r="K397" s="97"/>
      <c r="L397" s="97"/>
      <c r="M397" s="97"/>
      <c r="N397" s="97"/>
      <c r="O397" s="97"/>
      <c r="P397" s="97"/>
      <c r="Q397" s="97"/>
      <c r="R397" s="97"/>
      <c r="S397" s="97"/>
      <c r="T397" s="97"/>
      <c r="U397" s="98"/>
      <c r="V397" s="97"/>
      <c r="W397" s="97"/>
      <c r="X397" s="97"/>
      <c r="Y397" s="97"/>
      <c r="Z397" s="97"/>
      <c r="AA397" s="97"/>
      <c r="AB397" s="97"/>
      <c r="AC397" s="97"/>
      <c r="AD397" s="97"/>
      <c r="AE397" s="97"/>
      <c r="AF397" s="97"/>
      <c r="AG397" s="97"/>
      <c r="AH397" s="97"/>
      <c r="AI397" s="97"/>
      <c r="AJ397" s="97"/>
      <c r="AK397" s="97"/>
      <c r="AL397" s="97"/>
      <c r="AM397" s="97"/>
      <c r="AN397" s="97"/>
      <c r="AO397" s="97"/>
      <c r="AP397" s="97"/>
      <c r="AQ397" s="99"/>
      <c r="AR397" s="99"/>
      <c r="AS397" s="99"/>
    </row>
    <row r="398">
      <c r="A398" s="97"/>
      <c r="B398" s="97"/>
      <c r="C398" s="97"/>
      <c r="D398" s="97"/>
      <c r="E398" s="97"/>
      <c r="F398" s="97"/>
      <c r="G398" s="98"/>
      <c r="H398" s="97"/>
      <c r="I398" s="97"/>
      <c r="J398" s="97"/>
      <c r="K398" s="97"/>
      <c r="L398" s="97"/>
      <c r="M398" s="97"/>
      <c r="N398" s="97"/>
      <c r="O398" s="97"/>
      <c r="P398" s="97"/>
      <c r="Q398" s="97"/>
      <c r="R398" s="97"/>
      <c r="S398" s="97"/>
      <c r="T398" s="97"/>
      <c r="U398" s="98"/>
      <c r="V398" s="97"/>
      <c r="W398" s="97"/>
      <c r="X398" s="97"/>
      <c r="Y398" s="97"/>
      <c r="Z398" s="97"/>
      <c r="AA398" s="97"/>
      <c r="AB398" s="97"/>
      <c r="AC398" s="97"/>
      <c r="AD398" s="97"/>
      <c r="AE398" s="97"/>
      <c r="AF398" s="97"/>
      <c r="AG398" s="97"/>
      <c r="AH398" s="97"/>
      <c r="AI398" s="97"/>
      <c r="AJ398" s="97"/>
      <c r="AK398" s="97"/>
      <c r="AL398" s="97"/>
      <c r="AM398" s="97"/>
      <c r="AN398" s="97"/>
      <c r="AO398" s="97"/>
      <c r="AP398" s="97"/>
      <c r="AQ398" s="99"/>
      <c r="AR398" s="99"/>
      <c r="AS398" s="99"/>
    </row>
    <row r="399">
      <c r="A399" s="97"/>
      <c r="B399" s="97"/>
      <c r="C399" s="97"/>
      <c r="D399" s="97"/>
      <c r="E399" s="97"/>
      <c r="F399" s="97"/>
      <c r="G399" s="98"/>
      <c r="H399" s="97"/>
      <c r="I399" s="97"/>
      <c r="J399" s="97"/>
      <c r="K399" s="97"/>
      <c r="L399" s="97"/>
      <c r="M399" s="97"/>
      <c r="N399" s="97"/>
      <c r="O399" s="97"/>
      <c r="P399" s="97"/>
      <c r="Q399" s="97"/>
      <c r="R399" s="97"/>
      <c r="S399" s="97"/>
      <c r="T399" s="97"/>
      <c r="U399" s="98"/>
      <c r="V399" s="97"/>
      <c r="W399" s="97"/>
      <c r="X399" s="97"/>
      <c r="Y399" s="97"/>
      <c r="Z399" s="97"/>
      <c r="AA399" s="97"/>
      <c r="AB399" s="97"/>
      <c r="AC399" s="97"/>
      <c r="AD399" s="97"/>
      <c r="AE399" s="97"/>
      <c r="AF399" s="97"/>
      <c r="AG399" s="97"/>
      <c r="AH399" s="97"/>
      <c r="AI399" s="97"/>
      <c r="AJ399" s="97"/>
      <c r="AK399" s="97"/>
      <c r="AL399" s="97"/>
      <c r="AM399" s="97"/>
      <c r="AN399" s="97"/>
      <c r="AO399" s="97"/>
      <c r="AP399" s="97"/>
      <c r="AQ399" s="99"/>
      <c r="AR399" s="99"/>
      <c r="AS399" s="99"/>
    </row>
    <row r="400">
      <c r="A400" s="97"/>
      <c r="B400" s="97"/>
      <c r="C400" s="97"/>
      <c r="D400" s="97"/>
      <c r="E400" s="97"/>
      <c r="F400" s="97"/>
      <c r="G400" s="98"/>
      <c r="H400" s="97"/>
      <c r="I400" s="97"/>
      <c r="J400" s="97"/>
      <c r="K400" s="97"/>
      <c r="L400" s="97"/>
      <c r="M400" s="97"/>
      <c r="N400" s="97"/>
      <c r="O400" s="97"/>
      <c r="P400" s="97"/>
      <c r="Q400" s="97"/>
      <c r="R400" s="97"/>
      <c r="S400" s="97"/>
      <c r="T400" s="97"/>
      <c r="U400" s="98"/>
      <c r="V400" s="97"/>
      <c r="W400" s="97"/>
      <c r="X400" s="97"/>
      <c r="Y400" s="97"/>
      <c r="Z400" s="97"/>
      <c r="AA400" s="97"/>
      <c r="AB400" s="97"/>
      <c r="AC400" s="97"/>
      <c r="AD400" s="97"/>
      <c r="AE400" s="97"/>
      <c r="AF400" s="97"/>
      <c r="AG400" s="97"/>
      <c r="AH400" s="97"/>
      <c r="AI400" s="97"/>
      <c r="AJ400" s="97"/>
      <c r="AK400" s="97"/>
      <c r="AL400" s="97"/>
      <c r="AM400" s="97"/>
      <c r="AN400" s="97"/>
      <c r="AO400" s="97"/>
      <c r="AP400" s="97"/>
      <c r="AQ400" s="99"/>
      <c r="AR400" s="99"/>
      <c r="AS400" s="99"/>
    </row>
    <row r="401">
      <c r="A401" s="97"/>
      <c r="B401" s="97"/>
      <c r="C401" s="97"/>
      <c r="D401" s="97"/>
      <c r="E401" s="97"/>
      <c r="F401" s="97"/>
      <c r="G401" s="98"/>
      <c r="H401" s="97"/>
      <c r="I401" s="97"/>
      <c r="J401" s="97"/>
      <c r="K401" s="97"/>
      <c r="L401" s="97"/>
      <c r="M401" s="97"/>
      <c r="N401" s="97"/>
      <c r="O401" s="97"/>
      <c r="P401" s="97"/>
      <c r="Q401" s="97"/>
      <c r="R401" s="97"/>
      <c r="S401" s="97"/>
      <c r="T401" s="97"/>
      <c r="U401" s="98"/>
      <c r="V401" s="97"/>
      <c r="W401" s="97"/>
      <c r="X401" s="97"/>
      <c r="Y401" s="97"/>
      <c r="Z401" s="97"/>
      <c r="AA401" s="97"/>
      <c r="AB401" s="97"/>
      <c r="AC401" s="97"/>
      <c r="AD401" s="97"/>
      <c r="AE401" s="97"/>
      <c r="AF401" s="97"/>
      <c r="AG401" s="97"/>
      <c r="AH401" s="97"/>
      <c r="AI401" s="97"/>
      <c r="AJ401" s="97"/>
      <c r="AK401" s="97"/>
      <c r="AL401" s="97"/>
      <c r="AM401" s="97"/>
      <c r="AN401" s="97"/>
      <c r="AO401" s="97"/>
      <c r="AP401" s="97"/>
      <c r="AQ401" s="99"/>
      <c r="AR401" s="99"/>
      <c r="AS401" s="99"/>
    </row>
    <row r="402">
      <c r="A402" s="97"/>
      <c r="B402" s="97"/>
      <c r="C402" s="97"/>
      <c r="D402" s="97"/>
      <c r="E402" s="97"/>
      <c r="F402" s="97"/>
      <c r="G402" s="98"/>
      <c r="H402" s="97"/>
      <c r="I402" s="97"/>
      <c r="J402" s="97"/>
      <c r="K402" s="97"/>
      <c r="L402" s="97"/>
      <c r="M402" s="97"/>
      <c r="N402" s="97"/>
      <c r="O402" s="97"/>
      <c r="P402" s="97"/>
      <c r="Q402" s="97"/>
      <c r="R402" s="97"/>
      <c r="S402" s="97"/>
      <c r="T402" s="97"/>
      <c r="U402" s="98"/>
      <c r="V402" s="97"/>
      <c r="W402" s="97"/>
      <c r="X402" s="97"/>
      <c r="Y402" s="97"/>
      <c r="Z402" s="97"/>
      <c r="AA402" s="97"/>
      <c r="AB402" s="97"/>
      <c r="AC402" s="97"/>
      <c r="AD402" s="97"/>
      <c r="AE402" s="97"/>
      <c r="AF402" s="97"/>
      <c r="AG402" s="97"/>
      <c r="AH402" s="97"/>
      <c r="AI402" s="97"/>
      <c r="AJ402" s="97"/>
      <c r="AK402" s="97"/>
      <c r="AL402" s="97"/>
      <c r="AM402" s="97"/>
      <c r="AN402" s="97"/>
      <c r="AO402" s="97"/>
      <c r="AP402" s="97"/>
      <c r="AQ402" s="99"/>
      <c r="AR402" s="99"/>
      <c r="AS402" s="99"/>
    </row>
    <row r="403">
      <c r="A403" s="97"/>
      <c r="B403" s="97"/>
      <c r="C403" s="97"/>
      <c r="D403" s="97"/>
      <c r="E403" s="97"/>
      <c r="F403" s="97"/>
      <c r="G403" s="98"/>
      <c r="H403" s="97"/>
      <c r="I403" s="97"/>
      <c r="J403" s="97"/>
      <c r="K403" s="97"/>
      <c r="L403" s="97"/>
      <c r="M403" s="97"/>
      <c r="N403" s="97"/>
      <c r="O403" s="97"/>
      <c r="P403" s="97"/>
      <c r="Q403" s="97"/>
      <c r="R403" s="97"/>
      <c r="S403" s="97"/>
      <c r="T403" s="97"/>
      <c r="U403" s="98"/>
      <c r="V403" s="97"/>
      <c r="W403" s="97"/>
      <c r="X403" s="97"/>
      <c r="Y403" s="97"/>
      <c r="Z403" s="97"/>
      <c r="AA403" s="97"/>
      <c r="AB403" s="97"/>
      <c r="AC403" s="97"/>
      <c r="AD403" s="97"/>
      <c r="AE403" s="97"/>
      <c r="AF403" s="97"/>
      <c r="AG403" s="97"/>
      <c r="AH403" s="97"/>
      <c r="AI403" s="97"/>
      <c r="AJ403" s="97"/>
      <c r="AK403" s="97"/>
      <c r="AL403" s="97"/>
      <c r="AM403" s="97"/>
      <c r="AN403" s="97"/>
      <c r="AO403" s="97"/>
      <c r="AP403" s="97"/>
      <c r="AQ403" s="99"/>
      <c r="AR403" s="99"/>
      <c r="AS403" s="99"/>
    </row>
    <row r="404">
      <c r="A404" s="97"/>
      <c r="B404" s="97"/>
      <c r="C404" s="97"/>
      <c r="D404" s="97"/>
      <c r="E404" s="97"/>
      <c r="F404" s="97"/>
      <c r="G404" s="98"/>
      <c r="H404" s="97"/>
      <c r="I404" s="97"/>
      <c r="J404" s="97"/>
      <c r="K404" s="97"/>
      <c r="L404" s="97"/>
      <c r="M404" s="97"/>
      <c r="N404" s="97"/>
      <c r="O404" s="97"/>
      <c r="P404" s="97"/>
      <c r="Q404" s="97"/>
      <c r="R404" s="97"/>
      <c r="S404" s="97"/>
      <c r="T404" s="97"/>
      <c r="U404" s="98"/>
      <c r="V404" s="97"/>
      <c r="W404" s="97"/>
      <c r="X404" s="97"/>
      <c r="Y404" s="97"/>
      <c r="Z404" s="97"/>
      <c r="AA404" s="97"/>
      <c r="AB404" s="97"/>
      <c r="AC404" s="97"/>
      <c r="AD404" s="97"/>
      <c r="AE404" s="97"/>
      <c r="AF404" s="97"/>
      <c r="AG404" s="97"/>
      <c r="AH404" s="97"/>
      <c r="AI404" s="97"/>
      <c r="AJ404" s="97"/>
      <c r="AK404" s="97"/>
      <c r="AL404" s="97"/>
      <c r="AM404" s="97"/>
      <c r="AN404" s="97"/>
      <c r="AO404" s="97"/>
      <c r="AP404" s="97"/>
      <c r="AQ404" s="99"/>
      <c r="AR404" s="99"/>
      <c r="AS404" s="99"/>
    </row>
    <row r="405">
      <c r="A405" s="97"/>
      <c r="B405" s="97"/>
      <c r="C405" s="97"/>
      <c r="D405" s="97"/>
      <c r="E405" s="97"/>
      <c r="F405" s="97"/>
      <c r="G405" s="98"/>
      <c r="H405" s="97"/>
      <c r="I405" s="97"/>
      <c r="J405" s="97"/>
      <c r="K405" s="97"/>
      <c r="L405" s="97"/>
      <c r="M405" s="97"/>
      <c r="N405" s="97"/>
      <c r="O405" s="97"/>
      <c r="P405" s="97"/>
      <c r="Q405" s="97"/>
      <c r="R405" s="97"/>
      <c r="S405" s="97"/>
      <c r="T405" s="97"/>
      <c r="U405" s="98"/>
      <c r="V405" s="97"/>
      <c r="W405" s="97"/>
      <c r="X405" s="97"/>
      <c r="Y405" s="97"/>
      <c r="Z405" s="97"/>
      <c r="AA405" s="97"/>
      <c r="AB405" s="97"/>
      <c r="AC405" s="97"/>
      <c r="AD405" s="97"/>
      <c r="AE405" s="97"/>
      <c r="AF405" s="97"/>
      <c r="AG405" s="97"/>
      <c r="AH405" s="97"/>
      <c r="AI405" s="97"/>
      <c r="AJ405" s="97"/>
      <c r="AK405" s="97"/>
      <c r="AL405" s="97"/>
      <c r="AM405" s="97"/>
      <c r="AN405" s="97"/>
      <c r="AO405" s="97"/>
      <c r="AP405" s="97"/>
      <c r="AQ405" s="99"/>
      <c r="AR405" s="99"/>
      <c r="AS405" s="99"/>
    </row>
    <row r="406">
      <c r="A406" s="97"/>
      <c r="B406" s="97"/>
      <c r="C406" s="97"/>
      <c r="D406" s="97"/>
      <c r="E406" s="97"/>
      <c r="F406" s="97"/>
      <c r="G406" s="98"/>
      <c r="H406" s="97"/>
      <c r="I406" s="97"/>
      <c r="J406" s="97"/>
      <c r="K406" s="97"/>
      <c r="L406" s="97"/>
      <c r="M406" s="97"/>
      <c r="N406" s="97"/>
      <c r="O406" s="97"/>
      <c r="P406" s="97"/>
      <c r="Q406" s="97"/>
      <c r="R406" s="97"/>
      <c r="S406" s="97"/>
      <c r="T406" s="97"/>
      <c r="U406" s="98"/>
      <c r="V406" s="97"/>
      <c r="W406" s="97"/>
      <c r="X406" s="97"/>
      <c r="Y406" s="97"/>
      <c r="Z406" s="97"/>
      <c r="AA406" s="97"/>
      <c r="AB406" s="97"/>
      <c r="AC406" s="97"/>
      <c r="AD406" s="97"/>
      <c r="AE406" s="97"/>
      <c r="AF406" s="97"/>
      <c r="AG406" s="97"/>
      <c r="AH406" s="97"/>
      <c r="AI406" s="97"/>
      <c r="AJ406" s="97"/>
      <c r="AK406" s="97"/>
      <c r="AL406" s="97"/>
      <c r="AM406" s="97"/>
      <c r="AN406" s="97"/>
      <c r="AO406" s="97"/>
      <c r="AP406" s="97"/>
      <c r="AQ406" s="99"/>
      <c r="AR406" s="99"/>
      <c r="AS406" s="99"/>
    </row>
    <row r="407">
      <c r="A407" s="97"/>
      <c r="B407" s="97"/>
      <c r="C407" s="97"/>
      <c r="D407" s="97"/>
      <c r="E407" s="97"/>
      <c r="F407" s="97"/>
      <c r="G407" s="98"/>
      <c r="H407" s="97"/>
      <c r="I407" s="97"/>
      <c r="J407" s="97"/>
      <c r="K407" s="97"/>
      <c r="L407" s="97"/>
      <c r="M407" s="97"/>
      <c r="N407" s="97"/>
      <c r="O407" s="97"/>
      <c r="P407" s="97"/>
      <c r="Q407" s="97"/>
      <c r="R407" s="97"/>
      <c r="S407" s="97"/>
      <c r="T407" s="97"/>
      <c r="U407" s="98"/>
      <c r="V407" s="97"/>
      <c r="W407" s="97"/>
      <c r="X407" s="97"/>
      <c r="Y407" s="97"/>
      <c r="Z407" s="97"/>
      <c r="AA407" s="97"/>
      <c r="AB407" s="97"/>
      <c r="AC407" s="97"/>
      <c r="AD407" s="97"/>
      <c r="AE407" s="97"/>
      <c r="AF407" s="97"/>
      <c r="AG407" s="97"/>
      <c r="AH407" s="97"/>
      <c r="AI407" s="97"/>
      <c r="AJ407" s="97"/>
      <c r="AK407" s="97"/>
      <c r="AL407" s="97"/>
      <c r="AM407" s="97"/>
      <c r="AN407" s="97"/>
      <c r="AO407" s="97"/>
      <c r="AP407" s="97"/>
      <c r="AQ407" s="99"/>
      <c r="AR407" s="99"/>
      <c r="AS407" s="99"/>
    </row>
    <row r="408">
      <c r="A408" s="97"/>
      <c r="B408" s="97"/>
      <c r="C408" s="97"/>
      <c r="D408" s="97"/>
      <c r="E408" s="97"/>
      <c r="F408" s="97"/>
      <c r="G408" s="98"/>
      <c r="H408" s="97"/>
      <c r="I408" s="97"/>
      <c r="J408" s="97"/>
      <c r="K408" s="97"/>
      <c r="L408" s="97"/>
      <c r="M408" s="97"/>
      <c r="N408" s="97"/>
      <c r="O408" s="97"/>
      <c r="P408" s="97"/>
      <c r="Q408" s="97"/>
      <c r="R408" s="97"/>
      <c r="S408" s="97"/>
      <c r="T408" s="97"/>
      <c r="U408" s="98"/>
      <c r="V408" s="97"/>
      <c r="W408" s="97"/>
      <c r="X408" s="97"/>
      <c r="Y408" s="97"/>
      <c r="Z408" s="97"/>
      <c r="AA408" s="97"/>
      <c r="AB408" s="97"/>
      <c r="AC408" s="97"/>
      <c r="AD408" s="97"/>
      <c r="AE408" s="97"/>
      <c r="AF408" s="97"/>
      <c r="AG408" s="97"/>
      <c r="AH408" s="97"/>
      <c r="AI408" s="97"/>
      <c r="AJ408" s="97"/>
      <c r="AK408" s="97"/>
      <c r="AL408" s="97"/>
      <c r="AM408" s="97"/>
      <c r="AN408" s="97"/>
      <c r="AO408" s="97"/>
      <c r="AP408" s="97"/>
      <c r="AQ408" s="99"/>
      <c r="AR408" s="99"/>
      <c r="AS408" s="99"/>
    </row>
    <row r="409">
      <c r="A409" s="97"/>
      <c r="B409" s="97"/>
      <c r="C409" s="97"/>
      <c r="D409" s="97"/>
      <c r="E409" s="97"/>
      <c r="F409" s="97"/>
      <c r="G409" s="98"/>
      <c r="H409" s="97"/>
      <c r="I409" s="97"/>
      <c r="J409" s="97"/>
      <c r="K409" s="97"/>
      <c r="L409" s="97"/>
      <c r="M409" s="97"/>
      <c r="N409" s="97"/>
      <c r="O409" s="97"/>
      <c r="P409" s="97"/>
      <c r="Q409" s="97"/>
      <c r="R409" s="97"/>
      <c r="S409" s="97"/>
      <c r="T409" s="97"/>
      <c r="U409" s="98"/>
      <c r="V409" s="97"/>
      <c r="W409" s="97"/>
      <c r="X409" s="97"/>
      <c r="Y409" s="97"/>
      <c r="Z409" s="97"/>
      <c r="AA409" s="97"/>
      <c r="AB409" s="97"/>
      <c r="AC409" s="97"/>
      <c r="AD409" s="97"/>
      <c r="AE409" s="97"/>
      <c r="AF409" s="97"/>
      <c r="AG409" s="97"/>
      <c r="AH409" s="97"/>
      <c r="AI409" s="97"/>
      <c r="AJ409" s="97"/>
      <c r="AK409" s="97"/>
      <c r="AL409" s="97"/>
      <c r="AM409" s="97"/>
      <c r="AN409" s="97"/>
      <c r="AO409" s="97"/>
      <c r="AP409" s="97"/>
      <c r="AQ409" s="99"/>
      <c r="AR409" s="99"/>
      <c r="AS409" s="99"/>
    </row>
    <row r="410">
      <c r="A410" s="97"/>
      <c r="B410" s="97"/>
      <c r="C410" s="97"/>
      <c r="D410" s="97"/>
      <c r="E410" s="97"/>
      <c r="F410" s="97"/>
      <c r="G410" s="98"/>
      <c r="H410" s="97"/>
      <c r="I410" s="97"/>
      <c r="J410" s="97"/>
      <c r="K410" s="97"/>
      <c r="L410" s="97"/>
      <c r="M410" s="97"/>
      <c r="N410" s="97"/>
      <c r="O410" s="97"/>
      <c r="P410" s="97"/>
      <c r="Q410" s="97"/>
      <c r="R410" s="97"/>
      <c r="S410" s="97"/>
      <c r="T410" s="97"/>
      <c r="U410" s="98"/>
      <c r="V410" s="97"/>
      <c r="W410" s="97"/>
      <c r="X410" s="97"/>
      <c r="Y410" s="97"/>
      <c r="Z410" s="97"/>
      <c r="AA410" s="97"/>
      <c r="AB410" s="97"/>
      <c r="AC410" s="97"/>
      <c r="AD410" s="97"/>
      <c r="AE410" s="97"/>
      <c r="AF410" s="97"/>
      <c r="AG410" s="97"/>
      <c r="AH410" s="97"/>
      <c r="AI410" s="97"/>
      <c r="AJ410" s="97"/>
      <c r="AK410" s="97"/>
      <c r="AL410" s="97"/>
      <c r="AM410" s="97"/>
      <c r="AN410" s="97"/>
      <c r="AO410" s="97"/>
      <c r="AP410" s="97"/>
      <c r="AQ410" s="99"/>
      <c r="AR410" s="99"/>
      <c r="AS410" s="99"/>
    </row>
    <row r="411">
      <c r="A411" s="97"/>
      <c r="B411" s="97"/>
      <c r="C411" s="97"/>
      <c r="D411" s="97"/>
      <c r="E411" s="97"/>
      <c r="F411" s="97"/>
      <c r="G411" s="98"/>
      <c r="H411" s="97"/>
      <c r="I411" s="97"/>
      <c r="J411" s="97"/>
      <c r="K411" s="97"/>
      <c r="L411" s="97"/>
      <c r="M411" s="97"/>
      <c r="N411" s="97"/>
      <c r="O411" s="97"/>
      <c r="P411" s="97"/>
      <c r="Q411" s="97"/>
      <c r="R411" s="97"/>
      <c r="S411" s="97"/>
      <c r="T411" s="97"/>
      <c r="U411" s="98"/>
      <c r="V411" s="97"/>
      <c r="W411" s="97"/>
      <c r="X411" s="97"/>
      <c r="Y411" s="97"/>
      <c r="Z411" s="97"/>
      <c r="AA411" s="97"/>
      <c r="AB411" s="97"/>
      <c r="AC411" s="97"/>
      <c r="AD411" s="97"/>
      <c r="AE411" s="97"/>
      <c r="AF411" s="97"/>
      <c r="AG411" s="97"/>
      <c r="AH411" s="97"/>
      <c r="AI411" s="97"/>
      <c r="AJ411" s="97"/>
      <c r="AK411" s="97"/>
      <c r="AL411" s="97"/>
      <c r="AM411" s="97"/>
      <c r="AN411" s="97"/>
      <c r="AO411" s="97"/>
      <c r="AP411" s="97"/>
      <c r="AQ411" s="99"/>
      <c r="AR411" s="99"/>
      <c r="AS411" s="99"/>
    </row>
    <row r="412">
      <c r="A412" s="97"/>
      <c r="B412" s="97"/>
      <c r="C412" s="97"/>
      <c r="D412" s="97"/>
      <c r="E412" s="97"/>
      <c r="F412" s="97"/>
      <c r="G412" s="98"/>
      <c r="H412" s="97"/>
      <c r="I412" s="97"/>
      <c r="J412" s="97"/>
      <c r="K412" s="97"/>
      <c r="L412" s="97"/>
      <c r="M412" s="97"/>
      <c r="N412" s="97"/>
      <c r="O412" s="97"/>
      <c r="P412" s="97"/>
      <c r="Q412" s="97"/>
      <c r="R412" s="97"/>
      <c r="S412" s="97"/>
      <c r="T412" s="97"/>
      <c r="U412" s="98"/>
      <c r="V412" s="97"/>
      <c r="W412" s="97"/>
      <c r="X412" s="97"/>
      <c r="Y412" s="97"/>
      <c r="Z412" s="97"/>
      <c r="AA412" s="97"/>
      <c r="AB412" s="97"/>
      <c r="AC412" s="97"/>
      <c r="AD412" s="97"/>
      <c r="AE412" s="97"/>
      <c r="AF412" s="97"/>
      <c r="AG412" s="97"/>
      <c r="AH412" s="97"/>
      <c r="AI412" s="97"/>
      <c r="AJ412" s="97"/>
      <c r="AK412" s="97"/>
      <c r="AL412" s="97"/>
      <c r="AM412" s="97"/>
      <c r="AN412" s="97"/>
      <c r="AO412" s="97"/>
      <c r="AP412" s="97"/>
      <c r="AQ412" s="99"/>
      <c r="AR412" s="99"/>
      <c r="AS412" s="99"/>
    </row>
    <row r="413">
      <c r="A413" s="97"/>
      <c r="B413" s="97"/>
      <c r="C413" s="97"/>
      <c r="D413" s="97"/>
      <c r="E413" s="97"/>
      <c r="F413" s="97"/>
      <c r="G413" s="98"/>
      <c r="H413" s="97"/>
      <c r="I413" s="97"/>
      <c r="J413" s="97"/>
      <c r="K413" s="97"/>
      <c r="L413" s="97"/>
      <c r="M413" s="97"/>
      <c r="N413" s="97"/>
      <c r="O413" s="97"/>
      <c r="P413" s="97"/>
      <c r="Q413" s="97"/>
      <c r="R413" s="97"/>
      <c r="S413" s="97"/>
      <c r="T413" s="97"/>
      <c r="U413" s="98"/>
      <c r="V413" s="97"/>
      <c r="W413" s="97"/>
      <c r="X413" s="97"/>
      <c r="Y413" s="97"/>
      <c r="Z413" s="97"/>
      <c r="AA413" s="97"/>
      <c r="AB413" s="97"/>
      <c r="AC413" s="97"/>
      <c r="AD413" s="97"/>
      <c r="AE413" s="97"/>
      <c r="AF413" s="97"/>
      <c r="AG413" s="97"/>
      <c r="AH413" s="97"/>
      <c r="AI413" s="97"/>
      <c r="AJ413" s="97"/>
      <c r="AK413" s="97"/>
      <c r="AL413" s="97"/>
      <c r="AM413" s="97"/>
      <c r="AN413" s="97"/>
      <c r="AO413" s="97"/>
      <c r="AP413" s="97"/>
      <c r="AQ413" s="99"/>
      <c r="AR413" s="99"/>
      <c r="AS413" s="99"/>
    </row>
    <row r="414">
      <c r="A414" s="97"/>
      <c r="B414" s="97"/>
      <c r="C414" s="97"/>
      <c r="D414" s="97"/>
      <c r="E414" s="97"/>
      <c r="F414" s="97"/>
      <c r="G414" s="98"/>
      <c r="H414" s="97"/>
      <c r="I414" s="97"/>
      <c r="J414" s="97"/>
      <c r="K414" s="97"/>
      <c r="L414" s="97"/>
      <c r="M414" s="97"/>
      <c r="N414" s="97"/>
      <c r="O414" s="97"/>
      <c r="P414" s="97"/>
      <c r="Q414" s="97"/>
      <c r="R414" s="97"/>
      <c r="S414" s="97"/>
      <c r="T414" s="97"/>
      <c r="U414" s="98"/>
      <c r="V414" s="97"/>
      <c r="W414" s="97"/>
      <c r="X414" s="97"/>
      <c r="Y414" s="97"/>
      <c r="Z414" s="97"/>
      <c r="AA414" s="97"/>
      <c r="AB414" s="97"/>
      <c r="AC414" s="97"/>
      <c r="AD414" s="97"/>
      <c r="AE414" s="97"/>
      <c r="AF414" s="97"/>
      <c r="AG414" s="97"/>
      <c r="AH414" s="97"/>
      <c r="AI414" s="97"/>
      <c r="AJ414" s="97"/>
      <c r="AK414" s="97"/>
      <c r="AL414" s="97"/>
      <c r="AM414" s="97"/>
      <c r="AN414" s="97"/>
      <c r="AO414" s="97"/>
      <c r="AP414" s="97"/>
      <c r="AQ414" s="99"/>
      <c r="AR414" s="99"/>
      <c r="AS414" s="99"/>
    </row>
    <row r="415">
      <c r="A415" s="97"/>
      <c r="B415" s="97"/>
      <c r="C415" s="97"/>
      <c r="D415" s="97"/>
      <c r="E415" s="97"/>
      <c r="F415" s="97"/>
      <c r="G415" s="98"/>
      <c r="H415" s="97"/>
      <c r="I415" s="97"/>
      <c r="J415" s="97"/>
      <c r="K415" s="97"/>
      <c r="L415" s="97"/>
      <c r="M415" s="97"/>
      <c r="N415" s="97"/>
      <c r="O415" s="97"/>
      <c r="P415" s="97"/>
      <c r="Q415" s="97"/>
      <c r="R415" s="97"/>
      <c r="S415" s="97"/>
      <c r="T415" s="97"/>
      <c r="U415" s="98"/>
      <c r="V415" s="97"/>
      <c r="W415" s="97"/>
      <c r="X415" s="97"/>
      <c r="Y415" s="97"/>
      <c r="Z415" s="97"/>
      <c r="AA415" s="97"/>
      <c r="AB415" s="97"/>
      <c r="AC415" s="97"/>
      <c r="AD415" s="97"/>
      <c r="AE415" s="97"/>
      <c r="AF415" s="97"/>
      <c r="AG415" s="97"/>
      <c r="AH415" s="97"/>
      <c r="AI415" s="97"/>
      <c r="AJ415" s="97"/>
      <c r="AK415" s="97"/>
      <c r="AL415" s="97"/>
      <c r="AM415" s="97"/>
      <c r="AN415" s="97"/>
      <c r="AO415" s="97"/>
      <c r="AP415" s="97"/>
      <c r="AQ415" s="99"/>
      <c r="AR415" s="99"/>
      <c r="AS415" s="99"/>
    </row>
    <row r="416">
      <c r="A416" s="97"/>
      <c r="B416" s="97"/>
      <c r="C416" s="97"/>
      <c r="D416" s="97"/>
      <c r="E416" s="97"/>
      <c r="F416" s="97"/>
      <c r="G416" s="98"/>
      <c r="H416" s="97"/>
      <c r="I416" s="97"/>
      <c r="J416" s="97"/>
      <c r="K416" s="97"/>
      <c r="L416" s="97"/>
      <c r="M416" s="97"/>
      <c r="N416" s="97"/>
      <c r="O416" s="97"/>
      <c r="P416" s="97"/>
      <c r="Q416" s="97"/>
      <c r="R416" s="97"/>
      <c r="S416" s="97"/>
      <c r="T416" s="97"/>
      <c r="U416" s="98"/>
      <c r="V416" s="97"/>
      <c r="W416" s="97"/>
      <c r="X416" s="97"/>
      <c r="Y416" s="97"/>
      <c r="Z416" s="97"/>
      <c r="AA416" s="97"/>
      <c r="AB416" s="97"/>
      <c r="AC416" s="97"/>
      <c r="AD416" s="97"/>
      <c r="AE416" s="97"/>
      <c r="AF416" s="97"/>
      <c r="AG416" s="97"/>
      <c r="AH416" s="97"/>
      <c r="AI416" s="97"/>
      <c r="AJ416" s="97"/>
      <c r="AK416" s="97"/>
      <c r="AL416" s="97"/>
      <c r="AM416" s="97"/>
      <c r="AN416" s="97"/>
      <c r="AO416" s="97"/>
      <c r="AP416" s="97"/>
      <c r="AQ416" s="99"/>
      <c r="AR416" s="99"/>
      <c r="AS416" s="99"/>
    </row>
    <row r="417">
      <c r="A417" s="97"/>
      <c r="B417" s="97"/>
      <c r="C417" s="97"/>
      <c r="D417" s="97"/>
      <c r="E417" s="97"/>
      <c r="F417" s="97"/>
      <c r="G417" s="98"/>
      <c r="H417" s="97"/>
      <c r="I417" s="97"/>
      <c r="J417" s="97"/>
      <c r="K417" s="97"/>
      <c r="L417" s="97"/>
      <c r="M417" s="97"/>
      <c r="N417" s="97"/>
      <c r="O417" s="97"/>
      <c r="P417" s="97"/>
      <c r="Q417" s="97"/>
      <c r="R417" s="97"/>
      <c r="S417" s="97"/>
      <c r="T417" s="97"/>
      <c r="U417" s="98"/>
      <c r="V417" s="97"/>
      <c r="W417" s="97"/>
      <c r="X417" s="97"/>
      <c r="Y417" s="97"/>
      <c r="Z417" s="97"/>
      <c r="AA417" s="97"/>
      <c r="AB417" s="97"/>
      <c r="AC417" s="97"/>
      <c r="AD417" s="97"/>
      <c r="AE417" s="97"/>
      <c r="AF417" s="97"/>
      <c r="AG417" s="97"/>
      <c r="AH417" s="97"/>
      <c r="AI417" s="97"/>
      <c r="AJ417" s="97"/>
      <c r="AK417" s="97"/>
      <c r="AL417" s="97"/>
      <c r="AM417" s="97"/>
      <c r="AN417" s="97"/>
      <c r="AO417" s="97"/>
      <c r="AP417" s="97"/>
      <c r="AQ417" s="99"/>
      <c r="AR417" s="99"/>
      <c r="AS417" s="99"/>
    </row>
    <row r="418">
      <c r="A418" s="97"/>
      <c r="B418" s="97"/>
      <c r="C418" s="97"/>
      <c r="D418" s="97"/>
      <c r="E418" s="97"/>
      <c r="F418" s="97"/>
      <c r="G418" s="98"/>
      <c r="H418" s="97"/>
      <c r="I418" s="97"/>
      <c r="J418" s="97"/>
      <c r="K418" s="97"/>
      <c r="L418" s="97"/>
      <c r="M418" s="97"/>
      <c r="N418" s="97"/>
      <c r="O418" s="97"/>
      <c r="P418" s="97"/>
      <c r="Q418" s="97"/>
      <c r="R418" s="97"/>
      <c r="S418" s="97"/>
      <c r="T418" s="97"/>
      <c r="U418" s="98"/>
      <c r="V418" s="97"/>
      <c r="W418" s="97"/>
      <c r="X418" s="97"/>
      <c r="Y418" s="97"/>
      <c r="Z418" s="97"/>
      <c r="AA418" s="97"/>
      <c r="AB418" s="97"/>
      <c r="AC418" s="97"/>
      <c r="AD418" s="97"/>
      <c r="AE418" s="97"/>
      <c r="AF418" s="97"/>
      <c r="AG418" s="97"/>
      <c r="AH418" s="97"/>
      <c r="AI418" s="97"/>
      <c r="AJ418" s="97"/>
      <c r="AK418" s="97"/>
      <c r="AL418" s="97"/>
      <c r="AM418" s="97"/>
      <c r="AN418" s="97"/>
      <c r="AO418" s="97"/>
      <c r="AP418" s="97"/>
      <c r="AQ418" s="99"/>
      <c r="AR418" s="99"/>
      <c r="AS418" s="99"/>
    </row>
    <row r="419">
      <c r="A419" s="97"/>
      <c r="B419" s="97"/>
      <c r="C419" s="97"/>
      <c r="D419" s="97"/>
      <c r="E419" s="97"/>
      <c r="F419" s="97"/>
      <c r="G419" s="98"/>
      <c r="H419" s="97"/>
      <c r="I419" s="97"/>
      <c r="J419" s="97"/>
      <c r="K419" s="97"/>
      <c r="L419" s="97"/>
      <c r="M419" s="97"/>
      <c r="N419" s="97"/>
      <c r="O419" s="97"/>
      <c r="P419" s="97"/>
      <c r="Q419" s="97"/>
      <c r="R419" s="97"/>
      <c r="S419" s="97"/>
      <c r="T419" s="97"/>
      <c r="U419" s="98"/>
      <c r="V419" s="97"/>
      <c r="W419" s="97"/>
      <c r="X419" s="97"/>
      <c r="Y419" s="97"/>
      <c r="Z419" s="97"/>
      <c r="AA419" s="97"/>
      <c r="AB419" s="97"/>
      <c r="AC419" s="97"/>
      <c r="AD419" s="97"/>
      <c r="AE419" s="97"/>
      <c r="AF419" s="97"/>
      <c r="AG419" s="97"/>
      <c r="AH419" s="97"/>
      <c r="AI419" s="97"/>
      <c r="AJ419" s="97"/>
      <c r="AK419" s="97"/>
      <c r="AL419" s="97"/>
      <c r="AM419" s="97"/>
      <c r="AN419" s="97"/>
      <c r="AO419" s="97"/>
      <c r="AP419" s="97"/>
      <c r="AQ419" s="99"/>
      <c r="AR419" s="99"/>
      <c r="AS419" s="99"/>
    </row>
    <row r="420">
      <c r="A420" s="97"/>
      <c r="B420" s="97"/>
      <c r="C420" s="97"/>
      <c r="D420" s="97"/>
      <c r="E420" s="97"/>
      <c r="F420" s="97"/>
      <c r="G420" s="98"/>
      <c r="H420" s="97"/>
      <c r="I420" s="97"/>
      <c r="J420" s="97"/>
      <c r="K420" s="97"/>
      <c r="L420" s="97"/>
      <c r="M420" s="97"/>
      <c r="N420" s="97"/>
      <c r="O420" s="97"/>
      <c r="P420" s="97"/>
      <c r="Q420" s="97"/>
      <c r="R420" s="97"/>
      <c r="S420" s="97"/>
      <c r="T420" s="97"/>
      <c r="U420" s="98"/>
      <c r="V420" s="97"/>
      <c r="W420" s="97"/>
      <c r="X420" s="97"/>
      <c r="Y420" s="97"/>
      <c r="Z420" s="97"/>
      <c r="AA420" s="97"/>
      <c r="AB420" s="97"/>
      <c r="AC420" s="97"/>
      <c r="AD420" s="97"/>
      <c r="AE420" s="97"/>
      <c r="AF420" s="97"/>
      <c r="AG420" s="97"/>
      <c r="AH420" s="97"/>
      <c r="AI420" s="97"/>
      <c r="AJ420" s="97"/>
      <c r="AK420" s="97"/>
      <c r="AL420" s="97"/>
      <c r="AM420" s="97"/>
      <c r="AN420" s="97"/>
      <c r="AO420" s="97"/>
      <c r="AP420" s="97"/>
      <c r="AQ420" s="99"/>
      <c r="AR420" s="99"/>
      <c r="AS420" s="99"/>
    </row>
    <row r="421">
      <c r="A421" s="97"/>
      <c r="B421" s="97"/>
      <c r="C421" s="97"/>
      <c r="D421" s="97"/>
      <c r="E421" s="97"/>
      <c r="F421" s="97"/>
      <c r="G421" s="98"/>
      <c r="H421" s="97"/>
      <c r="I421" s="97"/>
      <c r="J421" s="97"/>
      <c r="K421" s="97"/>
      <c r="L421" s="97"/>
      <c r="M421" s="97"/>
      <c r="N421" s="97"/>
      <c r="O421" s="97"/>
      <c r="P421" s="97"/>
      <c r="Q421" s="97"/>
      <c r="R421" s="97"/>
      <c r="S421" s="97"/>
      <c r="T421" s="97"/>
      <c r="U421" s="98"/>
      <c r="V421" s="97"/>
      <c r="W421" s="97"/>
      <c r="X421" s="97"/>
      <c r="Y421" s="97"/>
      <c r="Z421" s="97"/>
      <c r="AA421" s="97"/>
      <c r="AB421" s="97"/>
      <c r="AC421" s="97"/>
      <c r="AD421" s="97"/>
      <c r="AE421" s="97"/>
      <c r="AF421" s="97"/>
      <c r="AG421" s="97"/>
      <c r="AH421" s="97"/>
      <c r="AI421" s="97"/>
      <c r="AJ421" s="97"/>
      <c r="AK421" s="97"/>
      <c r="AL421" s="97"/>
      <c r="AM421" s="97"/>
      <c r="AN421" s="97"/>
      <c r="AO421" s="97"/>
      <c r="AP421" s="97"/>
      <c r="AQ421" s="99"/>
      <c r="AR421" s="99"/>
      <c r="AS421" s="99"/>
    </row>
    <row r="422">
      <c r="A422" s="97"/>
      <c r="B422" s="97"/>
      <c r="C422" s="97"/>
      <c r="D422" s="97"/>
      <c r="E422" s="97"/>
      <c r="F422" s="97"/>
      <c r="G422" s="98"/>
      <c r="H422" s="97"/>
      <c r="I422" s="97"/>
      <c r="J422" s="97"/>
      <c r="K422" s="97"/>
      <c r="L422" s="97"/>
      <c r="M422" s="97"/>
      <c r="N422" s="97"/>
      <c r="O422" s="97"/>
      <c r="P422" s="97"/>
      <c r="Q422" s="97"/>
      <c r="R422" s="97"/>
      <c r="S422" s="97"/>
      <c r="T422" s="97"/>
      <c r="U422" s="98"/>
      <c r="V422" s="97"/>
      <c r="W422" s="97"/>
      <c r="X422" s="97"/>
      <c r="Y422" s="97"/>
      <c r="Z422" s="97"/>
      <c r="AA422" s="97"/>
      <c r="AB422" s="97"/>
      <c r="AC422" s="97"/>
      <c r="AD422" s="97"/>
      <c r="AE422" s="97"/>
      <c r="AF422" s="97"/>
      <c r="AG422" s="97"/>
      <c r="AH422" s="97"/>
      <c r="AI422" s="97"/>
      <c r="AJ422" s="97"/>
      <c r="AK422" s="97"/>
      <c r="AL422" s="97"/>
      <c r="AM422" s="97"/>
      <c r="AN422" s="97"/>
      <c r="AO422" s="97"/>
      <c r="AP422" s="97"/>
      <c r="AQ422" s="99"/>
      <c r="AR422" s="99"/>
      <c r="AS422" s="99"/>
    </row>
    <row r="423">
      <c r="A423" s="97"/>
      <c r="B423" s="97"/>
      <c r="C423" s="97"/>
      <c r="D423" s="97"/>
      <c r="E423" s="97"/>
      <c r="F423" s="97"/>
      <c r="G423" s="98"/>
      <c r="H423" s="97"/>
      <c r="I423" s="97"/>
      <c r="J423" s="97"/>
      <c r="K423" s="97"/>
      <c r="L423" s="97"/>
      <c r="M423" s="97"/>
      <c r="N423" s="97"/>
      <c r="O423" s="97"/>
      <c r="P423" s="97"/>
      <c r="Q423" s="97"/>
      <c r="R423" s="97"/>
      <c r="S423" s="97"/>
      <c r="T423" s="97"/>
      <c r="U423" s="98"/>
      <c r="V423" s="97"/>
      <c r="W423" s="97"/>
      <c r="X423" s="97"/>
      <c r="Y423" s="97"/>
      <c r="Z423" s="97"/>
      <c r="AA423" s="97"/>
      <c r="AB423" s="97"/>
      <c r="AC423" s="97"/>
      <c r="AD423" s="97"/>
      <c r="AE423" s="97"/>
      <c r="AF423" s="97"/>
      <c r="AG423" s="97"/>
      <c r="AH423" s="97"/>
      <c r="AI423" s="97"/>
      <c r="AJ423" s="97"/>
      <c r="AK423" s="97"/>
      <c r="AL423" s="97"/>
      <c r="AM423" s="97"/>
      <c r="AN423" s="97"/>
      <c r="AO423" s="97"/>
      <c r="AP423" s="97"/>
      <c r="AQ423" s="99"/>
      <c r="AR423" s="99"/>
      <c r="AS423" s="99"/>
    </row>
    <row r="424">
      <c r="A424" s="97"/>
      <c r="B424" s="97"/>
      <c r="C424" s="97"/>
      <c r="D424" s="97"/>
      <c r="E424" s="97"/>
      <c r="F424" s="97"/>
      <c r="G424" s="98"/>
      <c r="H424" s="97"/>
      <c r="I424" s="97"/>
      <c r="J424" s="97"/>
      <c r="K424" s="97"/>
      <c r="L424" s="97"/>
      <c r="M424" s="97"/>
      <c r="N424" s="97"/>
      <c r="O424" s="97"/>
      <c r="P424" s="97"/>
      <c r="Q424" s="97"/>
      <c r="R424" s="97"/>
      <c r="S424" s="97"/>
      <c r="T424" s="97"/>
      <c r="U424" s="98"/>
      <c r="V424" s="97"/>
      <c r="W424" s="97"/>
      <c r="X424" s="97"/>
      <c r="Y424" s="97"/>
      <c r="Z424" s="97"/>
      <c r="AA424" s="97"/>
      <c r="AB424" s="97"/>
      <c r="AC424" s="97"/>
      <c r="AD424" s="97"/>
      <c r="AE424" s="97"/>
      <c r="AF424" s="97"/>
      <c r="AG424" s="97"/>
      <c r="AH424" s="97"/>
      <c r="AI424" s="97"/>
      <c r="AJ424" s="97"/>
      <c r="AK424" s="97"/>
      <c r="AL424" s="97"/>
      <c r="AM424" s="97"/>
      <c r="AN424" s="97"/>
      <c r="AO424" s="97"/>
      <c r="AP424" s="97"/>
      <c r="AQ424" s="99"/>
      <c r="AR424" s="99"/>
      <c r="AS424" s="99"/>
    </row>
    <row r="425">
      <c r="A425" s="97"/>
      <c r="B425" s="97"/>
      <c r="C425" s="97"/>
      <c r="D425" s="97"/>
      <c r="E425" s="97"/>
      <c r="F425" s="97"/>
      <c r="G425" s="98"/>
      <c r="H425" s="97"/>
      <c r="I425" s="97"/>
      <c r="J425" s="97"/>
      <c r="K425" s="97"/>
      <c r="L425" s="97"/>
      <c r="M425" s="97"/>
      <c r="N425" s="97"/>
      <c r="O425" s="97"/>
      <c r="P425" s="97"/>
      <c r="Q425" s="97"/>
      <c r="R425" s="97"/>
      <c r="S425" s="97"/>
      <c r="T425" s="97"/>
      <c r="U425" s="98"/>
      <c r="V425" s="97"/>
      <c r="W425" s="97"/>
      <c r="X425" s="97"/>
      <c r="Y425" s="97"/>
      <c r="Z425" s="97"/>
      <c r="AA425" s="97"/>
      <c r="AB425" s="97"/>
      <c r="AC425" s="97"/>
      <c r="AD425" s="97"/>
      <c r="AE425" s="97"/>
      <c r="AF425" s="97"/>
      <c r="AG425" s="97"/>
      <c r="AH425" s="97"/>
      <c r="AI425" s="97"/>
      <c r="AJ425" s="97"/>
      <c r="AK425" s="97"/>
      <c r="AL425" s="97"/>
      <c r="AM425" s="97"/>
      <c r="AN425" s="97"/>
      <c r="AO425" s="97"/>
      <c r="AP425" s="97"/>
      <c r="AQ425" s="99"/>
      <c r="AR425" s="99"/>
      <c r="AS425" s="99"/>
    </row>
    <row r="426">
      <c r="A426" s="97"/>
      <c r="B426" s="97"/>
      <c r="C426" s="97"/>
      <c r="D426" s="97"/>
      <c r="E426" s="97"/>
      <c r="F426" s="97"/>
      <c r="G426" s="98"/>
      <c r="H426" s="97"/>
      <c r="I426" s="97"/>
      <c r="J426" s="97"/>
      <c r="K426" s="97"/>
      <c r="L426" s="97"/>
      <c r="M426" s="97"/>
      <c r="N426" s="97"/>
      <c r="O426" s="97"/>
      <c r="P426" s="97"/>
      <c r="Q426" s="97"/>
      <c r="R426" s="97"/>
      <c r="S426" s="97"/>
      <c r="T426" s="97"/>
      <c r="U426" s="98"/>
      <c r="V426" s="97"/>
      <c r="W426" s="97"/>
      <c r="X426" s="97"/>
      <c r="Y426" s="97"/>
      <c r="Z426" s="97"/>
      <c r="AA426" s="97"/>
      <c r="AB426" s="97"/>
      <c r="AC426" s="97"/>
      <c r="AD426" s="97"/>
      <c r="AE426" s="97"/>
      <c r="AF426" s="97"/>
      <c r="AG426" s="97"/>
      <c r="AH426" s="97"/>
      <c r="AI426" s="97"/>
      <c r="AJ426" s="97"/>
      <c r="AK426" s="97"/>
      <c r="AL426" s="97"/>
      <c r="AM426" s="97"/>
      <c r="AN426" s="97"/>
      <c r="AO426" s="97"/>
      <c r="AP426" s="97"/>
      <c r="AQ426" s="99"/>
      <c r="AR426" s="99"/>
      <c r="AS426" s="99"/>
    </row>
    <row r="427">
      <c r="A427" s="97"/>
      <c r="B427" s="97"/>
      <c r="C427" s="97"/>
      <c r="D427" s="97"/>
      <c r="E427" s="97"/>
      <c r="F427" s="97"/>
      <c r="G427" s="98"/>
      <c r="H427" s="97"/>
      <c r="I427" s="97"/>
      <c r="J427" s="97"/>
      <c r="K427" s="97"/>
      <c r="L427" s="97"/>
      <c r="M427" s="97"/>
      <c r="N427" s="97"/>
      <c r="O427" s="97"/>
      <c r="P427" s="97"/>
      <c r="Q427" s="97"/>
      <c r="R427" s="97"/>
      <c r="S427" s="97"/>
      <c r="T427" s="97"/>
      <c r="U427" s="98"/>
      <c r="V427" s="97"/>
      <c r="W427" s="97"/>
      <c r="X427" s="97"/>
      <c r="Y427" s="97"/>
      <c r="Z427" s="97"/>
      <c r="AA427" s="97"/>
      <c r="AB427" s="97"/>
      <c r="AC427" s="97"/>
      <c r="AD427" s="97"/>
      <c r="AE427" s="97"/>
      <c r="AF427" s="97"/>
      <c r="AG427" s="97"/>
      <c r="AH427" s="97"/>
      <c r="AI427" s="97"/>
      <c r="AJ427" s="97"/>
      <c r="AK427" s="97"/>
      <c r="AL427" s="97"/>
      <c r="AM427" s="97"/>
      <c r="AN427" s="97"/>
      <c r="AO427" s="97"/>
      <c r="AP427" s="97"/>
      <c r="AQ427" s="99"/>
      <c r="AR427" s="99"/>
      <c r="AS427" s="99"/>
    </row>
    <row r="428">
      <c r="A428" s="97"/>
      <c r="B428" s="97"/>
      <c r="C428" s="97"/>
      <c r="D428" s="97"/>
      <c r="E428" s="97"/>
      <c r="F428" s="97"/>
      <c r="G428" s="98"/>
      <c r="H428" s="97"/>
      <c r="I428" s="97"/>
      <c r="J428" s="97"/>
      <c r="K428" s="97"/>
      <c r="L428" s="97"/>
      <c r="M428" s="97"/>
      <c r="N428" s="97"/>
      <c r="O428" s="97"/>
      <c r="P428" s="97"/>
      <c r="Q428" s="97"/>
      <c r="R428" s="97"/>
      <c r="S428" s="97"/>
      <c r="T428" s="97"/>
      <c r="U428" s="98"/>
      <c r="V428" s="97"/>
      <c r="W428" s="97"/>
      <c r="X428" s="97"/>
      <c r="Y428" s="97"/>
      <c r="Z428" s="97"/>
      <c r="AA428" s="97"/>
      <c r="AB428" s="97"/>
      <c r="AC428" s="97"/>
      <c r="AD428" s="97"/>
      <c r="AE428" s="97"/>
      <c r="AF428" s="97"/>
      <c r="AG428" s="97"/>
      <c r="AH428" s="97"/>
      <c r="AI428" s="97"/>
      <c r="AJ428" s="97"/>
      <c r="AK428" s="97"/>
      <c r="AL428" s="97"/>
      <c r="AM428" s="97"/>
      <c r="AN428" s="97"/>
      <c r="AO428" s="97"/>
      <c r="AP428" s="97"/>
      <c r="AQ428" s="99"/>
      <c r="AR428" s="99"/>
      <c r="AS428" s="99"/>
    </row>
    <row r="429">
      <c r="A429" s="97"/>
      <c r="B429" s="97"/>
      <c r="C429" s="97"/>
      <c r="D429" s="97"/>
      <c r="E429" s="97"/>
      <c r="F429" s="97"/>
      <c r="G429" s="98"/>
      <c r="H429" s="97"/>
      <c r="I429" s="97"/>
      <c r="J429" s="97"/>
      <c r="K429" s="97"/>
      <c r="L429" s="97"/>
      <c r="M429" s="97"/>
      <c r="N429" s="97"/>
      <c r="O429" s="97"/>
      <c r="P429" s="97"/>
      <c r="Q429" s="97"/>
      <c r="R429" s="97"/>
      <c r="S429" s="97"/>
      <c r="T429" s="97"/>
      <c r="U429" s="98"/>
      <c r="V429" s="97"/>
      <c r="W429" s="97"/>
      <c r="X429" s="97"/>
      <c r="Y429" s="97"/>
      <c r="Z429" s="97"/>
      <c r="AA429" s="97"/>
      <c r="AB429" s="97"/>
      <c r="AC429" s="97"/>
      <c r="AD429" s="97"/>
      <c r="AE429" s="97"/>
      <c r="AF429" s="97"/>
      <c r="AG429" s="97"/>
      <c r="AH429" s="97"/>
      <c r="AI429" s="97"/>
      <c r="AJ429" s="97"/>
      <c r="AK429" s="97"/>
      <c r="AL429" s="97"/>
      <c r="AM429" s="97"/>
      <c r="AN429" s="97"/>
      <c r="AO429" s="97"/>
      <c r="AP429" s="97"/>
      <c r="AQ429" s="99"/>
      <c r="AR429" s="99"/>
      <c r="AS429" s="99"/>
    </row>
    <row r="430">
      <c r="A430" s="97"/>
      <c r="B430" s="97"/>
      <c r="C430" s="97"/>
      <c r="D430" s="97"/>
      <c r="E430" s="97"/>
      <c r="F430" s="97"/>
      <c r="G430" s="98"/>
      <c r="H430" s="97"/>
      <c r="I430" s="97"/>
      <c r="J430" s="97"/>
      <c r="K430" s="97"/>
      <c r="L430" s="97"/>
      <c r="M430" s="97"/>
      <c r="N430" s="97"/>
      <c r="O430" s="97"/>
      <c r="P430" s="97"/>
      <c r="Q430" s="97"/>
      <c r="R430" s="97"/>
      <c r="S430" s="97"/>
      <c r="T430" s="97"/>
      <c r="U430" s="98"/>
      <c r="V430" s="97"/>
      <c r="W430" s="97"/>
      <c r="X430" s="97"/>
      <c r="Y430" s="97"/>
      <c r="Z430" s="97"/>
      <c r="AA430" s="97"/>
      <c r="AB430" s="97"/>
      <c r="AC430" s="97"/>
      <c r="AD430" s="97"/>
      <c r="AE430" s="97"/>
      <c r="AF430" s="97"/>
      <c r="AG430" s="97"/>
      <c r="AH430" s="97"/>
      <c r="AI430" s="97"/>
      <c r="AJ430" s="97"/>
      <c r="AK430" s="97"/>
      <c r="AL430" s="97"/>
      <c r="AM430" s="97"/>
      <c r="AN430" s="97"/>
      <c r="AO430" s="97"/>
      <c r="AP430" s="97"/>
      <c r="AQ430" s="99"/>
      <c r="AR430" s="99"/>
      <c r="AS430" s="99"/>
    </row>
    <row r="431">
      <c r="A431" s="97"/>
      <c r="B431" s="97"/>
      <c r="C431" s="97"/>
      <c r="D431" s="97"/>
      <c r="E431" s="97"/>
      <c r="F431" s="97"/>
      <c r="G431" s="98"/>
      <c r="H431" s="97"/>
      <c r="I431" s="97"/>
      <c r="J431" s="97"/>
      <c r="K431" s="97"/>
      <c r="L431" s="97"/>
      <c r="M431" s="97"/>
      <c r="N431" s="97"/>
      <c r="O431" s="97"/>
      <c r="P431" s="97"/>
      <c r="Q431" s="97"/>
      <c r="R431" s="97"/>
      <c r="S431" s="97"/>
      <c r="T431" s="97"/>
      <c r="U431" s="98"/>
      <c r="V431" s="97"/>
      <c r="W431" s="97"/>
      <c r="X431" s="97"/>
      <c r="Y431" s="97"/>
      <c r="Z431" s="97"/>
      <c r="AA431" s="97"/>
      <c r="AB431" s="97"/>
      <c r="AC431" s="97"/>
      <c r="AD431" s="97"/>
      <c r="AE431" s="97"/>
      <c r="AF431" s="97"/>
      <c r="AG431" s="97"/>
      <c r="AH431" s="97"/>
      <c r="AI431" s="97"/>
      <c r="AJ431" s="97"/>
      <c r="AK431" s="97"/>
      <c r="AL431" s="97"/>
      <c r="AM431" s="97"/>
      <c r="AN431" s="97"/>
      <c r="AO431" s="97"/>
      <c r="AP431" s="97"/>
      <c r="AQ431" s="99"/>
      <c r="AR431" s="99"/>
      <c r="AS431" s="99"/>
    </row>
    <row r="432">
      <c r="A432" s="97"/>
      <c r="B432" s="97"/>
      <c r="C432" s="97"/>
      <c r="D432" s="97"/>
      <c r="E432" s="97"/>
      <c r="F432" s="97"/>
      <c r="G432" s="98"/>
      <c r="H432" s="97"/>
      <c r="I432" s="97"/>
      <c r="J432" s="97"/>
      <c r="K432" s="97"/>
      <c r="L432" s="97"/>
      <c r="M432" s="97"/>
      <c r="N432" s="97"/>
      <c r="O432" s="97"/>
      <c r="P432" s="97"/>
      <c r="Q432" s="97"/>
      <c r="R432" s="97"/>
      <c r="S432" s="97"/>
      <c r="T432" s="97"/>
      <c r="U432" s="98"/>
      <c r="V432" s="97"/>
      <c r="W432" s="97"/>
      <c r="X432" s="97"/>
      <c r="Y432" s="97"/>
      <c r="Z432" s="97"/>
      <c r="AA432" s="97"/>
      <c r="AB432" s="97"/>
      <c r="AC432" s="97"/>
      <c r="AD432" s="97"/>
      <c r="AE432" s="97"/>
      <c r="AF432" s="97"/>
      <c r="AG432" s="97"/>
      <c r="AH432" s="97"/>
      <c r="AI432" s="97"/>
      <c r="AJ432" s="97"/>
      <c r="AK432" s="97"/>
      <c r="AL432" s="97"/>
      <c r="AM432" s="97"/>
      <c r="AN432" s="97"/>
      <c r="AO432" s="97"/>
      <c r="AP432" s="97"/>
      <c r="AQ432" s="99"/>
      <c r="AR432" s="99"/>
      <c r="AS432" s="99"/>
    </row>
    <row r="433">
      <c r="A433" s="97"/>
      <c r="B433" s="97"/>
      <c r="C433" s="97"/>
      <c r="D433" s="97"/>
      <c r="E433" s="97"/>
      <c r="F433" s="97"/>
      <c r="G433" s="98"/>
      <c r="H433" s="97"/>
      <c r="I433" s="97"/>
      <c r="J433" s="97"/>
      <c r="K433" s="97"/>
      <c r="L433" s="97"/>
      <c r="M433" s="97"/>
      <c r="N433" s="97"/>
      <c r="O433" s="97"/>
      <c r="P433" s="97"/>
      <c r="Q433" s="97"/>
      <c r="R433" s="97"/>
      <c r="S433" s="97"/>
      <c r="T433" s="97"/>
      <c r="U433" s="98"/>
      <c r="V433" s="97"/>
      <c r="W433" s="97"/>
      <c r="X433" s="97"/>
      <c r="Y433" s="97"/>
      <c r="Z433" s="97"/>
      <c r="AA433" s="97"/>
      <c r="AB433" s="97"/>
      <c r="AC433" s="97"/>
      <c r="AD433" s="97"/>
      <c r="AE433" s="97"/>
      <c r="AF433" s="97"/>
      <c r="AG433" s="97"/>
      <c r="AH433" s="97"/>
      <c r="AI433" s="97"/>
      <c r="AJ433" s="97"/>
      <c r="AK433" s="97"/>
      <c r="AL433" s="97"/>
      <c r="AM433" s="97"/>
      <c r="AN433" s="97"/>
      <c r="AO433" s="97"/>
      <c r="AP433" s="97"/>
      <c r="AQ433" s="99"/>
      <c r="AR433" s="99"/>
      <c r="AS433" s="99"/>
    </row>
    <row r="434">
      <c r="A434" s="97"/>
      <c r="B434" s="97"/>
      <c r="C434" s="97"/>
      <c r="D434" s="97"/>
      <c r="E434" s="97"/>
      <c r="F434" s="97"/>
      <c r="G434" s="98"/>
      <c r="H434" s="97"/>
      <c r="I434" s="97"/>
      <c r="J434" s="97"/>
      <c r="K434" s="97"/>
      <c r="L434" s="97"/>
      <c r="M434" s="97"/>
      <c r="N434" s="97"/>
      <c r="O434" s="97"/>
      <c r="P434" s="97"/>
      <c r="Q434" s="97"/>
      <c r="R434" s="97"/>
      <c r="S434" s="97"/>
      <c r="T434" s="97"/>
      <c r="U434" s="98"/>
      <c r="V434" s="97"/>
      <c r="W434" s="97"/>
      <c r="X434" s="97"/>
      <c r="Y434" s="97"/>
      <c r="Z434" s="97"/>
      <c r="AA434" s="97"/>
      <c r="AB434" s="97"/>
      <c r="AC434" s="97"/>
      <c r="AD434" s="97"/>
      <c r="AE434" s="97"/>
      <c r="AF434" s="97"/>
      <c r="AG434" s="97"/>
      <c r="AH434" s="97"/>
      <c r="AI434" s="97"/>
      <c r="AJ434" s="97"/>
      <c r="AK434" s="97"/>
      <c r="AL434" s="97"/>
      <c r="AM434" s="97"/>
      <c r="AN434" s="97"/>
      <c r="AO434" s="97"/>
      <c r="AP434" s="97"/>
      <c r="AQ434" s="99"/>
      <c r="AR434" s="99"/>
      <c r="AS434" s="99"/>
    </row>
    <row r="435">
      <c r="A435" s="97"/>
      <c r="B435" s="97"/>
      <c r="C435" s="97"/>
      <c r="D435" s="97"/>
      <c r="E435" s="97"/>
      <c r="F435" s="97"/>
      <c r="G435" s="98"/>
      <c r="H435" s="97"/>
      <c r="I435" s="97"/>
      <c r="J435" s="97"/>
      <c r="K435" s="97"/>
      <c r="L435" s="97"/>
      <c r="M435" s="97"/>
      <c r="N435" s="97"/>
      <c r="O435" s="97"/>
      <c r="P435" s="97"/>
      <c r="Q435" s="97"/>
      <c r="R435" s="97"/>
      <c r="S435" s="97"/>
      <c r="T435" s="97"/>
      <c r="U435" s="98"/>
      <c r="V435" s="97"/>
      <c r="W435" s="97"/>
      <c r="X435" s="97"/>
      <c r="Y435" s="97"/>
      <c r="Z435" s="97"/>
      <c r="AA435" s="97"/>
      <c r="AB435" s="97"/>
      <c r="AC435" s="97"/>
      <c r="AD435" s="97"/>
      <c r="AE435" s="97"/>
      <c r="AF435" s="97"/>
      <c r="AG435" s="97"/>
      <c r="AH435" s="97"/>
      <c r="AI435" s="97"/>
      <c r="AJ435" s="97"/>
      <c r="AK435" s="97"/>
      <c r="AL435" s="97"/>
      <c r="AM435" s="97"/>
      <c r="AN435" s="97"/>
      <c r="AO435" s="97"/>
      <c r="AP435" s="97"/>
      <c r="AQ435" s="99"/>
      <c r="AR435" s="99"/>
      <c r="AS435" s="99"/>
    </row>
    <row r="436">
      <c r="A436" s="97"/>
      <c r="B436" s="97"/>
      <c r="C436" s="97"/>
      <c r="D436" s="97"/>
      <c r="E436" s="97"/>
      <c r="F436" s="97"/>
      <c r="G436" s="98"/>
      <c r="H436" s="97"/>
      <c r="I436" s="97"/>
      <c r="J436" s="97"/>
      <c r="K436" s="97"/>
      <c r="L436" s="97"/>
      <c r="M436" s="97"/>
      <c r="N436" s="97"/>
      <c r="O436" s="97"/>
      <c r="P436" s="97"/>
      <c r="Q436" s="97"/>
      <c r="R436" s="97"/>
      <c r="S436" s="97"/>
      <c r="T436" s="97"/>
      <c r="U436" s="98"/>
      <c r="V436" s="97"/>
      <c r="W436" s="97"/>
      <c r="X436" s="97"/>
      <c r="Y436" s="97"/>
      <c r="Z436" s="97"/>
      <c r="AA436" s="97"/>
      <c r="AB436" s="97"/>
      <c r="AC436" s="97"/>
      <c r="AD436" s="97"/>
      <c r="AE436" s="97"/>
      <c r="AF436" s="97"/>
      <c r="AG436" s="97"/>
      <c r="AH436" s="97"/>
      <c r="AI436" s="97"/>
      <c r="AJ436" s="97"/>
      <c r="AK436" s="97"/>
      <c r="AL436" s="97"/>
      <c r="AM436" s="97"/>
      <c r="AN436" s="97"/>
      <c r="AO436" s="97"/>
      <c r="AP436" s="97"/>
      <c r="AQ436" s="99"/>
      <c r="AR436" s="99"/>
      <c r="AS436" s="99"/>
    </row>
    <row r="437">
      <c r="A437" s="97"/>
      <c r="B437" s="97"/>
      <c r="C437" s="97"/>
      <c r="D437" s="97"/>
      <c r="E437" s="97"/>
      <c r="F437" s="97"/>
      <c r="G437" s="98"/>
      <c r="H437" s="97"/>
      <c r="I437" s="97"/>
      <c r="J437" s="97"/>
      <c r="K437" s="97"/>
      <c r="L437" s="97"/>
      <c r="M437" s="97"/>
      <c r="N437" s="97"/>
      <c r="O437" s="97"/>
      <c r="P437" s="97"/>
      <c r="Q437" s="97"/>
      <c r="R437" s="97"/>
      <c r="S437" s="97"/>
      <c r="T437" s="97"/>
      <c r="U437" s="98"/>
      <c r="V437" s="97"/>
      <c r="W437" s="97"/>
      <c r="X437" s="97"/>
      <c r="Y437" s="97"/>
      <c r="Z437" s="97"/>
      <c r="AA437" s="97"/>
      <c r="AB437" s="97"/>
      <c r="AC437" s="97"/>
      <c r="AD437" s="97"/>
      <c r="AE437" s="97"/>
      <c r="AF437" s="97"/>
      <c r="AG437" s="97"/>
      <c r="AH437" s="97"/>
      <c r="AI437" s="97"/>
      <c r="AJ437" s="97"/>
      <c r="AK437" s="97"/>
      <c r="AL437" s="97"/>
      <c r="AM437" s="97"/>
      <c r="AN437" s="97"/>
      <c r="AO437" s="97"/>
      <c r="AP437" s="97"/>
      <c r="AQ437" s="99"/>
      <c r="AR437" s="99"/>
      <c r="AS437" s="99"/>
    </row>
    <row r="438">
      <c r="A438" s="97"/>
      <c r="B438" s="97"/>
      <c r="C438" s="97"/>
      <c r="D438" s="97"/>
      <c r="E438" s="97"/>
      <c r="F438" s="97"/>
      <c r="G438" s="98"/>
      <c r="H438" s="97"/>
      <c r="I438" s="97"/>
      <c r="J438" s="97"/>
      <c r="K438" s="97"/>
      <c r="L438" s="97"/>
      <c r="M438" s="97"/>
      <c r="N438" s="97"/>
      <c r="O438" s="97"/>
      <c r="P438" s="97"/>
      <c r="Q438" s="97"/>
      <c r="R438" s="97"/>
      <c r="S438" s="97"/>
      <c r="T438" s="97"/>
      <c r="U438" s="98"/>
      <c r="V438" s="97"/>
      <c r="W438" s="97"/>
      <c r="X438" s="97"/>
      <c r="Y438" s="97"/>
      <c r="Z438" s="97"/>
      <c r="AA438" s="97"/>
      <c r="AB438" s="97"/>
      <c r="AC438" s="97"/>
      <c r="AD438" s="97"/>
      <c r="AE438" s="97"/>
      <c r="AF438" s="97"/>
      <c r="AG438" s="97"/>
      <c r="AH438" s="97"/>
      <c r="AI438" s="97"/>
      <c r="AJ438" s="97"/>
      <c r="AK438" s="97"/>
      <c r="AL438" s="97"/>
      <c r="AM438" s="97"/>
      <c r="AN438" s="97"/>
      <c r="AO438" s="97"/>
      <c r="AP438" s="97"/>
      <c r="AQ438" s="99"/>
      <c r="AR438" s="99"/>
      <c r="AS438" s="99"/>
    </row>
    <row r="439">
      <c r="A439" s="97"/>
      <c r="B439" s="97"/>
      <c r="C439" s="97"/>
      <c r="D439" s="97"/>
      <c r="E439" s="97"/>
      <c r="F439" s="97"/>
      <c r="G439" s="98"/>
      <c r="H439" s="97"/>
      <c r="I439" s="97"/>
      <c r="J439" s="97"/>
      <c r="K439" s="97"/>
      <c r="L439" s="97"/>
      <c r="M439" s="97"/>
      <c r="N439" s="97"/>
      <c r="O439" s="97"/>
      <c r="P439" s="97"/>
      <c r="Q439" s="97"/>
      <c r="R439" s="97"/>
      <c r="S439" s="97"/>
      <c r="T439" s="97"/>
      <c r="U439" s="98"/>
      <c r="V439" s="97"/>
      <c r="W439" s="97"/>
      <c r="X439" s="97"/>
      <c r="Y439" s="97"/>
      <c r="Z439" s="97"/>
      <c r="AA439" s="97"/>
      <c r="AB439" s="97"/>
      <c r="AC439" s="97"/>
      <c r="AD439" s="97"/>
      <c r="AE439" s="97"/>
      <c r="AF439" s="97"/>
      <c r="AG439" s="97"/>
      <c r="AH439" s="97"/>
      <c r="AI439" s="97"/>
      <c r="AJ439" s="97"/>
      <c r="AK439" s="97"/>
      <c r="AL439" s="97"/>
      <c r="AM439" s="97"/>
      <c r="AN439" s="97"/>
      <c r="AO439" s="97"/>
      <c r="AP439" s="97"/>
      <c r="AQ439" s="99"/>
      <c r="AR439" s="99"/>
      <c r="AS439" s="99"/>
    </row>
    <row r="440">
      <c r="A440" s="97"/>
      <c r="B440" s="97"/>
      <c r="C440" s="97"/>
      <c r="D440" s="97"/>
      <c r="E440" s="97"/>
      <c r="F440" s="97"/>
      <c r="G440" s="98"/>
      <c r="H440" s="97"/>
      <c r="I440" s="97"/>
      <c r="J440" s="97"/>
      <c r="K440" s="97"/>
      <c r="L440" s="97"/>
      <c r="M440" s="97"/>
      <c r="N440" s="97"/>
      <c r="O440" s="97"/>
      <c r="P440" s="97"/>
      <c r="Q440" s="97"/>
      <c r="R440" s="97"/>
      <c r="S440" s="97"/>
      <c r="T440" s="97"/>
      <c r="U440" s="98"/>
      <c r="V440" s="97"/>
      <c r="W440" s="97"/>
      <c r="X440" s="97"/>
      <c r="Y440" s="97"/>
      <c r="Z440" s="97"/>
      <c r="AA440" s="97"/>
      <c r="AB440" s="97"/>
      <c r="AC440" s="97"/>
      <c r="AD440" s="97"/>
      <c r="AE440" s="97"/>
      <c r="AF440" s="97"/>
      <c r="AG440" s="97"/>
      <c r="AH440" s="97"/>
      <c r="AI440" s="97"/>
      <c r="AJ440" s="97"/>
      <c r="AK440" s="97"/>
      <c r="AL440" s="97"/>
      <c r="AM440" s="97"/>
      <c r="AN440" s="97"/>
      <c r="AO440" s="97"/>
      <c r="AP440" s="97"/>
      <c r="AQ440" s="99"/>
      <c r="AR440" s="99"/>
      <c r="AS440" s="99"/>
    </row>
    <row r="441">
      <c r="A441" s="97"/>
      <c r="B441" s="97"/>
      <c r="C441" s="97"/>
      <c r="D441" s="97"/>
      <c r="E441" s="97"/>
      <c r="F441" s="97"/>
      <c r="G441" s="98"/>
      <c r="H441" s="97"/>
      <c r="I441" s="97"/>
      <c r="J441" s="97"/>
      <c r="K441" s="97"/>
      <c r="L441" s="97"/>
      <c r="M441" s="97"/>
      <c r="N441" s="97"/>
      <c r="O441" s="97"/>
      <c r="P441" s="97"/>
      <c r="Q441" s="97"/>
      <c r="R441" s="97"/>
      <c r="S441" s="97"/>
      <c r="T441" s="97"/>
      <c r="U441" s="98"/>
      <c r="V441" s="97"/>
      <c r="W441" s="97"/>
      <c r="X441" s="97"/>
      <c r="Y441" s="97"/>
      <c r="Z441" s="97"/>
      <c r="AA441" s="97"/>
      <c r="AB441" s="97"/>
      <c r="AC441" s="97"/>
      <c r="AD441" s="97"/>
      <c r="AE441" s="97"/>
      <c r="AF441" s="97"/>
      <c r="AG441" s="97"/>
      <c r="AH441" s="97"/>
      <c r="AI441" s="97"/>
      <c r="AJ441" s="97"/>
      <c r="AK441" s="97"/>
      <c r="AL441" s="97"/>
      <c r="AM441" s="97"/>
      <c r="AN441" s="97"/>
      <c r="AO441" s="97"/>
      <c r="AP441" s="97"/>
      <c r="AQ441" s="99"/>
      <c r="AR441" s="99"/>
      <c r="AS441" s="99"/>
    </row>
    <row r="442">
      <c r="A442" s="97"/>
      <c r="B442" s="97"/>
      <c r="C442" s="97"/>
      <c r="D442" s="97"/>
      <c r="E442" s="97"/>
      <c r="F442" s="97"/>
      <c r="G442" s="98"/>
      <c r="H442" s="97"/>
      <c r="I442" s="97"/>
      <c r="J442" s="97"/>
      <c r="K442" s="97"/>
      <c r="L442" s="97"/>
      <c r="M442" s="97"/>
      <c r="N442" s="97"/>
      <c r="O442" s="97"/>
      <c r="P442" s="97"/>
      <c r="Q442" s="97"/>
      <c r="R442" s="97"/>
      <c r="S442" s="97"/>
      <c r="T442" s="97"/>
      <c r="U442" s="98"/>
      <c r="V442" s="97"/>
      <c r="W442" s="97"/>
      <c r="X442" s="97"/>
      <c r="Y442" s="97"/>
      <c r="Z442" s="97"/>
      <c r="AA442" s="97"/>
      <c r="AB442" s="97"/>
      <c r="AC442" s="97"/>
      <c r="AD442" s="97"/>
      <c r="AE442" s="97"/>
      <c r="AF442" s="97"/>
      <c r="AG442" s="97"/>
      <c r="AH442" s="97"/>
      <c r="AI442" s="97"/>
      <c r="AJ442" s="97"/>
      <c r="AK442" s="97"/>
      <c r="AL442" s="97"/>
      <c r="AM442" s="97"/>
      <c r="AN442" s="97"/>
      <c r="AO442" s="97"/>
      <c r="AP442" s="97"/>
      <c r="AQ442" s="99"/>
      <c r="AR442" s="99"/>
      <c r="AS442" s="99"/>
    </row>
    <row r="443">
      <c r="A443" s="97"/>
      <c r="B443" s="97"/>
      <c r="C443" s="97"/>
      <c r="D443" s="97"/>
      <c r="E443" s="97"/>
      <c r="F443" s="97"/>
      <c r="G443" s="98"/>
      <c r="H443" s="97"/>
      <c r="I443" s="97"/>
      <c r="J443" s="97"/>
      <c r="K443" s="97"/>
      <c r="L443" s="97"/>
      <c r="M443" s="97"/>
      <c r="N443" s="97"/>
      <c r="O443" s="97"/>
      <c r="P443" s="97"/>
      <c r="Q443" s="97"/>
      <c r="R443" s="97"/>
      <c r="S443" s="97"/>
      <c r="T443" s="97"/>
      <c r="U443" s="98"/>
      <c r="V443" s="97"/>
      <c r="W443" s="97"/>
      <c r="X443" s="97"/>
      <c r="Y443" s="97"/>
      <c r="Z443" s="97"/>
      <c r="AA443" s="97"/>
      <c r="AB443" s="97"/>
      <c r="AC443" s="97"/>
      <c r="AD443" s="97"/>
      <c r="AE443" s="97"/>
      <c r="AF443" s="97"/>
      <c r="AG443" s="97"/>
      <c r="AH443" s="97"/>
      <c r="AI443" s="97"/>
      <c r="AJ443" s="97"/>
      <c r="AK443" s="97"/>
      <c r="AL443" s="97"/>
      <c r="AM443" s="97"/>
      <c r="AN443" s="97"/>
      <c r="AO443" s="97"/>
      <c r="AP443" s="97"/>
      <c r="AQ443" s="99"/>
      <c r="AR443" s="99"/>
      <c r="AS443" s="99"/>
    </row>
    <row r="444">
      <c r="A444" s="97"/>
      <c r="B444" s="97"/>
      <c r="C444" s="97"/>
      <c r="D444" s="97"/>
      <c r="E444" s="97"/>
      <c r="F444" s="97"/>
      <c r="G444" s="98"/>
      <c r="H444" s="97"/>
      <c r="I444" s="97"/>
      <c r="J444" s="97"/>
      <c r="K444" s="97"/>
      <c r="L444" s="97"/>
      <c r="M444" s="97"/>
      <c r="N444" s="97"/>
      <c r="O444" s="97"/>
      <c r="P444" s="97"/>
      <c r="Q444" s="97"/>
      <c r="R444" s="97"/>
      <c r="S444" s="97"/>
      <c r="T444" s="97"/>
      <c r="U444" s="98"/>
      <c r="V444" s="97"/>
      <c r="W444" s="97"/>
      <c r="X444" s="97"/>
      <c r="Y444" s="97"/>
      <c r="Z444" s="97"/>
      <c r="AA444" s="97"/>
      <c r="AB444" s="97"/>
      <c r="AC444" s="97"/>
      <c r="AD444" s="97"/>
      <c r="AE444" s="97"/>
      <c r="AF444" s="97"/>
      <c r="AG444" s="97"/>
      <c r="AH444" s="97"/>
      <c r="AI444" s="97"/>
      <c r="AJ444" s="97"/>
      <c r="AK444" s="97"/>
      <c r="AL444" s="97"/>
      <c r="AM444" s="97"/>
      <c r="AN444" s="97"/>
      <c r="AO444" s="97"/>
      <c r="AP444" s="97"/>
      <c r="AQ444" s="99"/>
      <c r="AR444" s="99"/>
      <c r="AS444" s="99"/>
    </row>
    <row r="445">
      <c r="A445" s="97"/>
      <c r="B445" s="97"/>
      <c r="C445" s="97"/>
      <c r="D445" s="97"/>
      <c r="E445" s="97"/>
      <c r="F445" s="97"/>
      <c r="G445" s="98"/>
      <c r="H445" s="97"/>
      <c r="I445" s="97"/>
      <c r="J445" s="97"/>
      <c r="K445" s="97"/>
      <c r="L445" s="97"/>
      <c r="M445" s="97"/>
      <c r="N445" s="97"/>
      <c r="O445" s="97"/>
      <c r="P445" s="97"/>
      <c r="Q445" s="97"/>
      <c r="R445" s="97"/>
      <c r="S445" s="97"/>
      <c r="T445" s="97"/>
      <c r="U445" s="98"/>
      <c r="V445" s="97"/>
      <c r="W445" s="97"/>
      <c r="X445" s="97"/>
      <c r="Y445" s="97"/>
      <c r="Z445" s="97"/>
      <c r="AA445" s="97"/>
      <c r="AB445" s="97"/>
      <c r="AC445" s="97"/>
      <c r="AD445" s="97"/>
      <c r="AE445" s="97"/>
      <c r="AF445" s="97"/>
      <c r="AG445" s="97"/>
      <c r="AH445" s="97"/>
      <c r="AI445" s="97"/>
      <c r="AJ445" s="97"/>
      <c r="AK445" s="97"/>
      <c r="AL445" s="97"/>
      <c r="AM445" s="97"/>
      <c r="AN445" s="97"/>
      <c r="AO445" s="97"/>
      <c r="AP445" s="97"/>
      <c r="AQ445" s="99"/>
      <c r="AR445" s="99"/>
      <c r="AS445" s="99"/>
    </row>
    <row r="446">
      <c r="A446" s="97"/>
      <c r="B446" s="97"/>
      <c r="C446" s="97"/>
      <c r="D446" s="97"/>
      <c r="E446" s="97"/>
      <c r="F446" s="97"/>
      <c r="G446" s="98"/>
      <c r="H446" s="97"/>
      <c r="I446" s="97"/>
      <c r="J446" s="97"/>
      <c r="K446" s="97"/>
      <c r="L446" s="97"/>
      <c r="M446" s="97"/>
      <c r="N446" s="97"/>
      <c r="O446" s="97"/>
      <c r="P446" s="97"/>
      <c r="Q446" s="97"/>
      <c r="R446" s="97"/>
      <c r="S446" s="97"/>
      <c r="T446" s="97"/>
      <c r="U446" s="98"/>
      <c r="V446" s="97"/>
      <c r="W446" s="97"/>
      <c r="X446" s="97"/>
      <c r="Y446" s="97"/>
      <c r="Z446" s="97"/>
      <c r="AA446" s="97"/>
      <c r="AB446" s="97"/>
      <c r="AC446" s="97"/>
      <c r="AD446" s="97"/>
      <c r="AE446" s="97"/>
      <c r="AF446" s="97"/>
      <c r="AG446" s="97"/>
      <c r="AH446" s="97"/>
      <c r="AI446" s="97"/>
      <c r="AJ446" s="97"/>
      <c r="AK446" s="97"/>
      <c r="AL446" s="97"/>
      <c r="AM446" s="97"/>
      <c r="AN446" s="97"/>
      <c r="AO446" s="97"/>
      <c r="AP446" s="97"/>
      <c r="AQ446" s="99"/>
      <c r="AR446" s="99"/>
      <c r="AS446" s="99"/>
    </row>
    <row r="447">
      <c r="A447" s="97"/>
      <c r="B447" s="97"/>
      <c r="C447" s="97"/>
      <c r="D447" s="97"/>
      <c r="E447" s="97"/>
      <c r="F447" s="97"/>
      <c r="G447" s="98"/>
      <c r="H447" s="97"/>
      <c r="I447" s="97"/>
      <c r="J447" s="97"/>
      <c r="K447" s="97"/>
      <c r="L447" s="97"/>
      <c r="M447" s="97"/>
      <c r="N447" s="97"/>
      <c r="O447" s="97"/>
      <c r="P447" s="97"/>
      <c r="Q447" s="97"/>
      <c r="R447" s="97"/>
      <c r="S447" s="97"/>
      <c r="T447" s="97"/>
      <c r="U447" s="98"/>
      <c r="V447" s="97"/>
      <c r="W447" s="97"/>
      <c r="X447" s="97"/>
      <c r="Y447" s="97"/>
      <c r="Z447" s="97"/>
      <c r="AA447" s="97"/>
      <c r="AB447" s="97"/>
      <c r="AC447" s="97"/>
      <c r="AD447" s="97"/>
      <c r="AE447" s="97"/>
      <c r="AF447" s="97"/>
      <c r="AG447" s="97"/>
      <c r="AH447" s="97"/>
      <c r="AI447" s="97"/>
      <c r="AJ447" s="97"/>
      <c r="AK447" s="97"/>
      <c r="AL447" s="97"/>
      <c r="AM447" s="97"/>
      <c r="AN447" s="97"/>
      <c r="AO447" s="97"/>
      <c r="AP447" s="97"/>
      <c r="AQ447" s="99"/>
      <c r="AR447" s="99"/>
      <c r="AS447" s="99"/>
    </row>
    <row r="448">
      <c r="A448" s="97"/>
      <c r="B448" s="97"/>
      <c r="C448" s="97"/>
      <c r="D448" s="97"/>
      <c r="E448" s="97"/>
      <c r="F448" s="97"/>
      <c r="G448" s="98"/>
      <c r="H448" s="97"/>
      <c r="I448" s="97"/>
      <c r="J448" s="97"/>
      <c r="K448" s="97"/>
      <c r="L448" s="97"/>
      <c r="M448" s="97"/>
      <c r="N448" s="97"/>
      <c r="O448" s="97"/>
      <c r="P448" s="97"/>
      <c r="Q448" s="97"/>
      <c r="R448" s="97"/>
      <c r="S448" s="97"/>
      <c r="T448" s="97"/>
      <c r="U448" s="98"/>
      <c r="V448" s="97"/>
      <c r="W448" s="97"/>
      <c r="X448" s="97"/>
      <c r="Y448" s="97"/>
      <c r="Z448" s="97"/>
      <c r="AA448" s="97"/>
      <c r="AB448" s="97"/>
      <c r="AC448" s="97"/>
      <c r="AD448" s="97"/>
      <c r="AE448" s="97"/>
      <c r="AF448" s="97"/>
      <c r="AG448" s="97"/>
      <c r="AH448" s="97"/>
      <c r="AI448" s="97"/>
      <c r="AJ448" s="97"/>
      <c r="AK448" s="97"/>
      <c r="AL448" s="97"/>
      <c r="AM448" s="97"/>
      <c r="AN448" s="97"/>
      <c r="AO448" s="97"/>
      <c r="AP448" s="97"/>
      <c r="AQ448" s="99"/>
      <c r="AR448" s="99"/>
      <c r="AS448" s="99"/>
    </row>
    <row r="449">
      <c r="A449" s="97"/>
      <c r="B449" s="97"/>
      <c r="C449" s="97"/>
      <c r="D449" s="97"/>
      <c r="E449" s="97"/>
      <c r="F449" s="97"/>
      <c r="G449" s="98"/>
      <c r="H449" s="97"/>
      <c r="I449" s="97"/>
      <c r="J449" s="97"/>
      <c r="K449" s="97"/>
      <c r="L449" s="97"/>
      <c r="M449" s="97"/>
      <c r="N449" s="97"/>
      <c r="O449" s="97"/>
      <c r="P449" s="97"/>
      <c r="Q449" s="97"/>
      <c r="R449" s="97"/>
      <c r="S449" s="97"/>
      <c r="T449" s="97"/>
      <c r="U449" s="98"/>
      <c r="V449" s="97"/>
      <c r="W449" s="97"/>
      <c r="X449" s="97"/>
      <c r="Y449" s="97"/>
      <c r="Z449" s="97"/>
      <c r="AA449" s="97"/>
      <c r="AB449" s="97"/>
      <c r="AC449" s="97"/>
      <c r="AD449" s="97"/>
      <c r="AE449" s="97"/>
      <c r="AF449" s="97"/>
      <c r="AG449" s="97"/>
      <c r="AH449" s="97"/>
      <c r="AI449" s="97"/>
      <c r="AJ449" s="97"/>
      <c r="AK449" s="97"/>
      <c r="AL449" s="97"/>
      <c r="AM449" s="97"/>
      <c r="AN449" s="97"/>
      <c r="AO449" s="97"/>
      <c r="AP449" s="97"/>
      <c r="AQ449" s="99"/>
      <c r="AR449" s="99"/>
      <c r="AS449" s="99"/>
    </row>
    <row r="450">
      <c r="A450" s="97"/>
      <c r="B450" s="97"/>
      <c r="C450" s="97"/>
      <c r="D450" s="97"/>
      <c r="E450" s="97"/>
      <c r="F450" s="97"/>
      <c r="G450" s="98"/>
      <c r="H450" s="97"/>
      <c r="I450" s="97"/>
      <c r="J450" s="97"/>
      <c r="K450" s="97"/>
      <c r="L450" s="97"/>
      <c r="M450" s="97"/>
      <c r="N450" s="97"/>
      <c r="O450" s="97"/>
      <c r="P450" s="97"/>
      <c r="Q450" s="97"/>
      <c r="R450" s="97"/>
      <c r="S450" s="97"/>
      <c r="T450" s="97"/>
      <c r="U450" s="98"/>
      <c r="V450" s="97"/>
      <c r="W450" s="97"/>
      <c r="X450" s="97"/>
      <c r="Y450" s="97"/>
      <c r="Z450" s="97"/>
      <c r="AA450" s="97"/>
      <c r="AB450" s="97"/>
      <c r="AC450" s="97"/>
      <c r="AD450" s="97"/>
      <c r="AE450" s="97"/>
      <c r="AF450" s="97"/>
      <c r="AG450" s="97"/>
      <c r="AH450" s="97"/>
      <c r="AI450" s="97"/>
      <c r="AJ450" s="97"/>
      <c r="AK450" s="97"/>
      <c r="AL450" s="97"/>
      <c r="AM450" s="97"/>
      <c r="AN450" s="97"/>
      <c r="AO450" s="97"/>
      <c r="AP450" s="97"/>
      <c r="AQ450" s="99"/>
      <c r="AR450" s="99"/>
      <c r="AS450" s="99"/>
    </row>
    <row r="451">
      <c r="A451" s="97"/>
      <c r="B451" s="97"/>
      <c r="C451" s="97"/>
      <c r="D451" s="97"/>
      <c r="E451" s="97"/>
      <c r="F451" s="97"/>
      <c r="G451" s="98"/>
      <c r="H451" s="97"/>
      <c r="I451" s="97"/>
      <c r="J451" s="97"/>
      <c r="K451" s="97"/>
      <c r="L451" s="97"/>
      <c r="M451" s="97"/>
      <c r="N451" s="97"/>
      <c r="O451" s="97"/>
      <c r="P451" s="97"/>
      <c r="Q451" s="97"/>
      <c r="R451" s="97"/>
      <c r="S451" s="97"/>
      <c r="T451" s="97"/>
      <c r="U451" s="98"/>
      <c r="V451" s="97"/>
      <c r="W451" s="97"/>
      <c r="X451" s="97"/>
      <c r="Y451" s="97"/>
      <c r="Z451" s="97"/>
      <c r="AA451" s="97"/>
      <c r="AB451" s="97"/>
      <c r="AC451" s="97"/>
      <c r="AD451" s="97"/>
      <c r="AE451" s="97"/>
      <c r="AF451" s="97"/>
      <c r="AG451" s="97"/>
      <c r="AH451" s="97"/>
      <c r="AI451" s="97"/>
      <c r="AJ451" s="97"/>
      <c r="AK451" s="97"/>
      <c r="AL451" s="97"/>
      <c r="AM451" s="97"/>
      <c r="AN451" s="97"/>
      <c r="AO451" s="97"/>
      <c r="AP451" s="97"/>
      <c r="AQ451" s="99"/>
      <c r="AR451" s="99"/>
      <c r="AS451" s="99"/>
    </row>
    <row r="452">
      <c r="A452" s="97"/>
      <c r="B452" s="97"/>
      <c r="C452" s="97"/>
      <c r="D452" s="97"/>
      <c r="E452" s="97"/>
      <c r="F452" s="97"/>
      <c r="G452" s="98"/>
      <c r="H452" s="97"/>
      <c r="I452" s="97"/>
      <c r="J452" s="97"/>
      <c r="K452" s="97"/>
      <c r="L452" s="97"/>
      <c r="M452" s="97"/>
      <c r="N452" s="97"/>
      <c r="O452" s="97"/>
      <c r="P452" s="97"/>
      <c r="Q452" s="97"/>
      <c r="R452" s="97"/>
      <c r="S452" s="97"/>
      <c r="T452" s="97"/>
      <c r="U452" s="98"/>
      <c r="V452" s="97"/>
      <c r="W452" s="97"/>
      <c r="X452" s="97"/>
      <c r="Y452" s="97"/>
      <c r="Z452" s="97"/>
      <c r="AA452" s="97"/>
      <c r="AB452" s="97"/>
      <c r="AC452" s="97"/>
      <c r="AD452" s="97"/>
      <c r="AE452" s="97"/>
      <c r="AF452" s="97"/>
      <c r="AG452" s="97"/>
      <c r="AH452" s="97"/>
      <c r="AI452" s="97"/>
      <c r="AJ452" s="97"/>
      <c r="AK452" s="97"/>
      <c r="AL452" s="97"/>
      <c r="AM452" s="97"/>
      <c r="AN452" s="97"/>
      <c r="AO452" s="97"/>
      <c r="AP452" s="97"/>
      <c r="AQ452" s="99"/>
      <c r="AR452" s="99"/>
      <c r="AS452" s="99"/>
    </row>
    <row r="453">
      <c r="A453" s="97"/>
      <c r="B453" s="97"/>
      <c r="C453" s="97"/>
      <c r="D453" s="97"/>
      <c r="E453" s="97"/>
      <c r="F453" s="97"/>
      <c r="G453" s="98"/>
      <c r="H453" s="97"/>
      <c r="I453" s="97"/>
      <c r="J453" s="97"/>
      <c r="K453" s="97"/>
      <c r="L453" s="97"/>
      <c r="M453" s="97"/>
      <c r="N453" s="97"/>
      <c r="O453" s="97"/>
      <c r="P453" s="97"/>
      <c r="Q453" s="97"/>
      <c r="R453" s="97"/>
      <c r="S453" s="97"/>
      <c r="T453" s="97"/>
      <c r="U453" s="98"/>
      <c r="V453" s="97"/>
      <c r="W453" s="97"/>
      <c r="X453" s="97"/>
      <c r="Y453" s="97"/>
      <c r="Z453" s="97"/>
      <c r="AA453" s="97"/>
      <c r="AB453" s="97"/>
      <c r="AC453" s="97"/>
      <c r="AD453" s="97"/>
      <c r="AE453" s="97"/>
      <c r="AF453" s="97"/>
      <c r="AG453" s="97"/>
      <c r="AH453" s="97"/>
      <c r="AI453" s="97"/>
      <c r="AJ453" s="97"/>
      <c r="AK453" s="97"/>
      <c r="AL453" s="97"/>
      <c r="AM453" s="97"/>
      <c r="AN453" s="97"/>
      <c r="AO453" s="97"/>
      <c r="AP453" s="97"/>
      <c r="AQ453" s="99"/>
      <c r="AR453" s="99"/>
      <c r="AS453" s="99"/>
    </row>
    <row r="454">
      <c r="A454" s="97"/>
      <c r="B454" s="97"/>
      <c r="C454" s="97"/>
      <c r="D454" s="97"/>
      <c r="E454" s="97"/>
      <c r="F454" s="97"/>
      <c r="G454" s="98"/>
      <c r="H454" s="97"/>
      <c r="I454" s="97"/>
      <c r="J454" s="97"/>
      <c r="K454" s="97"/>
      <c r="L454" s="97"/>
      <c r="M454" s="97"/>
      <c r="N454" s="97"/>
      <c r="O454" s="97"/>
      <c r="P454" s="97"/>
      <c r="Q454" s="97"/>
      <c r="R454" s="97"/>
      <c r="S454" s="97"/>
      <c r="T454" s="97"/>
      <c r="U454" s="98"/>
      <c r="V454" s="97"/>
      <c r="W454" s="97"/>
      <c r="X454" s="97"/>
      <c r="Y454" s="97"/>
      <c r="Z454" s="97"/>
      <c r="AA454" s="97"/>
      <c r="AB454" s="97"/>
      <c r="AC454" s="97"/>
      <c r="AD454" s="97"/>
      <c r="AE454" s="97"/>
      <c r="AF454" s="97"/>
      <c r="AG454" s="97"/>
      <c r="AH454" s="97"/>
      <c r="AI454" s="97"/>
      <c r="AJ454" s="97"/>
      <c r="AK454" s="97"/>
      <c r="AL454" s="97"/>
      <c r="AM454" s="97"/>
      <c r="AN454" s="97"/>
      <c r="AO454" s="97"/>
      <c r="AP454" s="97"/>
      <c r="AQ454" s="99"/>
      <c r="AR454" s="99"/>
      <c r="AS454" s="99"/>
    </row>
    <row r="455">
      <c r="A455" s="97"/>
      <c r="B455" s="97"/>
      <c r="C455" s="97"/>
      <c r="D455" s="97"/>
      <c r="E455" s="97"/>
      <c r="F455" s="97"/>
      <c r="G455" s="98"/>
      <c r="H455" s="97"/>
      <c r="I455" s="97"/>
      <c r="J455" s="97"/>
      <c r="K455" s="97"/>
      <c r="L455" s="97"/>
      <c r="M455" s="97"/>
      <c r="N455" s="97"/>
      <c r="O455" s="97"/>
      <c r="P455" s="97"/>
      <c r="Q455" s="97"/>
      <c r="R455" s="97"/>
      <c r="S455" s="97"/>
      <c r="T455" s="97"/>
      <c r="U455" s="98"/>
      <c r="V455" s="97"/>
      <c r="W455" s="97"/>
      <c r="X455" s="97"/>
      <c r="Y455" s="97"/>
      <c r="Z455" s="97"/>
      <c r="AA455" s="97"/>
      <c r="AB455" s="97"/>
      <c r="AC455" s="97"/>
      <c r="AD455" s="97"/>
      <c r="AE455" s="97"/>
      <c r="AF455" s="97"/>
      <c r="AG455" s="97"/>
      <c r="AH455" s="97"/>
      <c r="AI455" s="97"/>
      <c r="AJ455" s="97"/>
      <c r="AK455" s="97"/>
      <c r="AL455" s="97"/>
      <c r="AM455" s="97"/>
      <c r="AN455" s="97"/>
      <c r="AO455" s="97"/>
      <c r="AP455" s="97"/>
      <c r="AQ455" s="99"/>
      <c r="AR455" s="99"/>
      <c r="AS455" s="99"/>
    </row>
    <row r="456">
      <c r="A456" s="97"/>
      <c r="B456" s="97"/>
      <c r="C456" s="97"/>
      <c r="D456" s="97"/>
      <c r="E456" s="97"/>
      <c r="F456" s="97"/>
      <c r="G456" s="98"/>
      <c r="H456" s="97"/>
      <c r="I456" s="97"/>
      <c r="J456" s="97"/>
      <c r="K456" s="97"/>
      <c r="L456" s="97"/>
      <c r="M456" s="97"/>
      <c r="N456" s="97"/>
      <c r="O456" s="97"/>
      <c r="P456" s="97"/>
      <c r="Q456" s="97"/>
      <c r="R456" s="97"/>
      <c r="S456" s="97"/>
      <c r="T456" s="97"/>
      <c r="U456" s="98"/>
      <c r="V456" s="97"/>
      <c r="W456" s="97"/>
      <c r="X456" s="97"/>
      <c r="Y456" s="97"/>
      <c r="Z456" s="97"/>
      <c r="AA456" s="97"/>
      <c r="AB456" s="97"/>
      <c r="AC456" s="97"/>
      <c r="AD456" s="97"/>
      <c r="AE456" s="97"/>
      <c r="AF456" s="97"/>
      <c r="AG456" s="97"/>
      <c r="AH456" s="97"/>
      <c r="AI456" s="97"/>
      <c r="AJ456" s="97"/>
      <c r="AK456" s="97"/>
      <c r="AL456" s="97"/>
      <c r="AM456" s="97"/>
      <c r="AN456" s="97"/>
      <c r="AO456" s="97"/>
      <c r="AP456" s="97"/>
      <c r="AQ456" s="99"/>
      <c r="AR456" s="99"/>
      <c r="AS456" s="99"/>
    </row>
    <row r="457">
      <c r="A457" s="97"/>
      <c r="B457" s="97"/>
      <c r="C457" s="97"/>
      <c r="D457" s="97"/>
      <c r="E457" s="97"/>
      <c r="F457" s="97"/>
      <c r="G457" s="98"/>
      <c r="H457" s="97"/>
      <c r="I457" s="97"/>
      <c r="J457" s="97"/>
      <c r="K457" s="97"/>
      <c r="L457" s="97"/>
      <c r="M457" s="97"/>
      <c r="N457" s="97"/>
      <c r="O457" s="97"/>
      <c r="P457" s="97"/>
      <c r="Q457" s="97"/>
      <c r="R457" s="97"/>
      <c r="S457" s="97"/>
      <c r="T457" s="97"/>
      <c r="U457" s="98"/>
      <c r="V457" s="97"/>
      <c r="W457" s="97"/>
      <c r="X457" s="97"/>
      <c r="Y457" s="97"/>
      <c r="Z457" s="97"/>
      <c r="AA457" s="97"/>
      <c r="AB457" s="97"/>
      <c r="AC457" s="97"/>
      <c r="AD457" s="97"/>
      <c r="AE457" s="97"/>
      <c r="AF457" s="97"/>
      <c r="AG457" s="97"/>
      <c r="AH457" s="97"/>
      <c r="AI457" s="97"/>
      <c r="AJ457" s="97"/>
      <c r="AK457" s="97"/>
      <c r="AL457" s="97"/>
      <c r="AM457" s="97"/>
      <c r="AN457" s="97"/>
      <c r="AO457" s="97"/>
      <c r="AP457" s="97"/>
      <c r="AQ457" s="99"/>
      <c r="AR457" s="99"/>
      <c r="AS457" s="99"/>
    </row>
    <row r="458">
      <c r="A458" s="97"/>
      <c r="B458" s="97"/>
      <c r="C458" s="97"/>
      <c r="D458" s="97"/>
      <c r="E458" s="97"/>
      <c r="F458" s="97"/>
      <c r="G458" s="98"/>
      <c r="H458" s="97"/>
      <c r="I458" s="97"/>
      <c r="J458" s="97"/>
      <c r="K458" s="97"/>
      <c r="L458" s="97"/>
      <c r="M458" s="97"/>
      <c r="N458" s="97"/>
      <c r="O458" s="97"/>
      <c r="P458" s="97"/>
      <c r="Q458" s="97"/>
      <c r="R458" s="97"/>
      <c r="S458" s="97"/>
      <c r="T458" s="97"/>
      <c r="U458" s="98"/>
      <c r="V458" s="97"/>
      <c r="W458" s="97"/>
      <c r="X458" s="97"/>
      <c r="Y458" s="97"/>
      <c r="Z458" s="97"/>
      <c r="AA458" s="97"/>
      <c r="AB458" s="97"/>
      <c r="AC458" s="97"/>
      <c r="AD458" s="97"/>
      <c r="AE458" s="97"/>
      <c r="AF458" s="97"/>
      <c r="AG458" s="97"/>
      <c r="AH458" s="97"/>
      <c r="AI458" s="97"/>
      <c r="AJ458" s="97"/>
      <c r="AK458" s="97"/>
      <c r="AL458" s="97"/>
      <c r="AM458" s="97"/>
      <c r="AN458" s="97"/>
      <c r="AO458" s="97"/>
      <c r="AP458" s="97"/>
      <c r="AQ458" s="99"/>
      <c r="AR458" s="99"/>
      <c r="AS458" s="99"/>
    </row>
    <row r="459">
      <c r="A459" s="97"/>
      <c r="B459" s="97"/>
      <c r="C459" s="97"/>
      <c r="D459" s="97"/>
      <c r="E459" s="97"/>
      <c r="F459" s="97"/>
      <c r="G459" s="98"/>
      <c r="H459" s="97"/>
      <c r="I459" s="97"/>
      <c r="J459" s="97"/>
      <c r="K459" s="97"/>
      <c r="L459" s="97"/>
      <c r="M459" s="97"/>
      <c r="N459" s="97"/>
      <c r="O459" s="97"/>
      <c r="P459" s="97"/>
      <c r="Q459" s="97"/>
      <c r="R459" s="97"/>
      <c r="S459" s="97"/>
      <c r="T459" s="97"/>
      <c r="U459" s="98"/>
      <c r="V459" s="97"/>
      <c r="W459" s="97"/>
      <c r="X459" s="97"/>
      <c r="Y459" s="97"/>
      <c r="Z459" s="97"/>
      <c r="AA459" s="97"/>
      <c r="AB459" s="97"/>
      <c r="AC459" s="97"/>
      <c r="AD459" s="97"/>
      <c r="AE459" s="97"/>
      <c r="AF459" s="97"/>
      <c r="AG459" s="97"/>
      <c r="AH459" s="97"/>
      <c r="AI459" s="97"/>
      <c r="AJ459" s="97"/>
      <c r="AK459" s="97"/>
      <c r="AL459" s="97"/>
      <c r="AM459" s="97"/>
      <c r="AN459" s="97"/>
      <c r="AO459" s="97"/>
      <c r="AP459" s="97"/>
      <c r="AQ459" s="99"/>
      <c r="AR459" s="99"/>
      <c r="AS459" s="99"/>
    </row>
    <row r="460">
      <c r="A460" s="97"/>
      <c r="B460" s="97"/>
      <c r="C460" s="97"/>
      <c r="D460" s="97"/>
      <c r="E460" s="97"/>
      <c r="F460" s="97"/>
      <c r="G460" s="98"/>
      <c r="H460" s="97"/>
      <c r="I460" s="97"/>
      <c r="J460" s="97"/>
      <c r="K460" s="97"/>
      <c r="L460" s="97"/>
      <c r="M460" s="97"/>
      <c r="N460" s="97"/>
      <c r="O460" s="97"/>
      <c r="P460" s="97"/>
      <c r="Q460" s="97"/>
      <c r="R460" s="97"/>
      <c r="S460" s="97"/>
      <c r="T460" s="97"/>
      <c r="U460" s="98"/>
      <c r="V460" s="97"/>
      <c r="W460" s="97"/>
      <c r="X460" s="97"/>
      <c r="Y460" s="97"/>
      <c r="Z460" s="97"/>
      <c r="AA460" s="97"/>
      <c r="AB460" s="97"/>
      <c r="AC460" s="97"/>
      <c r="AD460" s="97"/>
      <c r="AE460" s="97"/>
      <c r="AF460" s="97"/>
      <c r="AG460" s="97"/>
      <c r="AH460" s="97"/>
      <c r="AI460" s="97"/>
      <c r="AJ460" s="97"/>
      <c r="AK460" s="97"/>
      <c r="AL460" s="97"/>
      <c r="AM460" s="97"/>
      <c r="AN460" s="97"/>
      <c r="AO460" s="97"/>
      <c r="AP460" s="97"/>
      <c r="AQ460" s="99"/>
      <c r="AR460" s="99"/>
      <c r="AS460" s="99"/>
    </row>
    <row r="461">
      <c r="A461" s="97"/>
      <c r="B461" s="97"/>
      <c r="C461" s="97"/>
      <c r="D461" s="97"/>
      <c r="E461" s="97"/>
      <c r="F461" s="97"/>
      <c r="G461" s="98"/>
      <c r="H461" s="97"/>
      <c r="I461" s="97"/>
      <c r="J461" s="97"/>
      <c r="K461" s="97"/>
      <c r="L461" s="97"/>
      <c r="M461" s="97"/>
      <c r="N461" s="97"/>
      <c r="O461" s="97"/>
      <c r="P461" s="97"/>
      <c r="Q461" s="97"/>
      <c r="R461" s="97"/>
      <c r="S461" s="97"/>
      <c r="T461" s="97"/>
      <c r="U461" s="98"/>
      <c r="V461" s="97"/>
      <c r="W461" s="97"/>
      <c r="X461" s="97"/>
      <c r="Y461" s="97"/>
      <c r="Z461" s="97"/>
      <c r="AA461" s="97"/>
      <c r="AB461" s="97"/>
      <c r="AC461" s="97"/>
      <c r="AD461" s="97"/>
      <c r="AE461" s="97"/>
      <c r="AF461" s="97"/>
      <c r="AG461" s="97"/>
      <c r="AH461" s="97"/>
      <c r="AI461" s="97"/>
      <c r="AJ461" s="97"/>
      <c r="AK461" s="97"/>
      <c r="AL461" s="97"/>
      <c r="AM461" s="97"/>
      <c r="AN461" s="97"/>
      <c r="AO461" s="97"/>
      <c r="AP461" s="97"/>
      <c r="AQ461" s="99"/>
      <c r="AR461" s="99"/>
      <c r="AS461" s="99"/>
    </row>
    <row r="462">
      <c r="A462" s="97"/>
      <c r="B462" s="97"/>
      <c r="C462" s="97"/>
      <c r="D462" s="97"/>
      <c r="E462" s="97"/>
      <c r="F462" s="97"/>
      <c r="G462" s="98"/>
      <c r="H462" s="97"/>
      <c r="I462" s="97"/>
      <c r="J462" s="97"/>
      <c r="K462" s="97"/>
      <c r="L462" s="97"/>
      <c r="M462" s="97"/>
      <c r="N462" s="97"/>
      <c r="O462" s="97"/>
      <c r="P462" s="97"/>
      <c r="Q462" s="97"/>
      <c r="R462" s="97"/>
      <c r="S462" s="97"/>
      <c r="T462" s="97"/>
      <c r="U462" s="98"/>
      <c r="V462" s="97"/>
      <c r="W462" s="97"/>
      <c r="X462" s="97"/>
      <c r="Y462" s="97"/>
      <c r="Z462" s="97"/>
      <c r="AA462" s="97"/>
      <c r="AB462" s="97"/>
      <c r="AC462" s="97"/>
      <c r="AD462" s="97"/>
      <c r="AE462" s="97"/>
      <c r="AF462" s="97"/>
      <c r="AG462" s="97"/>
      <c r="AH462" s="97"/>
      <c r="AI462" s="97"/>
      <c r="AJ462" s="97"/>
      <c r="AK462" s="97"/>
      <c r="AL462" s="97"/>
      <c r="AM462" s="97"/>
      <c r="AN462" s="97"/>
      <c r="AO462" s="97"/>
      <c r="AP462" s="97"/>
      <c r="AQ462" s="99"/>
      <c r="AR462" s="99"/>
      <c r="AS462" s="99"/>
    </row>
    <row r="463">
      <c r="A463" s="97"/>
      <c r="B463" s="97"/>
      <c r="C463" s="97"/>
      <c r="D463" s="97"/>
      <c r="E463" s="97"/>
      <c r="F463" s="97"/>
      <c r="G463" s="98"/>
      <c r="H463" s="97"/>
      <c r="I463" s="97"/>
      <c r="J463" s="97"/>
      <c r="K463" s="97"/>
      <c r="L463" s="97"/>
      <c r="M463" s="97"/>
      <c r="N463" s="97"/>
      <c r="O463" s="97"/>
      <c r="P463" s="97"/>
      <c r="Q463" s="97"/>
      <c r="R463" s="97"/>
      <c r="S463" s="97"/>
      <c r="T463" s="97"/>
      <c r="U463" s="98"/>
      <c r="V463" s="97"/>
      <c r="W463" s="97"/>
      <c r="X463" s="97"/>
      <c r="Y463" s="97"/>
      <c r="Z463" s="97"/>
      <c r="AA463" s="97"/>
      <c r="AB463" s="97"/>
      <c r="AC463" s="97"/>
      <c r="AD463" s="97"/>
      <c r="AE463" s="97"/>
      <c r="AF463" s="97"/>
      <c r="AG463" s="97"/>
      <c r="AH463" s="97"/>
      <c r="AI463" s="97"/>
      <c r="AJ463" s="97"/>
      <c r="AK463" s="97"/>
      <c r="AL463" s="97"/>
      <c r="AM463" s="97"/>
      <c r="AN463" s="97"/>
      <c r="AO463" s="97"/>
      <c r="AP463" s="97"/>
      <c r="AQ463" s="99"/>
      <c r="AR463" s="99"/>
      <c r="AS463" s="99"/>
    </row>
    <row r="464">
      <c r="A464" s="97"/>
      <c r="B464" s="97"/>
      <c r="C464" s="97"/>
      <c r="D464" s="97"/>
      <c r="E464" s="97"/>
      <c r="F464" s="97"/>
      <c r="G464" s="98"/>
      <c r="H464" s="97"/>
      <c r="I464" s="97"/>
      <c r="J464" s="97"/>
      <c r="K464" s="97"/>
      <c r="L464" s="97"/>
      <c r="M464" s="97"/>
      <c r="N464" s="97"/>
      <c r="O464" s="97"/>
      <c r="P464" s="97"/>
      <c r="Q464" s="97"/>
      <c r="R464" s="97"/>
      <c r="S464" s="97"/>
      <c r="T464" s="97"/>
      <c r="U464" s="98"/>
      <c r="V464" s="97"/>
      <c r="W464" s="97"/>
      <c r="X464" s="97"/>
      <c r="Y464" s="97"/>
      <c r="Z464" s="97"/>
      <c r="AA464" s="97"/>
      <c r="AB464" s="97"/>
      <c r="AC464" s="97"/>
      <c r="AD464" s="97"/>
      <c r="AE464" s="97"/>
      <c r="AF464" s="97"/>
      <c r="AG464" s="97"/>
      <c r="AH464" s="97"/>
      <c r="AI464" s="97"/>
      <c r="AJ464" s="97"/>
      <c r="AK464" s="97"/>
      <c r="AL464" s="97"/>
      <c r="AM464" s="97"/>
      <c r="AN464" s="97"/>
      <c r="AO464" s="97"/>
      <c r="AP464" s="97"/>
      <c r="AQ464" s="99"/>
      <c r="AR464" s="99"/>
      <c r="AS464" s="99"/>
    </row>
    <row r="465">
      <c r="A465" s="97"/>
      <c r="B465" s="97"/>
      <c r="C465" s="97"/>
      <c r="D465" s="97"/>
      <c r="E465" s="97"/>
      <c r="F465" s="97"/>
      <c r="G465" s="98"/>
      <c r="H465" s="97"/>
      <c r="I465" s="97"/>
      <c r="J465" s="97"/>
      <c r="K465" s="97"/>
      <c r="L465" s="97"/>
      <c r="M465" s="97"/>
      <c r="N465" s="97"/>
      <c r="O465" s="97"/>
      <c r="P465" s="97"/>
      <c r="Q465" s="97"/>
      <c r="R465" s="97"/>
      <c r="S465" s="97"/>
      <c r="T465" s="97"/>
      <c r="U465" s="98"/>
      <c r="V465" s="97"/>
      <c r="W465" s="97"/>
      <c r="X465" s="97"/>
      <c r="Y465" s="97"/>
      <c r="Z465" s="97"/>
      <c r="AA465" s="97"/>
      <c r="AB465" s="97"/>
      <c r="AC465" s="97"/>
      <c r="AD465" s="97"/>
      <c r="AE465" s="97"/>
      <c r="AF465" s="97"/>
      <c r="AG465" s="97"/>
      <c r="AH465" s="97"/>
      <c r="AI465" s="97"/>
      <c r="AJ465" s="97"/>
      <c r="AK465" s="97"/>
      <c r="AL465" s="97"/>
      <c r="AM465" s="97"/>
      <c r="AN465" s="97"/>
      <c r="AO465" s="97"/>
      <c r="AP465" s="97"/>
      <c r="AQ465" s="99"/>
      <c r="AR465" s="99"/>
      <c r="AS465" s="99"/>
    </row>
    <row r="466">
      <c r="A466" s="97"/>
      <c r="B466" s="97"/>
      <c r="C466" s="97"/>
      <c r="D466" s="97"/>
      <c r="E466" s="97"/>
      <c r="F466" s="97"/>
      <c r="G466" s="98"/>
      <c r="H466" s="97"/>
      <c r="I466" s="97"/>
      <c r="J466" s="97"/>
      <c r="K466" s="97"/>
      <c r="L466" s="97"/>
      <c r="M466" s="97"/>
      <c r="N466" s="97"/>
      <c r="O466" s="97"/>
      <c r="P466" s="97"/>
      <c r="Q466" s="97"/>
      <c r="R466" s="97"/>
      <c r="S466" s="97"/>
      <c r="T466" s="97"/>
      <c r="U466" s="98"/>
      <c r="V466" s="97"/>
      <c r="W466" s="97"/>
      <c r="X466" s="97"/>
      <c r="Y466" s="97"/>
      <c r="Z466" s="97"/>
      <c r="AA466" s="97"/>
      <c r="AB466" s="97"/>
      <c r="AC466" s="97"/>
      <c r="AD466" s="97"/>
      <c r="AE466" s="97"/>
      <c r="AF466" s="97"/>
      <c r="AG466" s="97"/>
      <c r="AH466" s="97"/>
      <c r="AI466" s="97"/>
      <c r="AJ466" s="97"/>
      <c r="AK466" s="97"/>
      <c r="AL466" s="97"/>
      <c r="AM466" s="97"/>
      <c r="AN466" s="97"/>
      <c r="AO466" s="97"/>
      <c r="AP466" s="97"/>
      <c r="AQ466" s="99"/>
      <c r="AR466" s="99"/>
      <c r="AS466" s="99"/>
    </row>
    <row r="467">
      <c r="A467" s="97"/>
      <c r="B467" s="97"/>
      <c r="C467" s="97"/>
      <c r="D467" s="97"/>
      <c r="E467" s="97"/>
      <c r="F467" s="97"/>
      <c r="G467" s="98"/>
      <c r="H467" s="97"/>
      <c r="I467" s="97"/>
      <c r="J467" s="97"/>
      <c r="K467" s="97"/>
      <c r="L467" s="97"/>
      <c r="M467" s="97"/>
      <c r="N467" s="97"/>
      <c r="O467" s="97"/>
      <c r="P467" s="97"/>
      <c r="Q467" s="97"/>
      <c r="R467" s="97"/>
      <c r="S467" s="97"/>
      <c r="T467" s="97"/>
      <c r="U467" s="98"/>
      <c r="V467" s="97"/>
      <c r="W467" s="97"/>
      <c r="X467" s="97"/>
      <c r="Y467" s="97"/>
      <c r="Z467" s="97"/>
      <c r="AA467" s="97"/>
      <c r="AB467" s="97"/>
      <c r="AC467" s="97"/>
      <c r="AD467" s="97"/>
      <c r="AE467" s="97"/>
      <c r="AF467" s="97"/>
      <c r="AG467" s="97"/>
      <c r="AH467" s="97"/>
      <c r="AI467" s="97"/>
      <c r="AJ467" s="97"/>
      <c r="AK467" s="97"/>
      <c r="AL467" s="97"/>
      <c r="AM467" s="97"/>
      <c r="AN467" s="97"/>
      <c r="AO467" s="97"/>
      <c r="AP467" s="97"/>
      <c r="AQ467" s="99"/>
      <c r="AR467" s="99"/>
      <c r="AS467" s="99"/>
    </row>
    <row r="468">
      <c r="A468" s="97"/>
      <c r="B468" s="97"/>
      <c r="C468" s="97"/>
      <c r="D468" s="97"/>
      <c r="E468" s="97"/>
      <c r="F468" s="97"/>
      <c r="G468" s="98"/>
      <c r="H468" s="97"/>
      <c r="I468" s="97"/>
      <c r="J468" s="97"/>
      <c r="K468" s="97"/>
      <c r="L468" s="97"/>
      <c r="M468" s="97"/>
      <c r="N468" s="97"/>
      <c r="O468" s="97"/>
      <c r="P468" s="97"/>
      <c r="Q468" s="97"/>
      <c r="R468" s="97"/>
      <c r="S468" s="97"/>
      <c r="T468" s="97"/>
      <c r="U468" s="98"/>
      <c r="V468" s="97"/>
      <c r="W468" s="97"/>
      <c r="X468" s="97"/>
      <c r="Y468" s="97"/>
      <c r="Z468" s="97"/>
      <c r="AA468" s="97"/>
      <c r="AB468" s="97"/>
      <c r="AC468" s="97"/>
      <c r="AD468" s="97"/>
      <c r="AE468" s="97"/>
      <c r="AF468" s="97"/>
      <c r="AG468" s="97"/>
      <c r="AH468" s="97"/>
      <c r="AI468" s="97"/>
      <c r="AJ468" s="97"/>
      <c r="AK468" s="97"/>
      <c r="AL468" s="97"/>
      <c r="AM468" s="97"/>
      <c r="AN468" s="97"/>
      <c r="AO468" s="97"/>
      <c r="AP468" s="97"/>
      <c r="AQ468" s="99"/>
      <c r="AR468" s="99"/>
      <c r="AS468" s="99"/>
    </row>
    <row r="469">
      <c r="A469" s="97"/>
      <c r="B469" s="97"/>
      <c r="C469" s="97"/>
      <c r="D469" s="97"/>
      <c r="E469" s="97"/>
      <c r="F469" s="97"/>
      <c r="G469" s="98"/>
      <c r="H469" s="97"/>
      <c r="I469" s="97"/>
      <c r="J469" s="97"/>
      <c r="K469" s="97"/>
      <c r="L469" s="97"/>
      <c r="M469" s="97"/>
      <c r="N469" s="97"/>
      <c r="O469" s="97"/>
      <c r="P469" s="97"/>
      <c r="Q469" s="97"/>
      <c r="R469" s="97"/>
      <c r="S469" s="97"/>
      <c r="T469" s="97"/>
      <c r="U469" s="98"/>
      <c r="V469" s="97"/>
      <c r="W469" s="97"/>
      <c r="X469" s="97"/>
      <c r="Y469" s="97"/>
      <c r="Z469" s="97"/>
      <c r="AA469" s="97"/>
      <c r="AB469" s="97"/>
      <c r="AC469" s="97"/>
      <c r="AD469" s="97"/>
      <c r="AE469" s="97"/>
      <c r="AF469" s="97"/>
      <c r="AG469" s="97"/>
      <c r="AH469" s="97"/>
      <c r="AI469" s="97"/>
      <c r="AJ469" s="97"/>
      <c r="AK469" s="97"/>
      <c r="AL469" s="97"/>
      <c r="AM469" s="97"/>
      <c r="AN469" s="97"/>
      <c r="AO469" s="97"/>
      <c r="AP469" s="97"/>
      <c r="AQ469" s="99"/>
      <c r="AR469" s="99"/>
      <c r="AS469" s="99"/>
    </row>
    <row r="470">
      <c r="A470" s="97"/>
      <c r="B470" s="97"/>
      <c r="C470" s="97"/>
      <c r="D470" s="97"/>
      <c r="E470" s="97"/>
      <c r="F470" s="97"/>
      <c r="G470" s="98"/>
      <c r="H470" s="97"/>
      <c r="I470" s="97"/>
      <c r="J470" s="97"/>
      <c r="K470" s="97"/>
      <c r="L470" s="97"/>
      <c r="M470" s="97"/>
      <c r="N470" s="97"/>
      <c r="O470" s="97"/>
      <c r="P470" s="97"/>
      <c r="Q470" s="97"/>
      <c r="R470" s="97"/>
      <c r="S470" s="97"/>
      <c r="T470" s="97"/>
      <c r="U470" s="98"/>
      <c r="V470" s="97"/>
      <c r="W470" s="97"/>
      <c r="X470" s="97"/>
      <c r="Y470" s="97"/>
      <c r="Z470" s="97"/>
      <c r="AA470" s="97"/>
      <c r="AB470" s="97"/>
      <c r="AC470" s="97"/>
      <c r="AD470" s="97"/>
      <c r="AE470" s="97"/>
      <c r="AF470" s="97"/>
      <c r="AG470" s="97"/>
      <c r="AH470" s="97"/>
      <c r="AI470" s="97"/>
      <c r="AJ470" s="97"/>
      <c r="AK470" s="97"/>
      <c r="AL470" s="97"/>
      <c r="AM470" s="97"/>
      <c r="AN470" s="97"/>
      <c r="AO470" s="97"/>
      <c r="AP470" s="97"/>
      <c r="AQ470" s="99"/>
      <c r="AR470" s="99"/>
      <c r="AS470" s="99"/>
    </row>
    <row r="471">
      <c r="A471" s="97"/>
      <c r="B471" s="97"/>
      <c r="C471" s="97"/>
      <c r="D471" s="97"/>
      <c r="E471" s="97"/>
      <c r="F471" s="97"/>
      <c r="G471" s="98"/>
      <c r="H471" s="97"/>
      <c r="I471" s="97"/>
      <c r="J471" s="97"/>
      <c r="K471" s="97"/>
      <c r="L471" s="97"/>
      <c r="M471" s="97"/>
      <c r="N471" s="97"/>
      <c r="O471" s="97"/>
      <c r="P471" s="97"/>
      <c r="Q471" s="97"/>
      <c r="R471" s="97"/>
      <c r="S471" s="97"/>
      <c r="T471" s="97"/>
      <c r="U471" s="98"/>
      <c r="V471" s="97"/>
      <c r="W471" s="97"/>
      <c r="X471" s="97"/>
      <c r="Y471" s="97"/>
      <c r="Z471" s="97"/>
      <c r="AA471" s="97"/>
      <c r="AB471" s="97"/>
      <c r="AC471" s="97"/>
      <c r="AD471" s="97"/>
      <c r="AE471" s="97"/>
      <c r="AF471" s="97"/>
      <c r="AG471" s="97"/>
      <c r="AH471" s="97"/>
      <c r="AI471" s="97"/>
      <c r="AJ471" s="97"/>
      <c r="AK471" s="97"/>
      <c r="AL471" s="97"/>
      <c r="AM471" s="97"/>
      <c r="AN471" s="97"/>
      <c r="AO471" s="97"/>
      <c r="AP471" s="97"/>
      <c r="AQ471" s="99"/>
      <c r="AR471" s="99"/>
      <c r="AS471" s="99"/>
    </row>
    <row r="472">
      <c r="A472" s="97"/>
      <c r="B472" s="97"/>
      <c r="C472" s="97"/>
      <c r="D472" s="97"/>
      <c r="E472" s="97"/>
      <c r="F472" s="97"/>
      <c r="G472" s="98"/>
      <c r="H472" s="97"/>
      <c r="I472" s="97"/>
      <c r="J472" s="97"/>
      <c r="K472" s="97"/>
      <c r="L472" s="97"/>
      <c r="M472" s="97"/>
      <c r="N472" s="97"/>
      <c r="O472" s="97"/>
      <c r="P472" s="97"/>
      <c r="Q472" s="97"/>
      <c r="R472" s="97"/>
      <c r="S472" s="97"/>
      <c r="T472" s="97"/>
      <c r="U472" s="98"/>
      <c r="V472" s="97"/>
      <c r="W472" s="97"/>
      <c r="X472" s="97"/>
      <c r="Y472" s="97"/>
      <c r="Z472" s="97"/>
      <c r="AA472" s="97"/>
      <c r="AB472" s="97"/>
      <c r="AC472" s="97"/>
      <c r="AD472" s="97"/>
      <c r="AE472" s="97"/>
      <c r="AF472" s="97"/>
      <c r="AG472" s="97"/>
      <c r="AH472" s="97"/>
      <c r="AI472" s="97"/>
      <c r="AJ472" s="97"/>
      <c r="AK472" s="97"/>
      <c r="AL472" s="97"/>
      <c r="AM472" s="97"/>
      <c r="AN472" s="97"/>
      <c r="AO472" s="97"/>
      <c r="AP472" s="97"/>
      <c r="AQ472" s="99"/>
      <c r="AR472" s="99"/>
      <c r="AS472" s="99"/>
    </row>
    <row r="473">
      <c r="A473" s="97"/>
      <c r="B473" s="97"/>
      <c r="C473" s="97"/>
      <c r="D473" s="97"/>
      <c r="E473" s="97"/>
      <c r="F473" s="97"/>
      <c r="G473" s="98"/>
      <c r="H473" s="97"/>
      <c r="I473" s="97"/>
      <c r="J473" s="97"/>
      <c r="K473" s="97"/>
      <c r="L473" s="97"/>
      <c r="M473" s="97"/>
      <c r="N473" s="97"/>
      <c r="O473" s="97"/>
      <c r="P473" s="97"/>
      <c r="Q473" s="97"/>
      <c r="R473" s="97"/>
      <c r="S473" s="97"/>
      <c r="T473" s="97"/>
      <c r="U473" s="98"/>
      <c r="V473" s="97"/>
      <c r="W473" s="97"/>
      <c r="X473" s="97"/>
      <c r="Y473" s="97"/>
      <c r="Z473" s="97"/>
      <c r="AA473" s="97"/>
      <c r="AB473" s="97"/>
      <c r="AC473" s="97"/>
      <c r="AD473" s="97"/>
      <c r="AE473" s="97"/>
      <c r="AF473" s="97"/>
      <c r="AG473" s="97"/>
      <c r="AH473" s="97"/>
      <c r="AI473" s="97"/>
      <c r="AJ473" s="97"/>
      <c r="AK473" s="97"/>
      <c r="AL473" s="97"/>
      <c r="AM473" s="97"/>
      <c r="AN473" s="97"/>
      <c r="AO473" s="97"/>
      <c r="AP473" s="97"/>
      <c r="AQ473" s="99"/>
      <c r="AR473" s="99"/>
      <c r="AS473" s="99"/>
    </row>
    <row r="474">
      <c r="A474" s="97"/>
      <c r="B474" s="97"/>
      <c r="C474" s="97"/>
      <c r="D474" s="97"/>
      <c r="E474" s="97"/>
      <c r="F474" s="97"/>
      <c r="G474" s="98"/>
      <c r="H474" s="97"/>
      <c r="I474" s="97"/>
      <c r="J474" s="97"/>
      <c r="K474" s="97"/>
      <c r="L474" s="97"/>
      <c r="M474" s="97"/>
      <c r="N474" s="97"/>
      <c r="O474" s="97"/>
      <c r="P474" s="97"/>
      <c r="Q474" s="97"/>
      <c r="R474" s="97"/>
      <c r="S474" s="97"/>
      <c r="T474" s="97"/>
      <c r="U474" s="98"/>
      <c r="V474" s="97"/>
      <c r="W474" s="97"/>
      <c r="X474" s="97"/>
      <c r="Y474" s="97"/>
      <c r="Z474" s="97"/>
      <c r="AA474" s="97"/>
      <c r="AB474" s="97"/>
      <c r="AC474" s="97"/>
      <c r="AD474" s="97"/>
      <c r="AE474" s="97"/>
      <c r="AF474" s="97"/>
      <c r="AG474" s="97"/>
      <c r="AH474" s="97"/>
      <c r="AI474" s="97"/>
      <c r="AJ474" s="97"/>
      <c r="AK474" s="97"/>
      <c r="AL474" s="97"/>
      <c r="AM474" s="97"/>
      <c r="AN474" s="97"/>
      <c r="AO474" s="97"/>
      <c r="AP474" s="97"/>
      <c r="AQ474" s="99"/>
      <c r="AR474" s="99"/>
      <c r="AS474" s="99"/>
    </row>
    <row r="475">
      <c r="A475" s="97"/>
      <c r="B475" s="97"/>
      <c r="C475" s="97"/>
      <c r="D475" s="97"/>
      <c r="E475" s="97"/>
      <c r="F475" s="97"/>
      <c r="G475" s="98"/>
      <c r="H475" s="97"/>
      <c r="I475" s="97"/>
      <c r="J475" s="97"/>
      <c r="K475" s="97"/>
      <c r="L475" s="97"/>
      <c r="M475" s="97"/>
      <c r="N475" s="97"/>
      <c r="O475" s="97"/>
      <c r="P475" s="97"/>
      <c r="Q475" s="97"/>
      <c r="R475" s="97"/>
      <c r="S475" s="97"/>
      <c r="T475" s="97"/>
      <c r="U475" s="98"/>
      <c r="V475" s="97"/>
      <c r="W475" s="97"/>
      <c r="X475" s="97"/>
      <c r="Y475" s="97"/>
      <c r="Z475" s="97"/>
      <c r="AA475" s="97"/>
      <c r="AB475" s="97"/>
      <c r="AC475" s="97"/>
      <c r="AD475" s="97"/>
      <c r="AE475" s="97"/>
      <c r="AF475" s="97"/>
      <c r="AG475" s="97"/>
      <c r="AH475" s="97"/>
      <c r="AI475" s="97"/>
      <c r="AJ475" s="97"/>
      <c r="AK475" s="97"/>
      <c r="AL475" s="97"/>
      <c r="AM475" s="97"/>
      <c r="AN475" s="97"/>
      <c r="AO475" s="97"/>
      <c r="AP475" s="97"/>
      <c r="AQ475" s="99"/>
      <c r="AR475" s="99"/>
      <c r="AS475" s="99"/>
    </row>
    <row r="476">
      <c r="A476" s="97"/>
      <c r="B476" s="97"/>
      <c r="C476" s="97"/>
      <c r="D476" s="97"/>
      <c r="E476" s="97"/>
      <c r="F476" s="97"/>
      <c r="G476" s="98"/>
      <c r="H476" s="97"/>
      <c r="I476" s="97"/>
      <c r="J476" s="97"/>
      <c r="K476" s="97"/>
      <c r="L476" s="97"/>
      <c r="M476" s="97"/>
      <c r="N476" s="97"/>
      <c r="O476" s="97"/>
      <c r="P476" s="97"/>
      <c r="Q476" s="97"/>
      <c r="R476" s="97"/>
      <c r="S476" s="97"/>
      <c r="T476" s="97"/>
      <c r="U476" s="98"/>
      <c r="V476" s="97"/>
      <c r="W476" s="97"/>
      <c r="X476" s="97"/>
      <c r="Y476" s="97"/>
      <c r="Z476" s="97"/>
      <c r="AA476" s="97"/>
      <c r="AB476" s="97"/>
      <c r="AC476" s="97"/>
      <c r="AD476" s="97"/>
      <c r="AE476" s="97"/>
      <c r="AF476" s="97"/>
      <c r="AG476" s="97"/>
      <c r="AH476" s="97"/>
      <c r="AI476" s="97"/>
      <c r="AJ476" s="97"/>
      <c r="AK476" s="97"/>
      <c r="AL476" s="97"/>
      <c r="AM476" s="97"/>
      <c r="AN476" s="97"/>
      <c r="AO476" s="97"/>
      <c r="AP476" s="97"/>
      <c r="AQ476" s="99"/>
      <c r="AR476" s="99"/>
      <c r="AS476" s="99"/>
    </row>
    <row r="477">
      <c r="A477" s="97"/>
      <c r="B477" s="97"/>
      <c r="C477" s="97"/>
      <c r="D477" s="97"/>
      <c r="E477" s="97"/>
      <c r="F477" s="97"/>
      <c r="G477" s="98"/>
      <c r="H477" s="97"/>
      <c r="I477" s="97"/>
      <c r="J477" s="97"/>
      <c r="K477" s="97"/>
      <c r="L477" s="97"/>
      <c r="M477" s="97"/>
      <c r="N477" s="97"/>
      <c r="O477" s="97"/>
      <c r="P477" s="97"/>
      <c r="Q477" s="97"/>
      <c r="R477" s="97"/>
      <c r="S477" s="97"/>
      <c r="T477" s="97"/>
      <c r="U477" s="98"/>
      <c r="V477" s="97"/>
      <c r="W477" s="97"/>
      <c r="X477" s="97"/>
      <c r="Y477" s="97"/>
      <c r="Z477" s="97"/>
      <c r="AA477" s="97"/>
      <c r="AB477" s="97"/>
      <c r="AC477" s="97"/>
      <c r="AD477" s="97"/>
      <c r="AE477" s="97"/>
      <c r="AF477" s="97"/>
      <c r="AG477" s="97"/>
      <c r="AH477" s="97"/>
      <c r="AI477" s="97"/>
      <c r="AJ477" s="97"/>
      <c r="AK477" s="97"/>
      <c r="AL477" s="97"/>
      <c r="AM477" s="97"/>
      <c r="AN477" s="97"/>
      <c r="AO477" s="97"/>
      <c r="AP477" s="97"/>
      <c r="AQ477" s="99"/>
      <c r="AR477" s="99"/>
      <c r="AS477" s="99"/>
    </row>
    <row r="478">
      <c r="A478" s="97"/>
      <c r="B478" s="97"/>
      <c r="C478" s="97"/>
      <c r="D478" s="97"/>
      <c r="E478" s="97"/>
      <c r="F478" s="97"/>
      <c r="G478" s="98"/>
      <c r="H478" s="97"/>
      <c r="I478" s="97"/>
      <c r="J478" s="97"/>
      <c r="K478" s="97"/>
      <c r="L478" s="97"/>
      <c r="M478" s="97"/>
      <c r="N478" s="97"/>
      <c r="O478" s="97"/>
      <c r="P478" s="97"/>
      <c r="Q478" s="97"/>
      <c r="R478" s="97"/>
      <c r="S478" s="97"/>
      <c r="T478" s="97"/>
      <c r="U478" s="98"/>
      <c r="V478" s="97"/>
      <c r="W478" s="97"/>
      <c r="X478" s="97"/>
      <c r="Y478" s="97"/>
      <c r="Z478" s="97"/>
      <c r="AA478" s="97"/>
      <c r="AB478" s="97"/>
      <c r="AC478" s="97"/>
      <c r="AD478" s="97"/>
      <c r="AE478" s="97"/>
      <c r="AF478" s="97"/>
      <c r="AG478" s="97"/>
      <c r="AH478" s="97"/>
      <c r="AI478" s="97"/>
      <c r="AJ478" s="97"/>
      <c r="AK478" s="97"/>
      <c r="AL478" s="97"/>
      <c r="AM478" s="97"/>
      <c r="AN478" s="97"/>
      <c r="AO478" s="97"/>
      <c r="AP478" s="97"/>
      <c r="AQ478" s="99"/>
      <c r="AR478" s="99"/>
      <c r="AS478" s="99"/>
    </row>
    <row r="479">
      <c r="A479" s="97"/>
      <c r="B479" s="97"/>
      <c r="C479" s="97"/>
      <c r="D479" s="97"/>
      <c r="E479" s="97"/>
      <c r="F479" s="97"/>
      <c r="G479" s="98"/>
      <c r="H479" s="97"/>
      <c r="I479" s="97"/>
      <c r="J479" s="97"/>
      <c r="K479" s="97"/>
      <c r="L479" s="97"/>
      <c r="M479" s="97"/>
      <c r="N479" s="97"/>
      <c r="O479" s="97"/>
      <c r="P479" s="97"/>
      <c r="Q479" s="97"/>
      <c r="R479" s="97"/>
      <c r="S479" s="97"/>
      <c r="T479" s="97"/>
      <c r="U479" s="98"/>
      <c r="V479" s="97"/>
      <c r="W479" s="97"/>
      <c r="X479" s="97"/>
      <c r="Y479" s="97"/>
      <c r="Z479" s="97"/>
      <c r="AA479" s="97"/>
      <c r="AB479" s="97"/>
      <c r="AC479" s="97"/>
      <c r="AD479" s="97"/>
      <c r="AE479" s="97"/>
      <c r="AF479" s="97"/>
      <c r="AG479" s="97"/>
      <c r="AH479" s="97"/>
      <c r="AI479" s="97"/>
      <c r="AJ479" s="97"/>
      <c r="AK479" s="97"/>
      <c r="AL479" s="97"/>
      <c r="AM479" s="97"/>
      <c r="AN479" s="97"/>
      <c r="AO479" s="97"/>
      <c r="AP479" s="97"/>
      <c r="AQ479" s="99"/>
      <c r="AR479" s="99"/>
      <c r="AS479" s="99"/>
    </row>
    <row r="480">
      <c r="A480" s="97"/>
      <c r="B480" s="97"/>
      <c r="C480" s="97"/>
      <c r="D480" s="97"/>
      <c r="E480" s="97"/>
      <c r="F480" s="97"/>
      <c r="G480" s="98"/>
      <c r="H480" s="97"/>
      <c r="I480" s="97"/>
      <c r="J480" s="97"/>
      <c r="K480" s="97"/>
      <c r="L480" s="97"/>
      <c r="M480" s="97"/>
      <c r="N480" s="97"/>
      <c r="O480" s="97"/>
      <c r="P480" s="97"/>
      <c r="Q480" s="97"/>
      <c r="R480" s="97"/>
      <c r="S480" s="97"/>
      <c r="T480" s="97"/>
      <c r="U480" s="98"/>
      <c r="V480" s="97"/>
      <c r="W480" s="97"/>
      <c r="X480" s="97"/>
      <c r="Y480" s="97"/>
      <c r="Z480" s="97"/>
      <c r="AA480" s="97"/>
      <c r="AB480" s="97"/>
      <c r="AC480" s="97"/>
      <c r="AD480" s="97"/>
      <c r="AE480" s="97"/>
      <c r="AF480" s="97"/>
      <c r="AG480" s="97"/>
      <c r="AH480" s="97"/>
      <c r="AI480" s="97"/>
      <c r="AJ480" s="97"/>
      <c r="AK480" s="97"/>
      <c r="AL480" s="97"/>
      <c r="AM480" s="97"/>
      <c r="AN480" s="97"/>
      <c r="AO480" s="97"/>
      <c r="AP480" s="97"/>
      <c r="AQ480" s="99"/>
      <c r="AR480" s="99"/>
      <c r="AS480" s="99"/>
    </row>
    <row r="481">
      <c r="A481" s="97"/>
      <c r="B481" s="97"/>
      <c r="C481" s="97"/>
      <c r="D481" s="97"/>
      <c r="E481" s="97"/>
      <c r="F481" s="97"/>
      <c r="G481" s="98"/>
      <c r="H481" s="97"/>
      <c r="I481" s="97"/>
      <c r="J481" s="97"/>
      <c r="K481" s="97"/>
      <c r="L481" s="97"/>
      <c r="M481" s="97"/>
      <c r="N481" s="97"/>
      <c r="O481" s="97"/>
      <c r="P481" s="97"/>
      <c r="Q481" s="97"/>
      <c r="R481" s="97"/>
      <c r="S481" s="97"/>
      <c r="T481" s="97"/>
      <c r="U481" s="98"/>
      <c r="V481" s="97"/>
      <c r="W481" s="97"/>
      <c r="X481" s="97"/>
      <c r="Y481" s="97"/>
      <c r="Z481" s="97"/>
      <c r="AA481" s="97"/>
      <c r="AB481" s="97"/>
      <c r="AC481" s="97"/>
      <c r="AD481" s="97"/>
      <c r="AE481" s="97"/>
      <c r="AF481" s="97"/>
      <c r="AG481" s="97"/>
      <c r="AH481" s="97"/>
      <c r="AI481" s="97"/>
      <c r="AJ481" s="97"/>
      <c r="AK481" s="97"/>
      <c r="AL481" s="97"/>
      <c r="AM481" s="97"/>
      <c r="AN481" s="97"/>
      <c r="AO481" s="97"/>
      <c r="AP481" s="97"/>
      <c r="AQ481" s="99"/>
      <c r="AR481" s="99"/>
      <c r="AS481" s="99"/>
    </row>
    <row r="482">
      <c r="A482" s="97"/>
      <c r="B482" s="97"/>
      <c r="C482" s="97"/>
      <c r="D482" s="97"/>
      <c r="E482" s="97"/>
      <c r="F482" s="97"/>
      <c r="G482" s="98"/>
      <c r="H482" s="97"/>
      <c r="I482" s="97"/>
      <c r="J482" s="97"/>
      <c r="K482" s="97"/>
      <c r="L482" s="97"/>
      <c r="M482" s="97"/>
      <c r="N482" s="97"/>
      <c r="O482" s="97"/>
      <c r="P482" s="97"/>
      <c r="Q482" s="97"/>
      <c r="R482" s="97"/>
      <c r="S482" s="97"/>
      <c r="T482" s="97"/>
      <c r="U482" s="98"/>
      <c r="V482" s="97"/>
      <c r="W482" s="97"/>
      <c r="X482" s="97"/>
      <c r="Y482" s="97"/>
      <c r="Z482" s="97"/>
      <c r="AA482" s="97"/>
      <c r="AB482" s="97"/>
      <c r="AC482" s="97"/>
      <c r="AD482" s="97"/>
      <c r="AE482" s="97"/>
      <c r="AF482" s="97"/>
      <c r="AG482" s="97"/>
      <c r="AH482" s="97"/>
      <c r="AI482" s="97"/>
      <c r="AJ482" s="97"/>
      <c r="AK482" s="97"/>
      <c r="AL482" s="97"/>
      <c r="AM482" s="97"/>
      <c r="AN482" s="97"/>
      <c r="AO482" s="97"/>
      <c r="AP482" s="97"/>
      <c r="AQ482" s="99"/>
      <c r="AR482" s="99"/>
      <c r="AS482" s="99"/>
    </row>
    <row r="483">
      <c r="A483" s="97"/>
      <c r="B483" s="97"/>
      <c r="C483" s="97"/>
      <c r="D483" s="97"/>
      <c r="E483" s="97"/>
      <c r="F483" s="97"/>
      <c r="G483" s="98"/>
      <c r="H483" s="97"/>
      <c r="I483" s="97"/>
      <c r="J483" s="97"/>
      <c r="K483" s="97"/>
      <c r="L483" s="97"/>
      <c r="M483" s="97"/>
      <c r="N483" s="97"/>
      <c r="O483" s="97"/>
      <c r="P483" s="97"/>
      <c r="Q483" s="97"/>
      <c r="R483" s="97"/>
      <c r="S483" s="97"/>
      <c r="T483" s="97"/>
      <c r="U483" s="98"/>
      <c r="V483" s="97"/>
      <c r="W483" s="97"/>
      <c r="X483" s="97"/>
      <c r="Y483" s="97"/>
      <c r="Z483" s="97"/>
      <c r="AA483" s="97"/>
      <c r="AB483" s="97"/>
      <c r="AC483" s="97"/>
      <c r="AD483" s="97"/>
      <c r="AE483" s="97"/>
      <c r="AF483" s="97"/>
      <c r="AG483" s="97"/>
      <c r="AH483" s="97"/>
      <c r="AI483" s="97"/>
      <c r="AJ483" s="97"/>
      <c r="AK483" s="97"/>
      <c r="AL483" s="97"/>
      <c r="AM483" s="97"/>
      <c r="AN483" s="97"/>
      <c r="AO483" s="97"/>
      <c r="AP483" s="97"/>
      <c r="AQ483" s="99"/>
      <c r="AR483" s="99"/>
      <c r="AS483" s="99"/>
    </row>
    <row r="484">
      <c r="A484" s="97"/>
      <c r="B484" s="97"/>
      <c r="C484" s="97"/>
      <c r="D484" s="97"/>
      <c r="E484" s="97"/>
      <c r="F484" s="97"/>
      <c r="G484" s="98"/>
      <c r="H484" s="97"/>
      <c r="I484" s="97"/>
      <c r="J484" s="97"/>
      <c r="K484" s="97"/>
      <c r="L484" s="97"/>
      <c r="M484" s="97"/>
      <c r="N484" s="97"/>
      <c r="O484" s="97"/>
      <c r="P484" s="97"/>
      <c r="Q484" s="97"/>
      <c r="R484" s="97"/>
      <c r="S484" s="97"/>
      <c r="T484" s="97"/>
      <c r="U484" s="98"/>
      <c r="V484" s="97"/>
      <c r="W484" s="97"/>
      <c r="X484" s="97"/>
      <c r="Y484" s="97"/>
      <c r="Z484" s="97"/>
      <c r="AA484" s="97"/>
      <c r="AB484" s="97"/>
      <c r="AC484" s="97"/>
      <c r="AD484" s="97"/>
      <c r="AE484" s="97"/>
      <c r="AF484" s="97"/>
      <c r="AG484" s="97"/>
      <c r="AH484" s="97"/>
      <c r="AI484" s="97"/>
      <c r="AJ484" s="97"/>
      <c r="AK484" s="97"/>
      <c r="AL484" s="97"/>
      <c r="AM484" s="97"/>
      <c r="AN484" s="97"/>
      <c r="AO484" s="97"/>
      <c r="AP484" s="97"/>
      <c r="AQ484" s="99"/>
      <c r="AR484" s="99"/>
      <c r="AS484" s="99"/>
    </row>
    <row r="485">
      <c r="A485" s="97"/>
      <c r="B485" s="97"/>
      <c r="C485" s="97"/>
      <c r="D485" s="97"/>
      <c r="E485" s="97"/>
      <c r="F485" s="97"/>
      <c r="G485" s="98"/>
      <c r="H485" s="97"/>
      <c r="I485" s="97"/>
      <c r="J485" s="97"/>
      <c r="K485" s="97"/>
      <c r="L485" s="97"/>
      <c r="M485" s="97"/>
      <c r="N485" s="97"/>
      <c r="O485" s="97"/>
      <c r="P485" s="97"/>
      <c r="Q485" s="97"/>
      <c r="R485" s="97"/>
      <c r="S485" s="97"/>
      <c r="T485" s="97"/>
      <c r="U485" s="98"/>
      <c r="V485" s="97"/>
      <c r="W485" s="97"/>
      <c r="X485" s="97"/>
      <c r="Y485" s="97"/>
      <c r="Z485" s="97"/>
      <c r="AA485" s="97"/>
      <c r="AB485" s="97"/>
      <c r="AC485" s="97"/>
      <c r="AD485" s="97"/>
      <c r="AE485" s="97"/>
      <c r="AF485" s="97"/>
      <c r="AG485" s="97"/>
      <c r="AH485" s="97"/>
      <c r="AI485" s="97"/>
      <c r="AJ485" s="97"/>
      <c r="AK485" s="97"/>
      <c r="AL485" s="97"/>
      <c r="AM485" s="97"/>
      <c r="AN485" s="97"/>
      <c r="AO485" s="97"/>
      <c r="AP485" s="97"/>
      <c r="AQ485" s="99"/>
      <c r="AR485" s="99"/>
      <c r="AS485" s="99"/>
    </row>
    <row r="486">
      <c r="A486" s="97"/>
      <c r="B486" s="97"/>
      <c r="C486" s="97"/>
      <c r="D486" s="97"/>
      <c r="E486" s="97"/>
      <c r="F486" s="97"/>
      <c r="G486" s="98"/>
      <c r="H486" s="97"/>
      <c r="I486" s="97"/>
      <c r="J486" s="97"/>
      <c r="K486" s="97"/>
      <c r="L486" s="97"/>
      <c r="M486" s="97"/>
      <c r="N486" s="97"/>
      <c r="O486" s="97"/>
      <c r="P486" s="97"/>
      <c r="Q486" s="97"/>
      <c r="R486" s="97"/>
      <c r="S486" s="97"/>
      <c r="T486" s="97"/>
      <c r="U486" s="98"/>
      <c r="V486" s="97"/>
      <c r="W486" s="97"/>
      <c r="X486" s="97"/>
      <c r="Y486" s="97"/>
      <c r="Z486" s="97"/>
      <c r="AA486" s="97"/>
      <c r="AB486" s="97"/>
      <c r="AC486" s="97"/>
      <c r="AD486" s="97"/>
      <c r="AE486" s="97"/>
      <c r="AF486" s="97"/>
      <c r="AG486" s="97"/>
      <c r="AH486" s="97"/>
      <c r="AI486" s="97"/>
      <c r="AJ486" s="97"/>
      <c r="AK486" s="97"/>
      <c r="AL486" s="97"/>
      <c r="AM486" s="97"/>
      <c r="AN486" s="97"/>
      <c r="AO486" s="97"/>
      <c r="AP486" s="97"/>
      <c r="AQ486" s="99"/>
      <c r="AR486" s="99"/>
      <c r="AS486" s="99"/>
    </row>
    <row r="487">
      <c r="A487" s="97"/>
      <c r="B487" s="97"/>
      <c r="C487" s="97"/>
      <c r="D487" s="97"/>
      <c r="E487" s="97"/>
      <c r="F487" s="97"/>
      <c r="G487" s="98"/>
      <c r="H487" s="97"/>
      <c r="I487" s="97"/>
      <c r="J487" s="97"/>
      <c r="K487" s="97"/>
      <c r="L487" s="97"/>
      <c r="M487" s="97"/>
      <c r="N487" s="97"/>
      <c r="O487" s="97"/>
      <c r="P487" s="97"/>
      <c r="Q487" s="97"/>
      <c r="R487" s="97"/>
      <c r="S487" s="97"/>
      <c r="T487" s="97"/>
      <c r="U487" s="98"/>
      <c r="V487" s="97"/>
      <c r="W487" s="97"/>
      <c r="X487" s="97"/>
      <c r="Y487" s="97"/>
      <c r="Z487" s="97"/>
      <c r="AA487" s="97"/>
      <c r="AB487" s="97"/>
      <c r="AC487" s="97"/>
      <c r="AD487" s="97"/>
      <c r="AE487" s="97"/>
      <c r="AF487" s="97"/>
      <c r="AG487" s="97"/>
      <c r="AH487" s="97"/>
      <c r="AI487" s="97"/>
      <c r="AJ487" s="97"/>
      <c r="AK487" s="97"/>
      <c r="AL487" s="97"/>
      <c r="AM487" s="97"/>
      <c r="AN487" s="97"/>
      <c r="AO487" s="97"/>
      <c r="AP487" s="97"/>
      <c r="AQ487" s="99"/>
      <c r="AR487" s="99"/>
      <c r="AS487" s="99"/>
    </row>
    <row r="488">
      <c r="A488" s="97"/>
      <c r="B488" s="97"/>
      <c r="C488" s="97"/>
      <c r="D488" s="97"/>
      <c r="E488" s="97"/>
      <c r="F488" s="97"/>
      <c r="G488" s="98"/>
      <c r="H488" s="97"/>
      <c r="I488" s="97"/>
      <c r="J488" s="97"/>
      <c r="K488" s="97"/>
      <c r="L488" s="97"/>
      <c r="M488" s="97"/>
      <c r="N488" s="97"/>
      <c r="O488" s="97"/>
      <c r="P488" s="97"/>
      <c r="Q488" s="97"/>
      <c r="R488" s="97"/>
      <c r="S488" s="97"/>
      <c r="T488" s="97"/>
      <c r="U488" s="98"/>
      <c r="V488" s="97"/>
      <c r="W488" s="97"/>
      <c r="X488" s="97"/>
      <c r="Y488" s="97"/>
      <c r="Z488" s="97"/>
      <c r="AA488" s="97"/>
      <c r="AB488" s="97"/>
      <c r="AC488" s="97"/>
      <c r="AD488" s="97"/>
      <c r="AE488" s="97"/>
      <c r="AF488" s="97"/>
      <c r="AG488" s="97"/>
      <c r="AH488" s="97"/>
      <c r="AI488" s="97"/>
      <c r="AJ488" s="97"/>
      <c r="AK488" s="97"/>
      <c r="AL488" s="97"/>
      <c r="AM488" s="97"/>
      <c r="AN488" s="97"/>
      <c r="AO488" s="97"/>
      <c r="AP488" s="97"/>
      <c r="AQ488" s="99"/>
      <c r="AR488" s="99"/>
      <c r="AS488" s="99"/>
    </row>
    <row r="489">
      <c r="A489" s="97"/>
      <c r="B489" s="97"/>
      <c r="C489" s="97"/>
      <c r="D489" s="97"/>
      <c r="E489" s="97"/>
      <c r="F489" s="97"/>
      <c r="G489" s="98"/>
      <c r="H489" s="97"/>
      <c r="I489" s="97"/>
      <c r="J489" s="97"/>
      <c r="K489" s="97"/>
      <c r="L489" s="97"/>
      <c r="M489" s="97"/>
      <c r="N489" s="97"/>
      <c r="O489" s="97"/>
      <c r="P489" s="97"/>
      <c r="Q489" s="97"/>
      <c r="R489" s="97"/>
      <c r="S489" s="97"/>
      <c r="T489" s="97"/>
      <c r="U489" s="98"/>
      <c r="V489" s="97"/>
      <c r="W489" s="97"/>
      <c r="X489" s="97"/>
      <c r="Y489" s="97"/>
      <c r="Z489" s="97"/>
      <c r="AA489" s="97"/>
      <c r="AB489" s="97"/>
      <c r="AC489" s="97"/>
      <c r="AD489" s="97"/>
      <c r="AE489" s="97"/>
      <c r="AF489" s="97"/>
      <c r="AG489" s="97"/>
      <c r="AH489" s="97"/>
      <c r="AI489" s="97"/>
      <c r="AJ489" s="97"/>
      <c r="AK489" s="97"/>
      <c r="AL489" s="97"/>
      <c r="AM489" s="97"/>
      <c r="AN489" s="97"/>
      <c r="AO489" s="97"/>
      <c r="AP489" s="97"/>
      <c r="AQ489" s="99"/>
      <c r="AR489" s="99"/>
      <c r="AS489" s="99"/>
    </row>
    <row r="490">
      <c r="A490" s="97"/>
      <c r="B490" s="97"/>
      <c r="C490" s="97"/>
      <c r="D490" s="97"/>
      <c r="E490" s="97"/>
      <c r="F490" s="97"/>
      <c r="G490" s="98"/>
      <c r="H490" s="97"/>
      <c r="I490" s="97"/>
      <c r="J490" s="97"/>
      <c r="K490" s="97"/>
      <c r="L490" s="97"/>
      <c r="M490" s="97"/>
      <c r="N490" s="97"/>
      <c r="O490" s="97"/>
      <c r="P490" s="97"/>
      <c r="Q490" s="97"/>
      <c r="R490" s="97"/>
      <c r="S490" s="97"/>
      <c r="T490" s="97"/>
      <c r="U490" s="98"/>
      <c r="V490" s="97"/>
      <c r="W490" s="97"/>
      <c r="X490" s="97"/>
      <c r="Y490" s="97"/>
      <c r="Z490" s="97"/>
      <c r="AA490" s="97"/>
      <c r="AB490" s="97"/>
      <c r="AC490" s="97"/>
      <c r="AD490" s="97"/>
      <c r="AE490" s="97"/>
      <c r="AF490" s="97"/>
      <c r="AG490" s="97"/>
      <c r="AH490" s="97"/>
      <c r="AI490" s="97"/>
      <c r="AJ490" s="97"/>
      <c r="AK490" s="97"/>
      <c r="AL490" s="97"/>
      <c r="AM490" s="97"/>
      <c r="AN490" s="97"/>
      <c r="AO490" s="97"/>
      <c r="AP490" s="97"/>
      <c r="AQ490" s="99"/>
      <c r="AR490" s="99"/>
      <c r="AS490" s="99"/>
    </row>
    <row r="491">
      <c r="A491" s="97"/>
      <c r="B491" s="97"/>
      <c r="C491" s="97"/>
      <c r="D491" s="97"/>
      <c r="E491" s="97"/>
      <c r="F491" s="97"/>
      <c r="G491" s="98"/>
      <c r="H491" s="97"/>
      <c r="I491" s="97"/>
      <c r="J491" s="97"/>
      <c r="K491" s="97"/>
      <c r="L491" s="97"/>
      <c r="M491" s="97"/>
      <c r="N491" s="97"/>
      <c r="O491" s="97"/>
      <c r="P491" s="97"/>
      <c r="Q491" s="97"/>
      <c r="R491" s="97"/>
      <c r="S491" s="97"/>
      <c r="T491" s="97"/>
      <c r="U491" s="98"/>
      <c r="V491" s="97"/>
      <c r="W491" s="97"/>
      <c r="X491" s="97"/>
      <c r="Y491" s="97"/>
      <c r="Z491" s="97"/>
      <c r="AA491" s="97"/>
      <c r="AB491" s="97"/>
      <c r="AC491" s="97"/>
      <c r="AD491" s="97"/>
      <c r="AE491" s="97"/>
      <c r="AF491" s="97"/>
      <c r="AG491" s="97"/>
      <c r="AH491" s="97"/>
      <c r="AI491" s="97"/>
      <c r="AJ491" s="97"/>
      <c r="AK491" s="97"/>
      <c r="AL491" s="97"/>
      <c r="AM491" s="97"/>
      <c r="AN491" s="97"/>
      <c r="AO491" s="97"/>
      <c r="AP491" s="97"/>
      <c r="AQ491" s="99"/>
      <c r="AR491" s="99"/>
      <c r="AS491" s="99"/>
    </row>
    <row r="492">
      <c r="A492" s="97"/>
      <c r="B492" s="97"/>
      <c r="C492" s="97"/>
      <c r="D492" s="97"/>
      <c r="E492" s="97"/>
      <c r="F492" s="97"/>
      <c r="G492" s="98"/>
      <c r="H492" s="97"/>
      <c r="I492" s="97"/>
      <c r="J492" s="97"/>
      <c r="K492" s="97"/>
      <c r="L492" s="97"/>
      <c r="M492" s="97"/>
      <c r="N492" s="97"/>
      <c r="O492" s="97"/>
      <c r="P492" s="97"/>
      <c r="Q492" s="97"/>
      <c r="R492" s="97"/>
      <c r="S492" s="97"/>
      <c r="T492" s="97"/>
      <c r="U492" s="98"/>
      <c r="V492" s="97"/>
      <c r="W492" s="97"/>
      <c r="X492" s="97"/>
      <c r="Y492" s="97"/>
      <c r="Z492" s="97"/>
      <c r="AA492" s="97"/>
      <c r="AB492" s="97"/>
      <c r="AC492" s="97"/>
      <c r="AD492" s="97"/>
      <c r="AE492" s="97"/>
      <c r="AF492" s="97"/>
      <c r="AG492" s="97"/>
      <c r="AH492" s="97"/>
      <c r="AI492" s="97"/>
      <c r="AJ492" s="97"/>
      <c r="AK492" s="97"/>
      <c r="AL492" s="97"/>
      <c r="AM492" s="97"/>
      <c r="AN492" s="97"/>
      <c r="AO492" s="97"/>
      <c r="AP492" s="97"/>
      <c r="AQ492" s="99"/>
      <c r="AR492" s="99"/>
      <c r="AS492" s="99"/>
    </row>
    <row r="493">
      <c r="A493" s="97"/>
      <c r="B493" s="97"/>
      <c r="C493" s="97"/>
      <c r="D493" s="97"/>
      <c r="E493" s="97"/>
      <c r="F493" s="97"/>
      <c r="G493" s="98"/>
      <c r="H493" s="97"/>
      <c r="I493" s="97"/>
      <c r="J493" s="97"/>
      <c r="K493" s="97"/>
      <c r="L493" s="97"/>
      <c r="M493" s="97"/>
      <c r="N493" s="97"/>
      <c r="O493" s="97"/>
      <c r="P493" s="97"/>
      <c r="Q493" s="97"/>
      <c r="R493" s="97"/>
      <c r="S493" s="97"/>
      <c r="T493" s="97"/>
      <c r="U493" s="98"/>
      <c r="V493" s="97"/>
      <c r="W493" s="97"/>
      <c r="X493" s="97"/>
      <c r="Y493" s="97"/>
      <c r="Z493" s="97"/>
      <c r="AA493" s="97"/>
      <c r="AB493" s="97"/>
      <c r="AC493" s="97"/>
      <c r="AD493" s="97"/>
      <c r="AE493" s="97"/>
      <c r="AF493" s="97"/>
      <c r="AG493" s="97"/>
      <c r="AH493" s="97"/>
      <c r="AI493" s="97"/>
      <c r="AJ493" s="97"/>
      <c r="AK493" s="97"/>
      <c r="AL493" s="97"/>
      <c r="AM493" s="97"/>
      <c r="AN493" s="97"/>
      <c r="AO493" s="97"/>
      <c r="AP493" s="97"/>
      <c r="AQ493" s="99"/>
      <c r="AR493" s="99"/>
      <c r="AS493" s="99"/>
    </row>
    <row r="494">
      <c r="A494" s="97"/>
      <c r="B494" s="97"/>
      <c r="C494" s="97"/>
      <c r="D494" s="97"/>
      <c r="E494" s="97"/>
      <c r="F494" s="97"/>
      <c r="G494" s="98"/>
      <c r="H494" s="97"/>
      <c r="I494" s="97"/>
      <c r="J494" s="97"/>
      <c r="K494" s="97"/>
      <c r="L494" s="97"/>
      <c r="M494" s="97"/>
      <c r="N494" s="97"/>
      <c r="O494" s="97"/>
      <c r="P494" s="97"/>
      <c r="Q494" s="97"/>
      <c r="R494" s="97"/>
      <c r="S494" s="97"/>
      <c r="T494" s="97"/>
      <c r="U494" s="98"/>
      <c r="V494" s="97"/>
      <c r="W494" s="97"/>
      <c r="X494" s="97"/>
      <c r="Y494" s="97"/>
      <c r="Z494" s="97"/>
      <c r="AA494" s="97"/>
      <c r="AB494" s="97"/>
      <c r="AC494" s="97"/>
      <c r="AD494" s="97"/>
      <c r="AE494" s="97"/>
      <c r="AF494" s="97"/>
      <c r="AG494" s="97"/>
      <c r="AH494" s="97"/>
      <c r="AI494" s="97"/>
      <c r="AJ494" s="97"/>
      <c r="AK494" s="97"/>
      <c r="AL494" s="97"/>
      <c r="AM494" s="97"/>
      <c r="AN494" s="97"/>
      <c r="AO494" s="97"/>
      <c r="AP494" s="97"/>
      <c r="AQ494" s="99"/>
      <c r="AR494" s="99"/>
      <c r="AS494" s="99"/>
    </row>
    <row r="495">
      <c r="A495" s="97"/>
      <c r="B495" s="97"/>
      <c r="C495" s="97"/>
      <c r="D495" s="97"/>
      <c r="E495" s="97"/>
      <c r="F495" s="97"/>
      <c r="G495" s="98"/>
      <c r="H495" s="97"/>
      <c r="I495" s="97"/>
      <c r="J495" s="97"/>
      <c r="K495" s="97"/>
      <c r="L495" s="97"/>
      <c r="M495" s="97"/>
      <c r="N495" s="97"/>
      <c r="O495" s="97"/>
      <c r="P495" s="97"/>
      <c r="Q495" s="97"/>
      <c r="R495" s="97"/>
      <c r="S495" s="97"/>
      <c r="T495" s="97"/>
      <c r="U495" s="98"/>
      <c r="V495" s="97"/>
      <c r="W495" s="97"/>
      <c r="X495" s="97"/>
      <c r="Y495" s="97"/>
      <c r="Z495" s="97"/>
      <c r="AA495" s="97"/>
      <c r="AB495" s="97"/>
      <c r="AC495" s="97"/>
      <c r="AD495" s="97"/>
      <c r="AE495" s="97"/>
      <c r="AF495" s="97"/>
      <c r="AG495" s="97"/>
      <c r="AH495" s="97"/>
      <c r="AI495" s="97"/>
      <c r="AJ495" s="97"/>
      <c r="AK495" s="97"/>
      <c r="AL495" s="97"/>
      <c r="AM495" s="97"/>
      <c r="AN495" s="97"/>
      <c r="AO495" s="97"/>
      <c r="AP495" s="97"/>
      <c r="AQ495" s="99"/>
      <c r="AR495" s="99"/>
      <c r="AS495" s="99"/>
    </row>
    <row r="496">
      <c r="A496" s="97"/>
      <c r="B496" s="97"/>
      <c r="C496" s="97"/>
      <c r="D496" s="97"/>
      <c r="E496" s="97"/>
      <c r="F496" s="97"/>
      <c r="G496" s="98"/>
      <c r="H496" s="97"/>
      <c r="I496" s="97"/>
      <c r="J496" s="97"/>
      <c r="K496" s="97"/>
      <c r="L496" s="97"/>
      <c r="M496" s="97"/>
      <c r="N496" s="97"/>
      <c r="O496" s="97"/>
      <c r="P496" s="97"/>
      <c r="Q496" s="97"/>
      <c r="R496" s="97"/>
      <c r="S496" s="97"/>
      <c r="T496" s="97"/>
      <c r="U496" s="98"/>
      <c r="V496" s="97"/>
      <c r="W496" s="97"/>
      <c r="X496" s="97"/>
      <c r="Y496" s="97"/>
      <c r="Z496" s="97"/>
      <c r="AA496" s="97"/>
      <c r="AB496" s="97"/>
      <c r="AC496" s="97"/>
      <c r="AD496" s="97"/>
      <c r="AE496" s="97"/>
      <c r="AF496" s="97"/>
      <c r="AG496" s="97"/>
      <c r="AH496" s="97"/>
      <c r="AI496" s="97"/>
      <c r="AJ496" s="97"/>
      <c r="AK496" s="97"/>
      <c r="AL496" s="97"/>
      <c r="AM496" s="97"/>
      <c r="AN496" s="97"/>
      <c r="AO496" s="97"/>
      <c r="AP496" s="97"/>
      <c r="AQ496" s="99"/>
      <c r="AR496" s="99"/>
      <c r="AS496" s="99"/>
    </row>
    <row r="497">
      <c r="A497" s="97"/>
      <c r="B497" s="97"/>
      <c r="C497" s="97"/>
      <c r="D497" s="97"/>
      <c r="E497" s="97"/>
      <c r="F497" s="97"/>
      <c r="G497" s="98"/>
      <c r="H497" s="97"/>
      <c r="I497" s="97"/>
      <c r="J497" s="97"/>
      <c r="K497" s="97"/>
      <c r="L497" s="97"/>
      <c r="M497" s="97"/>
      <c r="N497" s="97"/>
      <c r="O497" s="97"/>
      <c r="P497" s="97"/>
      <c r="Q497" s="97"/>
      <c r="R497" s="97"/>
      <c r="S497" s="97"/>
      <c r="T497" s="97"/>
      <c r="U497" s="98"/>
      <c r="V497" s="97"/>
      <c r="W497" s="97"/>
      <c r="X497" s="97"/>
      <c r="Y497" s="97"/>
      <c r="Z497" s="97"/>
      <c r="AA497" s="97"/>
      <c r="AB497" s="97"/>
      <c r="AC497" s="97"/>
      <c r="AD497" s="97"/>
      <c r="AE497" s="97"/>
      <c r="AF497" s="97"/>
      <c r="AG497" s="97"/>
      <c r="AH497" s="97"/>
      <c r="AI497" s="97"/>
      <c r="AJ497" s="97"/>
      <c r="AK497" s="97"/>
      <c r="AL497" s="97"/>
      <c r="AM497" s="97"/>
      <c r="AN497" s="97"/>
      <c r="AO497" s="97"/>
      <c r="AP497" s="97"/>
      <c r="AQ497" s="99"/>
      <c r="AR497" s="99"/>
      <c r="AS497" s="99"/>
    </row>
    <row r="498">
      <c r="A498" s="97"/>
      <c r="B498" s="97"/>
      <c r="C498" s="97"/>
      <c r="D498" s="97"/>
      <c r="E498" s="97"/>
      <c r="F498" s="97"/>
      <c r="G498" s="98"/>
      <c r="H498" s="97"/>
      <c r="I498" s="97"/>
      <c r="J498" s="97"/>
      <c r="K498" s="97"/>
      <c r="L498" s="97"/>
      <c r="M498" s="97"/>
      <c r="N498" s="97"/>
      <c r="O498" s="97"/>
      <c r="P498" s="97"/>
      <c r="Q498" s="97"/>
      <c r="R498" s="97"/>
      <c r="S498" s="97"/>
      <c r="T498" s="97"/>
      <c r="U498" s="98"/>
      <c r="V498" s="97"/>
      <c r="W498" s="97"/>
      <c r="X498" s="97"/>
      <c r="Y498" s="97"/>
      <c r="Z498" s="97"/>
      <c r="AA498" s="97"/>
      <c r="AB498" s="97"/>
      <c r="AC498" s="97"/>
      <c r="AD498" s="97"/>
      <c r="AE498" s="97"/>
      <c r="AF498" s="97"/>
      <c r="AG498" s="97"/>
      <c r="AH498" s="97"/>
      <c r="AI498" s="97"/>
      <c r="AJ498" s="97"/>
      <c r="AK498" s="97"/>
      <c r="AL498" s="97"/>
      <c r="AM498" s="97"/>
      <c r="AN498" s="97"/>
      <c r="AO498" s="97"/>
      <c r="AP498" s="97"/>
      <c r="AQ498" s="99"/>
      <c r="AR498" s="99"/>
      <c r="AS498" s="99"/>
    </row>
    <row r="499">
      <c r="A499" s="97"/>
      <c r="B499" s="97"/>
      <c r="C499" s="97"/>
      <c r="D499" s="97"/>
      <c r="E499" s="97"/>
      <c r="F499" s="97"/>
      <c r="G499" s="98"/>
      <c r="H499" s="97"/>
      <c r="I499" s="97"/>
      <c r="J499" s="97"/>
      <c r="K499" s="97"/>
      <c r="L499" s="97"/>
      <c r="M499" s="97"/>
      <c r="N499" s="97"/>
      <c r="O499" s="97"/>
      <c r="P499" s="97"/>
      <c r="Q499" s="97"/>
      <c r="R499" s="97"/>
      <c r="S499" s="97"/>
      <c r="T499" s="97"/>
      <c r="U499" s="98"/>
      <c r="V499" s="97"/>
      <c r="W499" s="97"/>
      <c r="X499" s="97"/>
      <c r="Y499" s="97"/>
      <c r="Z499" s="97"/>
      <c r="AA499" s="97"/>
      <c r="AB499" s="97"/>
      <c r="AC499" s="97"/>
      <c r="AD499" s="97"/>
      <c r="AE499" s="97"/>
      <c r="AF499" s="97"/>
      <c r="AG499" s="97"/>
      <c r="AH499" s="97"/>
      <c r="AI499" s="97"/>
      <c r="AJ499" s="97"/>
      <c r="AK499" s="97"/>
      <c r="AL499" s="97"/>
      <c r="AM499" s="97"/>
      <c r="AN499" s="97"/>
      <c r="AO499" s="97"/>
      <c r="AP499" s="97"/>
      <c r="AQ499" s="99"/>
      <c r="AR499" s="99"/>
      <c r="AS499" s="99"/>
    </row>
    <row r="500">
      <c r="A500" s="97"/>
      <c r="B500" s="97"/>
      <c r="C500" s="97"/>
      <c r="D500" s="97"/>
      <c r="E500" s="97"/>
      <c r="F500" s="97"/>
      <c r="G500" s="98"/>
      <c r="H500" s="97"/>
      <c r="I500" s="97"/>
      <c r="J500" s="97"/>
      <c r="K500" s="97"/>
      <c r="L500" s="97"/>
      <c r="M500" s="97"/>
      <c r="N500" s="97"/>
      <c r="O500" s="97"/>
      <c r="P500" s="97"/>
      <c r="Q500" s="97"/>
      <c r="R500" s="97"/>
      <c r="S500" s="97"/>
      <c r="T500" s="97"/>
      <c r="U500" s="98"/>
      <c r="V500" s="97"/>
      <c r="W500" s="97"/>
      <c r="X500" s="97"/>
      <c r="Y500" s="97"/>
      <c r="Z500" s="97"/>
      <c r="AA500" s="97"/>
      <c r="AB500" s="97"/>
      <c r="AC500" s="97"/>
      <c r="AD500" s="97"/>
      <c r="AE500" s="97"/>
      <c r="AF500" s="97"/>
      <c r="AG500" s="97"/>
      <c r="AH500" s="97"/>
      <c r="AI500" s="97"/>
      <c r="AJ500" s="97"/>
      <c r="AK500" s="97"/>
      <c r="AL500" s="97"/>
      <c r="AM500" s="97"/>
      <c r="AN500" s="97"/>
      <c r="AO500" s="97"/>
      <c r="AP500" s="97"/>
      <c r="AQ500" s="99"/>
      <c r="AR500" s="99"/>
      <c r="AS500" s="99"/>
    </row>
    <row r="501">
      <c r="A501" s="97"/>
      <c r="B501" s="97"/>
      <c r="C501" s="97"/>
      <c r="D501" s="97"/>
      <c r="E501" s="97"/>
      <c r="F501" s="97"/>
      <c r="G501" s="98"/>
      <c r="H501" s="97"/>
      <c r="I501" s="97"/>
      <c r="J501" s="97"/>
      <c r="K501" s="97"/>
      <c r="L501" s="97"/>
      <c r="M501" s="97"/>
      <c r="N501" s="97"/>
      <c r="O501" s="97"/>
      <c r="P501" s="97"/>
      <c r="Q501" s="97"/>
      <c r="R501" s="97"/>
      <c r="S501" s="97"/>
      <c r="T501" s="97"/>
      <c r="U501" s="98"/>
      <c r="V501" s="97"/>
      <c r="W501" s="97"/>
      <c r="X501" s="97"/>
      <c r="Y501" s="97"/>
      <c r="Z501" s="97"/>
      <c r="AA501" s="97"/>
      <c r="AB501" s="97"/>
      <c r="AC501" s="97"/>
      <c r="AD501" s="97"/>
      <c r="AE501" s="97"/>
      <c r="AF501" s="97"/>
      <c r="AG501" s="97"/>
      <c r="AH501" s="97"/>
      <c r="AI501" s="97"/>
      <c r="AJ501" s="97"/>
      <c r="AK501" s="97"/>
      <c r="AL501" s="97"/>
      <c r="AM501" s="97"/>
      <c r="AN501" s="97"/>
      <c r="AO501" s="97"/>
      <c r="AP501" s="97"/>
      <c r="AQ501" s="99"/>
      <c r="AR501" s="99"/>
      <c r="AS501" s="99"/>
    </row>
    <row r="502">
      <c r="A502" s="97"/>
      <c r="B502" s="97"/>
      <c r="C502" s="97"/>
      <c r="D502" s="97"/>
      <c r="E502" s="97"/>
      <c r="F502" s="97"/>
      <c r="G502" s="98"/>
      <c r="H502" s="97"/>
      <c r="I502" s="97"/>
      <c r="J502" s="97"/>
      <c r="K502" s="97"/>
      <c r="L502" s="97"/>
      <c r="M502" s="97"/>
      <c r="N502" s="97"/>
      <c r="O502" s="97"/>
      <c r="P502" s="97"/>
      <c r="Q502" s="97"/>
      <c r="R502" s="97"/>
      <c r="S502" s="97"/>
      <c r="T502" s="97"/>
      <c r="U502" s="98"/>
      <c r="V502" s="97"/>
      <c r="W502" s="97"/>
      <c r="X502" s="97"/>
      <c r="Y502" s="97"/>
      <c r="Z502" s="97"/>
      <c r="AA502" s="97"/>
      <c r="AB502" s="97"/>
      <c r="AC502" s="97"/>
      <c r="AD502" s="97"/>
      <c r="AE502" s="97"/>
      <c r="AF502" s="97"/>
      <c r="AG502" s="97"/>
      <c r="AH502" s="97"/>
      <c r="AI502" s="97"/>
      <c r="AJ502" s="97"/>
      <c r="AK502" s="97"/>
      <c r="AL502" s="97"/>
      <c r="AM502" s="97"/>
      <c r="AN502" s="97"/>
      <c r="AO502" s="97"/>
      <c r="AP502" s="97"/>
      <c r="AQ502" s="99"/>
      <c r="AR502" s="99"/>
      <c r="AS502" s="99"/>
    </row>
    <row r="503">
      <c r="A503" s="97"/>
      <c r="B503" s="97"/>
      <c r="C503" s="97"/>
      <c r="D503" s="97"/>
      <c r="E503" s="97"/>
      <c r="F503" s="97"/>
      <c r="G503" s="98"/>
      <c r="H503" s="97"/>
      <c r="I503" s="97"/>
      <c r="J503" s="97"/>
      <c r="K503" s="97"/>
      <c r="L503" s="97"/>
      <c r="M503" s="97"/>
      <c r="N503" s="97"/>
      <c r="O503" s="97"/>
      <c r="P503" s="97"/>
      <c r="Q503" s="97"/>
      <c r="R503" s="97"/>
      <c r="S503" s="97"/>
      <c r="T503" s="97"/>
      <c r="U503" s="98"/>
      <c r="V503" s="97"/>
      <c r="W503" s="97"/>
      <c r="X503" s="97"/>
      <c r="Y503" s="97"/>
      <c r="Z503" s="97"/>
      <c r="AA503" s="97"/>
      <c r="AB503" s="97"/>
      <c r="AC503" s="97"/>
      <c r="AD503" s="97"/>
      <c r="AE503" s="97"/>
      <c r="AF503" s="97"/>
      <c r="AG503" s="97"/>
      <c r="AH503" s="97"/>
      <c r="AI503" s="97"/>
      <c r="AJ503" s="97"/>
      <c r="AK503" s="97"/>
      <c r="AL503" s="97"/>
      <c r="AM503" s="97"/>
      <c r="AN503" s="97"/>
      <c r="AO503" s="97"/>
      <c r="AP503" s="97"/>
      <c r="AQ503" s="99"/>
      <c r="AR503" s="99"/>
      <c r="AS503" s="99"/>
    </row>
    <row r="504">
      <c r="A504" s="97"/>
      <c r="B504" s="97"/>
      <c r="C504" s="97"/>
      <c r="D504" s="97"/>
      <c r="E504" s="97"/>
      <c r="F504" s="97"/>
      <c r="G504" s="98"/>
      <c r="H504" s="97"/>
      <c r="I504" s="97"/>
      <c r="J504" s="97"/>
      <c r="K504" s="97"/>
      <c r="L504" s="97"/>
      <c r="M504" s="97"/>
      <c r="N504" s="97"/>
      <c r="O504" s="97"/>
      <c r="P504" s="97"/>
      <c r="Q504" s="97"/>
      <c r="R504" s="97"/>
      <c r="S504" s="97"/>
      <c r="T504" s="97"/>
      <c r="U504" s="98"/>
      <c r="V504" s="97"/>
      <c r="W504" s="97"/>
      <c r="X504" s="97"/>
      <c r="Y504" s="97"/>
      <c r="Z504" s="97"/>
      <c r="AA504" s="97"/>
      <c r="AB504" s="97"/>
      <c r="AC504" s="97"/>
      <c r="AD504" s="97"/>
      <c r="AE504" s="97"/>
      <c r="AF504" s="97"/>
      <c r="AG504" s="97"/>
      <c r="AH504" s="97"/>
      <c r="AI504" s="97"/>
      <c r="AJ504" s="97"/>
      <c r="AK504" s="97"/>
      <c r="AL504" s="97"/>
      <c r="AM504" s="97"/>
      <c r="AN504" s="97"/>
      <c r="AO504" s="97"/>
      <c r="AP504" s="97"/>
      <c r="AQ504" s="99"/>
      <c r="AR504" s="99"/>
      <c r="AS504" s="99"/>
    </row>
    <row r="505">
      <c r="A505" s="97"/>
      <c r="B505" s="97"/>
      <c r="C505" s="97"/>
      <c r="D505" s="97"/>
      <c r="E505" s="97"/>
      <c r="F505" s="97"/>
      <c r="G505" s="98"/>
      <c r="H505" s="97"/>
      <c r="I505" s="97"/>
      <c r="J505" s="97"/>
      <c r="K505" s="97"/>
      <c r="L505" s="97"/>
      <c r="M505" s="97"/>
      <c r="N505" s="97"/>
      <c r="O505" s="97"/>
      <c r="P505" s="97"/>
      <c r="Q505" s="97"/>
      <c r="R505" s="97"/>
      <c r="S505" s="97"/>
      <c r="T505" s="97"/>
      <c r="U505" s="98"/>
      <c r="V505" s="97"/>
      <c r="W505" s="97"/>
      <c r="X505" s="97"/>
      <c r="Y505" s="97"/>
      <c r="Z505" s="97"/>
      <c r="AA505" s="97"/>
      <c r="AB505" s="97"/>
      <c r="AC505" s="97"/>
      <c r="AD505" s="97"/>
      <c r="AE505" s="97"/>
      <c r="AF505" s="97"/>
      <c r="AG505" s="97"/>
      <c r="AH505" s="97"/>
      <c r="AI505" s="97"/>
      <c r="AJ505" s="97"/>
      <c r="AK505" s="97"/>
      <c r="AL505" s="97"/>
      <c r="AM505" s="97"/>
      <c r="AN505" s="97"/>
      <c r="AO505" s="97"/>
      <c r="AP505" s="97"/>
      <c r="AQ505" s="99"/>
      <c r="AR505" s="99"/>
      <c r="AS505" s="99"/>
    </row>
    <row r="506">
      <c r="A506" s="97"/>
      <c r="B506" s="97"/>
      <c r="C506" s="97"/>
      <c r="D506" s="97"/>
      <c r="E506" s="97"/>
      <c r="F506" s="97"/>
      <c r="G506" s="98"/>
      <c r="H506" s="97"/>
      <c r="I506" s="97"/>
      <c r="J506" s="97"/>
      <c r="K506" s="97"/>
      <c r="L506" s="97"/>
      <c r="M506" s="97"/>
      <c r="N506" s="97"/>
      <c r="O506" s="97"/>
      <c r="P506" s="97"/>
      <c r="Q506" s="97"/>
      <c r="R506" s="97"/>
      <c r="S506" s="97"/>
      <c r="T506" s="97"/>
      <c r="U506" s="98"/>
      <c r="V506" s="97"/>
      <c r="W506" s="97"/>
      <c r="X506" s="97"/>
      <c r="Y506" s="97"/>
      <c r="Z506" s="97"/>
      <c r="AA506" s="97"/>
      <c r="AB506" s="97"/>
      <c r="AC506" s="97"/>
      <c r="AD506" s="97"/>
      <c r="AE506" s="97"/>
      <c r="AF506" s="97"/>
      <c r="AG506" s="97"/>
      <c r="AH506" s="97"/>
      <c r="AI506" s="97"/>
      <c r="AJ506" s="97"/>
      <c r="AK506" s="97"/>
      <c r="AL506" s="97"/>
      <c r="AM506" s="97"/>
      <c r="AN506" s="97"/>
      <c r="AO506" s="97"/>
      <c r="AP506" s="97"/>
      <c r="AQ506" s="99"/>
      <c r="AR506" s="99"/>
      <c r="AS506" s="99"/>
    </row>
    <row r="507">
      <c r="A507" s="97"/>
      <c r="B507" s="97"/>
      <c r="C507" s="97"/>
      <c r="D507" s="97"/>
      <c r="E507" s="97"/>
      <c r="F507" s="97"/>
      <c r="G507" s="98"/>
      <c r="H507" s="97"/>
      <c r="I507" s="97"/>
      <c r="J507" s="97"/>
      <c r="K507" s="97"/>
      <c r="L507" s="97"/>
      <c r="M507" s="97"/>
      <c r="N507" s="97"/>
      <c r="O507" s="97"/>
      <c r="P507" s="97"/>
      <c r="Q507" s="97"/>
      <c r="R507" s="97"/>
      <c r="S507" s="97"/>
      <c r="T507" s="97"/>
      <c r="U507" s="98"/>
      <c r="V507" s="97"/>
      <c r="W507" s="97"/>
      <c r="X507" s="97"/>
      <c r="Y507" s="97"/>
      <c r="Z507" s="97"/>
      <c r="AA507" s="97"/>
      <c r="AB507" s="97"/>
      <c r="AC507" s="97"/>
      <c r="AD507" s="97"/>
      <c r="AE507" s="97"/>
      <c r="AF507" s="97"/>
      <c r="AG507" s="97"/>
      <c r="AH507" s="97"/>
      <c r="AI507" s="97"/>
      <c r="AJ507" s="97"/>
      <c r="AK507" s="97"/>
      <c r="AL507" s="97"/>
      <c r="AM507" s="97"/>
      <c r="AN507" s="97"/>
      <c r="AO507" s="97"/>
      <c r="AP507" s="97"/>
      <c r="AQ507" s="99"/>
      <c r="AR507" s="99"/>
      <c r="AS507" s="99"/>
    </row>
    <row r="508">
      <c r="A508" s="97"/>
      <c r="B508" s="97"/>
      <c r="C508" s="97"/>
      <c r="D508" s="97"/>
      <c r="E508" s="97"/>
      <c r="F508" s="97"/>
      <c r="G508" s="98"/>
      <c r="H508" s="97"/>
      <c r="I508" s="97"/>
      <c r="J508" s="97"/>
      <c r="K508" s="97"/>
      <c r="L508" s="97"/>
      <c r="M508" s="97"/>
      <c r="N508" s="97"/>
      <c r="O508" s="97"/>
      <c r="P508" s="97"/>
      <c r="Q508" s="97"/>
      <c r="R508" s="97"/>
      <c r="S508" s="97"/>
      <c r="T508" s="97"/>
      <c r="U508" s="98"/>
      <c r="V508" s="97"/>
      <c r="W508" s="97"/>
      <c r="X508" s="97"/>
      <c r="Y508" s="97"/>
      <c r="Z508" s="97"/>
      <c r="AA508" s="97"/>
      <c r="AB508" s="97"/>
      <c r="AC508" s="97"/>
      <c r="AD508" s="97"/>
      <c r="AE508" s="97"/>
      <c r="AF508" s="97"/>
      <c r="AG508" s="97"/>
      <c r="AH508" s="97"/>
      <c r="AI508" s="97"/>
      <c r="AJ508" s="97"/>
      <c r="AK508" s="97"/>
      <c r="AL508" s="97"/>
      <c r="AM508" s="97"/>
      <c r="AN508" s="97"/>
      <c r="AO508" s="97"/>
      <c r="AP508" s="97"/>
      <c r="AQ508" s="99"/>
      <c r="AR508" s="99"/>
      <c r="AS508" s="99"/>
    </row>
    <row r="509">
      <c r="A509" s="97"/>
      <c r="B509" s="97"/>
      <c r="C509" s="97"/>
      <c r="D509" s="97"/>
      <c r="E509" s="97"/>
      <c r="F509" s="97"/>
      <c r="G509" s="98"/>
      <c r="H509" s="97"/>
      <c r="I509" s="97"/>
      <c r="J509" s="97"/>
      <c r="K509" s="97"/>
      <c r="L509" s="97"/>
      <c r="M509" s="97"/>
      <c r="N509" s="97"/>
      <c r="O509" s="97"/>
      <c r="P509" s="97"/>
      <c r="Q509" s="97"/>
      <c r="R509" s="97"/>
      <c r="S509" s="97"/>
      <c r="T509" s="97"/>
      <c r="U509" s="98"/>
      <c r="V509" s="97"/>
      <c r="W509" s="97"/>
      <c r="X509" s="97"/>
      <c r="Y509" s="97"/>
      <c r="Z509" s="97"/>
      <c r="AA509" s="97"/>
      <c r="AB509" s="97"/>
      <c r="AC509" s="97"/>
      <c r="AD509" s="97"/>
      <c r="AE509" s="97"/>
      <c r="AF509" s="97"/>
      <c r="AG509" s="97"/>
      <c r="AH509" s="97"/>
      <c r="AI509" s="97"/>
      <c r="AJ509" s="97"/>
      <c r="AK509" s="97"/>
      <c r="AL509" s="97"/>
      <c r="AM509" s="97"/>
      <c r="AN509" s="97"/>
      <c r="AO509" s="97"/>
      <c r="AP509" s="97"/>
      <c r="AQ509" s="99"/>
      <c r="AR509" s="99"/>
      <c r="AS509" s="99"/>
    </row>
    <row r="510">
      <c r="A510" s="97"/>
      <c r="B510" s="97"/>
      <c r="C510" s="97"/>
      <c r="D510" s="97"/>
      <c r="E510" s="97"/>
      <c r="F510" s="97"/>
      <c r="G510" s="98"/>
      <c r="H510" s="97"/>
      <c r="I510" s="97"/>
      <c r="J510" s="97"/>
      <c r="K510" s="97"/>
      <c r="L510" s="97"/>
      <c r="M510" s="97"/>
      <c r="N510" s="97"/>
      <c r="O510" s="97"/>
      <c r="P510" s="97"/>
      <c r="Q510" s="97"/>
      <c r="R510" s="97"/>
      <c r="S510" s="97"/>
      <c r="T510" s="97"/>
      <c r="U510" s="98"/>
      <c r="V510" s="97"/>
      <c r="W510" s="97"/>
      <c r="X510" s="97"/>
      <c r="Y510" s="97"/>
      <c r="Z510" s="97"/>
      <c r="AA510" s="97"/>
      <c r="AB510" s="97"/>
      <c r="AC510" s="97"/>
      <c r="AD510" s="97"/>
      <c r="AE510" s="97"/>
      <c r="AF510" s="97"/>
      <c r="AG510" s="97"/>
      <c r="AH510" s="97"/>
      <c r="AI510" s="97"/>
      <c r="AJ510" s="97"/>
      <c r="AK510" s="97"/>
      <c r="AL510" s="97"/>
      <c r="AM510" s="97"/>
      <c r="AN510" s="97"/>
      <c r="AO510" s="97"/>
      <c r="AP510" s="97"/>
      <c r="AQ510" s="99"/>
      <c r="AR510" s="99"/>
      <c r="AS510" s="99"/>
    </row>
    <row r="511">
      <c r="A511" s="97"/>
      <c r="B511" s="97"/>
      <c r="C511" s="97"/>
      <c r="D511" s="97"/>
      <c r="E511" s="97"/>
      <c r="F511" s="97"/>
      <c r="G511" s="98"/>
      <c r="H511" s="97"/>
      <c r="I511" s="97"/>
      <c r="J511" s="97"/>
      <c r="K511" s="97"/>
      <c r="L511" s="97"/>
      <c r="M511" s="97"/>
      <c r="N511" s="97"/>
      <c r="O511" s="97"/>
      <c r="P511" s="97"/>
      <c r="Q511" s="97"/>
      <c r="R511" s="97"/>
      <c r="S511" s="97"/>
      <c r="T511" s="97"/>
      <c r="U511" s="98"/>
      <c r="V511" s="97"/>
      <c r="W511" s="97"/>
      <c r="X511" s="97"/>
      <c r="Y511" s="97"/>
      <c r="Z511" s="97"/>
      <c r="AA511" s="97"/>
      <c r="AB511" s="97"/>
      <c r="AC511" s="97"/>
      <c r="AD511" s="97"/>
      <c r="AE511" s="97"/>
      <c r="AF511" s="97"/>
      <c r="AG511" s="97"/>
      <c r="AH511" s="97"/>
      <c r="AI511" s="97"/>
      <c r="AJ511" s="97"/>
      <c r="AK511" s="97"/>
      <c r="AL511" s="97"/>
      <c r="AM511" s="97"/>
      <c r="AN511" s="97"/>
      <c r="AO511" s="97"/>
      <c r="AP511" s="97"/>
      <c r="AQ511" s="99"/>
      <c r="AR511" s="99"/>
      <c r="AS511" s="99"/>
    </row>
    <row r="512">
      <c r="A512" s="97"/>
      <c r="B512" s="97"/>
      <c r="C512" s="97"/>
      <c r="D512" s="97"/>
      <c r="E512" s="97"/>
      <c r="F512" s="97"/>
      <c r="G512" s="98"/>
      <c r="H512" s="97"/>
      <c r="I512" s="97"/>
      <c r="J512" s="97"/>
      <c r="K512" s="97"/>
      <c r="L512" s="97"/>
      <c r="M512" s="97"/>
      <c r="N512" s="97"/>
      <c r="O512" s="97"/>
      <c r="P512" s="97"/>
      <c r="Q512" s="97"/>
      <c r="R512" s="97"/>
      <c r="S512" s="97"/>
      <c r="T512" s="97"/>
      <c r="U512" s="98"/>
      <c r="V512" s="97"/>
      <c r="W512" s="97"/>
      <c r="X512" s="97"/>
      <c r="Y512" s="97"/>
      <c r="Z512" s="97"/>
      <c r="AA512" s="97"/>
      <c r="AB512" s="97"/>
      <c r="AC512" s="97"/>
      <c r="AD512" s="97"/>
      <c r="AE512" s="97"/>
      <c r="AF512" s="97"/>
      <c r="AG512" s="97"/>
      <c r="AH512" s="97"/>
      <c r="AI512" s="97"/>
      <c r="AJ512" s="97"/>
      <c r="AK512" s="97"/>
      <c r="AL512" s="97"/>
      <c r="AM512" s="97"/>
      <c r="AN512" s="97"/>
      <c r="AO512" s="97"/>
      <c r="AP512" s="97"/>
      <c r="AQ512" s="99"/>
      <c r="AR512" s="99"/>
      <c r="AS512" s="99"/>
    </row>
    <row r="513">
      <c r="A513" s="97"/>
      <c r="B513" s="97"/>
      <c r="C513" s="97"/>
      <c r="D513" s="97"/>
      <c r="E513" s="97"/>
      <c r="F513" s="97"/>
      <c r="G513" s="98"/>
      <c r="H513" s="97"/>
      <c r="I513" s="97"/>
      <c r="J513" s="97"/>
      <c r="K513" s="97"/>
      <c r="L513" s="97"/>
      <c r="M513" s="97"/>
      <c r="N513" s="97"/>
      <c r="O513" s="97"/>
      <c r="P513" s="97"/>
      <c r="Q513" s="97"/>
      <c r="R513" s="97"/>
      <c r="S513" s="97"/>
      <c r="T513" s="97"/>
      <c r="U513" s="98"/>
      <c r="V513" s="97"/>
      <c r="W513" s="97"/>
      <c r="X513" s="97"/>
      <c r="Y513" s="97"/>
      <c r="Z513" s="97"/>
      <c r="AA513" s="97"/>
      <c r="AB513" s="97"/>
      <c r="AC513" s="97"/>
      <c r="AD513" s="97"/>
      <c r="AE513" s="97"/>
      <c r="AF513" s="97"/>
      <c r="AG513" s="97"/>
      <c r="AH513" s="97"/>
      <c r="AI513" s="97"/>
      <c r="AJ513" s="97"/>
      <c r="AK513" s="97"/>
      <c r="AL513" s="97"/>
      <c r="AM513" s="97"/>
      <c r="AN513" s="97"/>
      <c r="AO513" s="97"/>
      <c r="AP513" s="97"/>
      <c r="AQ513" s="99"/>
      <c r="AR513" s="99"/>
      <c r="AS513" s="99"/>
    </row>
    <row r="514">
      <c r="A514" s="97"/>
      <c r="B514" s="97"/>
      <c r="C514" s="97"/>
      <c r="D514" s="97"/>
      <c r="E514" s="97"/>
      <c r="F514" s="97"/>
      <c r="G514" s="98"/>
      <c r="H514" s="97"/>
      <c r="I514" s="97"/>
      <c r="J514" s="97"/>
      <c r="K514" s="97"/>
      <c r="L514" s="97"/>
      <c r="M514" s="97"/>
      <c r="N514" s="97"/>
      <c r="O514" s="97"/>
      <c r="P514" s="97"/>
      <c r="Q514" s="97"/>
      <c r="R514" s="97"/>
      <c r="S514" s="97"/>
      <c r="T514" s="97"/>
      <c r="U514" s="98"/>
      <c r="V514" s="97"/>
      <c r="W514" s="97"/>
      <c r="X514" s="97"/>
      <c r="Y514" s="97"/>
      <c r="Z514" s="97"/>
      <c r="AA514" s="97"/>
      <c r="AB514" s="97"/>
      <c r="AC514" s="97"/>
      <c r="AD514" s="97"/>
      <c r="AE514" s="97"/>
      <c r="AF514" s="97"/>
      <c r="AG514" s="97"/>
      <c r="AH514" s="97"/>
      <c r="AI514" s="97"/>
      <c r="AJ514" s="97"/>
      <c r="AK514" s="97"/>
      <c r="AL514" s="97"/>
      <c r="AM514" s="97"/>
      <c r="AN514" s="97"/>
      <c r="AO514" s="97"/>
      <c r="AP514" s="97"/>
      <c r="AQ514" s="99"/>
      <c r="AR514" s="99"/>
      <c r="AS514" s="99"/>
    </row>
    <row r="515">
      <c r="A515" s="97"/>
      <c r="B515" s="97"/>
      <c r="C515" s="97"/>
      <c r="D515" s="97"/>
      <c r="E515" s="97"/>
      <c r="F515" s="97"/>
      <c r="G515" s="98"/>
      <c r="H515" s="97"/>
      <c r="I515" s="97"/>
      <c r="J515" s="97"/>
      <c r="K515" s="97"/>
      <c r="L515" s="97"/>
      <c r="M515" s="97"/>
      <c r="N515" s="97"/>
      <c r="O515" s="97"/>
      <c r="P515" s="97"/>
      <c r="Q515" s="97"/>
      <c r="R515" s="97"/>
      <c r="S515" s="97"/>
      <c r="T515" s="97"/>
      <c r="U515" s="98"/>
      <c r="V515" s="97"/>
      <c r="W515" s="97"/>
      <c r="X515" s="97"/>
      <c r="Y515" s="97"/>
      <c r="Z515" s="97"/>
      <c r="AA515" s="97"/>
      <c r="AB515" s="97"/>
      <c r="AC515" s="97"/>
      <c r="AD515" s="97"/>
      <c r="AE515" s="97"/>
      <c r="AF515" s="97"/>
      <c r="AG515" s="97"/>
      <c r="AH515" s="97"/>
      <c r="AI515" s="97"/>
      <c r="AJ515" s="97"/>
      <c r="AK515" s="97"/>
      <c r="AL515" s="97"/>
      <c r="AM515" s="97"/>
      <c r="AN515" s="97"/>
      <c r="AO515" s="97"/>
      <c r="AP515" s="97"/>
      <c r="AQ515" s="99"/>
      <c r="AR515" s="99"/>
      <c r="AS515" s="99"/>
    </row>
    <row r="516">
      <c r="A516" s="97"/>
      <c r="B516" s="97"/>
      <c r="C516" s="97"/>
      <c r="D516" s="97"/>
      <c r="E516" s="97"/>
      <c r="F516" s="97"/>
      <c r="G516" s="98"/>
      <c r="H516" s="97"/>
      <c r="I516" s="97"/>
      <c r="J516" s="97"/>
      <c r="K516" s="97"/>
      <c r="L516" s="97"/>
      <c r="M516" s="97"/>
      <c r="N516" s="97"/>
      <c r="O516" s="97"/>
      <c r="P516" s="97"/>
      <c r="Q516" s="97"/>
      <c r="R516" s="97"/>
      <c r="S516" s="97"/>
      <c r="T516" s="97"/>
      <c r="U516" s="98"/>
      <c r="V516" s="97"/>
      <c r="W516" s="97"/>
      <c r="X516" s="97"/>
      <c r="Y516" s="97"/>
      <c r="Z516" s="97"/>
      <c r="AA516" s="97"/>
      <c r="AB516" s="97"/>
      <c r="AC516" s="97"/>
      <c r="AD516" s="97"/>
      <c r="AE516" s="97"/>
      <c r="AF516" s="97"/>
      <c r="AG516" s="97"/>
      <c r="AH516" s="97"/>
      <c r="AI516" s="97"/>
      <c r="AJ516" s="97"/>
      <c r="AK516" s="97"/>
      <c r="AL516" s="97"/>
      <c r="AM516" s="97"/>
      <c r="AN516" s="97"/>
      <c r="AO516" s="97"/>
      <c r="AP516" s="97"/>
      <c r="AQ516" s="99"/>
      <c r="AR516" s="99"/>
      <c r="AS516" s="99"/>
    </row>
    <row r="517">
      <c r="A517" s="97"/>
      <c r="B517" s="97"/>
      <c r="C517" s="97"/>
      <c r="D517" s="97"/>
      <c r="E517" s="97"/>
      <c r="F517" s="97"/>
      <c r="G517" s="98"/>
      <c r="H517" s="97"/>
      <c r="I517" s="97"/>
      <c r="J517" s="97"/>
      <c r="K517" s="97"/>
      <c r="L517" s="97"/>
      <c r="M517" s="97"/>
      <c r="N517" s="97"/>
      <c r="O517" s="97"/>
      <c r="P517" s="97"/>
      <c r="Q517" s="97"/>
      <c r="R517" s="97"/>
      <c r="S517" s="97"/>
      <c r="T517" s="97"/>
      <c r="U517" s="98"/>
      <c r="V517" s="97"/>
      <c r="W517" s="97"/>
      <c r="X517" s="97"/>
      <c r="Y517" s="97"/>
      <c r="Z517" s="97"/>
      <c r="AA517" s="97"/>
      <c r="AB517" s="97"/>
      <c r="AC517" s="97"/>
      <c r="AD517" s="97"/>
      <c r="AE517" s="97"/>
      <c r="AF517" s="97"/>
      <c r="AG517" s="97"/>
      <c r="AH517" s="97"/>
      <c r="AI517" s="97"/>
      <c r="AJ517" s="97"/>
      <c r="AK517" s="97"/>
      <c r="AL517" s="97"/>
      <c r="AM517" s="97"/>
      <c r="AN517" s="97"/>
      <c r="AO517" s="97"/>
      <c r="AP517" s="97"/>
      <c r="AQ517" s="99"/>
      <c r="AR517" s="99"/>
      <c r="AS517" s="99"/>
    </row>
    <row r="518">
      <c r="A518" s="97"/>
      <c r="B518" s="97"/>
      <c r="C518" s="97"/>
      <c r="D518" s="97"/>
      <c r="E518" s="97"/>
      <c r="F518" s="97"/>
      <c r="G518" s="98"/>
      <c r="H518" s="97"/>
      <c r="I518" s="97"/>
      <c r="J518" s="97"/>
      <c r="K518" s="97"/>
      <c r="L518" s="97"/>
      <c r="M518" s="97"/>
      <c r="N518" s="97"/>
      <c r="O518" s="97"/>
      <c r="P518" s="97"/>
      <c r="Q518" s="97"/>
      <c r="R518" s="97"/>
      <c r="S518" s="97"/>
      <c r="T518" s="97"/>
      <c r="U518" s="98"/>
      <c r="V518" s="97"/>
      <c r="W518" s="97"/>
      <c r="X518" s="97"/>
      <c r="Y518" s="97"/>
      <c r="Z518" s="97"/>
      <c r="AA518" s="97"/>
      <c r="AB518" s="97"/>
      <c r="AC518" s="97"/>
      <c r="AD518" s="97"/>
      <c r="AE518" s="97"/>
      <c r="AF518" s="97"/>
      <c r="AG518" s="97"/>
      <c r="AH518" s="97"/>
      <c r="AI518" s="97"/>
      <c r="AJ518" s="97"/>
      <c r="AK518" s="97"/>
      <c r="AL518" s="97"/>
      <c r="AM518" s="97"/>
      <c r="AN518" s="97"/>
      <c r="AO518" s="97"/>
      <c r="AP518" s="97"/>
      <c r="AQ518" s="99"/>
      <c r="AR518" s="99"/>
      <c r="AS518" s="99"/>
    </row>
    <row r="519">
      <c r="A519" s="97"/>
      <c r="B519" s="97"/>
      <c r="C519" s="97"/>
      <c r="D519" s="97"/>
      <c r="E519" s="97"/>
      <c r="F519" s="97"/>
      <c r="G519" s="98"/>
      <c r="H519" s="97"/>
      <c r="I519" s="97"/>
      <c r="J519" s="97"/>
      <c r="K519" s="97"/>
      <c r="L519" s="97"/>
      <c r="M519" s="97"/>
      <c r="N519" s="97"/>
      <c r="O519" s="97"/>
      <c r="P519" s="97"/>
      <c r="Q519" s="97"/>
      <c r="R519" s="97"/>
      <c r="S519" s="97"/>
      <c r="T519" s="97"/>
      <c r="U519" s="98"/>
      <c r="V519" s="97"/>
      <c r="W519" s="97"/>
      <c r="X519" s="97"/>
      <c r="Y519" s="97"/>
      <c r="Z519" s="97"/>
      <c r="AA519" s="97"/>
      <c r="AB519" s="97"/>
      <c r="AC519" s="97"/>
      <c r="AD519" s="97"/>
      <c r="AE519" s="97"/>
      <c r="AF519" s="97"/>
      <c r="AG519" s="97"/>
      <c r="AH519" s="97"/>
      <c r="AI519" s="97"/>
      <c r="AJ519" s="97"/>
      <c r="AK519" s="97"/>
      <c r="AL519" s="97"/>
      <c r="AM519" s="97"/>
      <c r="AN519" s="97"/>
      <c r="AO519" s="97"/>
      <c r="AP519" s="97"/>
      <c r="AQ519" s="99"/>
      <c r="AR519" s="99"/>
      <c r="AS519" s="99"/>
    </row>
    <row r="520">
      <c r="A520" s="97"/>
      <c r="B520" s="97"/>
      <c r="C520" s="97"/>
      <c r="D520" s="97"/>
      <c r="E520" s="97"/>
      <c r="F520" s="97"/>
      <c r="G520" s="98"/>
      <c r="H520" s="97"/>
      <c r="I520" s="97"/>
      <c r="J520" s="97"/>
      <c r="K520" s="97"/>
      <c r="L520" s="97"/>
      <c r="M520" s="97"/>
      <c r="N520" s="97"/>
      <c r="O520" s="97"/>
      <c r="P520" s="97"/>
      <c r="Q520" s="97"/>
      <c r="R520" s="97"/>
      <c r="S520" s="97"/>
      <c r="T520" s="97"/>
      <c r="U520" s="98"/>
      <c r="V520" s="97"/>
      <c r="W520" s="97"/>
      <c r="X520" s="97"/>
      <c r="Y520" s="97"/>
      <c r="Z520" s="97"/>
      <c r="AA520" s="97"/>
      <c r="AB520" s="97"/>
      <c r="AC520" s="97"/>
      <c r="AD520" s="97"/>
      <c r="AE520" s="97"/>
      <c r="AF520" s="97"/>
      <c r="AG520" s="97"/>
      <c r="AH520" s="97"/>
      <c r="AI520" s="97"/>
      <c r="AJ520" s="97"/>
      <c r="AK520" s="97"/>
      <c r="AL520" s="97"/>
      <c r="AM520" s="97"/>
      <c r="AN520" s="97"/>
      <c r="AO520" s="97"/>
      <c r="AP520" s="97"/>
      <c r="AQ520" s="99"/>
      <c r="AR520" s="99"/>
      <c r="AS520" s="99"/>
    </row>
    <row r="521">
      <c r="A521" s="97"/>
      <c r="B521" s="97"/>
      <c r="C521" s="97"/>
      <c r="D521" s="97"/>
      <c r="E521" s="97"/>
      <c r="F521" s="97"/>
      <c r="G521" s="98"/>
      <c r="H521" s="97"/>
      <c r="I521" s="97"/>
      <c r="J521" s="97"/>
      <c r="K521" s="97"/>
      <c r="L521" s="97"/>
      <c r="M521" s="97"/>
      <c r="N521" s="97"/>
      <c r="O521" s="97"/>
      <c r="P521" s="97"/>
      <c r="Q521" s="97"/>
      <c r="R521" s="97"/>
      <c r="S521" s="97"/>
      <c r="T521" s="97"/>
      <c r="U521" s="98"/>
      <c r="V521" s="97"/>
      <c r="W521" s="97"/>
      <c r="X521" s="97"/>
      <c r="Y521" s="97"/>
      <c r="Z521" s="97"/>
      <c r="AA521" s="97"/>
      <c r="AB521" s="97"/>
      <c r="AC521" s="97"/>
      <c r="AD521" s="97"/>
      <c r="AE521" s="97"/>
      <c r="AF521" s="97"/>
      <c r="AG521" s="97"/>
      <c r="AH521" s="97"/>
      <c r="AI521" s="97"/>
      <c r="AJ521" s="97"/>
      <c r="AK521" s="97"/>
      <c r="AL521" s="97"/>
      <c r="AM521" s="97"/>
      <c r="AN521" s="97"/>
      <c r="AO521" s="97"/>
      <c r="AP521" s="97"/>
      <c r="AQ521" s="99"/>
      <c r="AR521" s="99"/>
      <c r="AS521" s="99"/>
    </row>
    <row r="522">
      <c r="A522" s="97"/>
      <c r="B522" s="97"/>
      <c r="C522" s="97"/>
      <c r="D522" s="97"/>
      <c r="E522" s="97"/>
      <c r="F522" s="97"/>
      <c r="G522" s="98"/>
      <c r="H522" s="97"/>
      <c r="I522" s="97"/>
      <c r="J522" s="97"/>
      <c r="K522" s="97"/>
      <c r="L522" s="97"/>
      <c r="M522" s="97"/>
      <c r="N522" s="97"/>
      <c r="O522" s="97"/>
      <c r="P522" s="97"/>
      <c r="Q522" s="97"/>
      <c r="R522" s="97"/>
      <c r="S522" s="97"/>
      <c r="T522" s="97"/>
      <c r="U522" s="98"/>
      <c r="V522" s="97"/>
      <c r="W522" s="97"/>
      <c r="X522" s="97"/>
      <c r="Y522" s="97"/>
      <c r="Z522" s="97"/>
      <c r="AA522" s="97"/>
      <c r="AB522" s="97"/>
      <c r="AC522" s="97"/>
      <c r="AD522" s="97"/>
      <c r="AE522" s="97"/>
      <c r="AF522" s="97"/>
      <c r="AG522" s="97"/>
      <c r="AH522" s="97"/>
      <c r="AI522" s="97"/>
      <c r="AJ522" s="97"/>
      <c r="AK522" s="97"/>
      <c r="AL522" s="97"/>
      <c r="AM522" s="97"/>
      <c r="AN522" s="97"/>
      <c r="AO522" s="97"/>
      <c r="AP522" s="97"/>
      <c r="AQ522" s="99"/>
      <c r="AR522" s="99"/>
      <c r="AS522" s="99"/>
    </row>
    <row r="523">
      <c r="A523" s="97"/>
      <c r="B523" s="97"/>
      <c r="C523" s="97"/>
      <c r="D523" s="97"/>
      <c r="E523" s="97"/>
      <c r="F523" s="97"/>
      <c r="G523" s="98"/>
      <c r="H523" s="97"/>
      <c r="I523" s="97"/>
      <c r="J523" s="97"/>
      <c r="K523" s="97"/>
      <c r="L523" s="97"/>
      <c r="M523" s="97"/>
      <c r="N523" s="97"/>
      <c r="O523" s="97"/>
      <c r="P523" s="97"/>
      <c r="Q523" s="97"/>
      <c r="R523" s="97"/>
      <c r="S523" s="97"/>
      <c r="T523" s="97"/>
      <c r="U523" s="98"/>
      <c r="V523" s="97"/>
      <c r="W523" s="97"/>
      <c r="X523" s="97"/>
      <c r="Y523" s="97"/>
      <c r="Z523" s="97"/>
      <c r="AA523" s="97"/>
      <c r="AB523" s="97"/>
      <c r="AC523" s="97"/>
      <c r="AD523" s="97"/>
      <c r="AE523" s="97"/>
      <c r="AF523" s="97"/>
      <c r="AG523" s="97"/>
      <c r="AH523" s="97"/>
      <c r="AI523" s="97"/>
      <c r="AJ523" s="97"/>
      <c r="AK523" s="97"/>
      <c r="AL523" s="97"/>
      <c r="AM523" s="97"/>
      <c r="AN523" s="97"/>
      <c r="AO523" s="97"/>
      <c r="AP523" s="97"/>
      <c r="AQ523" s="99"/>
      <c r="AR523" s="99"/>
      <c r="AS523" s="99"/>
    </row>
    <row r="524">
      <c r="A524" s="97"/>
      <c r="B524" s="97"/>
      <c r="C524" s="97"/>
      <c r="D524" s="97"/>
      <c r="E524" s="97"/>
      <c r="F524" s="97"/>
      <c r="G524" s="98"/>
      <c r="H524" s="97"/>
      <c r="I524" s="97"/>
      <c r="J524" s="97"/>
      <c r="K524" s="97"/>
      <c r="L524" s="97"/>
      <c r="M524" s="97"/>
      <c r="N524" s="97"/>
      <c r="O524" s="97"/>
      <c r="P524" s="97"/>
      <c r="Q524" s="97"/>
      <c r="R524" s="97"/>
      <c r="S524" s="97"/>
      <c r="T524" s="97"/>
      <c r="U524" s="98"/>
      <c r="V524" s="97"/>
      <c r="W524" s="97"/>
      <c r="X524" s="97"/>
      <c r="Y524" s="97"/>
      <c r="Z524" s="97"/>
      <c r="AA524" s="97"/>
      <c r="AB524" s="97"/>
      <c r="AC524" s="97"/>
      <c r="AD524" s="97"/>
      <c r="AE524" s="97"/>
      <c r="AF524" s="97"/>
      <c r="AG524" s="97"/>
      <c r="AH524" s="97"/>
      <c r="AI524" s="97"/>
      <c r="AJ524" s="97"/>
      <c r="AK524" s="97"/>
      <c r="AL524" s="97"/>
      <c r="AM524" s="97"/>
      <c r="AN524" s="97"/>
      <c r="AO524" s="97"/>
      <c r="AP524" s="97"/>
      <c r="AQ524" s="99"/>
      <c r="AR524" s="99"/>
      <c r="AS524" s="99"/>
    </row>
    <row r="525">
      <c r="A525" s="97"/>
      <c r="B525" s="97"/>
      <c r="C525" s="97"/>
      <c r="D525" s="97"/>
      <c r="E525" s="97"/>
      <c r="F525" s="97"/>
      <c r="G525" s="98"/>
      <c r="H525" s="97"/>
      <c r="I525" s="97"/>
      <c r="J525" s="97"/>
      <c r="K525" s="97"/>
      <c r="L525" s="97"/>
      <c r="M525" s="97"/>
      <c r="N525" s="97"/>
      <c r="O525" s="97"/>
      <c r="P525" s="97"/>
      <c r="Q525" s="97"/>
      <c r="R525" s="97"/>
      <c r="S525" s="97"/>
      <c r="T525" s="97"/>
      <c r="U525" s="98"/>
      <c r="V525" s="97"/>
      <c r="W525" s="97"/>
      <c r="X525" s="97"/>
      <c r="Y525" s="97"/>
      <c r="Z525" s="97"/>
      <c r="AA525" s="97"/>
      <c r="AB525" s="97"/>
      <c r="AC525" s="97"/>
      <c r="AD525" s="97"/>
      <c r="AE525" s="97"/>
      <c r="AF525" s="97"/>
      <c r="AG525" s="97"/>
      <c r="AH525" s="97"/>
      <c r="AI525" s="97"/>
      <c r="AJ525" s="97"/>
      <c r="AK525" s="97"/>
      <c r="AL525" s="97"/>
      <c r="AM525" s="97"/>
      <c r="AN525" s="97"/>
      <c r="AO525" s="97"/>
      <c r="AP525" s="97"/>
      <c r="AQ525" s="99"/>
      <c r="AR525" s="99"/>
      <c r="AS525" s="99"/>
    </row>
    <row r="526">
      <c r="A526" s="97"/>
      <c r="B526" s="97"/>
      <c r="C526" s="97"/>
      <c r="D526" s="97"/>
      <c r="E526" s="97"/>
      <c r="F526" s="97"/>
      <c r="G526" s="98"/>
      <c r="H526" s="97"/>
      <c r="I526" s="97"/>
      <c r="J526" s="97"/>
      <c r="K526" s="97"/>
      <c r="L526" s="97"/>
      <c r="M526" s="97"/>
      <c r="N526" s="97"/>
      <c r="O526" s="97"/>
      <c r="P526" s="97"/>
      <c r="Q526" s="97"/>
      <c r="R526" s="97"/>
      <c r="S526" s="97"/>
      <c r="T526" s="97"/>
      <c r="U526" s="98"/>
      <c r="V526" s="97"/>
      <c r="W526" s="97"/>
      <c r="X526" s="97"/>
      <c r="Y526" s="97"/>
      <c r="Z526" s="97"/>
      <c r="AA526" s="97"/>
      <c r="AB526" s="97"/>
      <c r="AC526" s="97"/>
      <c r="AD526" s="97"/>
      <c r="AE526" s="97"/>
      <c r="AF526" s="97"/>
      <c r="AG526" s="97"/>
      <c r="AH526" s="97"/>
      <c r="AI526" s="97"/>
      <c r="AJ526" s="97"/>
      <c r="AK526" s="97"/>
      <c r="AL526" s="97"/>
      <c r="AM526" s="97"/>
      <c r="AN526" s="97"/>
      <c r="AO526" s="97"/>
      <c r="AP526" s="97"/>
      <c r="AQ526" s="99"/>
      <c r="AR526" s="99"/>
      <c r="AS526" s="99"/>
    </row>
    <row r="527">
      <c r="A527" s="97"/>
      <c r="B527" s="97"/>
      <c r="C527" s="97"/>
      <c r="D527" s="97"/>
      <c r="E527" s="97"/>
      <c r="F527" s="97"/>
      <c r="G527" s="98"/>
      <c r="H527" s="97"/>
      <c r="I527" s="97"/>
      <c r="J527" s="97"/>
      <c r="K527" s="97"/>
      <c r="L527" s="97"/>
      <c r="M527" s="97"/>
      <c r="N527" s="97"/>
      <c r="O527" s="97"/>
      <c r="P527" s="97"/>
      <c r="Q527" s="97"/>
      <c r="R527" s="97"/>
      <c r="S527" s="97"/>
      <c r="T527" s="97"/>
      <c r="U527" s="98"/>
      <c r="V527" s="97"/>
      <c r="W527" s="97"/>
      <c r="X527" s="97"/>
      <c r="Y527" s="97"/>
      <c r="Z527" s="97"/>
      <c r="AA527" s="97"/>
      <c r="AB527" s="97"/>
      <c r="AC527" s="97"/>
      <c r="AD527" s="97"/>
      <c r="AE527" s="97"/>
      <c r="AF527" s="97"/>
      <c r="AG527" s="97"/>
      <c r="AH527" s="97"/>
      <c r="AI527" s="97"/>
      <c r="AJ527" s="97"/>
      <c r="AK527" s="97"/>
      <c r="AL527" s="97"/>
      <c r="AM527" s="97"/>
      <c r="AN527" s="97"/>
      <c r="AO527" s="97"/>
      <c r="AP527" s="97"/>
      <c r="AQ527" s="99"/>
      <c r="AR527" s="99"/>
      <c r="AS527" s="99"/>
    </row>
    <row r="528">
      <c r="A528" s="97"/>
      <c r="B528" s="97"/>
      <c r="C528" s="97"/>
      <c r="D528" s="97"/>
      <c r="E528" s="97"/>
      <c r="F528" s="97"/>
      <c r="G528" s="98"/>
      <c r="H528" s="97"/>
      <c r="I528" s="97"/>
      <c r="J528" s="97"/>
      <c r="K528" s="97"/>
      <c r="L528" s="97"/>
      <c r="M528" s="97"/>
      <c r="N528" s="97"/>
      <c r="O528" s="97"/>
      <c r="P528" s="97"/>
      <c r="Q528" s="97"/>
      <c r="R528" s="97"/>
      <c r="S528" s="97"/>
      <c r="T528" s="97"/>
      <c r="U528" s="98"/>
      <c r="V528" s="97"/>
      <c r="W528" s="97"/>
      <c r="X528" s="97"/>
      <c r="Y528" s="97"/>
      <c r="Z528" s="97"/>
      <c r="AA528" s="97"/>
      <c r="AB528" s="97"/>
      <c r="AC528" s="97"/>
      <c r="AD528" s="97"/>
      <c r="AE528" s="97"/>
      <c r="AF528" s="97"/>
      <c r="AG528" s="97"/>
      <c r="AH528" s="97"/>
      <c r="AI528" s="97"/>
      <c r="AJ528" s="97"/>
      <c r="AK528" s="97"/>
      <c r="AL528" s="97"/>
      <c r="AM528" s="97"/>
      <c r="AN528" s="97"/>
      <c r="AO528" s="97"/>
      <c r="AP528" s="97"/>
      <c r="AQ528" s="99"/>
      <c r="AR528" s="99"/>
      <c r="AS528" s="99"/>
    </row>
    <row r="529">
      <c r="A529" s="97"/>
      <c r="B529" s="97"/>
      <c r="C529" s="97"/>
      <c r="D529" s="97"/>
      <c r="E529" s="97"/>
      <c r="F529" s="97"/>
      <c r="G529" s="98"/>
      <c r="H529" s="97"/>
      <c r="I529" s="97"/>
      <c r="J529" s="97"/>
      <c r="K529" s="97"/>
      <c r="L529" s="97"/>
      <c r="M529" s="97"/>
      <c r="N529" s="97"/>
      <c r="O529" s="97"/>
      <c r="P529" s="97"/>
      <c r="Q529" s="97"/>
      <c r="R529" s="97"/>
      <c r="S529" s="97"/>
      <c r="T529" s="97"/>
      <c r="U529" s="98"/>
      <c r="V529" s="97"/>
      <c r="W529" s="97"/>
      <c r="X529" s="97"/>
      <c r="Y529" s="97"/>
      <c r="Z529" s="97"/>
      <c r="AA529" s="97"/>
      <c r="AB529" s="97"/>
      <c r="AC529" s="97"/>
      <c r="AD529" s="97"/>
      <c r="AE529" s="97"/>
      <c r="AF529" s="97"/>
      <c r="AG529" s="97"/>
      <c r="AH529" s="97"/>
      <c r="AI529" s="97"/>
      <c r="AJ529" s="97"/>
      <c r="AK529" s="97"/>
      <c r="AL529" s="97"/>
      <c r="AM529" s="97"/>
      <c r="AN529" s="97"/>
      <c r="AO529" s="97"/>
      <c r="AP529" s="97"/>
      <c r="AQ529" s="99"/>
      <c r="AR529" s="99"/>
      <c r="AS529" s="99"/>
    </row>
    <row r="530">
      <c r="A530" s="97"/>
      <c r="B530" s="97"/>
      <c r="C530" s="97"/>
      <c r="D530" s="97"/>
      <c r="E530" s="97"/>
      <c r="F530" s="97"/>
      <c r="G530" s="98"/>
      <c r="H530" s="97"/>
      <c r="I530" s="97"/>
      <c r="J530" s="97"/>
      <c r="K530" s="97"/>
      <c r="L530" s="97"/>
      <c r="M530" s="97"/>
      <c r="N530" s="97"/>
      <c r="O530" s="97"/>
      <c r="P530" s="97"/>
      <c r="Q530" s="97"/>
      <c r="R530" s="97"/>
      <c r="S530" s="97"/>
      <c r="T530" s="97"/>
      <c r="U530" s="98"/>
      <c r="V530" s="97"/>
      <c r="W530" s="97"/>
      <c r="X530" s="97"/>
      <c r="Y530" s="97"/>
      <c r="Z530" s="97"/>
      <c r="AA530" s="97"/>
      <c r="AB530" s="97"/>
      <c r="AC530" s="97"/>
      <c r="AD530" s="97"/>
      <c r="AE530" s="97"/>
      <c r="AF530" s="97"/>
      <c r="AG530" s="97"/>
      <c r="AH530" s="97"/>
      <c r="AI530" s="97"/>
      <c r="AJ530" s="97"/>
      <c r="AK530" s="97"/>
      <c r="AL530" s="97"/>
      <c r="AM530" s="97"/>
      <c r="AN530" s="97"/>
      <c r="AO530" s="97"/>
      <c r="AP530" s="97"/>
      <c r="AQ530" s="99"/>
      <c r="AR530" s="99"/>
      <c r="AS530" s="99"/>
    </row>
    <row r="531">
      <c r="A531" s="97"/>
      <c r="B531" s="97"/>
      <c r="C531" s="97"/>
      <c r="D531" s="97"/>
      <c r="E531" s="97"/>
      <c r="F531" s="97"/>
      <c r="G531" s="98"/>
      <c r="H531" s="97"/>
      <c r="I531" s="97"/>
      <c r="J531" s="97"/>
      <c r="K531" s="97"/>
      <c r="L531" s="97"/>
      <c r="M531" s="97"/>
      <c r="N531" s="97"/>
      <c r="O531" s="97"/>
      <c r="P531" s="97"/>
      <c r="Q531" s="97"/>
      <c r="R531" s="97"/>
      <c r="S531" s="97"/>
      <c r="T531" s="97"/>
      <c r="U531" s="98"/>
      <c r="V531" s="97"/>
      <c r="W531" s="97"/>
      <c r="X531" s="97"/>
      <c r="Y531" s="97"/>
      <c r="Z531" s="97"/>
      <c r="AA531" s="97"/>
      <c r="AB531" s="97"/>
      <c r="AC531" s="97"/>
      <c r="AD531" s="97"/>
      <c r="AE531" s="97"/>
      <c r="AF531" s="97"/>
      <c r="AG531" s="97"/>
      <c r="AH531" s="97"/>
      <c r="AI531" s="97"/>
      <c r="AJ531" s="97"/>
      <c r="AK531" s="97"/>
      <c r="AL531" s="97"/>
      <c r="AM531" s="97"/>
      <c r="AN531" s="97"/>
      <c r="AO531" s="97"/>
      <c r="AP531" s="97"/>
      <c r="AQ531" s="99"/>
      <c r="AR531" s="99"/>
      <c r="AS531" s="99"/>
    </row>
    <row r="532">
      <c r="A532" s="97"/>
      <c r="B532" s="97"/>
      <c r="C532" s="97"/>
      <c r="D532" s="97"/>
      <c r="E532" s="97"/>
      <c r="F532" s="97"/>
      <c r="G532" s="98"/>
      <c r="H532" s="97"/>
      <c r="I532" s="97"/>
      <c r="J532" s="97"/>
      <c r="K532" s="97"/>
      <c r="L532" s="97"/>
      <c r="M532" s="97"/>
      <c r="N532" s="97"/>
      <c r="O532" s="97"/>
      <c r="P532" s="97"/>
      <c r="Q532" s="97"/>
      <c r="R532" s="97"/>
      <c r="S532" s="97"/>
      <c r="T532" s="97"/>
      <c r="U532" s="98"/>
      <c r="V532" s="97"/>
      <c r="W532" s="97"/>
      <c r="X532" s="97"/>
      <c r="Y532" s="97"/>
      <c r="Z532" s="97"/>
      <c r="AA532" s="97"/>
      <c r="AB532" s="97"/>
      <c r="AC532" s="97"/>
      <c r="AD532" s="97"/>
      <c r="AE532" s="97"/>
      <c r="AF532" s="97"/>
      <c r="AG532" s="97"/>
      <c r="AH532" s="97"/>
      <c r="AI532" s="97"/>
      <c r="AJ532" s="97"/>
      <c r="AK532" s="97"/>
      <c r="AL532" s="97"/>
      <c r="AM532" s="97"/>
      <c r="AN532" s="97"/>
      <c r="AO532" s="97"/>
      <c r="AP532" s="97"/>
      <c r="AQ532" s="99"/>
      <c r="AR532" s="99"/>
      <c r="AS532" s="99"/>
    </row>
    <row r="533">
      <c r="A533" s="97"/>
      <c r="B533" s="97"/>
      <c r="C533" s="97"/>
      <c r="D533" s="97"/>
      <c r="E533" s="97"/>
      <c r="F533" s="97"/>
      <c r="G533" s="98"/>
      <c r="H533" s="97"/>
      <c r="I533" s="97"/>
      <c r="J533" s="97"/>
      <c r="K533" s="97"/>
      <c r="L533" s="97"/>
      <c r="M533" s="97"/>
      <c r="N533" s="97"/>
      <c r="O533" s="97"/>
      <c r="P533" s="97"/>
      <c r="Q533" s="97"/>
      <c r="R533" s="97"/>
      <c r="S533" s="97"/>
      <c r="T533" s="97"/>
      <c r="U533" s="98"/>
      <c r="V533" s="97"/>
      <c r="W533" s="97"/>
      <c r="X533" s="97"/>
      <c r="Y533" s="97"/>
      <c r="Z533" s="97"/>
      <c r="AA533" s="97"/>
      <c r="AB533" s="97"/>
      <c r="AC533" s="97"/>
      <c r="AD533" s="97"/>
      <c r="AE533" s="97"/>
      <c r="AF533" s="97"/>
      <c r="AG533" s="97"/>
      <c r="AH533" s="97"/>
      <c r="AI533" s="97"/>
      <c r="AJ533" s="97"/>
      <c r="AK533" s="97"/>
      <c r="AL533" s="97"/>
      <c r="AM533" s="97"/>
      <c r="AN533" s="97"/>
      <c r="AO533" s="97"/>
      <c r="AP533" s="97"/>
      <c r="AQ533" s="99"/>
      <c r="AR533" s="99"/>
      <c r="AS533" s="99"/>
    </row>
    <row r="534">
      <c r="A534" s="97"/>
      <c r="B534" s="97"/>
      <c r="C534" s="97"/>
      <c r="D534" s="97"/>
      <c r="E534" s="97"/>
      <c r="F534" s="97"/>
      <c r="G534" s="98"/>
      <c r="H534" s="97"/>
      <c r="I534" s="97"/>
      <c r="J534" s="97"/>
      <c r="K534" s="97"/>
      <c r="L534" s="97"/>
      <c r="M534" s="97"/>
      <c r="N534" s="97"/>
      <c r="O534" s="97"/>
      <c r="P534" s="97"/>
      <c r="Q534" s="97"/>
      <c r="R534" s="97"/>
      <c r="S534" s="97"/>
      <c r="T534" s="97"/>
      <c r="U534" s="98"/>
      <c r="V534" s="97"/>
      <c r="W534" s="97"/>
      <c r="X534" s="97"/>
      <c r="Y534" s="97"/>
      <c r="Z534" s="97"/>
      <c r="AA534" s="97"/>
      <c r="AB534" s="97"/>
      <c r="AC534" s="97"/>
      <c r="AD534" s="97"/>
      <c r="AE534" s="97"/>
      <c r="AF534" s="97"/>
      <c r="AG534" s="97"/>
      <c r="AH534" s="97"/>
      <c r="AI534" s="97"/>
      <c r="AJ534" s="97"/>
      <c r="AK534" s="97"/>
      <c r="AL534" s="97"/>
      <c r="AM534" s="97"/>
      <c r="AN534" s="97"/>
      <c r="AO534" s="97"/>
      <c r="AP534" s="97"/>
      <c r="AQ534" s="99"/>
      <c r="AR534" s="99"/>
      <c r="AS534" s="99"/>
    </row>
    <row r="535">
      <c r="A535" s="97"/>
      <c r="B535" s="97"/>
      <c r="C535" s="97"/>
      <c r="D535" s="97"/>
      <c r="E535" s="97"/>
      <c r="F535" s="97"/>
      <c r="G535" s="98"/>
      <c r="H535" s="97"/>
      <c r="I535" s="97"/>
      <c r="J535" s="97"/>
      <c r="K535" s="97"/>
      <c r="L535" s="97"/>
      <c r="M535" s="97"/>
      <c r="N535" s="97"/>
      <c r="O535" s="97"/>
      <c r="P535" s="97"/>
      <c r="Q535" s="97"/>
      <c r="R535" s="97"/>
      <c r="S535" s="97"/>
      <c r="T535" s="97"/>
      <c r="U535" s="98"/>
      <c r="V535" s="97"/>
      <c r="W535" s="97"/>
      <c r="X535" s="97"/>
      <c r="Y535" s="97"/>
      <c r="Z535" s="97"/>
      <c r="AA535" s="97"/>
      <c r="AB535" s="97"/>
      <c r="AC535" s="97"/>
      <c r="AD535" s="97"/>
      <c r="AE535" s="97"/>
      <c r="AF535" s="97"/>
      <c r="AG535" s="97"/>
      <c r="AH535" s="97"/>
      <c r="AI535" s="97"/>
      <c r="AJ535" s="97"/>
      <c r="AK535" s="97"/>
      <c r="AL535" s="97"/>
      <c r="AM535" s="97"/>
      <c r="AN535" s="97"/>
      <c r="AO535" s="97"/>
      <c r="AP535" s="97"/>
      <c r="AQ535" s="99"/>
      <c r="AR535" s="99"/>
      <c r="AS535" s="99"/>
    </row>
    <row r="536">
      <c r="A536" s="97"/>
      <c r="B536" s="97"/>
      <c r="C536" s="97"/>
      <c r="D536" s="97"/>
      <c r="E536" s="97"/>
      <c r="F536" s="97"/>
      <c r="G536" s="98"/>
      <c r="H536" s="97"/>
      <c r="I536" s="97"/>
      <c r="J536" s="97"/>
      <c r="K536" s="97"/>
      <c r="L536" s="97"/>
      <c r="M536" s="97"/>
      <c r="N536" s="97"/>
      <c r="O536" s="97"/>
      <c r="P536" s="97"/>
      <c r="Q536" s="97"/>
      <c r="R536" s="97"/>
      <c r="S536" s="97"/>
      <c r="T536" s="97"/>
      <c r="U536" s="98"/>
      <c r="V536" s="97"/>
      <c r="W536" s="97"/>
      <c r="X536" s="97"/>
      <c r="Y536" s="97"/>
      <c r="Z536" s="97"/>
      <c r="AA536" s="97"/>
      <c r="AB536" s="97"/>
      <c r="AC536" s="97"/>
      <c r="AD536" s="97"/>
      <c r="AE536" s="97"/>
      <c r="AF536" s="97"/>
      <c r="AG536" s="97"/>
      <c r="AH536" s="97"/>
      <c r="AI536" s="97"/>
      <c r="AJ536" s="97"/>
      <c r="AK536" s="97"/>
      <c r="AL536" s="97"/>
      <c r="AM536" s="97"/>
      <c r="AN536" s="97"/>
      <c r="AO536" s="97"/>
      <c r="AP536" s="97"/>
      <c r="AQ536" s="99"/>
      <c r="AR536" s="99"/>
      <c r="AS536" s="99"/>
    </row>
    <row r="537">
      <c r="A537" s="97"/>
      <c r="B537" s="97"/>
      <c r="C537" s="97"/>
      <c r="D537" s="97"/>
      <c r="E537" s="97"/>
      <c r="F537" s="97"/>
      <c r="G537" s="98"/>
      <c r="H537" s="97"/>
      <c r="I537" s="97"/>
      <c r="J537" s="97"/>
      <c r="K537" s="97"/>
      <c r="L537" s="97"/>
      <c r="M537" s="97"/>
      <c r="N537" s="97"/>
      <c r="O537" s="97"/>
      <c r="P537" s="97"/>
      <c r="Q537" s="97"/>
      <c r="R537" s="97"/>
      <c r="S537" s="97"/>
      <c r="T537" s="97"/>
      <c r="U537" s="98"/>
      <c r="V537" s="97"/>
      <c r="W537" s="97"/>
      <c r="X537" s="97"/>
      <c r="Y537" s="97"/>
      <c r="Z537" s="97"/>
      <c r="AA537" s="97"/>
      <c r="AB537" s="97"/>
      <c r="AC537" s="97"/>
      <c r="AD537" s="97"/>
      <c r="AE537" s="97"/>
      <c r="AF537" s="97"/>
      <c r="AG537" s="97"/>
      <c r="AH537" s="97"/>
      <c r="AI537" s="97"/>
      <c r="AJ537" s="97"/>
      <c r="AK537" s="97"/>
      <c r="AL537" s="97"/>
      <c r="AM537" s="97"/>
      <c r="AN537" s="97"/>
      <c r="AO537" s="97"/>
      <c r="AP537" s="97"/>
      <c r="AQ537" s="99"/>
      <c r="AR537" s="99"/>
      <c r="AS537" s="99"/>
    </row>
    <row r="538">
      <c r="A538" s="97"/>
      <c r="B538" s="97"/>
      <c r="C538" s="97"/>
      <c r="D538" s="97"/>
      <c r="E538" s="97"/>
      <c r="F538" s="97"/>
      <c r="G538" s="98"/>
      <c r="H538" s="97"/>
      <c r="I538" s="97"/>
      <c r="J538" s="97"/>
      <c r="K538" s="97"/>
      <c r="L538" s="97"/>
      <c r="M538" s="97"/>
      <c r="N538" s="97"/>
      <c r="O538" s="97"/>
      <c r="P538" s="97"/>
      <c r="Q538" s="97"/>
      <c r="R538" s="97"/>
      <c r="S538" s="97"/>
      <c r="T538" s="97"/>
      <c r="U538" s="98"/>
      <c r="V538" s="97"/>
      <c r="W538" s="97"/>
      <c r="X538" s="97"/>
      <c r="Y538" s="97"/>
      <c r="Z538" s="97"/>
      <c r="AA538" s="97"/>
      <c r="AB538" s="97"/>
      <c r="AC538" s="97"/>
      <c r="AD538" s="97"/>
      <c r="AE538" s="97"/>
      <c r="AF538" s="97"/>
      <c r="AG538" s="97"/>
      <c r="AH538" s="97"/>
      <c r="AI538" s="97"/>
      <c r="AJ538" s="97"/>
      <c r="AK538" s="97"/>
      <c r="AL538" s="97"/>
      <c r="AM538" s="97"/>
      <c r="AN538" s="97"/>
      <c r="AO538" s="97"/>
      <c r="AP538" s="97"/>
      <c r="AQ538" s="99"/>
      <c r="AR538" s="99"/>
      <c r="AS538" s="99"/>
    </row>
    <row r="539">
      <c r="A539" s="97"/>
      <c r="B539" s="97"/>
      <c r="C539" s="97"/>
      <c r="D539" s="97"/>
      <c r="E539" s="97"/>
      <c r="F539" s="97"/>
      <c r="G539" s="98"/>
      <c r="H539" s="97"/>
      <c r="I539" s="97"/>
      <c r="J539" s="97"/>
      <c r="K539" s="97"/>
      <c r="L539" s="97"/>
      <c r="M539" s="97"/>
      <c r="N539" s="97"/>
      <c r="O539" s="97"/>
      <c r="P539" s="97"/>
      <c r="Q539" s="97"/>
      <c r="R539" s="97"/>
      <c r="S539" s="97"/>
      <c r="T539" s="97"/>
      <c r="U539" s="98"/>
      <c r="V539" s="97"/>
      <c r="W539" s="97"/>
      <c r="X539" s="97"/>
      <c r="Y539" s="97"/>
      <c r="Z539" s="97"/>
      <c r="AA539" s="97"/>
      <c r="AB539" s="97"/>
      <c r="AC539" s="97"/>
      <c r="AD539" s="97"/>
      <c r="AE539" s="97"/>
      <c r="AF539" s="97"/>
      <c r="AG539" s="97"/>
      <c r="AH539" s="97"/>
      <c r="AI539" s="97"/>
      <c r="AJ539" s="97"/>
      <c r="AK539" s="97"/>
      <c r="AL539" s="97"/>
      <c r="AM539" s="97"/>
      <c r="AN539" s="97"/>
      <c r="AO539" s="97"/>
      <c r="AP539" s="97"/>
      <c r="AQ539" s="99"/>
      <c r="AR539" s="99"/>
      <c r="AS539" s="99"/>
    </row>
    <row r="540">
      <c r="A540" s="97"/>
      <c r="B540" s="97"/>
      <c r="C540" s="97"/>
      <c r="D540" s="97"/>
      <c r="E540" s="97"/>
      <c r="F540" s="97"/>
      <c r="G540" s="98"/>
      <c r="H540" s="97"/>
      <c r="I540" s="97"/>
      <c r="J540" s="97"/>
      <c r="K540" s="97"/>
      <c r="L540" s="97"/>
      <c r="M540" s="97"/>
      <c r="N540" s="97"/>
      <c r="O540" s="97"/>
      <c r="P540" s="97"/>
      <c r="Q540" s="97"/>
      <c r="R540" s="97"/>
      <c r="S540" s="97"/>
      <c r="T540" s="97"/>
      <c r="U540" s="98"/>
      <c r="V540" s="97"/>
      <c r="W540" s="97"/>
      <c r="X540" s="97"/>
      <c r="Y540" s="97"/>
      <c r="Z540" s="97"/>
      <c r="AA540" s="97"/>
      <c r="AB540" s="97"/>
      <c r="AC540" s="97"/>
      <c r="AD540" s="97"/>
      <c r="AE540" s="97"/>
      <c r="AF540" s="97"/>
      <c r="AG540" s="97"/>
      <c r="AH540" s="97"/>
      <c r="AI540" s="97"/>
      <c r="AJ540" s="97"/>
      <c r="AK540" s="97"/>
      <c r="AL540" s="97"/>
      <c r="AM540" s="97"/>
      <c r="AN540" s="97"/>
      <c r="AO540" s="97"/>
      <c r="AP540" s="97"/>
      <c r="AQ540" s="99"/>
      <c r="AR540" s="99"/>
      <c r="AS540" s="99"/>
    </row>
    <row r="541">
      <c r="A541" s="97"/>
      <c r="B541" s="97"/>
      <c r="C541" s="97"/>
      <c r="D541" s="97"/>
      <c r="E541" s="97"/>
      <c r="F541" s="97"/>
      <c r="G541" s="98"/>
      <c r="H541" s="97"/>
      <c r="I541" s="97"/>
      <c r="J541" s="97"/>
      <c r="K541" s="97"/>
      <c r="L541" s="97"/>
      <c r="M541" s="97"/>
      <c r="N541" s="97"/>
      <c r="O541" s="97"/>
      <c r="P541" s="97"/>
      <c r="Q541" s="97"/>
      <c r="R541" s="97"/>
      <c r="S541" s="97"/>
      <c r="T541" s="97"/>
      <c r="U541" s="98"/>
      <c r="V541" s="97"/>
      <c r="W541" s="97"/>
      <c r="X541" s="97"/>
      <c r="Y541" s="97"/>
      <c r="Z541" s="97"/>
      <c r="AA541" s="97"/>
      <c r="AB541" s="97"/>
      <c r="AC541" s="97"/>
      <c r="AD541" s="97"/>
      <c r="AE541" s="97"/>
      <c r="AF541" s="97"/>
      <c r="AG541" s="97"/>
      <c r="AH541" s="97"/>
      <c r="AI541" s="97"/>
      <c r="AJ541" s="97"/>
      <c r="AK541" s="97"/>
      <c r="AL541" s="97"/>
      <c r="AM541" s="97"/>
      <c r="AN541" s="97"/>
      <c r="AO541" s="97"/>
      <c r="AP541" s="97"/>
      <c r="AQ541" s="99"/>
      <c r="AR541" s="99"/>
      <c r="AS541" s="99"/>
    </row>
    <row r="542">
      <c r="A542" s="97"/>
      <c r="B542" s="97"/>
      <c r="C542" s="97"/>
      <c r="D542" s="97"/>
      <c r="E542" s="97"/>
      <c r="F542" s="97"/>
      <c r="G542" s="98"/>
      <c r="H542" s="97"/>
      <c r="I542" s="97"/>
      <c r="J542" s="97"/>
      <c r="K542" s="97"/>
      <c r="L542" s="97"/>
      <c r="M542" s="97"/>
      <c r="N542" s="97"/>
      <c r="O542" s="97"/>
      <c r="P542" s="97"/>
      <c r="Q542" s="97"/>
      <c r="R542" s="97"/>
      <c r="S542" s="97"/>
      <c r="T542" s="97"/>
      <c r="U542" s="98"/>
      <c r="V542" s="97"/>
      <c r="W542" s="97"/>
      <c r="X542" s="97"/>
      <c r="Y542" s="97"/>
      <c r="Z542" s="97"/>
      <c r="AA542" s="97"/>
      <c r="AB542" s="97"/>
      <c r="AC542" s="97"/>
      <c r="AD542" s="97"/>
      <c r="AE542" s="97"/>
      <c r="AF542" s="97"/>
      <c r="AG542" s="97"/>
      <c r="AH542" s="97"/>
      <c r="AI542" s="97"/>
      <c r="AJ542" s="97"/>
      <c r="AK542" s="97"/>
      <c r="AL542" s="97"/>
      <c r="AM542" s="97"/>
      <c r="AN542" s="97"/>
      <c r="AO542" s="97"/>
      <c r="AP542" s="97"/>
      <c r="AQ542" s="99"/>
      <c r="AR542" s="99"/>
      <c r="AS542" s="99"/>
    </row>
    <row r="543">
      <c r="A543" s="97"/>
      <c r="B543" s="97"/>
      <c r="C543" s="97"/>
      <c r="D543" s="97"/>
      <c r="E543" s="97"/>
      <c r="F543" s="97"/>
      <c r="G543" s="98"/>
      <c r="H543" s="97"/>
      <c r="I543" s="97"/>
      <c r="J543" s="97"/>
      <c r="K543" s="97"/>
      <c r="L543" s="97"/>
      <c r="M543" s="97"/>
      <c r="N543" s="97"/>
      <c r="O543" s="97"/>
      <c r="P543" s="97"/>
      <c r="Q543" s="97"/>
      <c r="R543" s="97"/>
      <c r="S543" s="97"/>
      <c r="T543" s="97"/>
      <c r="U543" s="98"/>
      <c r="V543" s="97"/>
      <c r="W543" s="97"/>
      <c r="X543" s="97"/>
      <c r="Y543" s="97"/>
      <c r="Z543" s="97"/>
      <c r="AA543" s="97"/>
      <c r="AB543" s="97"/>
      <c r="AC543" s="97"/>
      <c r="AD543" s="97"/>
      <c r="AE543" s="97"/>
      <c r="AF543" s="97"/>
      <c r="AG543" s="97"/>
      <c r="AH543" s="97"/>
      <c r="AI543" s="97"/>
      <c r="AJ543" s="97"/>
      <c r="AK543" s="97"/>
      <c r="AL543" s="97"/>
      <c r="AM543" s="97"/>
      <c r="AN543" s="97"/>
      <c r="AO543" s="97"/>
      <c r="AP543" s="97"/>
      <c r="AQ543" s="99"/>
      <c r="AR543" s="99"/>
      <c r="AS543" s="99"/>
    </row>
    <row r="544">
      <c r="A544" s="97"/>
      <c r="B544" s="97"/>
      <c r="C544" s="97"/>
      <c r="D544" s="97"/>
      <c r="E544" s="97"/>
      <c r="F544" s="97"/>
      <c r="G544" s="98"/>
      <c r="H544" s="97"/>
      <c r="I544" s="97"/>
      <c r="J544" s="97"/>
      <c r="K544" s="97"/>
      <c r="L544" s="97"/>
      <c r="M544" s="97"/>
      <c r="N544" s="97"/>
      <c r="O544" s="97"/>
      <c r="P544" s="97"/>
      <c r="Q544" s="97"/>
      <c r="R544" s="97"/>
      <c r="S544" s="97"/>
      <c r="T544" s="97"/>
      <c r="U544" s="98"/>
      <c r="V544" s="97"/>
      <c r="W544" s="97"/>
      <c r="X544" s="97"/>
      <c r="Y544" s="97"/>
      <c r="Z544" s="97"/>
      <c r="AA544" s="97"/>
      <c r="AB544" s="97"/>
      <c r="AC544" s="97"/>
      <c r="AD544" s="97"/>
      <c r="AE544" s="97"/>
      <c r="AF544" s="97"/>
      <c r="AG544" s="97"/>
      <c r="AH544" s="97"/>
      <c r="AI544" s="97"/>
      <c r="AJ544" s="97"/>
      <c r="AK544" s="97"/>
      <c r="AL544" s="97"/>
      <c r="AM544" s="97"/>
      <c r="AN544" s="97"/>
      <c r="AO544" s="97"/>
      <c r="AP544" s="97"/>
      <c r="AQ544" s="99"/>
      <c r="AR544" s="99"/>
      <c r="AS544" s="99"/>
    </row>
    <row r="545">
      <c r="A545" s="97"/>
      <c r="B545" s="97"/>
      <c r="C545" s="97"/>
      <c r="D545" s="97"/>
      <c r="E545" s="97"/>
      <c r="F545" s="97"/>
      <c r="G545" s="98"/>
      <c r="H545" s="97"/>
      <c r="I545" s="97"/>
      <c r="J545" s="97"/>
      <c r="K545" s="97"/>
      <c r="L545" s="97"/>
      <c r="M545" s="97"/>
      <c r="N545" s="97"/>
      <c r="O545" s="97"/>
      <c r="P545" s="97"/>
      <c r="Q545" s="97"/>
      <c r="R545" s="97"/>
      <c r="S545" s="97"/>
      <c r="T545" s="97"/>
      <c r="U545" s="98"/>
      <c r="V545" s="97"/>
      <c r="W545" s="97"/>
      <c r="X545" s="97"/>
      <c r="Y545" s="97"/>
      <c r="Z545" s="97"/>
      <c r="AA545" s="97"/>
      <c r="AB545" s="97"/>
      <c r="AC545" s="97"/>
      <c r="AD545" s="97"/>
      <c r="AE545" s="97"/>
      <c r="AF545" s="97"/>
      <c r="AG545" s="97"/>
      <c r="AH545" s="97"/>
      <c r="AI545" s="97"/>
      <c r="AJ545" s="97"/>
      <c r="AK545" s="97"/>
      <c r="AL545" s="97"/>
      <c r="AM545" s="97"/>
      <c r="AN545" s="97"/>
      <c r="AO545" s="97"/>
      <c r="AP545" s="97"/>
      <c r="AQ545" s="99"/>
      <c r="AR545" s="99"/>
      <c r="AS545" s="99"/>
    </row>
    <row r="546">
      <c r="A546" s="97"/>
      <c r="B546" s="97"/>
      <c r="C546" s="97"/>
      <c r="D546" s="97"/>
      <c r="E546" s="97"/>
      <c r="F546" s="97"/>
      <c r="G546" s="98"/>
      <c r="H546" s="97"/>
      <c r="I546" s="97"/>
      <c r="J546" s="97"/>
      <c r="K546" s="97"/>
      <c r="L546" s="97"/>
      <c r="M546" s="97"/>
      <c r="N546" s="97"/>
      <c r="O546" s="97"/>
      <c r="P546" s="97"/>
      <c r="Q546" s="97"/>
      <c r="R546" s="97"/>
      <c r="S546" s="97"/>
      <c r="T546" s="97"/>
      <c r="U546" s="98"/>
      <c r="V546" s="97"/>
      <c r="W546" s="97"/>
      <c r="X546" s="97"/>
      <c r="Y546" s="97"/>
      <c r="Z546" s="97"/>
      <c r="AA546" s="97"/>
      <c r="AB546" s="97"/>
      <c r="AC546" s="97"/>
      <c r="AD546" s="97"/>
      <c r="AE546" s="97"/>
      <c r="AF546" s="97"/>
      <c r="AG546" s="97"/>
      <c r="AH546" s="97"/>
      <c r="AI546" s="97"/>
      <c r="AJ546" s="97"/>
      <c r="AK546" s="97"/>
      <c r="AL546" s="97"/>
      <c r="AM546" s="97"/>
      <c r="AN546" s="97"/>
      <c r="AO546" s="97"/>
      <c r="AP546" s="97"/>
      <c r="AQ546" s="99"/>
      <c r="AR546" s="99"/>
      <c r="AS546" s="99"/>
    </row>
    <row r="547">
      <c r="A547" s="97"/>
      <c r="B547" s="97"/>
      <c r="C547" s="97"/>
      <c r="D547" s="97"/>
      <c r="E547" s="97"/>
      <c r="F547" s="97"/>
      <c r="G547" s="98"/>
      <c r="H547" s="97"/>
      <c r="I547" s="97"/>
      <c r="J547" s="97"/>
      <c r="K547" s="97"/>
      <c r="L547" s="97"/>
      <c r="M547" s="97"/>
      <c r="N547" s="97"/>
      <c r="O547" s="97"/>
      <c r="P547" s="97"/>
      <c r="Q547" s="97"/>
      <c r="R547" s="97"/>
      <c r="S547" s="97"/>
      <c r="T547" s="97"/>
      <c r="U547" s="98"/>
      <c r="V547" s="97"/>
      <c r="W547" s="97"/>
      <c r="X547" s="97"/>
      <c r="Y547" s="97"/>
      <c r="Z547" s="97"/>
      <c r="AA547" s="97"/>
      <c r="AB547" s="97"/>
      <c r="AC547" s="97"/>
      <c r="AD547" s="97"/>
      <c r="AE547" s="97"/>
      <c r="AF547" s="97"/>
      <c r="AG547" s="97"/>
      <c r="AH547" s="97"/>
      <c r="AI547" s="97"/>
      <c r="AJ547" s="97"/>
      <c r="AK547" s="97"/>
      <c r="AL547" s="97"/>
      <c r="AM547" s="97"/>
      <c r="AN547" s="97"/>
      <c r="AO547" s="97"/>
      <c r="AP547" s="97"/>
      <c r="AQ547" s="99"/>
      <c r="AR547" s="99"/>
      <c r="AS547" s="99"/>
    </row>
    <row r="548">
      <c r="A548" s="97"/>
      <c r="B548" s="97"/>
      <c r="C548" s="97"/>
      <c r="D548" s="97"/>
      <c r="E548" s="97"/>
      <c r="F548" s="97"/>
      <c r="G548" s="98"/>
      <c r="H548" s="97"/>
      <c r="I548" s="97"/>
      <c r="J548" s="97"/>
      <c r="K548" s="97"/>
      <c r="L548" s="97"/>
      <c r="M548" s="97"/>
      <c r="N548" s="97"/>
      <c r="O548" s="97"/>
      <c r="P548" s="97"/>
      <c r="Q548" s="97"/>
      <c r="R548" s="97"/>
      <c r="S548" s="97"/>
      <c r="T548" s="97"/>
      <c r="U548" s="98"/>
      <c r="V548" s="97"/>
      <c r="W548" s="97"/>
      <c r="X548" s="97"/>
      <c r="Y548" s="97"/>
      <c r="Z548" s="97"/>
      <c r="AA548" s="97"/>
      <c r="AB548" s="97"/>
      <c r="AC548" s="97"/>
      <c r="AD548" s="97"/>
      <c r="AE548" s="97"/>
      <c r="AF548" s="97"/>
      <c r="AG548" s="97"/>
      <c r="AH548" s="97"/>
      <c r="AI548" s="97"/>
      <c r="AJ548" s="97"/>
      <c r="AK548" s="97"/>
      <c r="AL548" s="97"/>
      <c r="AM548" s="97"/>
      <c r="AN548" s="97"/>
      <c r="AO548" s="97"/>
      <c r="AP548" s="97"/>
      <c r="AQ548" s="99"/>
      <c r="AR548" s="99"/>
      <c r="AS548" s="99"/>
    </row>
    <row r="549">
      <c r="A549" s="97"/>
      <c r="B549" s="97"/>
      <c r="C549" s="97"/>
      <c r="D549" s="97"/>
      <c r="E549" s="97"/>
      <c r="F549" s="97"/>
      <c r="G549" s="98"/>
      <c r="H549" s="97"/>
      <c r="I549" s="97"/>
      <c r="J549" s="97"/>
      <c r="K549" s="97"/>
      <c r="L549" s="97"/>
      <c r="M549" s="97"/>
      <c r="N549" s="97"/>
      <c r="O549" s="97"/>
      <c r="P549" s="97"/>
      <c r="Q549" s="97"/>
      <c r="R549" s="97"/>
      <c r="S549" s="97"/>
      <c r="T549" s="97"/>
      <c r="U549" s="98"/>
      <c r="V549" s="97"/>
      <c r="W549" s="97"/>
      <c r="X549" s="97"/>
      <c r="Y549" s="97"/>
      <c r="Z549" s="97"/>
      <c r="AA549" s="97"/>
      <c r="AB549" s="97"/>
      <c r="AC549" s="97"/>
      <c r="AD549" s="97"/>
      <c r="AE549" s="97"/>
      <c r="AF549" s="97"/>
      <c r="AG549" s="97"/>
      <c r="AH549" s="97"/>
      <c r="AI549" s="97"/>
      <c r="AJ549" s="97"/>
      <c r="AK549" s="97"/>
      <c r="AL549" s="97"/>
      <c r="AM549" s="97"/>
      <c r="AN549" s="97"/>
      <c r="AO549" s="97"/>
      <c r="AP549" s="97"/>
      <c r="AQ549" s="99"/>
      <c r="AR549" s="99"/>
      <c r="AS549" s="99"/>
    </row>
    <row r="550">
      <c r="A550" s="97"/>
      <c r="B550" s="97"/>
      <c r="C550" s="97"/>
      <c r="D550" s="97"/>
      <c r="E550" s="97"/>
      <c r="F550" s="97"/>
      <c r="G550" s="98"/>
      <c r="H550" s="97"/>
      <c r="I550" s="97"/>
      <c r="J550" s="97"/>
      <c r="K550" s="97"/>
      <c r="L550" s="97"/>
      <c r="M550" s="97"/>
      <c r="N550" s="97"/>
      <c r="O550" s="97"/>
      <c r="P550" s="97"/>
      <c r="Q550" s="97"/>
      <c r="R550" s="97"/>
      <c r="S550" s="97"/>
      <c r="T550" s="97"/>
      <c r="U550" s="98"/>
      <c r="V550" s="97"/>
      <c r="W550" s="97"/>
      <c r="X550" s="97"/>
      <c r="Y550" s="97"/>
      <c r="Z550" s="97"/>
      <c r="AA550" s="97"/>
      <c r="AB550" s="97"/>
      <c r="AC550" s="97"/>
      <c r="AD550" s="97"/>
      <c r="AE550" s="97"/>
      <c r="AF550" s="97"/>
      <c r="AG550" s="97"/>
      <c r="AH550" s="97"/>
      <c r="AI550" s="97"/>
      <c r="AJ550" s="97"/>
      <c r="AK550" s="97"/>
      <c r="AL550" s="97"/>
      <c r="AM550" s="97"/>
      <c r="AN550" s="97"/>
      <c r="AO550" s="97"/>
      <c r="AP550" s="97"/>
      <c r="AQ550" s="99"/>
      <c r="AR550" s="99"/>
      <c r="AS550" s="99"/>
    </row>
    <row r="551">
      <c r="A551" s="97"/>
      <c r="B551" s="97"/>
      <c r="C551" s="97"/>
      <c r="D551" s="97"/>
      <c r="E551" s="97"/>
      <c r="F551" s="97"/>
      <c r="G551" s="98"/>
      <c r="H551" s="97"/>
      <c r="I551" s="97"/>
      <c r="J551" s="97"/>
      <c r="K551" s="97"/>
      <c r="L551" s="97"/>
      <c r="M551" s="97"/>
      <c r="N551" s="97"/>
      <c r="O551" s="97"/>
      <c r="P551" s="97"/>
      <c r="Q551" s="97"/>
      <c r="R551" s="97"/>
      <c r="S551" s="97"/>
      <c r="T551" s="97"/>
      <c r="U551" s="98"/>
      <c r="V551" s="97"/>
      <c r="W551" s="97"/>
      <c r="X551" s="97"/>
      <c r="Y551" s="97"/>
      <c r="Z551" s="97"/>
      <c r="AA551" s="97"/>
      <c r="AB551" s="97"/>
      <c r="AC551" s="97"/>
      <c r="AD551" s="97"/>
      <c r="AE551" s="97"/>
      <c r="AF551" s="97"/>
      <c r="AG551" s="97"/>
      <c r="AH551" s="97"/>
      <c r="AI551" s="97"/>
      <c r="AJ551" s="97"/>
      <c r="AK551" s="97"/>
      <c r="AL551" s="97"/>
      <c r="AM551" s="97"/>
      <c r="AN551" s="97"/>
      <c r="AO551" s="97"/>
      <c r="AP551" s="97"/>
      <c r="AQ551" s="99"/>
      <c r="AR551" s="99"/>
      <c r="AS551" s="99"/>
    </row>
    <row r="552">
      <c r="A552" s="97"/>
      <c r="B552" s="97"/>
      <c r="C552" s="97"/>
      <c r="D552" s="97"/>
      <c r="E552" s="97"/>
      <c r="F552" s="97"/>
      <c r="G552" s="98"/>
      <c r="H552" s="97"/>
      <c r="I552" s="97"/>
      <c r="J552" s="97"/>
      <c r="K552" s="97"/>
      <c r="L552" s="97"/>
      <c r="M552" s="97"/>
      <c r="N552" s="97"/>
      <c r="O552" s="97"/>
      <c r="P552" s="97"/>
      <c r="Q552" s="97"/>
      <c r="R552" s="97"/>
      <c r="S552" s="97"/>
      <c r="T552" s="97"/>
      <c r="U552" s="98"/>
      <c r="V552" s="97"/>
      <c r="W552" s="97"/>
      <c r="X552" s="97"/>
      <c r="Y552" s="97"/>
      <c r="Z552" s="97"/>
      <c r="AA552" s="97"/>
      <c r="AB552" s="97"/>
      <c r="AC552" s="97"/>
      <c r="AD552" s="97"/>
      <c r="AE552" s="97"/>
      <c r="AF552" s="97"/>
      <c r="AG552" s="97"/>
      <c r="AH552" s="97"/>
      <c r="AI552" s="97"/>
      <c r="AJ552" s="97"/>
      <c r="AK552" s="97"/>
      <c r="AL552" s="97"/>
      <c r="AM552" s="97"/>
      <c r="AN552" s="97"/>
      <c r="AO552" s="97"/>
      <c r="AP552" s="97"/>
      <c r="AQ552" s="99"/>
      <c r="AR552" s="99"/>
      <c r="AS552" s="99"/>
    </row>
    <row r="553">
      <c r="A553" s="97"/>
      <c r="B553" s="97"/>
      <c r="C553" s="97"/>
      <c r="D553" s="97"/>
      <c r="E553" s="97"/>
      <c r="F553" s="97"/>
      <c r="G553" s="98"/>
      <c r="H553" s="97"/>
      <c r="I553" s="97"/>
      <c r="J553" s="97"/>
      <c r="K553" s="97"/>
      <c r="L553" s="97"/>
      <c r="M553" s="97"/>
      <c r="N553" s="97"/>
      <c r="O553" s="97"/>
      <c r="P553" s="97"/>
      <c r="Q553" s="97"/>
      <c r="R553" s="97"/>
      <c r="S553" s="97"/>
      <c r="T553" s="97"/>
      <c r="U553" s="98"/>
      <c r="V553" s="97"/>
      <c r="W553" s="97"/>
      <c r="X553" s="97"/>
      <c r="Y553" s="97"/>
      <c r="Z553" s="97"/>
      <c r="AA553" s="97"/>
      <c r="AB553" s="97"/>
      <c r="AC553" s="97"/>
      <c r="AD553" s="97"/>
      <c r="AE553" s="97"/>
      <c r="AF553" s="97"/>
      <c r="AG553" s="97"/>
      <c r="AH553" s="97"/>
      <c r="AI553" s="97"/>
      <c r="AJ553" s="97"/>
      <c r="AK553" s="97"/>
      <c r="AL553" s="97"/>
      <c r="AM553" s="97"/>
      <c r="AN553" s="97"/>
      <c r="AO553" s="97"/>
      <c r="AP553" s="97"/>
      <c r="AQ553" s="99"/>
      <c r="AR553" s="99"/>
      <c r="AS553" s="99"/>
    </row>
    <row r="554">
      <c r="A554" s="97"/>
      <c r="B554" s="97"/>
      <c r="C554" s="97"/>
      <c r="D554" s="97"/>
      <c r="E554" s="97"/>
      <c r="F554" s="97"/>
      <c r="G554" s="98"/>
      <c r="H554" s="97"/>
      <c r="I554" s="97"/>
      <c r="J554" s="97"/>
      <c r="K554" s="97"/>
      <c r="L554" s="97"/>
      <c r="M554" s="97"/>
      <c r="N554" s="97"/>
      <c r="O554" s="97"/>
      <c r="P554" s="97"/>
      <c r="Q554" s="97"/>
      <c r="R554" s="97"/>
      <c r="S554" s="97"/>
      <c r="T554" s="97"/>
      <c r="U554" s="98"/>
      <c r="V554" s="97"/>
      <c r="W554" s="97"/>
      <c r="X554" s="97"/>
      <c r="Y554" s="97"/>
      <c r="Z554" s="97"/>
      <c r="AA554" s="97"/>
      <c r="AB554" s="97"/>
      <c r="AC554" s="97"/>
      <c r="AD554" s="97"/>
      <c r="AE554" s="97"/>
      <c r="AF554" s="97"/>
      <c r="AG554" s="97"/>
      <c r="AH554" s="97"/>
      <c r="AI554" s="97"/>
      <c r="AJ554" s="97"/>
      <c r="AK554" s="97"/>
      <c r="AL554" s="97"/>
      <c r="AM554" s="97"/>
      <c r="AN554" s="97"/>
      <c r="AO554" s="97"/>
      <c r="AP554" s="97"/>
      <c r="AQ554" s="99"/>
      <c r="AR554" s="99"/>
      <c r="AS554" s="99"/>
    </row>
    <row r="555">
      <c r="A555" s="97"/>
      <c r="B555" s="97"/>
      <c r="C555" s="97"/>
      <c r="D555" s="97"/>
      <c r="E555" s="97"/>
      <c r="F555" s="97"/>
      <c r="G555" s="98"/>
      <c r="H555" s="97"/>
      <c r="I555" s="97"/>
      <c r="J555" s="97"/>
      <c r="K555" s="97"/>
      <c r="L555" s="97"/>
      <c r="M555" s="97"/>
      <c r="N555" s="97"/>
      <c r="O555" s="97"/>
      <c r="P555" s="97"/>
      <c r="Q555" s="97"/>
      <c r="R555" s="97"/>
      <c r="S555" s="97"/>
      <c r="T555" s="97"/>
      <c r="U555" s="98"/>
      <c r="V555" s="97"/>
      <c r="W555" s="97"/>
      <c r="X555" s="97"/>
      <c r="Y555" s="97"/>
      <c r="Z555" s="97"/>
      <c r="AA555" s="97"/>
      <c r="AB555" s="97"/>
      <c r="AC555" s="97"/>
      <c r="AD555" s="97"/>
      <c r="AE555" s="97"/>
      <c r="AF555" s="97"/>
      <c r="AG555" s="97"/>
      <c r="AH555" s="97"/>
      <c r="AI555" s="97"/>
      <c r="AJ555" s="97"/>
      <c r="AK555" s="97"/>
      <c r="AL555" s="97"/>
      <c r="AM555" s="97"/>
      <c r="AN555" s="97"/>
      <c r="AO555" s="97"/>
      <c r="AP555" s="97"/>
      <c r="AQ555" s="99"/>
      <c r="AR555" s="99"/>
      <c r="AS555" s="99"/>
    </row>
    <row r="556">
      <c r="A556" s="97"/>
      <c r="B556" s="97"/>
      <c r="C556" s="97"/>
      <c r="D556" s="97"/>
      <c r="E556" s="97"/>
      <c r="F556" s="97"/>
      <c r="G556" s="98"/>
      <c r="H556" s="97"/>
      <c r="I556" s="97"/>
      <c r="J556" s="97"/>
      <c r="K556" s="97"/>
      <c r="L556" s="97"/>
      <c r="M556" s="97"/>
      <c r="N556" s="97"/>
      <c r="O556" s="97"/>
      <c r="P556" s="97"/>
      <c r="Q556" s="97"/>
      <c r="R556" s="97"/>
      <c r="S556" s="97"/>
      <c r="T556" s="97"/>
      <c r="U556" s="98"/>
      <c r="V556" s="97"/>
      <c r="W556" s="97"/>
      <c r="X556" s="97"/>
      <c r="Y556" s="97"/>
      <c r="Z556" s="97"/>
      <c r="AA556" s="97"/>
      <c r="AB556" s="97"/>
      <c r="AC556" s="97"/>
      <c r="AD556" s="97"/>
      <c r="AE556" s="97"/>
      <c r="AF556" s="97"/>
      <c r="AG556" s="97"/>
      <c r="AH556" s="97"/>
      <c r="AI556" s="97"/>
      <c r="AJ556" s="97"/>
      <c r="AK556" s="97"/>
      <c r="AL556" s="97"/>
      <c r="AM556" s="97"/>
      <c r="AN556" s="97"/>
      <c r="AO556" s="97"/>
      <c r="AP556" s="97"/>
      <c r="AQ556" s="99"/>
      <c r="AR556" s="99"/>
      <c r="AS556" s="99"/>
    </row>
    <row r="557">
      <c r="A557" s="97"/>
      <c r="B557" s="97"/>
      <c r="C557" s="97"/>
      <c r="D557" s="97"/>
      <c r="E557" s="97"/>
      <c r="F557" s="97"/>
      <c r="G557" s="98"/>
      <c r="H557" s="97"/>
      <c r="I557" s="97"/>
      <c r="J557" s="97"/>
      <c r="K557" s="97"/>
      <c r="L557" s="97"/>
      <c r="M557" s="97"/>
      <c r="N557" s="97"/>
      <c r="O557" s="97"/>
      <c r="P557" s="97"/>
      <c r="Q557" s="97"/>
      <c r="R557" s="97"/>
      <c r="S557" s="97"/>
      <c r="T557" s="97"/>
      <c r="U557" s="98"/>
      <c r="V557" s="97"/>
      <c r="W557" s="97"/>
      <c r="X557" s="97"/>
      <c r="Y557" s="97"/>
      <c r="Z557" s="97"/>
      <c r="AA557" s="97"/>
      <c r="AB557" s="97"/>
      <c r="AC557" s="97"/>
      <c r="AD557" s="97"/>
      <c r="AE557" s="97"/>
      <c r="AF557" s="97"/>
      <c r="AG557" s="97"/>
      <c r="AH557" s="97"/>
      <c r="AI557" s="97"/>
      <c r="AJ557" s="97"/>
      <c r="AK557" s="97"/>
      <c r="AL557" s="97"/>
      <c r="AM557" s="97"/>
      <c r="AN557" s="97"/>
      <c r="AO557" s="97"/>
      <c r="AP557" s="97"/>
      <c r="AQ557" s="99"/>
      <c r="AR557" s="99"/>
      <c r="AS557" s="99"/>
    </row>
    <row r="558">
      <c r="A558" s="97"/>
      <c r="B558" s="97"/>
      <c r="C558" s="97"/>
      <c r="D558" s="97"/>
      <c r="E558" s="97"/>
      <c r="F558" s="97"/>
      <c r="G558" s="98"/>
      <c r="H558" s="97"/>
      <c r="I558" s="97"/>
      <c r="J558" s="97"/>
      <c r="K558" s="97"/>
      <c r="L558" s="97"/>
      <c r="M558" s="97"/>
      <c r="N558" s="97"/>
      <c r="O558" s="97"/>
      <c r="P558" s="97"/>
      <c r="Q558" s="97"/>
      <c r="R558" s="97"/>
      <c r="S558" s="97"/>
      <c r="T558" s="97"/>
      <c r="U558" s="98"/>
      <c r="V558" s="97"/>
      <c r="W558" s="97"/>
      <c r="X558" s="97"/>
      <c r="Y558" s="97"/>
      <c r="Z558" s="97"/>
      <c r="AA558" s="97"/>
      <c r="AB558" s="97"/>
      <c r="AC558" s="97"/>
      <c r="AD558" s="97"/>
      <c r="AE558" s="97"/>
      <c r="AF558" s="97"/>
      <c r="AG558" s="97"/>
      <c r="AH558" s="97"/>
      <c r="AI558" s="97"/>
      <c r="AJ558" s="97"/>
      <c r="AK558" s="97"/>
      <c r="AL558" s="97"/>
      <c r="AM558" s="97"/>
      <c r="AN558" s="97"/>
      <c r="AO558" s="97"/>
      <c r="AP558" s="97"/>
      <c r="AQ558" s="99"/>
      <c r="AR558" s="99"/>
      <c r="AS558" s="99"/>
    </row>
    <row r="559">
      <c r="A559" s="97"/>
      <c r="B559" s="97"/>
      <c r="C559" s="97"/>
      <c r="D559" s="97"/>
      <c r="E559" s="97"/>
      <c r="F559" s="97"/>
      <c r="G559" s="98"/>
      <c r="H559" s="97"/>
      <c r="I559" s="97"/>
      <c r="J559" s="97"/>
      <c r="K559" s="97"/>
      <c r="L559" s="97"/>
      <c r="M559" s="97"/>
      <c r="N559" s="97"/>
      <c r="O559" s="97"/>
      <c r="P559" s="97"/>
      <c r="Q559" s="97"/>
      <c r="R559" s="97"/>
      <c r="S559" s="97"/>
      <c r="T559" s="97"/>
      <c r="U559" s="98"/>
      <c r="V559" s="97"/>
      <c r="W559" s="97"/>
      <c r="X559" s="97"/>
      <c r="Y559" s="97"/>
      <c r="Z559" s="97"/>
      <c r="AA559" s="97"/>
      <c r="AB559" s="97"/>
      <c r="AC559" s="97"/>
      <c r="AD559" s="97"/>
      <c r="AE559" s="97"/>
      <c r="AF559" s="97"/>
      <c r="AG559" s="97"/>
      <c r="AH559" s="97"/>
      <c r="AI559" s="97"/>
      <c r="AJ559" s="97"/>
      <c r="AK559" s="97"/>
      <c r="AL559" s="97"/>
      <c r="AM559" s="97"/>
      <c r="AN559" s="97"/>
      <c r="AO559" s="97"/>
      <c r="AP559" s="97"/>
      <c r="AQ559" s="99"/>
      <c r="AR559" s="99"/>
      <c r="AS559" s="99"/>
    </row>
    <row r="560">
      <c r="A560" s="97"/>
      <c r="B560" s="97"/>
      <c r="C560" s="97"/>
      <c r="D560" s="97"/>
      <c r="E560" s="97"/>
      <c r="F560" s="97"/>
      <c r="G560" s="98"/>
      <c r="H560" s="97"/>
      <c r="I560" s="97"/>
      <c r="J560" s="97"/>
      <c r="K560" s="97"/>
      <c r="L560" s="97"/>
      <c r="M560" s="97"/>
      <c r="N560" s="97"/>
      <c r="O560" s="97"/>
      <c r="P560" s="97"/>
      <c r="Q560" s="97"/>
      <c r="R560" s="97"/>
      <c r="S560" s="97"/>
      <c r="T560" s="97"/>
      <c r="U560" s="98"/>
      <c r="V560" s="97"/>
      <c r="W560" s="97"/>
      <c r="X560" s="97"/>
      <c r="Y560" s="97"/>
      <c r="Z560" s="97"/>
      <c r="AA560" s="97"/>
      <c r="AB560" s="97"/>
      <c r="AC560" s="97"/>
      <c r="AD560" s="97"/>
      <c r="AE560" s="97"/>
      <c r="AF560" s="97"/>
      <c r="AG560" s="97"/>
      <c r="AH560" s="97"/>
      <c r="AI560" s="97"/>
      <c r="AJ560" s="97"/>
      <c r="AK560" s="97"/>
      <c r="AL560" s="97"/>
      <c r="AM560" s="97"/>
      <c r="AN560" s="97"/>
      <c r="AO560" s="97"/>
      <c r="AP560" s="97"/>
      <c r="AQ560" s="99"/>
      <c r="AR560" s="99"/>
      <c r="AS560" s="99"/>
    </row>
    <row r="561">
      <c r="A561" s="97"/>
      <c r="B561" s="97"/>
      <c r="C561" s="97"/>
      <c r="D561" s="97"/>
      <c r="E561" s="97"/>
      <c r="F561" s="97"/>
      <c r="G561" s="98"/>
      <c r="H561" s="97"/>
      <c r="I561" s="97"/>
      <c r="J561" s="97"/>
      <c r="K561" s="97"/>
      <c r="L561" s="97"/>
      <c r="M561" s="97"/>
      <c r="N561" s="97"/>
      <c r="O561" s="97"/>
      <c r="P561" s="97"/>
      <c r="Q561" s="97"/>
      <c r="R561" s="97"/>
      <c r="S561" s="97"/>
      <c r="T561" s="97"/>
      <c r="U561" s="98"/>
      <c r="V561" s="97"/>
      <c r="W561" s="97"/>
      <c r="X561" s="97"/>
      <c r="Y561" s="97"/>
      <c r="Z561" s="97"/>
      <c r="AA561" s="97"/>
      <c r="AB561" s="97"/>
      <c r="AC561" s="97"/>
      <c r="AD561" s="97"/>
      <c r="AE561" s="97"/>
      <c r="AF561" s="97"/>
      <c r="AG561" s="97"/>
      <c r="AH561" s="97"/>
      <c r="AI561" s="97"/>
      <c r="AJ561" s="97"/>
      <c r="AK561" s="97"/>
      <c r="AL561" s="97"/>
      <c r="AM561" s="97"/>
      <c r="AN561" s="97"/>
      <c r="AO561" s="97"/>
      <c r="AP561" s="97"/>
      <c r="AQ561" s="99"/>
      <c r="AR561" s="99"/>
      <c r="AS561" s="99"/>
    </row>
    <row r="562">
      <c r="A562" s="97"/>
      <c r="B562" s="97"/>
      <c r="C562" s="97"/>
      <c r="D562" s="97"/>
      <c r="E562" s="97"/>
      <c r="F562" s="97"/>
      <c r="G562" s="98"/>
      <c r="H562" s="97"/>
      <c r="I562" s="97"/>
      <c r="J562" s="97"/>
      <c r="K562" s="97"/>
      <c r="L562" s="97"/>
      <c r="M562" s="97"/>
      <c r="N562" s="97"/>
      <c r="O562" s="97"/>
      <c r="P562" s="97"/>
      <c r="Q562" s="97"/>
      <c r="R562" s="97"/>
      <c r="S562" s="97"/>
      <c r="T562" s="97"/>
      <c r="U562" s="98"/>
      <c r="V562" s="97"/>
      <c r="W562" s="97"/>
      <c r="X562" s="97"/>
      <c r="Y562" s="97"/>
      <c r="Z562" s="97"/>
      <c r="AA562" s="97"/>
      <c r="AB562" s="97"/>
      <c r="AC562" s="97"/>
      <c r="AD562" s="97"/>
      <c r="AE562" s="97"/>
      <c r="AF562" s="97"/>
      <c r="AG562" s="97"/>
      <c r="AH562" s="97"/>
      <c r="AI562" s="97"/>
      <c r="AJ562" s="97"/>
      <c r="AK562" s="97"/>
      <c r="AL562" s="97"/>
      <c r="AM562" s="97"/>
      <c r="AN562" s="97"/>
      <c r="AO562" s="97"/>
      <c r="AP562" s="97"/>
      <c r="AQ562" s="99"/>
      <c r="AR562" s="99"/>
      <c r="AS562" s="99"/>
    </row>
    <row r="563">
      <c r="A563" s="97"/>
      <c r="B563" s="97"/>
      <c r="C563" s="97"/>
      <c r="D563" s="97"/>
      <c r="E563" s="97"/>
      <c r="F563" s="97"/>
      <c r="G563" s="98"/>
      <c r="H563" s="97"/>
      <c r="I563" s="97"/>
      <c r="J563" s="97"/>
      <c r="K563" s="97"/>
      <c r="L563" s="97"/>
      <c r="M563" s="97"/>
      <c r="N563" s="97"/>
      <c r="O563" s="97"/>
      <c r="P563" s="97"/>
      <c r="Q563" s="97"/>
      <c r="R563" s="97"/>
      <c r="S563" s="97"/>
      <c r="T563" s="97"/>
      <c r="U563" s="98"/>
      <c r="V563" s="97"/>
      <c r="W563" s="97"/>
      <c r="X563" s="97"/>
      <c r="Y563" s="97"/>
      <c r="Z563" s="97"/>
      <c r="AA563" s="97"/>
      <c r="AB563" s="97"/>
      <c r="AC563" s="97"/>
      <c r="AD563" s="97"/>
      <c r="AE563" s="97"/>
      <c r="AF563" s="97"/>
      <c r="AG563" s="97"/>
      <c r="AH563" s="97"/>
      <c r="AI563" s="97"/>
      <c r="AJ563" s="97"/>
      <c r="AK563" s="97"/>
      <c r="AL563" s="97"/>
      <c r="AM563" s="97"/>
      <c r="AN563" s="97"/>
      <c r="AO563" s="97"/>
      <c r="AP563" s="97"/>
      <c r="AQ563" s="99"/>
      <c r="AR563" s="99"/>
      <c r="AS563" s="99"/>
    </row>
    <row r="564">
      <c r="A564" s="97"/>
      <c r="B564" s="97"/>
      <c r="C564" s="97"/>
      <c r="D564" s="97"/>
      <c r="E564" s="97"/>
      <c r="F564" s="97"/>
      <c r="G564" s="98"/>
      <c r="H564" s="97"/>
      <c r="I564" s="97"/>
      <c r="J564" s="97"/>
      <c r="K564" s="97"/>
      <c r="L564" s="97"/>
      <c r="M564" s="97"/>
      <c r="N564" s="97"/>
      <c r="O564" s="97"/>
      <c r="P564" s="97"/>
      <c r="Q564" s="97"/>
      <c r="R564" s="97"/>
      <c r="S564" s="97"/>
      <c r="T564" s="97"/>
      <c r="U564" s="98"/>
      <c r="V564" s="97"/>
      <c r="W564" s="97"/>
      <c r="X564" s="97"/>
      <c r="Y564" s="97"/>
      <c r="Z564" s="97"/>
      <c r="AA564" s="97"/>
      <c r="AB564" s="97"/>
      <c r="AC564" s="97"/>
      <c r="AD564" s="97"/>
      <c r="AE564" s="97"/>
      <c r="AF564" s="97"/>
      <c r="AG564" s="97"/>
      <c r="AH564" s="97"/>
      <c r="AI564" s="97"/>
      <c r="AJ564" s="97"/>
      <c r="AK564" s="97"/>
      <c r="AL564" s="97"/>
      <c r="AM564" s="97"/>
      <c r="AN564" s="97"/>
      <c r="AO564" s="97"/>
      <c r="AP564" s="97"/>
      <c r="AQ564" s="99"/>
      <c r="AR564" s="99"/>
      <c r="AS564" s="99"/>
    </row>
    <row r="565">
      <c r="A565" s="97"/>
      <c r="B565" s="97"/>
      <c r="C565" s="97"/>
      <c r="D565" s="97"/>
      <c r="E565" s="97"/>
      <c r="F565" s="97"/>
      <c r="G565" s="98"/>
      <c r="H565" s="97"/>
      <c r="I565" s="97"/>
      <c r="J565" s="97"/>
      <c r="K565" s="97"/>
      <c r="L565" s="97"/>
      <c r="M565" s="97"/>
      <c r="N565" s="97"/>
      <c r="O565" s="97"/>
      <c r="P565" s="97"/>
      <c r="Q565" s="97"/>
      <c r="R565" s="97"/>
      <c r="S565" s="97"/>
      <c r="T565" s="97"/>
      <c r="U565" s="98"/>
      <c r="V565" s="97"/>
      <c r="W565" s="97"/>
      <c r="X565" s="97"/>
      <c r="Y565" s="97"/>
      <c r="Z565" s="97"/>
      <c r="AA565" s="97"/>
      <c r="AB565" s="97"/>
      <c r="AC565" s="97"/>
      <c r="AD565" s="97"/>
      <c r="AE565" s="97"/>
      <c r="AF565" s="97"/>
      <c r="AG565" s="97"/>
      <c r="AH565" s="97"/>
      <c r="AI565" s="97"/>
      <c r="AJ565" s="97"/>
      <c r="AK565" s="97"/>
      <c r="AL565" s="97"/>
      <c r="AM565" s="97"/>
      <c r="AN565" s="97"/>
      <c r="AO565" s="97"/>
      <c r="AP565" s="97"/>
      <c r="AQ565" s="99"/>
      <c r="AR565" s="99"/>
      <c r="AS565" s="99"/>
    </row>
    <row r="566">
      <c r="A566" s="97"/>
      <c r="B566" s="97"/>
      <c r="C566" s="97"/>
      <c r="D566" s="97"/>
      <c r="E566" s="97"/>
      <c r="F566" s="97"/>
      <c r="G566" s="98"/>
      <c r="H566" s="97"/>
      <c r="I566" s="97"/>
      <c r="J566" s="97"/>
      <c r="K566" s="97"/>
      <c r="L566" s="97"/>
      <c r="M566" s="97"/>
      <c r="N566" s="97"/>
      <c r="O566" s="97"/>
      <c r="P566" s="97"/>
      <c r="Q566" s="97"/>
      <c r="R566" s="97"/>
      <c r="S566" s="97"/>
      <c r="T566" s="97"/>
      <c r="U566" s="98"/>
      <c r="V566" s="97"/>
      <c r="W566" s="97"/>
      <c r="X566" s="97"/>
      <c r="Y566" s="97"/>
      <c r="Z566" s="97"/>
      <c r="AA566" s="97"/>
      <c r="AB566" s="97"/>
      <c r="AC566" s="97"/>
      <c r="AD566" s="97"/>
      <c r="AE566" s="97"/>
      <c r="AF566" s="97"/>
      <c r="AG566" s="97"/>
      <c r="AH566" s="97"/>
      <c r="AI566" s="97"/>
      <c r="AJ566" s="97"/>
      <c r="AK566" s="97"/>
      <c r="AL566" s="97"/>
      <c r="AM566" s="97"/>
      <c r="AN566" s="97"/>
      <c r="AO566" s="97"/>
      <c r="AP566" s="97"/>
      <c r="AQ566" s="99"/>
      <c r="AR566" s="99"/>
      <c r="AS566" s="99"/>
    </row>
    <row r="567">
      <c r="A567" s="97"/>
      <c r="B567" s="97"/>
      <c r="C567" s="97"/>
      <c r="D567" s="97"/>
      <c r="E567" s="97"/>
      <c r="F567" s="97"/>
      <c r="G567" s="98"/>
      <c r="H567" s="97"/>
      <c r="I567" s="97"/>
      <c r="J567" s="97"/>
      <c r="K567" s="97"/>
      <c r="L567" s="97"/>
      <c r="M567" s="97"/>
      <c r="N567" s="97"/>
      <c r="O567" s="97"/>
      <c r="P567" s="97"/>
      <c r="Q567" s="97"/>
      <c r="R567" s="97"/>
      <c r="S567" s="97"/>
      <c r="T567" s="97"/>
      <c r="U567" s="98"/>
      <c r="V567" s="97"/>
      <c r="W567" s="97"/>
      <c r="X567" s="97"/>
      <c r="Y567" s="97"/>
      <c r="Z567" s="97"/>
      <c r="AA567" s="97"/>
      <c r="AB567" s="97"/>
      <c r="AC567" s="97"/>
      <c r="AD567" s="97"/>
      <c r="AE567" s="97"/>
      <c r="AF567" s="97"/>
      <c r="AG567" s="97"/>
      <c r="AH567" s="97"/>
      <c r="AI567" s="97"/>
      <c r="AJ567" s="97"/>
      <c r="AK567" s="97"/>
      <c r="AL567" s="97"/>
      <c r="AM567" s="97"/>
      <c r="AN567" s="97"/>
      <c r="AO567" s="97"/>
      <c r="AP567" s="97"/>
      <c r="AQ567" s="99"/>
      <c r="AR567" s="99"/>
      <c r="AS567" s="99"/>
    </row>
    <row r="568">
      <c r="A568" s="97"/>
      <c r="B568" s="97"/>
      <c r="C568" s="97"/>
      <c r="D568" s="97"/>
      <c r="E568" s="97"/>
      <c r="F568" s="97"/>
      <c r="G568" s="98"/>
      <c r="H568" s="97"/>
      <c r="I568" s="97"/>
      <c r="J568" s="97"/>
      <c r="K568" s="97"/>
      <c r="L568" s="97"/>
      <c r="M568" s="97"/>
      <c r="N568" s="97"/>
      <c r="O568" s="97"/>
      <c r="P568" s="97"/>
      <c r="Q568" s="97"/>
      <c r="R568" s="97"/>
      <c r="S568" s="97"/>
      <c r="T568" s="97"/>
      <c r="U568" s="98"/>
      <c r="V568" s="97"/>
      <c r="W568" s="97"/>
      <c r="X568" s="97"/>
      <c r="Y568" s="97"/>
      <c r="Z568" s="97"/>
      <c r="AA568" s="97"/>
      <c r="AB568" s="97"/>
      <c r="AC568" s="97"/>
      <c r="AD568" s="97"/>
      <c r="AE568" s="97"/>
      <c r="AF568" s="97"/>
      <c r="AG568" s="97"/>
      <c r="AH568" s="97"/>
      <c r="AI568" s="97"/>
      <c r="AJ568" s="97"/>
      <c r="AK568" s="97"/>
      <c r="AL568" s="97"/>
      <c r="AM568" s="97"/>
      <c r="AN568" s="97"/>
      <c r="AO568" s="97"/>
      <c r="AP568" s="97"/>
      <c r="AQ568" s="99"/>
      <c r="AR568" s="99"/>
      <c r="AS568" s="99"/>
    </row>
    <row r="569">
      <c r="A569" s="97"/>
      <c r="B569" s="97"/>
      <c r="C569" s="97"/>
      <c r="D569" s="97"/>
      <c r="E569" s="97"/>
      <c r="F569" s="97"/>
      <c r="G569" s="98"/>
      <c r="H569" s="97"/>
      <c r="I569" s="97"/>
      <c r="J569" s="97"/>
      <c r="K569" s="97"/>
      <c r="L569" s="97"/>
      <c r="M569" s="97"/>
      <c r="N569" s="97"/>
      <c r="O569" s="97"/>
      <c r="P569" s="97"/>
      <c r="Q569" s="97"/>
      <c r="R569" s="97"/>
      <c r="S569" s="97"/>
      <c r="T569" s="97"/>
      <c r="U569" s="98"/>
      <c r="V569" s="97"/>
      <c r="W569" s="97"/>
      <c r="X569" s="97"/>
      <c r="Y569" s="97"/>
      <c r="Z569" s="97"/>
      <c r="AA569" s="97"/>
      <c r="AB569" s="97"/>
      <c r="AC569" s="97"/>
      <c r="AD569" s="97"/>
      <c r="AE569" s="97"/>
      <c r="AF569" s="97"/>
      <c r="AG569" s="97"/>
      <c r="AH569" s="97"/>
      <c r="AI569" s="97"/>
      <c r="AJ569" s="97"/>
      <c r="AK569" s="97"/>
      <c r="AL569" s="97"/>
      <c r="AM569" s="97"/>
      <c r="AN569" s="97"/>
      <c r="AO569" s="97"/>
      <c r="AP569" s="97"/>
      <c r="AQ569" s="99"/>
      <c r="AR569" s="99"/>
      <c r="AS569" s="99"/>
    </row>
    <row r="570">
      <c r="A570" s="97"/>
      <c r="B570" s="97"/>
      <c r="C570" s="97"/>
      <c r="D570" s="97"/>
      <c r="E570" s="97"/>
      <c r="F570" s="97"/>
      <c r="G570" s="98"/>
      <c r="H570" s="97"/>
      <c r="I570" s="97"/>
      <c r="J570" s="97"/>
      <c r="K570" s="97"/>
      <c r="L570" s="97"/>
      <c r="M570" s="97"/>
      <c r="N570" s="97"/>
      <c r="O570" s="97"/>
      <c r="P570" s="97"/>
      <c r="Q570" s="97"/>
      <c r="R570" s="97"/>
      <c r="S570" s="97"/>
      <c r="T570" s="97"/>
      <c r="U570" s="98"/>
      <c r="V570" s="97"/>
      <c r="W570" s="97"/>
      <c r="X570" s="97"/>
      <c r="Y570" s="97"/>
      <c r="Z570" s="97"/>
      <c r="AA570" s="97"/>
      <c r="AB570" s="97"/>
      <c r="AC570" s="97"/>
      <c r="AD570" s="97"/>
      <c r="AE570" s="97"/>
      <c r="AF570" s="97"/>
      <c r="AG570" s="97"/>
      <c r="AH570" s="97"/>
      <c r="AI570" s="97"/>
      <c r="AJ570" s="97"/>
      <c r="AK570" s="97"/>
      <c r="AL570" s="97"/>
      <c r="AM570" s="97"/>
      <c r="AN570" s="97"/>
      <c r="AO570" s="97"/>
      <c r="AP570" s="97"/>
      <c r="AQ570" s="99"/>
      <c r="AR570" s="99"/>
      <c r="AS570" s="99"/>
    </row>
    <row r="571">
      <c r="A571" s="97"/>
      <c r="B571" s="97"/>
      <c r="C571" s="97"/>
      <c r="D571" s="97"/>
      <c r="E571" s="97"/>
      <c r="F571" s="97"/>
      <c r="G571" s="98"/>
      <c r="H571" s="97"/>
      <c r="I571" s="97"/>
      <c r="J571" s="97"/>
      <c r="K571" s="97"/>
      <c r="L571" s="97"/>
      <c r="M571" s="97"/>
      <c r="N571" s="97"/>
      <c r="O571" s="97"/>
      <c r="P571" s="97"/>
      <c r="Q571" s="97"/>
      <c r="R571" s="97"/>
      <c r="S571" s="97"/>
      <c r="T571" s="97"/>
      <c r="U571" s="98"/>
      <c r="V571" s="97"/>
      <c r="W571" s="97"/>
      <c r="X571" s="97"/>
      <c r="Y571" s="97"/>
      <c r="Z571" s="97"/>
      <c r="AA571" s="97"/>
      <c r="AB571" s="97"/>
      <c r="AC571" s="97"/>
      <c r="AD571" s="97"/>
      <c r="AE571" s="97"/>
      <c r="AF571" s="97"/>
      <c r="AG571" s="97"/>
      <c r="AH571" s="97"/>
      <c r="AI571" s="97"/>
      <c r="AJ571" s="97"/>
      <c r="AK571" s="97"/>
      <c r="AL571" s="97"/>
      <c r="AM571" s="97"/>
      <c r="AN571" s="97"/>
      <c r="AO571" s="97"/>
      <c r="AP571" s="97"/>
      <c r="AQ571" s="99"/>
      <c r="AR571" s="99"/>
      <c r="AS571" s="99"/>
    </row>
    <row r="572">
      <c r="A572" s="97"/>
      <c r="B572" s="97"/>
      <c r="C572" s="97"/>
      <c r="D572" s="97"/>
      <c r="E572" s="97"/>
      <c r="F572" s="97"/>
      <c r="G572" s="98"/>
      <c r="H572" s="97"/>
      <c r="I572" s="97"/>
      <c r="J572" s="97"/>
      <c r="K572" s="97"/>
      <c r="L572" s="97"/>
      <c r="M572" s="97"/>
      <c r="N572" s="97"/>
      <c r="O572" s="97"/>
      <c r="P572" s="97"/>
      <c r="Q572" s="97"/>
      <c r="R572" s="97"/>
      <c r="S572" s="97"/>
      <c r="T572" s="97"/>
      <c r="U572" s="98"/>
      <c r="V572" s="97"/>
      <c r="W572" s="97"/>
      <c r="X572" s="97"/>
      <c r="Y572" s="97"/>
      <c r="Z572" s="97"/>
      <c r="AA572" s="97"/>
      <c r="AB572" s="97"/>
      <c r="AC572" s="97"/>
      <c r="AD572" s="97"/>
      <c r="AE572" s="97"/>
      <c r="AF572" s="97"/>
      <c r="AG572" s="97"/>
      <c r="AH572" s="97"/>
      <c r="AI572" s="97"/>
      <c r="AJ572" s="97"/>
      <c r="AK572" s="97"/>
      <c r="AL572" s="97"/>
      <c r="AM572" s="97"/>
      <c r="AN572" s="97"/>
      <c r="AO572" s="97"/>
      <c r="AP572" s="97"/>
      <c r="AQ572" s="99"/>
      <c r="AR572" s="99"/>
      <c r="AS572" s="99"/>
    </row>
    <row r="573">
      <c r="A573" s="97"/>
      <c r="B573" s="97"/>
      <c r="C573" s="97"/>
      <c r="D573" s="97"/>
      <c r="E573" s="97"/>
      <c r="F573" s="97"/>
      <c r="G573" s="98"/>
      <c r="H573" s="97"/>
      <c r="I573" s="97"/>
      <c r="J573" s="97"/>
      <c r="K573" s="97"/>
      <c r="L573" s="97"/>
      <c r="M573" s="97"/>
      <c r="N573" s="97"/>
      <c r="O573" s="97"/>
      <c r="P573" s="97"/>
      <c r="Q573" s="97"/>
      <c r="R573" s="97"/>
      <c r="S573" s="97"/>
      <c r="T573" s="97"/>
      <c r="U573" s="98"/>
      <c r="V573" s="97"/>
      <c r="W573" s="97"/>
      <c r="X573" s="97"/>
      <c r="Y573" s="97"/>
      <c r="Z573" s="97"/>
      <c r="AA573" s="97"/>
      <c r="AB573" s="97"/>
      <c r="AC573" s="97"/>
      <c r="AD573" s="97"/>
      <c r="AE573" s="97"/>
      <c r="AF573" s="97"/>
      <c r="AG573" s="97"/>
      <c r="AH573" s="97"/>
      <c r="AI573" s="97"/>
      <c r="AJ573" s="97"/>
      <c r="AK573" s="97"/>
      <c r="AL573" s="97"/>
      <c r="AM573" s="97"/>
      <c r="AN573" s="97"/>
      <c r="AO573" s="97"/>
      <c r="AP573" s="97"/>
      <c r="AQ573" s="99"/>
      <c r="AR573" s="99"/>
      <c r="AS573" s="99"/>
    </row>
    <row r="574">
      <c r="A574" s="97"/>
      <c r="B574" s="97"/>
      <c r="C574" s="97"/>
      <c r="D574" s="97"/>
      <c r="E574" s="97"/>
      <c r="F574" s="97"/>
      <c r="G574" s="98"/>
      <c r="H574" s="97"/>
      <c r="I574" s="97"/>
      <c r="J574" s="97"/>
      <c r="K574" s="97"/>
      <c r="L574" s="97"/>
      <c r="M574" s="97"/>
      <c r="N574" s="97"/>
      <c r="O574" s="97"/>
      <c r="P574" s="97"/>
      <c r="Q574" s="97"/>
      <c r="R574" s="97"/>
      <c r="S574" s="97"/>
      <c r="T574" s="97"/>
      <c r="U574" s="98"/>
      <c r="V574" s="97"/>
      <c r="W574" s="97"/>
      <c r="X574" s="97"/>
      <c r="Y574" s="97"/>
      <c r="Z574" s="97"/>
      <c r="AA574" s="97"/>
      <c r="AB574" s="97"/>
      <c r="AC574" s="97"/>
      <c r="AD574" s="97"/>
      <c r="AE574" s="97"/>
      <c r="AF574" s="97"/>
      <c r="AG574" s="97"/>
      <c r="AH574" s="97"/>
      <c r="AI574" s="97"/>
      <c r="AJ574" s="97"/>
      <c r="AK574" s="97"/>
      <c r="AL574" s="97"/>
      <c r="AM574" s="97"/>
      <c r="AN574" s="97"/>
      <c r="AO574" s="97"/>
      <c r="AP574" s="97"/>
      <c r="AQ574" s="99"/>
      <c r="AR574" s="99"/>
      <c r="AS574" s="99"/>
    </row>
    <row r="575">
      <c r="A575" s="97"/>
      <c r="B575" s="97"/>
      <c r="C575" s="97"/>
      <c r="D575" s="97"/>
      <c r="E575" s="97"/>
      <c r="F575" s="97"/>
      <c r="G575" s="98"/>
      <c r="H575" s="97"/>
      <c r="I575" s="97"/>
      <c r="J575" s="97"/>
      <c r="K575" s="97"/>
      <c r="L575" s="97"/>
      <c r="M575" s="97"/>
      <c r="N575" s="97"/>
      <c r="O575" s="97"/>
      <c r="P575" s="97"/>
      <c r="Q575" s="97"/>
      <c r="R575" s="97"/>
      <c r="S575" s="97"/>
      <c r="T575" s="97"/>
      <c r="U575" s="98"/>
      <c r="V575" s="97"/>
      <c r="W575" s="97"/>
      <c r="X575" s="97"/>
      <c r="Y575" s="97"/>
      <c r="Z575" s="97"/>
      <c r="AA575" s="97"/>
      <c r="AB575" s="97"/>
      <c r="AC575" s="97"/>
      <c r="AD575" s="97"/>
      <c r="AE575" s="97"/>
      <c r="AF575" s="97"/>
      <c r="AG575" s="97"/>
      <c r="AH575" s="97"/>
      <c r="AI575" s="97"/>
      <c r="AJ575" s="97"/>
      <c r="AK575" s="97"/>
      <c r="AL575" s="97"/>
      <c r="AM575" s="97"/>
      <c r="AN575" s="97"/>
      <c r="AO575" s="97"/>
      <c r="AP575" s="97"/>
      <c r="AQ575" s="99"/>
      <c r="AR575" s="99"/>
      <c r="AS575" s="99"/>
    </row>
    <row r="576">
      <c r="A576" s="97"/>
      <c r="B576" s="97"/>
      <c r="C576" s="97"/>
      <c r="D576" s="97"/>
      <c r="E576" s="97"/>
      <c r="F576" s="97"/>
      <c r="G576" s="98"/>
      <c r="H576" s="97"/>
      <c r="I576" s="97"/>
      <c r="J576" s="97"/>
      <c r="K576" s="97"/>
      <c r="L576" s="97"/>
      <c r="M576" s="97"/>
      <c r="N576" s="97"/>
      <c r="O576" s="97"/>
      <c r="P576" s="97"/>
      <c r="Q576" s="97"/>
      <c r="R576" s="97"/>
      <c r="S576" s="97"/>
      <c r="T576" s="97"/>
      <c r="U576" s="98"/>
      <c r="V576" s="97"/>
      <c r="W576" s="97"/>
      <c r="X576" s="97"/>
      <c r="Y576" s="97"/>
      <c r="Z576" s="97"/>
      <c r="AA576" s="97"/>
      <c r="AB576" s="97"/>
      <c r="AC576" s="97"/>
      <c r="AD576" s="97"/>
      <c r="AE576" s="97"/>
      <c r="AF576" s="97"/>
      <c r="AG576" s="97"/>
      <c r="AH576" s="97"/>
      <c r="AI576" s="97"/>
      <c r="AJ576" s="97"/>
      <c r="AK576" s="97"/>
      <c r="AL576" s="97"/>
      <c r="AM576" s="97"/>
      <c r="AN576" s="97"/>
      <c r="AO576" s="97"/>
      <c r="AP576" s="97"/>
      <c r="AQ576" s="99"/>
      <c r="AR576" s="99"/>
      <c r="AS576" s="99"/>
    </row>
    <row r="577">
      <c r="A577" s="97"/>
      <c r="B577" s="97"/>
      <c r="C577" s="97"/>
      <c r="D577" s="97"/>
      <c r="E577" s="97"/>
      <c r="F577" s="97"/>
      <c r="G577" s="98"/>
      <c r="H577" s="97"/>
      <c r="I577" s="97"/>
      <c r="J577" s="97"/>
      <c r="K577" s="97"/>
      <c r="L577" s="97"/>
      <c r="M577" s="97"/>
      <c r="N577" s="97"/>
      <c r="O577" s="97"/>
      <c r="P577" s="97"/>
      <c r="Q577" s="97"/>
      <c r="R577" s="97"/>
      <c r="S577" s="97"/>
      <c r="T577" s="97"/>
      <c r="U577" s="98"/>
      <c r="V577" s="97"/>
      <c r="W577" s="97"/>
      <c r="X577" s="97"/>
      <c r="Y577" s="97"/>
      <c r="Z577" s="97"/>
      <c r="AA577" s="97"/>
      <c r="AB577" s="97"/>
      <c r="AC577" s="97"/>
      <c r="AD577" s="97"/>
      <c r="AE577" s="97"/>
      <c r="AF577" s="97"/>
      <c r="AG577" s="97"/>
      <c r="AH577" s="97"/>
      <c r="AI577" s="97"/>
      <c r="AJ577" s="97"/>
      <c r="AK577" s="97"/>
      <c r="AL577" s="97"/>
      <c r="AM577" s="97"/>
      <c r="AN577" s="97"/>
      <c r="AO577" s="97"/>
      <c r="AP577" s="97"/>
      <c r="AQ577" s="99"/>
      <c r="AR577" s="99"/>
      <c r="AS577" s="99"/>
    </row>
    <row r="578">
      <c r="A578" s="97"/>
      <c r="B578" s="97"/>
      <c r="C578" s="97"/>
      <c r="D578" s="97"/>
      <c r="E578" s="97"/>
      <c r="F578" s="97"/>
      <c r="G578" s="98"/>
      <c r="H578" s="97"/>
      <c r="I578" s="97"/>
      <c r="J578" s="97"/>
      <c r="K578" s="97"/>
      <c r="L578" s="97"/>
      <c r="M578" s="97"/>
      <c r="N578" s="97"/>
      <c r="O578" s="97"/>
      <c r="P578" s="97"/>
      <c r="Q578" s="97"/>
      <c r="R578" s="97"/>
      <c r="S578" s="97"/>
      <c r="T578" s="97"/>
      <c r="U578" s="98"/>
      <c r="V578" s="97"/>
      <c r="W578" s="97"/>
      <c r="X578" s="97"/>
      <c r="Y578" s="97"/>
      <c r="Z578" s="97"/>
      <c r="AA578" s="97"/>
      <c r="AB578" s="97"/>
      <c r="AC578" s="97"/>
      <c r="AD578" s="97"/>
      <c r="AE578" s="97"/>
      <c r="AF578" s="97"/>
      <c r="AG578" s="97"/>
      <c r="AH578" s="97"/>
      <c r="AI578" s="97"/>
      <c r="AJ578" s="97"/>
      <c r="AK578" s="97"/>
      <c r="AL578" s="97"/>
      <c r="AM578" s="97"/>
      <c r="AN578" s="97"/>
      <c r="AO578" s="97"/>
      <c r="AP578" s="97"/>
      <c r="AQ578" s="99"/>
      <c r="AR578" s="99"/>
      <c r="AS578" s="99"/>
    </row>
    <row r="579">
      <c r="A579" s="97"/>
      <c r="B579" s="97"/>
      <c r="C579" s="97"/>
      <c r="D579" s="97"/>
      <c r="E579" s="97"/>
      <c r="F579" s="97"/>
      <c r="G579" s="98"/>
      <c r="H579" s="97"/>
      <c r="I579" s="97"/>
      <c r="J579" s="97"/>
      <c r="K579" s="97"/>
      <c r="L579" s="97"/>
      <c r="M579" s="97"/>
      <c r="N579" s="97"/>
      <c r="O579" s="97"/>
      <c r="P579" s="97"/>
      <c r="Q579" s="97"/>
      <c r="R579" s="97"/>
      <c r="S579" s="97"/>
      <c r="T579" s="97"/>
      <c r="U579" s="98"/>
      <c r="V579" s="97"/>
      <c r="W579" s="97"/>
      <c r="X579" s="97"/>
      <c r="Y579" s="97"/>
      <c r="Z579" s="97"/>
      <c r="AA579" s="97"/>
      <c r="AB579" s="97"/>
      <c r="AC579" s="97"/>
      <c r="AD579" s="97"/>
      <c r="AE579" s="97"/>
      <c r="AF579" s="97"/>
      <c r="AG579" s="97"/>
      <c r="AH579" s="97"/>
      <c r="AI579" s="97"/>
      <c r="AJ579" s="97"/>
      <c r="AK579" s="97"/>
      <c r="AL579" s="97"/>
      <c r="AM579" s="97"/>
      <c r="AN579" s="97"/>
      <c r="AO579" s="97"/>
      <c r="AP579" s="97"/>
      <c r="AQ579" s="99"/>
      <c r="AR579" s="99"/>
      <c r="AS579" s="99"/>
    </row>
    <row r="580">
      <c r="A580" s="97"/>
      <c r="B580" s="97"/>
      <c r="C580" s="97"/>
      <c r="D580" s="97"/>
      <c r="E580" s="97"/>
      <c r="F580" s="97"/>
      <c r="G580" s="98"/>
      <c r="H580" s="97"/>
      <c r="I580" s="97"/>
      <c r="J580" s="97"/>
      <c r="K580" s="97"/>
      <c r="L580" s="97"/>
      <c r="M580" s="97"/>
      <c r="N580" s="97"/>
      <c r="O580" s="97"/>
      <c r="P580" s="97"/>
      <c r="Q580" s="97"/>
      <c r="R580" s="97"/>
      <c r="S580" s="97"/>
      <c r="T580" s="97"/>
      <c r="U580" s="98"/>
      <c r="V580" s="97"/>
      <c r="W580" s="97"/>
      <c r="X580" s="97"/>
      <c r="Y580" s="97"/>
      <c r="Z580" s="97"/>
      <c r="AA580" s="97"/>
      <c r="AB580" s="97"/>
      <c r="AC580" s="97"/>
      <c r="AD580" s="97"/>
      <c r="AE580" s="97"/>
      <c r="AF580" s="97"/>
      <c r="AG580" s="97"/>
      <c r="AH580" s="97"/>
      <c r="AI580" s="97"/>
      <c r="AJ580" s="97"/>
      <c r="AK580" s="97"/>
      <c r="AL580" s="97"/>
      <c r="AM580" s="97"/>
      <c r="AN580" s="97"/>
      <c r="AO580" s="97"/>
      <c r="AP580" s="97"/>
      <c r="AQ580" s="99"/>
      <c r="AR580" s="99"/>
      <c r="AS580" s="99"/>
    </row>
    <row r="581">
      <c r="A581" s="97"/>
      <c r="B581" s="97"/>
      <c r="C581" s="97"/>
      <c r="D581" s="97"/>
      <c r="E581" s="97"/>
      <c r="F581" s="97"/>
      <c r="G581" s="98"/>
      <c r="H581" s="97"/>
      <c r="I581" s="97"/>
      <c r="J581" s="97"/>
      <c r="K581" s="97"/>
      <c r="L581" s="97"/>
      <c r="M581" s="97"/>
      <c r="N581" s="97"/>
      <c r="O581" s="97"/>
      <c r="P581" s="97"/>
      <c r="Q581" s="97"/>
      <c r="R581" s="97"/>
      <c r="S581" s="97"/>
      <c r="T581" s="97"/>
      <c r="U581" s="98"/>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9"/>
      <c r="AR581" s="99"/>
      <c r="AS581" s="99"/>
    </row>
    <row r="582">
      <c r="A582" s="97"/>
      <c r="B582" s="97"/>
      <c r="C582" s="97"/>
      <c r="D582" s="97"/>
      <c r="E582" s="97"/>
      <c r="F582" s="97"/>
      <c r="G582" s="98"/>
      <c r="H582" s="97"/>
      <c r="I582" s="97"/>
      <c r="J582" s="97"/>
      <c r="K582" s="97"/>
      <c r="L582" s="97"/>
      <c r="M582" s="97"/>
      <c r="N582" s="97"/>
      <c r="O582" s="97"/>
      <c r="P582" s="97"/>
      <c r="Q582" s="97"/>
      <c r="R582" s="97"/>
      <c r="S582" s="97"/>
      <c r="T582" s="97"/>
      <c r="U582" s="98"/>
      <c r="V582" s="97"/>
      <c r="W582" s="97"/>
      <c r="X582" s="97"/>
      <c r="Y582" s="97"/>
      <c r="Z582" s="97"/>
      <c r="AA582" s="97"/>
      <c r="AB582" s="97"/>
      <c r="AC582" s="97"/>
      <c r="AD582" s="97"/>
      <c r="AE582" s="97"/>
      <c r="AF582" s="97"/>
      <c r="AG582" s="97"/>
      <c r="AH582" s="97"/>
      <c r="AI582" s="97"/>
      <c r="AJ582" s="97"/>
      <c r="AK582" s="97"/>
      <c r="AL582" s="97"/>
      <c r="AM582" s="97"/>
      <c r="AN582" s="97"/>
      <c r="AO582" s="97"/>
      <c r="AP582" s="97"/>
      <c r="AQ582" s="99"/>
      <c r="AR582" s="99"/>
      <c r="AS582" s="99"/>
    </row>
    <row r="583">
      <c r="A583" s="97"/>
      <c r="B583" s="97"/>
      <c r="C583" s="97"/>
      <c r="D583" s="97"/>
      <c r="E583" s="97"/>
      <c r="F583" s="97"/>
      <c r="G583" s="98"/>
      <c r="H583" s="97"/>
      <c r="I583" s="97"/>
      <c r="J583" s="97"/>
      <c r="K583" s="97"/>
      <c r="L583" s="97"/>
      <c r="M583" s="97"/>
      <c r="N583" s="97"/>
      <c r="O583" s="97"/>
      <c r="P583" s="97"/>
      <c r="Q583" s="97"/>
      <c r="R583" s="97"/>
      <c r="S583" s="97"/>
      <c r="T583" s="97"/>
      <c r="U583" s="98"/>
      <c r="V583" s="97"/>
      <c r="W583" s="97"/>
      <c r="X583" s="97"/>
      <c r="Y583" s="97"/>
      <c r="Z583" s="97"/>
      <c r="AA583" s="97"/>
      <c r="AB583" s="97"/>
      <c r="AC583" s="97"/>
      <c r="AD583" s="97"/>
      <c r="AE583" s="97"/>
      <c r="AF583" s="97"/>
      <c r="AG583" s="97"/>
      <c r="AH583" s="97"/>
      <c r="AI583" s="97"/>
      <c r="AJ583" s="97"/>
      <c r="AK583" s="97"/>
      <c r="AL583" s="97"/>
      <c r="AM583" s="97"/>
      <c r="AN583" s="97"/>
      <c r="AO583" s="97"/>
      <c r="AP583" s="97"/>
      <c r="AQ583" s="99"/>
      <c r="AR583" s="99"/>
      <c r="AS583" s="99"/>
    </row>
    <row r="584">
      <c r="A584" s="97"/>
      <c r="B584" s="97"/>
      <c r="C584" s="97"/>
      <c r="D584" s="97"/>
      <c r="E584" s="97"/>
      <c r="F584" s="97"/>
      <c r="G584" s="98"/>
      <c r="H584" s="97"/>
      <c r="I584" s="97"/>
      <c r="J584" s="97"/>
      <c r="K584" s="97"/>
      <c r="L584" s="97"/>
      <c r="M584" s="97"/>
      <c r="N584" s="97"/>
      <c r="O584" s="97"/>
      <c r="P584" s="97"/>
      <c r="Q584" s="97"/>
      <c r="R584" s="97"/>
      <c r="S584" s="97"/>
      <c r="T584" s="97"/>
      <c r="U584" s="98"/>
      <c r="V584" s="97"/>
      <c r="W584" s="97"/>
      <c r="X584" s="97"/>
      <c r="Y584" s="97"/>
      <c r="Z584" s="97"/>
      <c r="AA584" s="97"/>
      <c r="AB584" s="97"/>
      <c r="AC584" s="97"/>
      <c r="AD584" s="97"/>
      <c r="AE584" s="97"/>
      <c r="AF584" s="97"/>
      <c r="AG584" s="97"/>
      <c r="AH584" s="97"/>
      <c r="AI584" s="97"/>
      <c r="AJ584" s="97"/>
      <c r="AK584" s="97"/>
      <c r="AL584" s="97"/>
      <c r="AM584" s="97"/>
      <c r="AN584" s="97"/>
      <c r="AO584" s="97"/>
      <c r="AP584" s="97"/>
      <c r="AQ584" s="99"/>
      <c r="AR584" s="99"/>
      <c r="AS584" s="99"/>
    </row>
    <row r="585">
      <c r="A585" s="97"/>
      <c r="B585" s="97"/>
      <c r="C585" s="97"/>
      <c r="D585" s="97"/>
      <c r="E585" s="97"/>
      <c r="F585" s="97"/>
      <c r="G585" s="98"/>
      <c r="H585" s="97"/>
      <c r="I585" s="97"/>
      <c r="J585" s="97"/>
      <c r="K585" s="97"/>
      <c r="L585" s="97"/>
      <c r="M585" s="97"/>
      <c r="N585" s="97"/>
      <c r="O585" s="97"/>
      <c r="P585" s="97"/>
      <c r="Q585" s="97"/>
      <c r="R585" s="97"/>
      <c r="S585" s="97"/>
      <c r="T585" s="97"/>
      <c r="U585" s="98"/>
      <c r="V585" s="97"/>
      <c r="W585" s="97"/>
      <c r="X585" s="97"/>
      <c r="Y585" s="97"/>
      <c r="Z585" s="97"/>
      <c r="AA585" s="97"/>
      <c r="AB585" s="97"/>
      <c r="AC585" s="97"/>
      <c r="AD585" s="97"/>
      <c r="AE585" s="97"/>
      <c r="AF585" s="97"/>
      <c r="AG585" s="97"/>
      <c r="AH585" s="97"/>
      <c r="AI585" s="97"/>
      <c r="AJ585" s="97"/>
      <c r="AK585" s="97"/>
      <c r="AL585" s="97"/>
      <c r="AM585" s="97"/>
      <c r="AN585" s="97"/>
      <c r="AO585" s="97"/>
      <c r="AP585" s="97"/>
      <c r="AQ585" s="99"/>
      <c r="AR585" s="99"/>
      <c r="AS585" s="99"/>
    </row>
    <row r="586">
      <c r="A586" s="97"/>
      <c r="B586" s="97"/>
      <c r="C586" s="97"/>
      <c r="D586" s="97"/>
      <c r="E586" s="97"/>
      <c r="F586" s="97"/>
      <c r="G586" s="98"/>
      <c r="H586" s="97"/>
      <c r="I586" s="97"/>
      <c r="J586" s="97"/>
      <c r="K586" s="97"/>
      <c r="L586" s="97"/>
      <c r="M586" s="97"/>
      <c r="N586" s="97"/>
      <c r="O586" s="97"/>
      <c r="P586" s="97"/>
      <c r="Q586" s="97"/>
      <c r="R586" s="97"/>
      <c r="S586" s="97"/>
      <c r="T586" s="97"/>
      <c r="U586" s="98"/>
      <c r="V586" s="97"/>
      <c r="W586" s="97"/>
      <c r="X586" s="97"/>
      <c r="Y586" s="97"/>
      <c r="Z586" s="97"/>
      <c r="AA586" s="97"/>
      <c r="AB586" s="97"/>
      <c r="AC586" s="97"/>
      <c r="AD586" s="97"/>
      <c r="AE586" s="97"/>
      <c r="AF586" s="97"/>
      <c r="AG586" s="97"/>
      <c r="AH586" s="97"/>
      <c r="AI586" s="97"/>
      <c r="AJ586" s="97"/>
      <c r="AK586" s="97"/>
      <c r="AL586" s="97"/>
      <c r="AM586" s="97"/>
      <c r="AN586" s="97"/>
      <c r="AO586" s="97"/>
      <c r="AP586" s="97"/>
      <c r="AQ586" s="99"/>
      <c r="AR586" s="99"/>
      <c r="AS586" s="99"/>
    </row>
    <row r="587">
      <c r="A587" s="97"/>
      <c r="B587" s="97"/>
      <c r="C587" s="97"/>
      <c r="D587" s="97"/>
      <c r="E587" s="97"/>
      <c r="F587" s="97"/>
      <c r="G587" s="98"/>
      <c r="H587" s="97"/>
      <c r="I587" s="97"/>
      <c r="J587" s="97"/>
      <c r="K587" s="97"/>
      <c r="L587" s="97"/>
      <c r="M587" s="97"/>
      <c r="N587" s="97"/>
      <c r="O587" s="97"/>
      <c r="P587" s="97"/>
      <c r="Q587" s="97"/>
      <c r="R587" s="97"/>
      <c r="S587" s="97"/>
      <c r="T587" s="97"/>
      <c r="U587" s="98"/>
      <c r="V587" s="97"/>
      <c r="W587" s="97"/>
      <c r="X587" s="97"/>
      <c r="Y587" s="97"/>
      <c r="Z587" s="97"/>
      <c r="AA587" s="97"/>
      <c r="AB587" s="97"/>
      <c r="AC587" s="97"/>
      <c r="AD587" s="97"/>
      <c r="AE587" s="97"/>
      <c r="AF587" s="97"/>
      <c r="AG587" s="97"/>
      <c r="AH587" s="97"/>
      <c r="AI587" s="97"/>
      <c r="AJ587" s="97"/>
      <c r="AK587" s="97"/>
      <c r="AL587" s="97"/>
      <c r="AM587" s="97"/>
      <c r="AN587" s="97"/>
      <c r="AO587" s="97"/>
      <c r="AP587" s="97"/>
      <c r="AQ587" s="99"/>
      <c r="AR587" s="99"/>
      <c r="AS587" s="99"/>
    </row>
    <row r="588">
      <c r="A588" s="97"/>
      <c r="B588" s="97"/>
      <c r="C588" s="97"/>
      <c r="D588" s="97"/>
      <c r="E588" s="97"/>
      <c r="F588" s="97"/>
      <c r="G588" s="98"/>
      <c r="H588" s="97"/>
      <c r="I588" s="97"/>
      <c r="J588" s="97"/>
      <c r="K588" s="97"/>
      <c r="L588" s="97"/>
      <c r="M588" s="97"/>
      <c r="N588" s="97"/>
      <c r="O588" s="97"/>
      <c r="P588" s="97"/>
      <c r="Q588" s="97"/>
      <c r="R588" s="97"/>
      <c r="S588" s="97"/>
      <c r="T588" s="97"/>
      <c r="U588" s="98"/>
      <c r="V588" s="97"/>
      <c r="W588" s="97"/>
      <c r="X588" s="97"/>
      <c r="Y588" s="97"/>
      <c r="Z588" s="97"/>
      <c r="AA588" s="97"/>
      <c r="AB588" s="97"/>
      <c r="AC588" s="97"/>
      <c r="AD588" s="97"/>
      <c r="AE588" s="97"/>
      <c r="AF588" s="97"/>
      <c r="AG588" s="97"/>
      <c r="AH588" s="97"/>
      <c r="AI588" s="97"/>
      <c r="AJ588" s="97"/>
      <c r="AK588" s="97"/>
      <c r="AL588" s="97"/>
      <c r="AM588" s="97"/>
      <c r="AN588" s="97"/>
      <c r="AO588" s="97"/>
      <c r="AP588" s="97"/>
      <c r="AQ588" s="99"/>
      <c r="AR588" s="99"/>
      <c r="AS588" s="99"/>
    </row>
    <row r="589">
      <c r="A589" s="97"/>
      <c r="B589" s="97"/>
      <c r="C589" s="97"/>
      <c r="D589" s="97"/>
      <c r="E589" s="97"/>
      <c r="F589" s="97"/>
      <c r="G589" s="98"/>
      <c r="H589" s="97"/>
      <c r="I589" s="97"/>
      <c r="J589" s="97"/>
      <c r="K589" s="97"/>
      <c r="L589" s="97"/>
      <c r="M589" s="97"/>
      <c r="N589" s="97"/>
      <c r="O589" s="97"/>
      <c r="P589" s="97"/>
      <c r="Q589" s="97"/>
      <c r="R589" s="97"/>
      <c r="S589" s="97"/>
      <c r="T589" s="97"/>
      <c r="U589" s="98"/>
      <c r="V589" s="97"/>
      <c r="W589" s="97"/>
      <c r="X589" s="97"/>
      <c r="Y589" s="97"/>
      <c r="Z589" s="97"/>
      <c r="AA589" s="97"/>
      <c r="AB589" s="97"/>
      <c r="AC589" s="97"/>
      <c r="AD589" s="97"/>
      <c r="AE589" s="97"/>
      <c r="AF589" s="97"/>
      <c r="AG589" s="97"/>
      <c r="AH589" s="97"/>
      <c r="AI589" s="97"/>
      <c r="AJ589" s="97"/>
      <c r="AK589" s="97"/>
      <c r="AL589" s="97"/>
      <c r="AM589" s="97"/>
      <c r="AN589" s="97"/>
      <c r="AO589" s="97"/>
      <c r="AP589" s="97"/>
      <c r="AQ589" s="99"/>
      <c r="AR589" s="99"/>
      <c r="AS589" s="99"/>
    </row>
    <row r="590">
      <c r="A590" s="97"/>
      <c r="B590" s="97"/>
      <c r="C590" s="97"/>
      <c r="D590" s="97"/>
      <c r="E590" s="97"/>
      <c r="F590" s="97"/>
      <c r="G590" s="98"/>
      <c r="H590" s="97"/>
      <c r="I590" s="97"/>
      <c r="J590" s="97"/>
      <c r="K590" s="97"/>
      <c r="L590" s="97"/>
      <c r="M590" s="97"/>
      <c r="N590" s="97"/>
      <c r="O590" s="97"/>
      <c r="P590" s="97"/>
      <c r="Q590" s="97"/>
      <c r="R590" s="97"/>
      <c r="S590" s="97"/>
      <c r="T590" s="97"/>
      <c r="U590" s="98"/>
      <c r="V590" s="97"/>
      <c r="W590" s="97"/>
      <c r="X590" s="97"/>
      <c r="Y590" s="97"/>
      <c r="Z590" s="97"/>
      <c r="AA590" s="97"/>
      <c r="AB590" s="97"/>
      <c r="AC590" s="97"/>
      <c r="AD590" s="97"/>
      <c r="AE590" s="97"/>
      <c r="AF590" s="97"/>
      <c r="AG590" s="97"/>
      <c r="AH590" s="97"/>
      <c r="AI590" s="97"/>
      <c r="AJ590" s="97"/>
      <c r="AK590" s="97"/>
      <c r="AL590" s="97"/>
      <c r="AM590" s="97"/>
      <c r="AN590" s="97"/>
      <c r="AO590" s="97"/>
      <c r="AP590" s="97"/>
      <c r="AQ590" s="99"/>
      <c r="AR590" s="99"/>
      <c r="AS590" s="99"/>
    </row>
    <row r="591">
      <c r="A591" s="97"/>
      <c r="B591" s="97"/>
      <c r="C591" s="97"/>
      <c r="D591" s="97"/>
      <c r="E591" s="97"/>
      <c r="F591" s="97"/>
      <c r="G591" s="98"/>
      <c r="H591" s="97"/>
      <c r="I591" s="97"/>
      <c r="J591" s="97"/>
      <c r="K591" s="97"/>
      <c r="L591" s="97"/>
      <c r="M591" s="97"/>
      <c r="N591" s="97"/>
      <c r="O591" s="97"/>
      <c r="P591" s="97"/>
      <c r="Q591" s="97"/>
      <c r="R591" s="97"/>
      <c r="S591" s="97"/>
      <c r="T591" s="97"/>
      <c r="U591" s="98"/>
      <c r="V591" s="97"/>
      <c r="W591" s="97"/>
      <c r="X591" s="97"/>
      <c r="Y591" s="97"/>
      <c r="Z591" s="97"/>
      <c r="AA591" s="97"/>
      <c r="AB591" s="97"/>
      <c r="AC591" s="97"/>
      <c r="AD591" s="97"/>
      <c r="AE591" s="97"/>
      <c r="AF591" s="97"/>
      <c r="AG591" s="97"/>
      <c r="AH591" s="97"/>
      <c r="AI591" s="97"/>
      <c r="AJ591" s="97"/>
      <c r="AK591" s="97"/>
      <c r="AL591" s="97"/>
      <c r="AM591" s="97"/>
      <c r="AN591" s="97"/>
      <c r="AO591" s="97"/>
      <c r="AP591" s="97"/>
      <c r="AQ591" s="99"/>
      <c r="AR591" s="99"/>
      <c r="AS591" s="99"/>
    </row>
    <row r="592">
      <c r="A592" s="97"/>
      <c r="B592" s="97"/>
      <c r="C592" s="97"/>
      <c r="D592" s="97"/>
      <c r="E592" s="97"/>
      <c r="F592" s="97"/>
      <c r="G592" s="98"/>
      <c r="H592" s="97"/>
      <c r="I592" s="97"/>
      <c r="J592" s="97"/>
      <c r="K592" s="97"/>
      <c r="L592" s="97"/>
      <c r="M592" s="97"/>
      <c r="N592" s="97"/>
      <c r="O592" s="97"/>
      <c r="P592" s="97"/>
      <c r="Q592" s="97"/>
      <c r="R592" s="97"/>
      <c r="S592" s="97"/>
      <c r="T592" s="97"/>
      <c r="U592" s="98"/>
      <c r="V592" s="97"/>
      <c r="W592" s="97"/>
      <c r="X592" s="97"/>
      <c r="Y592" s="97"/>
      <c r="Z592" s="97"/>
      <c r="AA592" s="97"/>
      <c r="AB592" s="97"/>
      <c r="AC592" s="97"/>
      <c r="AD592" s="97"/>
      <c r="AE592" s="97"/>
      <c r="AF592" s="97"/>
      <c r="AG592" s="97"/>
      <c r="AH592" s="97"/>
      <c r="AI592" s="97"/>
      <c r="AJ592" s="97"/>
      <c r="AK592" s="97"/>
      <c r="AL592" s="97"/>
      <c r="AM592" s="97"/>
      <c r="AN592" s="97"/>
      <c r="AO592" s="97"/>
      <c r="AP592" s="97"/>
      <c r="AQ592" s="99"/>
      <c r="AR592" s="99"/>
      <c r="AS592" s="99"/>
    </row>
    <row r="593">
      <c r="A593" s="97"/>
      <c r="B593" s="97"/>
      <c r="C593" s="97"/>
      <c r="D593" s="97"/>
      <c r="E593" s="97"/>
      <c r="F593" s="97"/>
      <c r="G593" s="98"/>
      <c r="H593" s="97"/>
      <c r="I593" s="97"/>
      <c r="J593" s="97"/>
      <c r="K593" s="97"/>
      <c r="L593" s="97"/>
      <c r="M593" s="97"/>
      <c r="N593" s="97"/>
      <c r="O593" s="97"/>
      <c r="P593" s="97"/>
      <c r="Q593" s="97"/>
      <c r="R593" s="97"/>
      <c r="S593" s="97"/>
      <c r="T593" s="97"/>
      <c r="U593" s="98"/>
      <c r="V593" s="97"/>
      <c r="W593" s="97"/>
      <c r="X593" s="97"/>
      <c r="Y593" s="97"/>
      <c r="Z593" s="97"/>
      <c r="AA593" s="97"/>
      <c r="AB593" s="97"/>
      <c r="AC593" s="97"/>
      <c r="AD593" s="97"/>
      <c r="AE593" s="97"/>
      <c r="AF593" s="97"/>
      <c r="AG593" s="97"/>
      <c r="AH593" s="97"/>
      <c r="AI593" s="97"/>
      <c r="AJ593" s="97"/>
      <c r="AK593" s="97"/>
      <c r="AL593" s="97"/>
      <c r="AM593" s="97"/>
      <c r="AN593" s="97"/>
      <c r="AO593" s="97"/>
      <c r="AP593" s="97"/>
      <c r="AQ593" s="99"/>
      <c r="AR593" s="99"/>
      <c r="AS593" s="99"/>
    </row>
    <row r="594">
      <c r="A594" s="97"/>
      <c r="B594" s="97"/>
      <c r="C594" s="97"/>
      <c r="D594" s="97"/>
      <c r="E594" s="97"/>
      <c r="F594" s="97"/>
      <c r="G594" s="98"/>
      <c r="H594" s="97"/>
      <c r="I594" s="97"/>
      <c r="J594" s="97"/>
      <c r="K594" s="97"/>
      <c r="L594" s="97"/>
      <c r="M594" s="97"/>
      <c r="N594" s="97"/>
      <c r="O594" s="97"/>
      <c r="P594" s="97"/>
      <c r="Q594" s="97"/>
      <c r="R594" s="97"/>
      <c r="S594" s="97"/>
      <c r="T594" s="97"/>
      <c r="U594" s="98"/>
      <c r="V594" s="97"/>
      <c r="W594" s="97"/>
      <c r="X594" s="97"/>
      <c r="Y594" s="97"/>
      <c r="Z594" s="97"/>
      <c r="AA594" s="97"/>
      <c r="AB594" s="97"/>
      <c r="AC594" s="97"/>
      <c r="AD594" s="97"/>
      <c r="AE594" s="97"/>
      <c r="AF594" s="97"/>
      <c r="AG594" s="97"/>
      <c r="AH594" s="97"/>
      <c r="AI594" s="97"/>
      <c r="AJ594" s="97"/>
      <c r="AK594" s="97"/>
      <c r="AL594" s="97"/>
      <c r="AM594" s="97"/>
      <c r="AN594" s="97"/>
      <c r="AO594" s="97"/>
      <c r="AP594" s="97"/>
      <c r="AQ594" s="99"/>
      <c r="AR594" s="99"/>
      <c r="AS594" s="99"/>
    </row>
    <row r="595">
      <c r="A595" s="97"/>
      <c r="B595" s="97"/>
      <c r="C595" s="97"/>
      <c r="D595" s="97"/>
      <c r="E595" s="97"/>
      <c r="F595" s="97"/>
      <c r="G595" s="98"/>
      <c r="H595" s="97"/>
      <c r="I595" s="97"/>
      <c r="J595" s="97"/>
      <c r="K595" s="97"/>
      <c r="L595" s="97"/>
      <c r="M595" s="97"/>
      <c r="N595" s="97"/>
      <c r="O595" s="97"/>
      <c r="P595" s="97"/>
      <c r="Q595" s="97"/>
      <c r="R595" s="97"/>
      <c r="S595" s="97"/>
      <c r="T595" s="97"/>
      <c r="U595" s="98"/>
      <c r="V595" s="97"/>
      <c r="W595" s="97"/>
      <c r="X595" s="97"/>
      <c r="Y595" s="97"/>
      <c r="Z595" s="97"/>
      <c r="AA595" s="97"/>
      <c r="AB595" s="97"/>
      <c r="AC595" s="97"/>
      <c r="AD595" s="97"/>
      <c r="AE595" s="97"/>
      <c r="AF595" s="97"/>
      <c r="AG595" s="97"/>
      <c r="AH595" s="97"/>
      <c r="AI595" s="97"/>
      <c r="AJ595" s="97"/>
      <c r="AK595" s="97"/>
      <c r="AL595" s="97"/>
      <c r="AM595" s="97"/>
      <c r="AN595" s="97"/>
      <c r="AO595" s="97"/>
      <c r="AP595" s="97"/>
      <c r="AQ595" s="99"/>
      <c r="AR595" s="99"/>
      <c r="AS595" s="99"/>
    </row>
    <row r="596">
      <c r="A596" s="97"/>
      <c r="B596" s="97"/>
      <c r="C596" s="97"/>
      <c r="D596" s="97"/>
      <c r="E596" s="97"/>
      <c r="F596" s="97"/>
      <c r="G596" s="98"/>
      <c r="H596" s="97"/>
      <c r="I596" s="97"/>
      <c r="J596" s="97"/>
      <c r="K596" s="97"/>
      <c r="L596" s="97"/>
      <c r="M596" s="97"/>
      <c r="N596" s="97"/>
      <c r="O596" s="97"/>
      <c r="P596" s="97"/>
      <c r="Q596" s="97"/>
      <c r="R596" s="97"/>
      <c r="S596" s="97"/>
      <c r="T596" s="97"/>
      <c r="U596" s="98"/>
      <c r="V596" s="97"/>
      <c r="W596" s="97"/>
      <c r="X596" s="97"/>
      <c r="Y596" s="97"/>
      <c r="Z596" s="97"/>
      <c r="AA596" s="97"/>
      <c r="AB596" s="97"/>
      <c r="AC596" s="97"/>
      <c r="AD596" s="97"/>
      <c r="AE596" s="97"/>
      <c r="AF596" s="97"/>
      <c r="AG596" s="97"/>
      <c r="AH596" s="97"/>
      <c r="AI596" s="97"/>
      <c r="AJ596" s="97"/>
      <c r="AK596" s="97"/>
      <c r="AL596" s="97"/>
      <c r="AM596" s="97"/>
      <c r="AN596" s="97"/>
      <c r="AO596" s="97"/>
      <c r="AP596" s="97"/>
      <c r="AQ596" s="99"/>
      <c r="AR596" s="99"/>
      <c r="AS596" s="99"/>
    </row>
    <row r="597">
      <c r="A597" s="97"/>
      <c r="B597" s="97"/>
      <c r="C597" s="97"/>
      <c r="D597" s="97"/>
      <c r="E597" s="97"/>
      <c r="F597" s="97"/>
      <c r="G597" s="98"/>
      <c r="H597" s="97"/>
      <c r="I597" s="97"/>
      <c r="J597" s="97"/>
      <c r="K597" s="97"/>
      <c r="L597" s="97"/>
      <c r="M597" s="97"/>
      <c r="N597" s="97"/>
      <c r="O597" s="97"/>
      <c r="P597" s="97"/>
      <c r="Q597" s="97"/>
      <c r="R597" s="97"/>
      <c r="S597" s="97"/>
      <c r="T597" s="97"/>
      <c r="U597" s="98"/>
      <c r="V597" s="97"/>
      <c r="W597" s="97"/>
      <c r="X597" s="97"/>
      <c r="Y597" s="97"/>
      <c r="Z597" s="97"/>
      <c r="AA597" s="97"/>
      <c r="AB597" s="97"/>
      <c r="AC597" s="97"/>
      <c r="AD597" s="97"/>
      <c r="AE597" s="97"/>
      <c r="AF597" s="97"/>
      <c r="AG597" s="97"/>
      <c r="AH597" s="97"/>
      <c r="AI597" s="97"/>
      <c r="AJ597" s="97"/>
      <c r="AK597" s="97"/>
      <c r="AL597" s="97"/>
      <c r="AM597" s="97"/>
      <c r="AN597" s="97"/>
      <c r="AO597" s="97"/>
      <c r="AP597" s="97"/>
      <c r="AQ597" s="99"/>
      <c r="AR597" s="99"/>
      <c r="AS597" s="99"/>
    </row>
    <row r="598">
      <c r="A598" s="97"/>
      <c r="B598" s="97"/>
      <c r="C598" s="97"/>
      <c r="D598" s="97"/>
      <c r="E598" s="97"/>
      <c r="F598" s="97"/>
      <c r="G598" s="98"/>
      <c r="H598" s="97"/>
      <c r="I598" s="97"/>
      <c r="J598" s="97"/>
      <c r="K598" s="97"/>
      <c r="L598" s="97"/>
      <c r="M598" s="97"/>
      <c r="N598" s="97"/>
      <c r="O598" s="97"/>
      <c r="P598" s="97"/>
      <c r="Q598" s="97"/>
      <c r="R598" s="97"/>
      <c r="S598" s="97"/>
      <c r="T598" s="97"/>
      <c r="U598" s="98"/>
      <c r="V598" s="97"/>
      <c r="W598" s="97"/>
      <c r="X598" s="97"/>
      <c r="Y598" s="97"/>
      <c r="Z598" s="97"/>
      <c r="AA598" s="97"/>
      <c r="AB598" s="97"/>
      <c r="AC598" s="97"/>
      <c r="AD598" s="97"/>
      <c r="AE598" s="97"/>
      <c r="AF598" s="97"/>
      <c r="AG598" s="97"/>
      <c r="AH598" s="97"/>
      <c r="AI598" s="97"/>
      <c r="AJ598" s="97"/>
      <c r="AK598" s="97"/>
      <c r="AL598" s="97"/>
      <c r="AM598" s="97"/>
      <c r="AN598" s="97"/>
      <c r="AO598" s="97"/>
      <c r="AP598" s="97"/>
      <c r="AQ598" s="99"/>
      <c r="AR598" s="99"/>
      <c r="AS598" s="99"/>
    </row>
    <row r="599">
      <c r="A599" s="97"/>
      <c r="B599" s="97"/>
      <c r="C599" s="97"/>
      <c r="D599" s="97"/>
      <c r="E599" s="97"/>
      <c r="F599" s="97"/>
      <c r="G599" s="98"/>
      <c r="H599" s="97"/>
      <c r="I599" s="97"/>
      <c r="J599" s="97"/>
      <c r="K599" s="97"/>
      <c r="L599" s="97"/>
      <c r="M599" s="97"/>
      <c r="N599" s="97"/>
      <c r="O599" s="97"/>
      <c r="P599" s="97"/>
      <c r="Q599" s="97"/>
      <c r="R599" s="97"/>
      <c r="S599" s="97"/>
      <c r="T599" s="97"/>
      <c r="U599" s="98"/>
      <c r="V599" s="97"/>
      <c r="W599" s="97"/>
      <c r="X599" s="97"/>
      <c r="Y599" s="97"/>
      <c r="Z599" s="97"/>
      <c r="AA599" s="97"/>
      <c r="AB599" s="97"/>
      <c r="AC599" s="97"/>
      <c r="AD599" s="97"/>
      <c r="AE599" s="97"/>
      <c r="AF599" s="97"/>
      <c r="AG599" s="97"/>
      <c r="AH599" s="97"/>
      <c r="AI599" s="97"/>
      <c r="AJ599" s="97"/>
      <c r="AK599" s="97"/>
      <c r="AL599" s="97"/>
      <c r="AM599" s="97"/>
      <c r="AN599" s="97"/>
      <c r="AO599" s="97"/>
      <c r="AP599" s="97"/>
      <c r="AQ599" s="99"/>
      <c r="AR599" s="99"/>
      <c r="AS599" s="99"/>
    </row>
    <row r="600">
      <c r="A600" s="97"/>
      <c r="B600" s="97"/>
      <c r="C600" s="97"/>
      <c r="D600" s="97"/>
      <c r="E600" s="97"/>
      <c r="F600" s="97"/>
      <c r="G600" s="98"/>
      <c r="H600" s="97"/>
      <c r="I600" s="97"/>
      <c r="J600" s="97"/>
      <c r="K600" s="97"/>
      <c r="L600" s="97"/>
      <c r="M600" s="97"/>
      <c r="N600" s="97"/>
      <c r="O600" s="97"/>
      <c r="P600" s="97"/>
      <c r="Q600" s="97"/>
      <c r="R600" s="97"/>
      <c r="S600" s="97"/>
      <c r="T600" s="97"/>
      <c r="U600" s="98"/>
      <c r="V600" s="97"/>
      <c r="W600" s="97"/>
      <c r="X600" s="97"/>
      <c r="Y600" s="97"/>
      <c r="Z600" s="97"/>
      <c r="AA600" s="97"/>
      <c r="AB600" s="97"/>
      <c r="AC600" s="97"/>
      <c r="AD600" s="97"/>
      <c r="AE600" s="97"/>
      <c r="AF600" s="97"/>
      <c r="AG600" s="97"/>
      <c r="AH600" s="97"/>
      <c r="AI600" s="97"/>
      <c r="AJ600" s="97"/>
      <c r="AK600" s="97"/>
      <c r="AL600" s="97"/>
      <c r="AM600" s="97"/>
      <c r="AN600" s="97"/>
      <c r="AO600" s="97"/>
      <c r="AP600" s="97"/>
      <c r="AQ600" s="99"/>
      <c r="AR600" s="99"/>
      <c r="AS600" s="99"/>
    </row>
    <row r="601">
      <c r="A601" s="97"/>
      <c r="B601" s="97"/>
      <c r="C601" s="97"/>
      <c r="D601" s="97"/>
      <c r="E601" s="97"/>
      <c r="F601" s="97"/>
      <c r="G601" s="98"/>
      <c r="H601" s="97"/>
      <c r="I601" s="97"/>
      <c r="J601" s="97"/>
      <c r="K601" s="97"/>
      <c r="L601" s="97"/>
      <c r="M601" s="97"/>
      <c r="N601" s="97"/>
      <c r="O601" s="97"/>
      <c r="P601" s="97"/>
      <c r="Q601" s="97"/>
      <c r="R601" s="97"/>
      <c r="S601" s="97"/>
      <c r="T601" s="97"/>
      <c r="U601" s="98"/>
      <c r="V601" s="97"/>
      <c r="W601" s="97"/>
      <c r="X601" s="97"/>
      <c r="Y601" s="97"/>
      <c r="Z601" s="97"/>
      <c r="AA601" s="97"/>
      <c r="AB601" s="97"/>
      <c r="AC601" s="97"/>
      <c r="AD601" s="97"/>
      <c r="AE601" s="97"/>
      <c r="AF601" s="97"/>
      <c r="AG601" s="97"/>
      <c r="AH601" s="97"/>
      <c r="AI601" s="97"/>
      <c r="AJ601" s="97"/>
      <c r="AK601" s="97"/>
      <c r="AL601" s="97"/>
      <c r="AM601" s="97"/>
      <c r="AN601" s="97"/>
      <c r="AO601" s="97"/>
      <c r="AP601" s="97"/>
      <c r="AQ601" s="99"/>
      <c r="AR601" s="99"/>
      <c r="AS601" s="99"/>
    </row>
    <row r="602">
      <c r="A602" s="97"/>
      <c r="B602" s="97"/>
      <c r="C602" s="97"/>
      <c r="D602" s="97"/>
      <c r="E602" s="97"/>
      <c r="F602" s="97"/>
      <c r="G602" s="98"/>
      <c r="H602" s="97"/>
      <c r="I602" s="97"/>
      <c r="J602" s="97"/>
      <c r="K602" s="97"/>
      <c r="L602" s="97"/>
      <c r="M602" s="97"/>
      <c r="N602" s="97"/>
      <c r="O602" s="97"/>
      <c r="P602" s="97"/>
      <c r="Q602" s="97"/>
      <c r="R602" s="97"/>
      <c r="S602" s="97"/>
      <c r="T602" s="97"/>
      <c r="U602" s="98"/>
      <c r="V602" s="97"/>
      <c r="W602" s="97"/>
      <c r="X602" s="97"/>
      <c r="Y602" s="97"/>
      <c r="Z602" s="97"/>
      <c r="AA602" s="97"/>
      <c r="AB602" s="97"/>
      <c r="AC602" s="97"/>
      <c r="AD602" s="97"/>
      <c r="AE602" s="97"/>
      <c r="AF602" s="97"/>
      <c r="AG602" s="97"/>
      <c r="AH602" s="97"/>
      <c r="AI602" s="97"/>
      <c r="AJ602" s="97"/>
      <c r="AK602" s="97"/>
      <c r="AL602" s="97"/>
      <c r="AM602" s="97"/>
      <c r="AN602" s="97"/>
      <c r="AO602" s="97"/>
      <c r="AP602" s="97"/>
      <c r="AQ602" s="99"/>
      <c r="AR602" s="99"/>
      <c r="AS602" s="99"/>
    </row>
    <row r="603">
      <c r="A603" s="97"/>
      <c r="B603" s="97"/>
      <c r="C603" s="97"/>
      <c r="D603" s="97"/>
      <c r="E603" s="97"/>
      <c r="F603" s="97"/>
      <c r="G603" s="98"/>
      <c r="H603" s="97"/>
      <c r="I603" s="97"/>
      <c r="J603" s="97"/>
      <c r="K603" s="97"/>
      <c r="L603" s="97"/>
      <c r="M603" s="97"/>
      <c r="N603" s="97"/>
      <c r="O603" s="97"/>
      <c r="P603" s="97"/>
      <c r="Q603" s="97"/>
      <c r="R603" s="97"/>
      <c r="S603" s="97"/>
      <c r="T603" s="97"/>
      <c r="U603" s="98"/>
      <c r="V603" s="97"/>
      <c r="W603" s="97"/>
      <c r="X603" s="97"/>
      <c r="Y603" s="97"/>
      <c r="Z603" s="97"/>
      <c r="AA603" s="97"/>
      <c r="AB603" s="97"/>
      <c r="AC603" s="97"/>
      <c r="AD603" s="97"/>
      <c r="AE603" s="97"/>
      <c r="AF603" s="97"/>
      <c r="AG603" s="97"/>
      <c r="AH603" s="97"/>
      <c r="AI603" s="97"/>
      <c r="AJ603" s="97"/>
      <c r="AK603" s="97"/>
      <c r="AL603" s="97"/>
      <c r="AM603" s="97"/>
      <c r="AN603" s="97"/>
      <c r="AO603" s="97"/>
      <c r="AP603" s="97"/>
      <c r="AQ603" s="99"/>
      <c r="AR603" s="99"/>
      <c r="AS603" s="99"/>
    </row>
    <row r="604">
      <c r="A604" s="97"/>
      <c r="B604" s="97"/>
      <c r="C604" s="97"/>
      <c r="D604" s="97"/>
      <c r="E604" s="97"/>
      <c r="F604" s="97"/>
      <c r="G604" s="98"/>
      <c r="H604" s="97"/>
      <c r="I604" s="97"/>
      <c r="J604" s="97"/>
      <c r="K604" s="97"/>
      <c r="L604" s="97"/>
      <c r="M604" s="97"/>
      <c r="N604" s="97"/>
      <c r="O604" s="97"/>
      <c r="P604" s="97"/>
      <c r="Q604" s="97"/>
      <c r="R604" s="97"/>
      <c r="S604" s="97"/>
      <c r="T604" s="97"/>
      <c r="U604" s="98"/>
      <c r="V604" s="97"/>
      <c r="W604" s="97"/>
      <c r="X604" s="97"/>
      <c r="Y604" s="97"/>
      <c r="Z604" s="97"/>
      <c r="AA604" s="97"/>
      <c r="AB604" s="97"/>
      <c r="AC604" s="97"/>
      <c r="AD604" s="97"/>
      <c r="AE604" s="97"/>
      <c r="AF604" s="97"/>
      <c r="AG604" s="97"/>
      <c r="AH604" s="97"/>
      <c r="AI604" s="97"/>
      <c r="AJ604" s="97"/>
      <c r="AK604" s="97"/>
      <c r="AL604" s="97"/>
      <c r="AM604" s="97"/>
      <c r="AN604" s="97"/>
      <c r="AO604" s="97"/>
      <c r="AP604" s="97"/>
      <c r="AQ604" s="99"/>
      <c r="AR604" s="99"/>
      <c r="AS604" s="99"/>
    </row>
    <row r="605">
      <c r="A605" s="97"/>
      <c r="B605" s="97"/>
      <c r="C605" s="97"/>
      <c r="D605" s="97"/>
      <c r="E605" s="97"/>
      <c r="F605" s="97"/>
      <c r="G605" s="98"/>
      <c r="H605" s="97"/>
      <c r="I605" s="97"/>
      <c r="J605" s="97"/>
      <c r="K605" s="97"/>
      <c r="L605" s="97"/>
      <c r="M605" s="97"/>
      <c r="N605" s="97"/>
      <c r="O605" s="97"/>
      <c r="P605" s="97"/>
      <c r="Q605" s="97"/>
      <c r="R605" s="97"/>
      <c r="S605" s="97"/>
      <c r="T605" s="97"/>
      <c r="U605" s="98"/>
      <c r="V605" s="97"/>
      <c r="W605" s="97"/>
      <c r="X605" s="97"/>
      <c r="Y605" s="97"/>
      <c r="Z605" s="97"/>
      <c r="AA605" s="97"/>
      <c r="AB605" s="97"/>
      <c r="AC605" s="97"/>
      <c r="AD605" s="97"/>
      <c r="AE605" s="97"/>
      <c r="AF605" s="97"/>
      <c r="AG605" s="97"/>
      <c r="AH605" s="97"/>
      <c r="AI605" s="97"/>
      <c r="AJ605" s="97"/>
      <c r="AK605" s="97"/>
      <c r="AL605" s="97"/>
      <c r="AM605" s="97"/>
      <c r="AN605" s="97"/>
      <c r="AO605" s="97"/>
      <c r="AP605" s="97"/>
      <c r="AQ605" s="99"/>
      <c r="AR605" s="99"/>
      <c r="AS605" s="99"/>
    </row>
    <row r="606">
      <c r="A606" s="97"/>
      <c r="B606" s="97"/>
      <c r="C606" s="97"/>
      <c r="D606" s="97"/>
      <c r="E606" s="97"/>
      <c r="F606" s="97"/>
      <c r="G606" s="98"/>
      <c r="H606" s="97"/>
      <c r="I606" s="97"/>
      <c r="J606" s="97"/>
      <c r="K606" s="97"/>
      <c r="L606" s="97"/>
      <c r="M606" s="97"/>
      <c r="N606" s="97"/>
      <c r="O606" s="97"/>
      <c r="P606" s="97"/>
      <c r="Q606" s="97"/>
      <c r="R606" s="97"/>
      <c r="S606" s="97"/>
      <c r="T606" s="97"/>
      <c r="U606" s="98"/>
      <c r="V606" s="97"/>
      <c r="W606" s="97"/>
      <c r="X606" s="97"/>
      <c r="Y606" s="97"/>
      <c r="Z606" s="97"/>
      <c r="AA606" s="97"/>
      <c r="AB606" s="97"/>
      <c r="AC606" s="97"/>
      <c r="AD606" s="97"/>
      <c r="AE606" s="97"/>
      <c r="AF606" s="97"/>
      <c r="AG606" s="97"/>
      <c r="AH606" s="97"/>
      <c r="AI606" s="97"/>
      <c r="AJ606" s="97"/>
      <c r="AK606" s="97"/>
      <c r="AL606" s="97"/>
      <c r="AM606" s="97"/>
      <c r="AN606" s="97"/>
      <c r="AO606" s="97"/>
      <c r="AP606" s="97"/>
      <c r="AQ606" s="99"/>
      <c r="AR606" s="99"/>
      <c r="AS606" s="99"/>
    </row>
    <row r="607">
      <c r="A607" s="97"/>
      <c r="B607" s="97"/>
      <c r="C607" s="97"/>
      <c r="D607" s="97"/>
      <c r="E607" s="97"/>
      <c r="F607" s="97"/>
      <c r="G607" s="98"/>
      <c r="H607" s="97"/>
      <c r="I607" s="97"/>
      <c r="J607" s="97"/>
      <c r="K607" s="97"/>
      <c r="L607" s="97"/>
      <c r="M607" s="97"/>
      <c r="N607" s="97"/>
      <c r="O607" s="97"/>
      <c r="P607" s="97"/>
      <c r="Q607" s="97"/>
      <c r="R607" s="97"/>
      <c r="S607" s="97"/>
      <c r="T607" s="97"/>
      <c r="U607" s="98"/>
      <c r="V607" s="97"/>
      <c r="W607" s="97"/>
      <c r="X607" s="97"/>
      <c r="Y607" s="97"/>
      <c r="Z607" s="97"/>
      <c r="AA607" s="97"/>
      <c r="AB607" s="97"/>
      <c r="AC607" s="97"/>
      <c r="AD607" s="97"/>
      <c r="AE607" s="97"/>
      <c r="AF607" s="97"/>
      <c r="AG607" s="97"/>
      <c r="AH607" s="97"/>
      <c r="AI607" s="97"/>
      <c r="AJ607" s="97"/>
      <c r="AK607" s="97"/>
      <c r="AL607" s="97"/>
      <c r="AM607" s="97"/>
      <c r="AN607" s="97"/>
      <c r="AO607" s="97"/>
      <c r="AP607" s="97"/>
      <c r="AQ607" s="99"/>
      <c r="AR607" s="99"/>
      <c r="AS607" s="99"/>
    </row>
    <row r="608">
      <c r="A608" s="97"/>
      <c r="B608" s="97"/>
      <c r="C608" s="97"/>
      <c r="D608" s="97"/>
      <c r="E608" s="97"/>
      <c r="F608" s="97"/>
      <c r="G608" s="98"/>
      <c r="H608" s="97"/>
      <c r="I608" s="97"/>
      <c r="J608" s="97"/>
      <c r="K608" s="97"/>
      <c r="L608" s="97"/>
      <c r="M608" s="97"/>
      <c r="N608" s="97"/>
      <c r="O608" s="97"/>
      <c r="P608" s="97"/>
      <c r="Q608" s="97"/>
      <c r="R608" s="97"/>
      <c r="S608" s="97"/>
      <c r="T608" s="97"/>
      <c r="U608" s="98"/>
      <c r="V608" s="97"/>
      <c r="W608" s="97"/>
      <c r="X608" s="97"/>
      <c r="Y608" s="97"/>
      <c r="Z608" s="97"/>
      <c r="AA608" s="97"/>
      <c r="AB608" s="97"/>
      <c r="AC608" s="97"/>
      <c r="AD608" s="97"/>
      <c r="AE608" s="97"/>
      <c r="AF608" s="97"/>
      <c r="AG608" s="97"/>
      <c r="AH608" s="97"/>
      <c r="AI608" s="97"/>
      <c r="AJ608" s="97"/>
      <c r="AK608" s="97"/>
      <c r="AL608" s="97"/>
      <c r="AM608" s="97"/>
      <c r="AN608" s="97"/>
      <c r="AO608" s="97"/>
      <c r="AP608" s="97"/>
      <c r="AQ608" s="99"/>
      <c r="AR608" s="99"/>
      <c r="AS608" s="99"/>
    </row>
    <row r="609">
      <c r="A609" s="97"/>
      <c r="B609" s="97"/>
      <c r="C609" s="97"/>
      <c r="D609" s="97"/>
      <c r="E609" s="97"/>
      <c r="F609" s="97"/>
      <c r="G609" s="98"/>
      <c r="H609" s="97"/>
      <c r="I609" s="97"/>
      <c r="J609" s="97"/>
      <c r="K609" s="97"/>
      <c r="L609" s="97"/>
      <c r="M609" s="97"/>
      <c r="N609" s="97"/>
      <c r="O609" s="97"/>
      <c r="P609" s="97"/>
      <c r="Q609" s="97"/>
      <c r="R609" s="97"/>
      <c r="S609" s="97"/>
      <c r="T609" s="97"/>
      <c r="U609" s="98"/>
      <c r="V609" s="97"/>
      <c r="W609" s="97"/>
      <c r="X609" s="97"/>
      <c r="Y609" s="97"/>
      <c r="Z609" s="97"/>
      <c r="AA609" s="97"/>
      <c r="AB609" s="97"/>
      <c r="AC609" s="97"/>
      <c r="AD609" s="97"/>
      <c r="AE609" s="97"/>
      <c r="AF609" s="97"/>
      <c r="AG609" s="97"/>
      <c r="AH609" s="97"/>
      <c r="AI609" s="97"/>
      <c r="AJ609" s="97"/>
      <c r="AK609" s="97"/>
      <c r="AL609" s="97"/>
      <c r="AM609" s="97"/>
      <c r="AN609" s="97"/>
      <c r="AO609" s="97"/>
      <c r="AP609" s="97"/>
      <c r="AQ609" s="99"/>
      <c r="AR609" s="99"/>
      <c r="AS609" s="99"/>
    </row>
    <row r="610">
      <c r="A610" s="97"/>
      <c r="B610" s="97"/>
      <c r="C610" s="97"/>
      <c r="D610" s="97"/>
      <c r="E610" s="97"/>
      <c r="F610" s="97"/>
      <c r="G610" s="98"/>
      <c r="H610" s="97"/>
      <c r="I610" s="97"/>
      <c r="J610" s="97"/>
      <c r="K610" s="97"/>
      <c r="L610" s="97"/>
      <c r="M610" s="97"/>
      <c r="N610" s="97"/>
      <c r="O610" s="97"/>
      <c r="P610" s="97"/>
      <c r="Q610" s="97"/>
      <c r="R610" s="97"/>
      <c r="S610" s="97"/>
      <c r="T610" s="97"/>
      <c r="U610" s="98"/>
      <c r="V610" s="97"/>
      <c r="W610" s="97"/>
      <c r="X610" s="97"/>
      <c r="Y610" s="97"/>
      <c r="Z610" s="97"/>
      <c r="AA610" s="97"/>
      <c r="AB610" s="97"/>
      <c r="AC610" s="97"/>
      <c r="AD610" s="97"/>
      <c r="AE610" s="97"/>
      <c r="AF610" s="97"/>
      <c r="AG610" s="97"/>
      <c r="AH610" s="97"/>
      <c r="AI610" s="97"/>
      <c r="AJ610" s="97"/>
      <c r="AK610" s="97"/>
      <c r="AL610" s="97"/>
      <c r="AM610" s="97"/>
      <c r="AN610" s="97"/>
      <c r="AO610" s="97"/>
      <c r="AP610" s="97"/>
      <c r="AQ610" s="99"/>
      <c r="AR610" s="99"/>
      <c r="AS610" s="99"/>
    </row>
    <row r="611">
      <c r="A611" s="97"/>
      <c r="B611" s="97"/>
      <c r="C611" s="97"/>
      <c r="D611" s="97"/>
      <c r="E611" s="97"/>
      <c r="F611" s="97"/>
      <c r="G611" s="98"/>
      <c r="H611" s="97"/>
      <c r="I611" s="97"/>
      <c r="J611" s="97"/>
      <c r="K611" s="97"/>
      <c r="L611" s="97"/>
      <c r="M611" s="97"/>
      <c r="N611" s="97"/>
      <c r="O611" s="97"/>
      <c r="P611" s="97"/>
      <c r="Q611" s="97"/>
      <c r="R611" s="97"/>
      <c r="S611" s="97"/>
      <c r="T611" s="97"/>
      <c r="U611" s="98"/>
      <c r="V611" s="97"/>
      <c r="W611" s="97"/>
      <c r="X611" s="97"/>
      <c r="Y611" s="97"/>
      <c r="Z611" s="97"/>
      <c r="AA611" s="97"/>
      <c r="AB611" s="97"/>
      <c r="AC611" s="97"/>
      <c r="AD611" s="97"/>
      <c r="AE611" s="97"/>
      <c r="AF611" s="97"/>
      <c r="AG611" s="97"/>
      <c r="AH611" s="97"/>
      <c r="AI611" s="97"/>
      <c r="AJ611" s="97"/>
      <c r="AK611" s="97"/>
      <c r="AL611" s="97"/>
      <c r="AM611" s="97"/>
      <c r="AN611" s="97"/>
      <c r="AO611" s="97"/>
      <c r="AP611" s="97"/>
      <c r="AQ611" s="99"/>
      <c r="AR611" s="99"/>
      <c r="AS611" s="99"/>
    </row>
    <row r="612">
      <c r="A612" s="97"/>
      <c r="B612" s="97"/>
      <c r="C612" s="97"/>
      <c r="D612" s="97"/>
      <c r="E612" s="97"/>
      <c r="F612" s="97"/>
      <c r="G612" s="98"/>
      <c r="H612" s="97"/>
      <c r="I612" s="97"/>
      <c r="J612" s="97"/>
      <c r="K612" s="97"/>
      <c r="L612" s="97"/>
      <c r="M612" s="97"/>
      <c r="N612" s="97"/>
      <c r="O612" s="97"/>
      <c r="P612" s="97"/>
      <c r="Q612" s="97"/>
      <c r="R612" s="97"/>
      <c r="S612" s="97"/>
      <c r="T612" s="97"/>
      <c r="U612" s="98"/>
      <c r="V612" s="97"/>
      <c r="W612" s="97"/>
      <c r="X612" s="97"/>
      <c r="Y612" s="97"/>
      <c r="Z612" s="97"/>
      <c r="AA612" s="97"/>
      <c r="AB612" s="97"/>
      <c r="AC612" s="97"/>
      <c r="AD612" s="97"/>
      <c r="AE612" s="97"/>
      <c r="AF612" s="97"/>
      <c r="AG612" s="97"/>
      <c r="AH612" s="97"/>
      <c r="AI612" s="97"/>
      <c r="AJ612" s="97"/>
      <c r="AK612" s="97"/>
      <c r="AL612" s="97"/>
      <c r="AM612" s="97"/>
      <c r="AN612" s="97"/>
      <c r="AO612" s="97"/>
      <c r="AP612" s="97"/>
      <c r="AQ612" s="99"/>
      <c r="AR612" s="99"/>
      <c r="AS612" s="99"/>
    </row>
    <row r="613">
      <c r="A613" s="97"/>
      <c r="B613" s="97"/>
      <c r="C613" s="97"/>
      <c r="D613" s="97"/>
      <c r="E613" s="97"/>
      <c r="F613" s="97"/>
      <c r="G613" s="98"/>
      <c r="H613" s="97"/>
      <c r="I613" s="97"/>
      <c r="J613" s="97"/>
      <c r="K613" s="97"/>
      <c r="L613" s="97"/>
      <c r="M613" s="97"/>
      <c r="N613" s="97"/>
      <c r="O613" s="97"/>
      <c r="P613" s="97"/>
      <c r="Q613" s="97"/>
      <c r="R613" s="97"/>
      <c r="S613" s="97"/>
      <c r="T613" s="97"/>
      <c r="U613" s="98"/>
      <c r="V613" s="97"/>
      <c r="W613" s="97"/>
      <c r="X613" s="97"/>
      <c r="Y613" s="97"/>
      <c r="Z613" s="97"/>
      <c r="AA613" s="97"/>
      <c r="AB613" s="97"/>
      <c r="AC613" s="97"/>
      <c r="AD613" s="97"/>
      <c r="AE613" s="97"/>
      <c r="AF613" s="97"/>
      <c r="AG613" s="97"/>
      <c r="AH613" s="97"/>
      <c r="AI613" s="97"/>
      <c r="AJ613" s="97"/>
      <c r="AK613" s="97"/>
      <c r="AL613" s="97"/>
      <c r="AM613" s="97"/>
      <c r="AN613" s="97"/>
      <c r="AO613" s="97"/>
      <c r="AP613" s="97"/>
      <c r="AQ613" s="99"/>
      <c r="AR613" s="99"/>
      <c r="AS613" s="99"/>
    </row>
    <row r="614">
      <c r="A614" s="97"/>
      <c r="B614" s="97"/>
      <c r="C614" s="97"/>
      <c r="D614" s="97"/>
      <c r="E614" s="97"/>
      <c r="F614" s="97"/>
      <c r="G614" s="98"/>
      <c r="H614" s="97"/>
      <c r="I614" s="97"/>
      <c r="J614" s="97"/>
      <c r="K614" s="97"/>
      <c r="L614" s="97"/>
      <c r="M614" s="97"/>
      <c r="N614" s="97"/>
      <c r="O614" s="97"/>
      <c r="P614" s="97"/>
      <c r="Q614" s="97"/>
      <c r="R614" s="97"/>
      <c r="S614" s="97"/>
      <c r="T614" s="97"/>
      <c r="U614" s="98"/>
      <c r="V614" s="97"/>
      <c r="W614" s="97"/>
      <c r="X614" s="97"/>
      <c r="Y614" s="97"/>
      <c r="Z614" s="97"/>
      <c r="AA614" s="97"/>
      <c r="AB614" s="97"/>
      <c r="AC614" s="97"/>
      <c r="AD614" s="97"/>
      <c r="AE614" s="97"/>
      <c r="AF614" s="97"/>
      <c r="AG614" s="97"/>
      <c r="AH614" s="97"/>
      <c r="AI614" s="97"/>
      <c r="AJ614" s="97"/>
      <c r="AK614" s="97"/>
      <c r="AL614" s="97"/>
      <c r="AM614" s="97"/>
      <c r="AN614" s="97"/>
      <c r="AO614" s="97"/>
      <c r="AP614" s="97"/>
      <c r="AQ614" s="99"/>
      <c r="AR614" s="99"/>
      <c r="AS614" s="99"/>
    </row>
    <row r="615">
      <c r="A615" s="97"/>
      <c r="B615" s="97"/>
      <c r="C615" s="97"/>
      <c r="D615" s="97"/>
      <c r="E615" s="97"/>
      <c r="F615" s="97"/>
      <c r="G615" s="98"/>
      <c r="H615" s="97"/>
      <c r="I615" s="97"/>
      <c r="J615" s="97"/>
      <c r="K615" s="97"/>
      <c r="L615" s="97"/>
      <c r="M615" s="97"/>
      <c r="N615" s="97"/>
      <c r="O615" s="97"/>
      <c r="P615" s="97"/>
      <c r="Q615" s="97"/>
      <c r="R615" s="97"/>
      <c r="S615" s="97"/>
      <c r="T615" s="97"/>
      <c r="U615" s="98"/>
      <c r="V615" s="97"/>
      <c r="W615" s="97"/>
      <c r="X615" s="97"/>
      <c r="Y615" s="97"/>
      <c r="Z615" s="97"/>
      <c r="AA615" s="97"/>
      <c r="AB615" s="97"/>
      <c r="AC615" s="97"/>
      <c r="AD615" s="97"/>
      <c r="AE615" s="97"/>
      <c r="AF615" s="97"/>
      <c r="AG615" s="97"/>
      <c r="AH615" s="97"/>
      <c r="AI615" s="97"/>
      <c r="AJ615" s="97"/>
      <c r="AK615" s="97"/>
      <c r="AL615" s="97"/>
      <c r="AM615" s="97"/>
      <c r="AN615" s="97"/>
      <c r="AO615" s="97"/>
      <c r="AP615" s="97"/>
      <c r="AQ615" s="99"/>
      <c r="AR615" s="99"/>
      <c r="AS615" s="99"/>
    </row>
    <row r="616">
      <c r="A616" s="97"/>
      <c r="B616" s="97"/>
      <c r="C616" s="97"/>
      <c r="D616" s="97"/>
      <c r="E616" s="97"/>
      <c r="F616" s="97"/>
      <c r="G616" s="98"/>
      <c r="H616" s="97"/>
      <c r="I616" s="97"/>
      <c r="J616" s="97"/>
      <c r="K616" s="97"/>
      <c r="L616" s="97"/>
      <c r="M616" s="97"/>
      <c r="N616" s="97"/>
      <c r="O616" s="97"/>
      <c r="P616" s="97"/>
      <c r="Q616" s="97"/>
      <c r="R616" s="97"/>
      <c r="S616" s="97"/>
      <c r="T616" s="97"/>
      <c r="U616" s="98"/>
      <c r="V616" s="97"/>
      <c r="W616" s="97"/>
      <c r="X616" s="97"/>
      <c r="Y616" s="97"/>
      <c r="Z616" s="97"/>
      <c r="AA616" s="97"/>
      <c r="AB616" s="97"/>
      <c r="AC616" s="97"/>
      <c r="AD616" s="97"/>
      <c r="AE616" s="97"/>
      <c r="AF616" s="97"/>
      <c r="AG616" s="97"/>
      <c r="AH616" s="97"/>
      <c r="AI616" s="97"/>
      <c r="AJ616" s="97"/>
      <c r="AK616" s="97"/>
      <c r="AL616" s="97"/>
      <c r="AM616" s="97"/>
      <c r="AN616" s="97"/>
      <c r="AO616" s="97"/>
      <c r="AP616" s="97"/>
      <c r="AQ616" s="99"/>
      <c r="AR616" s="99"/>
      <c r="AS616" s="99"/>
    </row>
    <row r="617">
      <c r="A617" s="97"/>
      <c r="B617" s="97"/>
      <c r="C617" s="97"/>
      <c r="D617" s="97"/>
      <c r="E617" s="97"/>
      <c r="F617" s="97"/>
      <c r="G617" s="98"/>
      <c r="H617" s="97"/>
      <c r="I617" s="97"/>
      <c r="J617" s="97"/>
      <c r="K617" s="97"/>
      <c r="L617" s="97"/>
      <c r="M617" s="97"/>
      <c r="N617" s="97"/>
      <c r="O617" s="97"/>
      <c r="P617" s="97"/>
      <c r="Q617" s="97"/>
      <c r="R617" s="97"/>
      <c r="S617" s="97"/>
      <c r="T617" s="97"/>
      <c r="U617" s="98"/>
      <c r="V617" s="97"/>
      <c r="W617" s="97"/>
      <c r="X617" s="97"/>
      <c r="Y617" s="97"/>
      <c r="Z617" s="97"/>
      <c r="AA617" s="97"/>
      <c r="AB617" s="97"/>
      <c r="AC617" s="97"/>
      <c r="AD617" s="97"/>
      <c r="AE617" s="97"/>
      <c r="AF617" s="97"/>
      <c r="AG617" s="97"/>
      <c r="AH617" s="97"/>
      <c r="AI617" s="97"/>
      <c r="AJ617" s="97"/>
      <c r="AK617" s="97"/>
      <c r="AL617" s="97"/>
      <c r="AM617" s="97"/>
      <c r="AN617" s="97"/>
      <c r="AO617" s="97"/>
      <c r="AP617" s="97"/>
      <c r="AQ617" s="99"/>
      <c r="AR617" s="99"/>
      <c r="AS617" s="99"/>
    </row>
    <row r="618">
      <c r="A618" s="97"/>
      <c r="B618" s="97"/>
      <c r="C618" s="97"/>
      <c r="D618" s="97"/>
      <c r="E618" s="97"/>
      <c r="F618" s="97"/>
      <c r="G618" s="98"/>
      <c r="H618" s="97"/>
      <c r="I618" s="97"/>
      <c r="J618" s="97"/>
      <c r="K618" s="97"/>
      <c r="L618" s="97"/>
      <c r="M618" s="97"/>
      <c r="N618" s="97"/>
      <c r="O618" s="97"/>
      <c r="P618" s="97"/>
      <c r="Q618" s="97"/>
      <c r="R618" s="97"/>
      <c r="S618" s="97"/>
      <c r="T618" s="97"/>
      <c r="U618" s="98"/>
      <c r="V618" s="97"/>
      <c r="W618" s="97"/>
      <c r="X618" s="97"/>
      <c r="Y618" s="97"/>
      <c r="Z618" s="97"/>
      <c r="AA618" s="97"/>
      <c r="AB618" s="97"/>
      <c r="AC618" s="97"/>
      <c r="AD618" s="97"/>
      <c r="AE618" s="97"/>
      <c r="AF618" s="97"/>
      <c r="AG618" s="97"/>
      <c r="AH618" s="97"/>
      <c r="AI618" s="97"/>
      <c r="AJ618" s="97"/>
      <c r="AK618" s="97"/>
      <c r="AL618" s="97"/>
      <c r="AM618" s="97"/>
      <c r="AN618" s="97"/>
      <c r="AO618" s="97"/>
      <c r="AP618" s="97"/>
      <c r="AQ618" s="99"/>
      <c r="AR618" s="99"/>
      <c r="AS618" s="99"/>
    </row>
    <row r="619">
      <c r="A619" s="97"/>
      <c r="B619" s="97"/>
      <c r="C619" s="97"/>
      <c r="D619" s="97"/>
      <c r="E619" s="97"/>
      <c r="F619" s="97"/>
      <c r="G619" s="98"/>
      <c r="H619" s="97"/>
      <c r="I619" s="97"/>
      <c r="J619" s="97"/>
      <c r="K619" s="97"/>
      <c r="L619" s="97"/>
      <c r="M619" s="97"/>
      <c r="N619" s="97"/>
      <c r="O619" s="97"/>
      <c r="P619" s="97"/>
      <c r="Q619" s="97"/>
      <c r="R619" s="97"/>
      <c r="S619" s="97"/>
      <c r="T619" s="97"/>
      <c r="U619" s="98"/>
      <c r="V619" s="97"/>
      <c r="W619" s="97"/>
      <c r="X619" s="97"/>
      <c r="Y619" s="97"/>
      <c r="Z619" s="97"/>
      <c r="AA619" s="97"/>
      <c r="AB619" s="97"/>
      <c r="AC619" s="97"/>
      <c r="AD619" s="97"/>
      <c r="AE619" s="97"/>
      <c r="AF619" s="97"/>
      <c r="AG619" s="97"/>
      <c r="AH619" s="97"/>
      <c r="AI619" s="97"/>
      <c r="AJ619" s="97"/>
      <c r="AK619" s="97"/>
      <c r="AL619" s="97"/>
      <c r="AM619" s="97"/>
      <c r="AN619" s="97"/>
      <c r="AO619" s="97"/>
      <c r="AP619" s="97"/>
      <c r="AQ619" s="99"/>
      <c r="AR619" s="99"/>
      <c r="AS619" s="99"/>
    </row>
    <row r="620">
      <c r="A620" s="97"/>
      <c r="B620" s="97"/>
      <c r="C620" s="97"/>
      <c r="D620" s="97"/>
      <c r="E620" s="97"/>
      <c r="F620" s="97"/>
      <c r="G620" s="98"/>
      <c r="H620" s="97"/>
      <c r="I620" s="97"/>
      <c r="J620" s="97"/>
      <c r="K620" s="97"/>
      <c r="L620" s="97"/>
      <c r="M620" s="97"/>
      <c r="N620" s="97"/>
      <c r="O620" s="97"/>
      <c r="P620" s="97"/>
      <c r="Q620" s="97"/>
      <c r="R620" s="97"/>
      <c r="S620" s="97"/>
      <c r="T620" s="97"/>
      <c r="U620" s="98"/>
      <c r="V620" s="97"/>
      <c r="W620" s="97"/>
      <c r="X620" s="97"/>
      <c r="Y620" s="97"/>
      <c r="Z620" s="97"/>
      <c r="AA620" s="97"/>
      <c r="AB620" s="97"/>
      <c r="AC620" s="97"/>
      <c r="AD620" s="97"/>
      <c r="AE620" s="97"/>
      <c r="AF620" s="97"/>
      <c r="AG620" s="97"/>
      <c r="AH620" s="97"/>
      <c r="AI620" s="97"/>
      <c r="AJ620" s="97"/>
      <c r="AK620" s="97"/>
      <c r="AL620" s="97"/>
      <c r="AM620" s="97"/>
      <c r="AN620" s="97"/>
      <c r="AO620" s="97"/>
      <c r="AP620" s="97"/>
      <c r="AQ620" s="99"/>
      <c r="AR620" s="99"/>
      <c r="AS620" s="99"/>
    </row>
    <row r="621">
      <c r="A621" s="97"/>
      <c r="B621" s="97"/>
      <c r="C621" s="97"/>
      <c r="D621" s="97"/>
      <c r="E621" s="97"/>
      <c r="F621" s="97"/>
      <c r="G621" s="98"/>
      <c r="H621" s="97"/>
      <c r="I621" s="97"/>
      <c r="J621" s="97"/>
      <c r="K621" s="97"/>
      <c r="L621" s="97"/>
      <c r="M621" s="97"/>
      <c r="N621" s="97"/>
      <c r="O621" s="97"/>
      <c r="P621" s="97"/>
      <c r="Q621" s="97"/>
      <c r="R621" s="97"/>
      <c r="S621" s="97"/>
      <c r="T621" s="97"/>
      <c r="U621" s="98"/>
      <c r="V621" s="97"/>
      <c r="W621" s="97"/>
      <c r="X621" s="97"/>
      <c r="Y621" s="97"/>
      <c r="Z621" s="97"/>
      <c r="AA621" s="97"/>
      <c r="AB621" s="97"/>
      <c r="AC621" s="97"/>
      <c r="AD621" s="97"/>
      <c r="AE621" s="97"/>
      <c r="AF621" s="97"/>
      <c r="AG621" s="97"/>
      <c r="AH621" s="97"/>
      <c r="AI621" s="97"/>
      <c r="AJ621" s="97"/>
      <c r="AK621" s="97"/>
      <c r="AL621" s="97"/>
      <c r="AM621" s="97"/>
      <c r="AN621" s="97"/>
      <c r="AO621" s="97"/>
      <c r="AP621" s="97"/>
      <c r="AQ621" s="99"/>
      <c r="AR621" s="99"/>
      <c r="AS621" s="99"/>
    </row>
    <row r="622">
      <c r="A622" s="97"/>
      <c r="B622" s="97"/>
      <c r="C622" s="97"/>
      <c r="D622" s="97"/>
      <c r="E622" s="97"/>
      <c r="F622" s="97"/>
      <c r="G622" s="98"/>
      <c r="H622" s="97"/>
      <c r="I622" s="97"/>
      <c r="J622" s="97"/>
      <c r="K622" s="97"/>
      <c r="L622" s="97"/>
      <c r="M622" s="97"/>
      <c r="N622" s="97"/>
      <c r="O622" s="97"/>
      <c r="P622" s="97"/>
      <c r="Q622" s="97"/>
      <c r="R622" s="97"/>
      <c r="S622" s="97"/>
      <c r="T622" s="97"/>
      <c r="U622" s="98"/>
      <c r="V622" s="97"/>
      <c r="W622" s="97"/>
      <c r="X622" s="97"/>
      <c r="Y622" s="97"/>
      <c r="Z622" s="97"/>
      <c r="AA622" s="97"/>
      <c r="AB622" s="97"/>
      <c r="AC622" s="97"/>
      <c r="AD622" s="97"/>
      <c r="AE622" s="97"/>
      <c r="AF622" s="97"/>
      <c r="AG622" s="97"/>
      <c r="AH622" s="97"/>
      <c r="AI622" s="97"/>
      <c r="AJ622" s="97"/>
      <c r="AK622" s="97"/>
      <c r="AL622" s="97"/>
      <c r="AM622" s="97"/>
      <c r="AN622" s="97"/>
      <c r="AO622" s="97"/>
      <c r="AP622" s="97"/>
      <c r="AQ622" s="99"/>
      <c r="AR622" s="99"/>
      <c r="AS622" s="99"/>
    </row>
    <row r="623">
      <c r="A623" s="97"/>
      <c r="B623" s="97"/>
      <c r="C623" s="97"/>
      <c r="D623" s="97"/>
      <c r="E623" s="97"/>
      <c r="F623" s="97"/>
      <c r="G623" s="98"/>
      <c r="H623" s="97"/>
      <c r="I623" s="97"/>
      <c r="J623" s="97"/>
      <c r="K623" s="97"/>
      <c r="L623" s="97"/>
      <c r="M623" s="97"/>
      <c r="N623" s="97"/>
      <c r="O623" s="97"/>
      <c r="P623" s="97"/>
      <c r="Q623" s="97"/>
      <c r="R623" s="97"/>
      <c r="S623" s="97"/>
      <c r="T623" s="97"/>
      <c r="U623" s="98"/>
      <c r="V623" s="97"/>
      <c r="W623" s="97"/>
      <c r="X623" s="97"/>
      <c r="Y623" s="97"/>
      <c r="Z623" s="97"/>
      <c r="AA623" s="97"/>
      <c r="AB623" s="97"/>
      <c r="AC623" s="97"/>
      <c r="AD623" s="97"/>
      <c r="AE623" s="97"/>
      <c r="AF623" s="97"/>
      <c r="AG623" s="97"/>
      <c r="AH623" s="97"/>
      <c r="AI623" s="97"/>
      <c r="AJ623" s="97"/>
      <c r="AK623" s="97"/>
      <c r="AL623" s="97"/>
      <c r="AM623" s="97"/>
      <c r="AN623" s="97"/>
      <c r="AO623" s="97"/>
      <c r="AP623" s="97"/>
      <c r="AQ623" s="99"/>
      <c r="AR623" s="99"/>
      <c r="AS623" s="99"/>
    </row>
    <row r="624">
      <c r="A624" s="97"/>
      <c r="B624" s="97"/>
      <c r="C624" s="97"/>
      <c r="D624" s="97"/>
      <c r="E624" s="97"/>
      <c r="F624" s="97"/>
      <c r="G624" s="98"/>
      <c r="H624" s="97"/>
      <c r="I624" s="97"/>
      <c r="J624" s="97"/>
      <c r="K624" s="97"/>
      <c r="L624" s="97"/>
      <c r="M624" s="97"/>
      <c r="N624" s="97"/>
      <c r="O624" s="97"/>
      <c r="P624" s="97"/>
      <c r="Q624" s="97"/>
      <c r="R624" s="97"/>
      <c r="S624" s="97"/>
      <c r="T624" s="97"/>
      <c r="U624" s="98"/>
      <c r="V624" s="97"/>
      <c r="W624" s="97"/>
      <c r="X624" s="97"/>
      <c r="Y624" s="97"/>
      <c r="Z624" s="97"/>
      <c r="AA624" s="97"/>
      <c r="AB624" s="97"/>
      <c r="AC624" s="97"/>
      <c r="AD624" s="97"/>
      <c r="AE624" s="97"/>
      <c r="AF624" s="97"/>
      <c r="AG624" s="97"/>
      <c r="AH624" s="97"/>
      <c r="AI624" s="97"/>
      <c r="AJ624" s="97"/>
      <c r="AK624" s="97"/>
      <c r="AL624" s="97"/>
      <c r="AM624" s="97"/>
      <c r="AN624" s="97"/>
      <c r="AO624" s="97"/>
      <c r="AP624" s="97"/>
      <c r="AQ624" s="99"/>
      <c r="AR624" s="99"/>
      <c r="AS624" s="99"/>
    </row>
    <row r="625">
      <c r="A625" s="97"/>
      <c r="B625" s="97"/>
      <c r="C625" s="97"/>
      <c r="D625" s="97"/>
      <c r="E625" s="97"/>
      <c r="F625" s="97"/>
      <c r="G625" s="98"/>
      <c r="H625" s="97"/>
      <c r="I625" s="97"/>
      <c r="J625" s="97"/>
      <c r="K625" s="97"/>
      <c r="L625" s="97"/>
      <c r="M625" s="97"/>
      <c r="N625" s="97"/>
      <c r="O625" s="97"/>
      <c r="P625" s="97"/>
      <c r="Q625" s="97"/>
      <c r="R625" s="97"/>
      <c r="S625" s="97"/>
      <c r="T625" s="97"/>
      <c r="U625" s="98"/>
      <c r="V625" s="97"/>
      <c r="W625" s="97"/>
      <c r="X625" s="97"/>
      <c r="Y625" s="97"/>
      <c r="Z625" s="97"/>
      <c r="AA625" s="97"/>
      <c r="AB625" s="97"/>
      <c r="AC625" s="97"/>
      <c r="AD625" s="97"/>
      <c r="AE625" s="97"/>
      <c r="AF625" s="97"/>
      <c r="AG625" s="97"/>
      <c r="AH625" s="97"/>
      <c r="AI625" s="97"/>
      <c r="AJ625" s="97"/>
      <c r="AK625" s="97"/>
      <c r="AL625" s="97"/>
      <c r="AM625" s="97"/>
      <c r="AN625" s="97"/>
      <c r="AO625" s="97"/>
      <c r="AP625" s="97"/>
      <c r="AQ625" s="99"/>
      <c r="AR625" s="99"/>
      <c r="AS625" s="99"/>
    </row>
    <row r="626">
      <c r="A626" s="97"/>
      <c r="B626" s="97"/>
      <c r="C626" s="97"/>
      <c r="D626" s="97"/>
      <c r="E626" s="97"/>
      <c r="F626" s="97"/>
      <c r="G626" s="98"/>
      <c r="H626" s="97"/>
      <c r="I626" s="97"/>
      <c r="J626" s="97"/>
      <c r="K626" s="97"/>
      <c r="L626" s="97"/>
      <c r="M626" s="97"/>
      <c r="N626" s="97"/>
      <c r="O626" s="97"/>
      <c r="P626" s="97"/>
      <c r="Q626" s="97"/>
      <c r="R626" s="97"/>
      <c r="S626" s="97"/>
      <c r="T626" s="97"/>
      <c r="U626" s="98"/>
      <c r="V626" s="97"/>
      <c r="W626" s="97"/>
      <c r="X626" s="97"/>
      <c r="Y626" s="97"/>
      <c r="Z626" s="97"/>
      <c r="AA626" s="97"/>
      <c r="AB626" s="97"/>
      <c r="AC626" s="97"/>
      <c r="AD626" s="97"/>
      <c r="AE626" s="97"/>
      <c r="AF626" s="97"/>
      <c r="AG626" s="97"/>
      <c r="AH626" s="97"/>
      <c r="AI626" s="97"/>
      <c r="AJ626" s="97"/>
      <c r="AK626" s="97"/>
      <c r="AL626" s="97"/>
      <c r="AM626" s="97"/>
      <c r="AN626" s="97"/>
      <c r="AO626" s="97"/>
      <c r="AP626" s="97"/>
      <c r="AQ626" s="99"/>
      <c r="AR626" s="99"/>
      <c r="AS626" s="99"/>
    </row>
    <row r="627">
      <c r="A627" s="97"/>
      <c r="B627" s="97"/>
      <c r="C627" s="97"/>
      <c r="D627" s="97"/>
      <c r="E627" s="97"/>
      <c r="F627" s="97"/>
      <c r="G627" s="98"/>
      <c r="H627" s="97"/>
      <c r="I627" s="97"/>
      <c r="J627" s="97"/>
      <c r="K627" s="97"/>
      <c r="L627" s="97"/>
      <c r="M627" s="97"/>
      <c r="N627" s="97"/>
      <c r="O627" s="97"/>
      <c r="P627" s="97"/>
      <c r="Q627" s="97"/>
      <c r="R627" s="97"/>
      <c r="S627" s="97"/>
      <c r="T627" s="97"/>
      <c r="U627" s="98"/>
      <c r="V627" s="97"/>
      <c r="W627" s="97"/>
      <c r="X627" s="97"/>
      <c r="Y627" s="97"/>
      <c r="Z627" s="97"/>
      <c r="AA627" s="97"/>
      <c r="AB627" s="97"/>
      <c r="AC627" s="97"/>
      <c r="AD627" s="97"/>
      <c r="AE627" s="97"/>
      <c r="AF627" s="97"/>
      <c r="AG627" s="97"/>
      <c r="AH627" s="97"/>
      <c r="AI627" s="97"/>
      <c r="AJ627" s="97"/>
      <c r="AK627" s="97"/>
      <c r="AL627" s="97"/>
      <c r="AM627" s="97"/>
      <c r="AN627" s="97"/>
      <c r="AO627" s="97"/>
      <c r="AP627" s="97"/>
      <c r="AQ627" s="99"/>
      <c r="AR627" s="99"/>
      <c r="AS627" s="99"/>
    </row>
    <row r="628">
      <c r="A628" s="97"/>
      <c r="B628" s="97"/>
      <c r="C628" s="97"/>
      <c r="D628" s="97"/>
      <c r="E628" s="97"/>
      <c r="F628" s="97"/>
      <c r="G628" s="98"/>
      <c r="H628" s="97"/>
      <c r="I628" s="97"/>
      <c r="J628" s="97"/>
      <c r="K628" s="97"/>
      <c r="L628" s="97"/>
      <c r="M628" s="97"/>
      <c r="N628" s="97"/>
      <c r="O628" s="97"/>
      <c r="P628" s="97"/>
      <c r="Q628" s="97"/>
      <c r="R628" s="97"/>
      <c r="S628" s="97"/>
      <c r="T628" s="97"/>
      <c r="U628" s="98"/>
      <c r="V628" s="97"/>
      <c r="W628" s="97"/>
      <c r="X628" s="97"/>
      <c r="Y628" s="97"/>
      <c r="Z628" s="97"/>
      <c r="AA628" s="97"/>
      <c r="AB628" s="97"/>
      <c r="AC628" s="97"/>
      <c r="AD628" s="97"/>
      <c r="AE628" s="97"/>
      <c r="AF628" s="97"/>
      <c r="AG628" s="97"/>
      <c r="AH628" s="97"/>
      <c r="AI628" s="97"/>
      <c r="AJ628" s="97"/>
      <c r="AK628" s="97"/>
      <c r="AL628" s="97"/>
      <c r="AM628" s="97"/>
      <c r="AN628" s="97"/>
      <c r="AO628" s="97"/>
      <c r="AP628" s="97"/>
      <c r="AQ628" s="99"/>
      <c r="AR628" s="99"/>
      <c r="AS628" s="99"/>
    </row>
    <row r="629">
      <c r="A629" s="97"/>
      <c r="B629" s="97"/>
      <c r="C629" s="97"/>
      <c r="D629" s="97"/>
      <c r="E629" s="97"/>
      <c r="F629" s="97"/>
      <c r="G629" s="98"/>
      <c r="H629" s="97"/>
      <c r="I629" s="97"/>
      <c r="J629" s="97"/>
      <c r="K629" s="97"/>
      <c r="L629" s="97"/>
      <c r="M629" s="97"/>
      <c r="N629" s="97"/>
      <c r="O629" s="97"/>
      <c r="P629" s="97"/>
      <c r="Q629" s="97"/>
      <c r="R629" s="97"/>
      <c r="S629" s="97"/>
      <c r="T629" s="97"/>
      <c r="U629" s="98"/>
      <c r="V629" s="97"/>
      <c r="W629" s="97"/>
      <c r="X629" s="97"/>
      <c r="Y629" s="97"/>
      <c r="Z629" s="97"/>
      <c r="AA629" s="97"/>
      <c r="AB629" s="97"/>
      <c r="AC629" s="97"/>
      <c r="AD629" s="97"/>
      <c r="AE629" s="97"/>
      <c r="AF629" s="97"/>
      <c r="AG629" s="97"/>
      <c r="AH629" s="97"/>
      <c r="AI629" s="97"/>
      <c r="AJ629" s="97"/>
      <c r="AK629" s="97"/>
      <c r="AL629" s="97"/>
      <c r="AM629" s="97"/>
      <c r="AN629" s="97"/>
      <c r="AO629" s="97"/>
      <c r="AP629" s="97"/>
      <c r="AQ629" s="99"/>
      <c r="AR629" s="99"/>
      <c r="AS629" s="99"/>
    </row>
    <row r="630">
      <c r="A630" s="97"/>
      <c r="B630" s="97"/>
      <c r="C630" s="97"/>
      <c r="D630" s="97"/>
      <c r="E630" s="97"/>
      <c r="F630" s="97"/>
      <c r="G630" s="98"/>
      <c r="H630" s="97"/>
      <c r="I630" s="97"/>
      <c r="J630" s="97"/>
      <c r="K630" s="97"/>
      <c r="L630" s="97"/>
      <c r="M630" s="97"/>
      <c r="N630" s="97"/>
      <c r="O630" s="97"/>
      <c r="P630" s="97"/>
      <c r="Q630" s="97"/>
      <c r="R630" s="97"/>
      <c r="S630" s="97"/>
      <c r="T630" s="97"/>
      <c r="U630" s="98"/>
      <c r="V630" s="97"/>
      <c r="W630" s="97"/>
      <c r="X630" s="97"/>
      <c r="Y630" s="97"/>
      <c r="Z630" s="97"/>
      <c r="AA630" s="97"/>
      <c r="AB630" s="97"/>
      <c r="AC630" s="97"/>
      <c r="AD630" s="97"/>
      <c r="AE630" s="97"/>
      <c r="AF630" s="97"/>
      <c r="AG630" s="97"/>
      <c r="AH630" s="97"/>
      <c r="AI630" s="97"/>
      <c r="AJ630" s="97"/>
      <c r="AK630" s="97"/>
      <c r="AL630" s="97"/>
      <c r="AM630" s="97"/>
      <c r="AN630" s="97"/>
      <c r="AO630" s="97"/>
      <c r="AP630" s="97"/>
      <c r="AQ630" s="99"/>
      <c r="AR630" s="99"/>
      <c r="AS630" s="99"/>
    </row>
    <row r="631">
      <c r="A631" s="97"/>
      <c r="B631" s="97"/>
      <c r="C631" s="97"/>
      <c r="D631" s="97"/>
      <c r="E631" s="97"/>
      <c r="F631" s="97"/>
      <c r="G631" s="98"/>
      <c r="H631" s="97"/>
      <c r="I631" s="97"/>
      <c r="J631" s="97"/>
      <c r="K631" s="97"/>
      <c r="L631" s="97"/>
      <c r="M631" s="97"/>
      <c r="N631" s="97"/>
      <c r="O631" s="97"/>
      <c r="P631" s="97"/>
      <c r="Q631" s="97"/>
      <c r="R631" s="97"/>
      <c r="S631" s="97"/>
      <c r="T631" s="97"/>
      <c r="U631" s="98"/>
      <c r="V631" s="97"/>
      <c r="W631" s="97"/>
      <c r="X631" s="97"/>
      <c r="Y631" s="97"/>
      <c r="Z631" s="97"/>
      <c r="AA631" s="97"/>
      <c r="AB631" s="97"/>
      <c r="AC631" s="97"/>
      <c r="AD631" s="97"/>
      <c r="AE631" s="97"/>
      <c r="AF631" s="97"/>
      <c r="AG631" s="97"/>
      <c r="AH631" s="97"/>
      <c r="AI631" s="97"/>
      <c r="AJ631" s="97"/>
      <c r="AK631" s="97"/>
      <c r="AL631" s="97"/>
      <c r="AM631" s="97"/>
      <c r="AN631" s="97"/>
      <c r="AO631" s="97"/>
      <c r="AP631" s="97"/>
      <c r="AQ631" s="99"/>
      <c r="AR631" s="99"/>
      <c r="AS631" s="99"/>
    </row>
    <row r="632">
      <c r="A632" s="97"/>
      <c r="B632" s="97"/>
      <c r="C632" s="97"/>
      <c r="D632" s="97"/>
      <c r="E632" s="97"/>
      <c r="F632" s="97"/>
      <c r="G632" s="98"/>
      <c r="H632" s="97"/>
      <c r="I632" s="97"/>
      <c r="J632" s="97"/>
      <c r="K632" s="97"/>
      <c r="L632" s="97"/>
      <c r="M632" s="97"/>
      <c r="N632" s="97"/>
      <c r="O632" s="97"/>
      <c r="P632" s="97"/>
      <c r="Q632" s="97"/>
      <c r="R632" s="97"/>
      <c r="S632" s="97"/>
      <c r="T632" s="97"/>
      <c r="U632" s="98"/>
      <c r="V632" s="97"/>
      <c r="W632" s="97"/>
      <c r="X632" s="97"/>
      <c r="Y632" s="97"/>
      <c r="Z632" s="97"/>
      <c r="AA632" s="97"/>
      <c r="AB632" s="97"/>
      <c r="AC632" s="97"/>
      <c r="AD632" s="97"/>
      <c r="AE632" s="97"/>
      <c r="AF632" s="97"/>
      <c r="AG632" s="97"/>
      <c r="AH632" s="97"/>
      <c r="AI632" s="97"/>
      <c r="AJ632" s="97"/>
      <c r="AK632" s="97"/>
      <c r="AL632" s="97"/>
      <c r="AM632" s="97"/>
      <c r="AN632" s="97"/>
      <c r="AO632" s="97"/>
      <c r="AP632" s="97"/>
      <c r="AQ632" s="99"/>
      <c r="AR632" s="99"/>
      <c r="AS632" s="99"/>
    </row>
    <row r="633">
      <c r="A633" s="97"/>
      <c r="B633" s="97"/>
      <c r="C633" s="97"/>
      <c r="D633" s="97"/>
      <c r="E633" s="97"/>
      <c r="F633" s="97"/>
      <c r="G633" s="98"/>
      <c r="H633" s="97"/>
      <c r="I633" s="97"/>
      <c r="J633" s="97"/>
      <c r="K633" s="97"/>
      <c r="L633" s="97"/>
      <c r="M633" s="97"/>
      <c r="N633" s="97"/>
      <c r="O633" s="97"/>
      <c r="P633" s="97"/>
      <c r="Q633" s="97"/>
      <c r="R633" s="97"/>
      <c r="S633" s="97"/>
      <c r="T633" s="97"/>
      <c r="U633" s="98"/>
      <c r="V633" s="97"/>
      <c r="W633" s="97"/>
      <c r="X633" s="97"/>
      <c r="Y633" s="97"/>
      <c r="Z633" s="97"/>
      <c r="AA633" s="97"/>
      <c r="AB633" s="97"/>
      <c r="AC633" s="97"/>
      <c r="AD633" s="97"/>
      <c r="AE633" s="97"/>
      <c r="AF633" s="97"/>
      <c r="AG633" s="97"/>
      <c r="AH633" s="97"/>
      <c r="AI633" s="97"/>
      <c r="AJ633" s="97"/>
      <c r="AK633" s="97"/>
      <c r="AL633" s="97"/>
      <c r="AM633" s="97"/>
      <c r="AN633" s="97"/>
      <c r="AO633" s="97"/>
      <c r="AP633" s="97"/>
      <c r="AQ633" s="99"/>
      <c r="AR633" s="99"/>
      <c r="AS633" s="99"/>
    </row>
    <row r="634">
      <c r="A634" s="97"/>
      <c r="B634" s="97"/>
      <c r="C634" s="97"/>
      <c r="D634" s="97"/>
      <c r="E634" s="97"/>
      <c r="F634" s="97"/>
      <c r="G634" s="98"/>
      <c r="H634" s="97"/>
      <c r="I634" s="97"/>
      <c r="J634" s="97"/>
      <c r="K634" s="97"/>
      <c r="L634" s="97"/>
      <c r="M634" s="97"/>
      <c r="N634" s="97"/>
      <c r="O634" s="97"/>
      <c r="P634" s="97"/>
      <c r="Q634" s="97"/>
      <c r="R634" s="97"/>
      <c r="S634" s="97"/>
      <c r="T634" s="97"/>
      <c r="U634" s="98"/>
      <c r="V634" s="97"/>
      <c r="W634" s="97"/>
      <c r="X634" s="97"/>
      <c r="Y634" s="97"/>
      <c r="Z634" s="97"/>
      <c r="AA634" s="97"/>
      <c r="AB634" s="97"/>
      <c r="AC634" s="97"/>
      <c r="AD634" s="97"/>
      <c r="AE634" s="97"/>
      <c r="AF634" s="97"/>
      <c r="AG634" s="97"/>
      <c r="AH634" s="97"/>
      <c r="AI634" s="97"/>
      <c r="AJ634" s="97"/>
      <c r="AK634" s="97"/>
      <c r="AL634" s="97"/>
      <c r="AM634" s="97"/>
      <c r="AN634" s="97"/>
      <c r="AO634" s="97"/>
      <c r="AP634" s="97"/>
      <c r="AQ634" s="99"/>
      <c r="AR634" s="99"/>
      <c r="AS634" s="99"/>
    </row>
    <row r="635">
      <c r="A635" s="97"/>
      <c r="B635" s="97"/>
      <c r="C635" s="97"/>
      <c r="D635" s="97"/>
      <c r="E635" s="97"/>
      <c r="F635" s="97"/>
      <c r="G635" s="98"/>
      <c r="H635" s="97"/>
      <c r="I635" s="97"/>
      <c r="J635" s="97"/>
      <c r="K635" s="97"/>
      <c r="L635" s="97"/>
      <c r="M635" s="97"/>
      <c r="N635" s="97"/>
      <c r="O635" s="97"/>
      <c r="P635" s="97"/>
      <c r="Q635" s="97"/>
      <c r="R635" s="97"/>
      <c r="S635" s="97"/>
      <c r="T635" s="97"/>
      <c r="U635" s="98"/>
      <c r="V635" s="97"/>
      <c r="W635" s="97"/>
      <c r="X635" s="97"/>
      <c r="Y635" s="97"/>
      <c r="Z635" s="97"/>
      <c r="AA635" s="97"/>
      <c r="AB635" s="97"/>
      <c r="AC635" s="97"/>
      <c r="AD635" s="97"/>
      <c r="AE635" s="97"/>
      <c r="AF635" s="97"/>
      <c r="AG635" s="97"/>
      <c r="AH635" s="97"/>
      <c r="AI635" s="97"/>
      <c r="AJ635" s="97"/>
      <c r="AK635" s="97"/>
      <c r="AL635" s="97"/>
      <c r="AM635" s="97"/>
      <c r="AN635" s="97"/>
      <c r="AO635" s="97"/>
      <c r="AP635" s="97"/>
      <c r="AQ635" s="99"/>
      <c r="AR635" s="99"/>
      <c r="AS635" s="99"/>
    </row>
    <row r="636">
      <c r="A636" s="97"/>
      <c r="B636" s="97"/>
      <c r="C636" s="97"/>
      <c r="D636" s="97"/>
      <c r="E636" s="97"/>
      <c r="F636" s="97"/>
      <c r="G636" s="98"/>
      <c r="H636" s="97"/>
      <c r="I636" s="97"/>
      <c r="J636" s="97"/>
      <c r="K636" s="97"/>
      <c r="L636" s="97"/>
      <c r="M636" s="97"/>
      <c r="N636" s="97"/>
      <c r="O636" s="97"/>
      <c r="P636" s="97"/>
      <c r="Q636" s="97"/>
      <c r="R636" s="97"/>
      <c r="S636" s="97"/>
      <c r="T636" s="97"/>
      <c r="U636" s="98"/>
      <c r="V636" s="97"/>
      <c r="W636" s="97"/>
      <c r="X636" s="97"/>
      <c r="Y636" s="97"/>
      <c r="Z636" s="97"/>
      <c r="AA636" s="97"/>
      <c r="AB636" s="97"/>
      <c r="AC636" s="97"/>
      <c r="AD636" s="97"/>
      <c r="AE636" s="97"/>
      <c r="AF636" s="97"/>
      <c r="AG636" s="97"/>
      <c r="AH636" s="97"/>
      <c r="AI636" s="97"/>
      <c r="AJ636" s="97"/>
      <c r="AK636" s="97"/>
      <c r="AL636" s="97"/>
      <c r="AM636" s="97"/>
      <c r="AN636" s="97"/>
      <c r="AO636" s="97"/>
      <c r="AP636" s="97"/>
      <c r="AQ636" s="99"/>
      <c r="AR636" s="99"/>
      <c r="AS636" s="99"/>
    </row>
    <row r="637">
      <c r="A637" s="97"/>
      <c r="B637" s="97"/>
      <c r="C637" s="97"/>
      <c r="D637" s="97"/>
      <c r="E637" s="97"/>
      <c r="F637" s="97"/>
      <c r="G637" s="98"/>
      <c r="H637" s="97"/>
      <c r="I637" s="97"/>
      <c r="J637" s="97"/>
      <c r="K637" s="97"/>
      <c r="L637" s="97"/>
      <c r="M637" s="97"/>
      <c r="N637" s="97"/>
      <c r="O637" s="97"/>
      <c r="P637" s="97"/>
      <c r="Q637" s="97"/>
      <c r="R637" s="97"/>
      <c r="S637" s="97"/>
      <c r="T637" s="97"/>
      <c r="U637" s="98"/>
      <c r="V637" s="97"/>
      <c r="W637" s="97"/>
      <c r="X637" s="97"/>
      <c r="Y637" s="97"/>
      <c r="Z637" s="97"/>
      <c r="AA637" s="97"/>
      <c r="AB637" s="97"/>
      <c r="AC637" s="97"/>
      <c r="AD637" s="97"/>
      <c r="AE637" s="97"/>
      <c r="AF637" s="97"/>
      <c r="AG637" s="97"/>
      <c r="AH637" s="97"/>
      <c r="AI637" s="97"/>
      <c r="AJ637" s="97"/>
      <c r="AK637" s="97"/>
      <c r="AL637" s="97"/>
      <c r="AM637" s="97"/>
      <c r="AN637" s="97"/>
      <c r="AO637" s="97"/>
      <c r="AP637" s="97"/>
      <c r="AQ637" s="99"/>
      <c r="AR637" s="99"/>
      <c r="AS637" s="99"/>
    </row>
    <row r="638">
      <c r="A638" s="97"/>
      <c r="B638" s="97"/>
      <c r="C638" s="97"/>
      <c r="D638" s="97"/>
      <c r="E638" s="97"/>
      <c r="F638" s="97"/>
      <c r="G638" s="98"/>
      <c r="H638" s="97"/>
      <c r="I638" s="97"/>
      <c r="J638" s="97"/>
      <c r="K638" s="97"/>
      <c r="L638" s="97"/>
      <c r="M638" s="97"/>
      <c r="N638" s="97"/>
      <c r="O638" s="97"/>
      <c r="P638" s="97"/>
      <c r="Q638" s="97"/>
      <c r="R638" s="97"/>
      <c r="S638" s="97"/>
      <c r="T638" s="97"/>
      <c r="U638" s="98"/>
      <c r="V638" s="97"/>
      <c r="W638" s="97"/>
      <c r="X638" s="97"/>
      <c r="Y638" s="97"/>
      <c r="Z638" s="97"/>
      <c r="AA638" s="97"/>
      <c r="AB638" s="97"/>
      <c r="AC638" s="97"/>
      <c r="AD638" s="97"/>
      <c r="AE638" s="97"/>
      <c r="AF638" s="97"/>
      <c r="AG638" s="97"/>
      <c r="AH638" s="97"/>
      <c r="AI638" s="97"/>
      <c r="AJ638" s="97"/>
      <c r="AK638" s="97"/>
      <c r="AL638" s="97"/>
      <c r="AM638" s="97"/>
      <c r="AN638" s="97"/>
      <c r="AO638" s="97"/>
      <c r="AP638" s="97"/>
      <c r="AQ638" s="99"/>
      <c r="AR638" s="99"/>
      <c r="AS638" s="99"/>
    </row>
    <row r="639">
      <c r="A639" s="97"/>
      <c r="B639" s="97"/>
      <c r="C639" s="97"/>
      <c r="D639" s="97"/>
      <c r="E639" s="97"/>
      <c r="F639" s="97"/>
      <c r="G639" s="98"/>
      <c r="H639" s="97"/>
      <c r="I639" s="97"/>
      <c r="J639" s="97"/>
      <c r="K639" s="97"/>
      <c r="L639" s="97"/>
      <c r="M639" s="97"/>
      <c r="N639" s="97"/>
      <c r="O639" s="97"/>
      <c r="P639" s="97"/>
      <c r="Q639" s="97"/>
      <c r="R639" s="97"/>
      <c r="S639" s="97"/>
      <c r="T639" s="97"/>
      <c r="U639" s="98"/>
      <c r="V639" s="97"/>
      <c r="W639" s="97"/>
      <c r="X639" s="97"/>
      <c r="Y639" s="97"/>
      <c r="Z639" s="97"/>
      <c r="AA639" s="97"/>
      <c r="AB639" s="97"/>
      <c r="AC639" s="97"/>
      <c r="AD639" s="97"/>
      <c r="AE639" s="97"/>
      <c r="AF639" s="97"/>
      <c r="AG639" s="97"/>
      <c r="AH639" s="97"/>
      <c r="AI639" s="97"/>
      <c r="AJ639" s="97"/>
      <c r="AK639" s="97"/>
      <c r="AL639" s="97"/>
      <c r="AM639" s="97"/>
      <c r="AN639" s="97"/>
      <c r="AO639" s="97"/>
      <c r="AP639" s="97"/>
      <c r="AQ639" s="99"/>
      <c r="AR639" s="99"/>
      <c r="AS639" s="99"/>
    </row>
    <row r="640">
      <c r="A640" s="97"/>
      <c r="B640" s="97"/>
      <c r="C640" s="97"/>
      <c r="D640" s="97"/>
      <c r="E640" s="97"/>
      <c r="F640" s="97"/>
      <c r="G640" s="98"/>
      <c r="H640" s="97"/>
      <c r="I640" s="97"/>
      <c r="J640" s="97"/>
      <c r="K640" s="97"/>
      <c r="L640" s="97"/>
      <c r="M640" s="97"/>
      <c r="N640" s="97"/>
      <c r="O640" s="97"/>
      <c r="P640" s="97"/>
      <c r="Q640" s="97"/>
      <c r="R640" s="97"/>
      <c r="S640" s="97"/>
      <c r="T640" s="97"/>
      <c r="U640" s="98"/>
      <c r="V640" s="97"/>
      <c r="W640" s="97"/>
      <c r="X640" s="97"/>
      <c r="Y640" s="97"/>
      <c r="Z640" s="97"/>
      <c r="AA640" s="97"/>
      <c r="AB640" s="97"/>
      <c r="AC640" s="97"/>
      <c r="AD640" s="97"/>
      <c r="AE640" s="97"/>
      <c r="AF640" s="97"/>
      <c r="AG640" s="97"/>
      <c r="AH640" s="97"/>
      <c r="AI640" s="97"/>
      <c r="AJ640" s="97"/>
      <c r="AK640" s="97"/>
      <c r="AL640" s="97"/>
      <c r="AM640" s="97"/>
      <c r="AN640" s="97"/>
      <c r="AO640" s="97"/>
      <c r="AP640" s="97"/>
      <c r="AQ640" s="99"/>
      <c r="AR640" s="99"/>
      <c r="AS640" s="99"/>
    </row>
    <row r="641">
      <c r="A641" s="97"/>
      <c r="B641" s="97"/>
      <c r="C641" s="97"/>
      <c r="D641" s="97"/>
      <c r="E641" s="97"/>
      <c r="F641" s="97"/>
      <c r="G641" s="98"/>
      <c r="H641" s="97"/>
      <c r="I641" s="97"/>
      <c r="J641" s="97"/>
      <c r="K641" s="97"/>
      <c r="L641" s="97"/>
      <c r="M641" s="97"/>
      <c r="N641" s="97"/>
      <c r="O641" s="97"/>
      <c r="P641" s="97"/>
      <c r="Q641" s="97"/>
      <c r="R641" s="97"/>
      <c r="S641" s="97"/>
      <c r="T641" s="97"/>
      <c r="U641" s="98"/>
      <c r="V641" s="97"/>
      <c r="W641" s="97"/>
      <c r="X641" s="97"/>
      <c r="Y641" s="97"/>
      <c r="Z641" s="97"/>
      <c r="AA641" s="97"/>
      <c r="AB641" s="97"/>
      <c r="AC641" s="97"/>
      <c r="AD641" s="97"/>
      <c r="AE641" s="97"/>
      <c r="AF641" s="97"/>
      <c r="AG641" s="97"/>
      <c r="AH641" s="97"/>
      <c r="AI641" s="97"/>
      <c r="AJ641" s="97"/>
      <c r="AK641" s="97"/>
      <c r="AL641" s="97"/>
      <c r="AM641" s="97"/>
      <c r="AN641" s="97"/>
      <c r="AO641" s="97"/>
      <c r="AP641" s="97"/>
      <c r="AQ641" s="99"/>
      <c r="AR641" s="99"/>
      <c r="AS641" s="99"/>
    </row>
    <row r="642">
      <c r="A642" s="97"/>
      <c r="B642" s="97"/>
      <c r="C642" s="97"/>
      <c r="D642" s="97"/>
      <c r="E642" s="97"/>
      <c r="F642" s="97"/>
      <c r="G642" s="98"/>
      <c r="H642" s="97"/>
      <c r="I642" s="97"/>
      <c r="J642" s="97"/>
      <c r="K642" s="97"/>
      <c r="L642" s="97"/>
      <c r="M642" s="97"/>
      <c r="N642" s="97"/>
      <c r="O642" s="97"/>
      <c r="P642" s="97"/>
      <c r="Q642" s="97"/>
      <c r="R642" s="97"/>
      <c r="S642" s="97"/>
      <c r="T642" s="97"/>
      <c r="U642" s="98"/>
      <c r="V642" s="97"/>
      <c r="W642" s="97"/>
      <c r="X642" s="97"/>
      <c r="Y642" s="97"/>
      <c r="Z642" s="97"/>
      <c r="AA642" s="97"/>
      <c r="AB642" s="97"/>
      <c r="AC642" s="97"/>
      <c r="AD642" s="97"/>
      <c r="AE642" s="97"/>
      <c r="AF642" s="97"/>
      <c r="AG642" s="97"/>
      <c r="AH642" s="97"/>
      <c r="AI642" s="97"/>
      <c r="AJ642" s="97"/>
      <c r="AK642" s="97"/>
      <c r="AL642" s="97"/>
      <c r="AM642" s="97"/>
      <c r="AN642" s="97"/>
      <c r="AO642" s="97"/>
      <c r="AP642" s="97"/>
      <c r="AQ642" s="99"/>
      <c r="AR642" s="99"/>
      <c r="AS642" s="99"/>
    </row>
    <row r="643">
      <c r="A643" s="97"/>
      <c r="B643" s="97"/>
      <c r="C643" s="97"/>
      <c r="D643" s="97"/>
      <c r="E643" s="97"/>
      <c r="F643" s="97"/>
      <c r="G643" s="98"/>
      <c r="H643" s="97"/>
      <c r="I643" s="97"/>
      <c r="J643" s="97"/>
      <c r="K643" s="97"/>
      <c r="L643" s="97"/>
      <c r="M643" s="97"/>
      <c r="N643" s="97"/>
      <c r="O643" s="97"/>
      <c r="P643" s="97"/>
      <c r="Q643" s="97"/>
      <c r="R643" s="97"/>
      <c r="S643" s="97"/>
      <c r="T643" s="97"/>
      <c r="U643" s="98"/>
      <c r="V643" s="97"/>
      <c r="W643" s="97"/>
      <c r="X643" s="97"/>
      <c r="Y643" s="97"/>
      <c r="Z643" s="97"/>
      <c r="AA643" s="97"/>
      <c r="AB643" s="97"/>
      <c r="AC643" s="97"/>
      <c r="AD643" s="97"/>
      <c r="AE643" s="97"/>
      <c r="AF643" s="97"/>
      <c r="AG643" s="97"/>
      <c r="AH643" s="97"/>
      <c r="AI643" s="97"/>
      <c r="AJ643" s="97"/>
      <c r="AK643" s="97"/>
      <c r="AL643" s="97"/>
      <c r="AM643" s="97"/>
      <c r="AN643" s="97"/>
      <c r="AO643" s="97"/>
      <c r="AP643" s="97"/>
      <c r="AQ643" s="99"/>
      <c r="AR643" s="99"/>
      <c r="AS643" s="99"/>
    </row>
    <row r="644">
      <c r="A644" s="97"/>
      <c r="B644" s="97"/>
      <c r="C644" s="97"/>
      <c r="D644" s="97"/>
      <c r="E644" s="97"/>
      <c r="F644" s="97"/>
      <c r="G644" s="98"/>
      <c r="H644" s="97"/>
      <c r="I644" s="97"/>
      <c r="J644" s="97"/>
      <c r="K644" s="97"/>
      <c r="L644" s="97"/>
      <c r="M644" s="97"/>
      <c r="N644" s="97"/>
      <c r="O644" s="97"/>
      <c r="P644" s="97"/>
      <c r="Q644" s="97"/>
      <c r="R644" s="97"/>
      <c r="S644" s="97"/>
      <c r="T644" s="97"/>
      <c r="U644" s="98"/>
      <c r="V644" s="97"/>
      <c r="W644" s="97"/>
      <c r="X644" s="97"/>
      <c r="Y644" s="97"/>
      <c r="Z644" s="97"/>
      <c r="AA644" s="97"/>
      <c r="AB644" s="97"/>
      <c r="AC644" s="97"/>
      <c r="AD644" s="97"/>
      <c r="AE644" s="97"/>
      <c r="AF644" s="97"/>
      <c r="AG644" s="97"/>
      <c r="AH644" s="97"/>
      <c r="AI644" s="97"/>
      <c r="AJ644" s="97"/>
      <c r="AK644" s="97"/>
      <c r="AL644" s="97"/>
      <c r="AM644" s="97"/>
      <c r="AN644" s="97"/>
      <c r="AO644" s="97"/>
      <c r="AP644" s="97"/>
      <c r="AQ644" s="99"/>
      <c r="AR644" s="99"/>
      <c r="AS644" s="99"/>
    </row>
    <row r="645">
      <c r="A645" s="97"/>
      <c r="B645" s="97"/>
      <c r="C645" s="97"/>
      <c r="D645" s="97"/>
      <c r="E645" s="97"/>
      <c r="F645" s="97"/>
      <c r="G645" s="98"/>
      <c r="H645" s="97"/>
      <c r="I645" s="97"/>
      <c r="J645" s="97"/>
      <c r="K645" s="97"/>
      <c r="L645" s="97"/>
      <c r="M645" s="97"/>
      <c r="N645" s="97"/>
      <c r="O645" s="97"/>
      <c r="P645" s="97"/>
      <c r="Q645" s="97"/>
      <c r="R645" s="97"/>
      <c r="S645" s="97"/>
      <c r="T645" s="97"/>
      <c r="U645" s="98"/>
      <c r="V645" s="97"/>
      <c r="W645" s="97"/>
      <c r="X645" s="97"/>
      <c r="Y645" s="97"/>
      <c r="Z645" s="97"/>
      <c r="AA645" s="97"/>
      <c r="AB645" s="97"/>
      <c r="AC645" s="97"/>
      <c r="AD645" s="97"/>
      <c r="AE645" s="97"/>
      <c r="AF645" s="97"/>
      <c r="AG645" s="97"/>
      <c r="AH645" s="97"/>
      <c r="AI645" s="97"/>
      <c r="AJ645" s="97"/>
      <c r="AK645" s="97"/>
      <c r="AL645" s="97"/>
      <c r="AM645" s="97"/>
      <c r="AN645" s="97"/>
      <c r="AO645" s="97"/>
      <c r="AP645" s="97"/>
      <c r="AQ645" s="99"/>
      <c r="AR645" s="99"/>
      <c r="AS645" s="99"/>
    </row>
    <row r="646">
      <c r="A646" s="97"/>
      <c r="B646" s="97"/>
      <c r="C646" s="97"/>
      <c r="D646" s="97"/>
      <c r="E646" s="97"/>
      <c r="F646" s="97"/>
      <c r="G646" s="98"/>
      <c r="H646" s="97"/>
      <c r="I646" s="97"/>
      <c r="J646" s="97"/>
      <c r="K646" s="97"/>
      <c r="L646" s="97"/>
      <c r="M646" s="97"/>
      <c r="N646" s="97"/>
      <c r="O646" s="97"/>
      <c r="P646" s="97"/>
      <c r="Q646" s="97"/>
      <c r="R646" s="97"/>
      <c r="S646" s="97"/>
      <c r="T646" s="97"/>
      <c r="U646" s="98"/>
      <c r="V646" s="97"/>
      <c r="W646" s="97"/>
      <c r="X646" s="97"/>
      <c r="Y646" s="97"/>
      <c r="Z646" s="97"/>
      <c r="AA646" s="97"/>
      <c r="AB646" s="97"/>
      <c r="AC646" s="97"/>
      <c r="AD646" s="97"/>
      <c r="AE646" s="97"/>
      <c r="AF646" s="97"/>
      <c r="AG646" s="97"/>
      <c r="AH646" s="97"/>
      <c r="AI646" s="97"/>
      <c r="AJ646" s="97"/>
      <c r="AK646" s="97"/>
      <c r="AL646" s="97"/>
      <c r="AM646" s="97"/>
      <c r="AN646" s="97"/>
      <c r="AO646" s="97"/>
      <c r="AP646" s="97"/>
      <c r="AQ646" s="99"/>
      <c r="AR646" s="99"/>
      <c r="AS646" s="99"/>
    </row>
    <row r="647">
      <c r="A647" s="97"/>
      <c r="B647" s="97"/>
      <c r="C647" s="97"/>
      <c r="D647" s="97"/>
      <c r="E647" s="97"/>
      <c r="F647" s="97"/>
      <c r="G647" s="98"/>
      <c r="H647" s="97"/>
      <c r="I647" s="97"/>
      <c r="J647" s="97"/>
      <c r="K647" s="97"/>
      <c r="L647" s="97"/>
      <c r="M647" s="97"/>
      <c r="N647" s="97"/>
      <c r="O647" s="97"/>
      <c r="P647" s="97"/>
      <c r="Q647" s="97"/>
      <c r="R647" s="97"/>
      <c r="S647" s="97"/>
      <c r="T647" s="97"/>
      <c r="U647" s="98"/>
      <c r="V647" s="97"/>
      <c r="W647" s="97"/>
      <c r="X647" s="97"/>
      <c r="Y647" s="97"/>
      <c r="Z647" s="97"/>
      <c r="AA647" s="97"/>
      <c r="AB647" s="97"/>
      <c r="AC647" s="97"/>
      <c r="AD647" s="97"/>
      <c r="AE647" s="97"/>
      <c r="AF647" s="97"/>
      <c r="AG647" s="97"/>
      <c r="AH647" s="97"/>
      <c r="AI647" s="97"/>
      <c r="AJ647" s="97"/>
      <c r="AK647" s="97"/>
      <c r="AL647" s="97"/>
      <c r="AM647" s="97"/>
      <c r="AN647" s="97"/>
      <c r="AO647" s="97"/>
      <c r="AP647" s="97"/>
      <c r="AQ647" s="99"/>
      <c r="AR647" s="99"/>
      <c r="AS647" s="99"/>
    </row>
    <row r="648">
      <c r="A648" s="97"/>
      <c r="B648" s="97"/>
      <c r="C648" s="97"/>
      <c r="D648" s="97"/>
      <c r="E648" s="97"/>
      <c r="F648" s="97"/>
      <c r="G648" s="98"/>
      <c r="H648" s="97"/>
      <c r="I648" s="97"/>
      <c r="J648" s="97"/>
      <c r="K648" s="97"/>
      <c r="L648" s="97"/>
      <c r="M648" s="97"/>
      <c r="N648" s="97"/>
      <c r="O648" s="97"/>
      <c r="P648" s="97"/>
      <c r="Q648" s="97"/>
      <c r="R648" s="97"/>
      <c r="S648" s="97"/>
      <c r="T648" s="97"/>
      <c r="U648" s="98"/>
      <c r="V648" s="97"/>
      <c r="W648" s="97"/>
      <c r="X648" s="97"/>
      <c r="Y648" s="97"/>
      <c r="Z648" s="97"/>
      <c r="AA648" s="97"/>
      <c r="AB648" s="97"/>
      <c r="AC648" s="97"/>
      <c r="AD648" s="97"/>
      <c r="AE648" s="97"/>
      <c r="AF648" s="97"/>
      <c r="AG648" s="97"/>
      <c r="AH648" s="97"/>
      <c r="AI648" s="97"/>
      <c r="AJ648" s="97"/>
      <c r="AK648" s="97"/>
      <c r="AL648" s="97"/>
      <c r="AM648" s="97"/>
      <c r="AN648" s="97"/>
      <c r="AO648" s="97"/>
      <c r="AP648" s="97"/>
      <c r="AQ648" s="99"/>
      <c r="AR648" s="99"/>
      <c r="AS648" s="99"/>
    </row>
    <row r="649">
      <c r="A649" s="97"/>
      <c r="B649" s="97"/>
      <c r="C649" s="97"/>
      <c r="D649" s="97"/>
      <c r="E649" s="97"/>
      <c r="F649" s="97"/>
      <c r="G649" s="98"/>
      <c r="H649" s="97"/>
      <c r="I649" s="97"/>
      <c r="J649" s="97"/>
      <c r="K649" s="97"/>
      <c r="L649" s="97"/>
      <c r="M649" s="97"/>
      <c r="N649" s="97"/>
      <c r="O649" s="97"/>
      <c r="P649" s="97"/>
      <c r="Q649" s="97"/>
      <c r="R649" s="97"/>
      <c r="S649" s="97"/>
      <c r="T649" s="97"/>
      <c r="U649" s="98"/>
      <c r="V649" s="97"/>
      <c r="W649" s="97"/>
      <c r="X649" s="97"/>
      <c r="Y649" s="97"/>
      <c r="Z649" s="97"/>
      <c r="AA649" s="97"/>
      <c r="AB649" s="97"/>
      <c r="AC649" s="97"/>
      <c r="AD649" s="97"/>
      <c r="AE649" s="97"/>
      <c r="AF649" s="97"/>
      <c r="AG649" s="97"/>
      <c r="AH649" s="97"/>
      <c r="AI649" s="97"/>
      <c r="AJ649" s="97"/>
      <c r="AK649" s="97"/>
      <c r="AL649" s="97"/>
      <c r="AM649" s="97"/>
      <c r="AN649" s="97"/>
      <c r="AO649" s="97"/>
      <c r="AP649" s="97"/>
      <c r="AQ649" s="99"/>
      <c r="AR649" s="99"/>
      <c r="AS649" s="99"/>
    </row>
    <row r="650">
      <c r="A650" s="97"/>
      <c r="B650" s="97"/>
      <c r="C650" s="97"/>
      <c r="D650" s="97"/>
      <c r="E650" s="97"/>
      <c r="F650" s="97"/>
      <c r="G650" s="98"/>
      <c r="H650" s="97"/>
      <c r="I650" s="97"/>
      <c r="J650" s="97"/>
      <c r="K650" s="97"/>
      <c r="L650" s="97"/>
      <c r="M650" s="97"/>
      <c r="N650" s="97"/>
      <c r="O650" s="97"/>
      <c r="P650" s="97"/>
      <c r="Q650" s="97"/>
      <c r="R650" s="97"/>
      <c r="S650" s="97"/>
      <c r="T650" s="97"/>
      <c r="U650" s="98"/>
      <c r="V650" s="97"/>
      <c r="W650" s="97"/>
      <c r="X650" s="97"/>
      <c r="Y650" s="97"/>
      <c r="Z650" s="97"/>
      <c r="AA650" s="97"/>
      <c r="AB650" s="97"/>
      <c r="AC650" s="97"/>
      <c r="AD650" s="97"/>
      <c r="AE650" s="97"/>
      <c r="AF650" s="97"/>
      <c r="AG650" s="97"/>
      <c r="AH650" s="97"/>
      <c r="AI650" s="97"/>
      <c r="AJ650" s="97"/>
      <c r="AK650" s="97"/>
      <c r="AL650" s="97"/>
      <c r="AM650" s="97"/>
      <c r="AN650" s="97"/>
      <c r="AO650" s="97"/>
      <c r="AP650" s="97"/>
      <c r="AQ650" s="99"/>
      <c r="AR650" s="99"/>
      <c r="AS650" s="99"/>
    </row>
    <row r="651">
      <c r="A651" s="97"/>
      <c r="B651" s="97"/>
      <c r="C651" s="97"/>
      <c r="D651" s="97"/>
      <c r="E651" s="97"/>
      <c r="F651" s="97"/>
      <c r="G651" s="98"/>
      <c r="H651" s="97"/>
      <c r="I651" s="97"/>
      <c r="J651" s="97"/>
      <c r="K651" s="97"/>
      <c r="L651" s="97"/>
      <c r="M651" s="97"/>
      <c r="N651" s="97"/>
      <c r="O651" s="97"/>
      <c r="P651" s="97"/>
      <c r="Q651" s="97"/>
      <c r="R651" s="97"/>
      <c r="S651" s="97"/>
      <c r="T651" s="97"/>
      <c r="U651" s="98"/>
      <c r="V651" s="97"/>
      <c r="W651" s="97"/>
      <c r="X651" s="97"/>
      <c r="Y651" s="97"/>
      <c r="Z651" s="97"/>
      <c r="AA651" s="97"/>
      <c r="AB651" s="97"/>
      <c r="AC651" s="97"/>
      <c r="AD651" s="97"/>
      <c r="AE651" s="97"/>
      <c r="AF651" s="97"/>
      <c r="AG651" s="97"/>
      <c r="AH651" s="97"/>
      <c r="AI651" s="97"/>
      <c r="AJ651" s="97"/>
      <c r="AK651" s="97"/>
      <c r="AL651" s="97"/>
      <c r="AM651" s="97"/>
      <c r="AN651" s="97"/>
      <c r="AO651" s="97"/>
      <c r="AP651" s="97"/>
      <c r="AQ651" s="99"/>
      <c r="AR651" s="99"/>
      <c r="AS651" s="99"/>
    </row>
    <row r="652">
      <c r="A652" s="97"/>
      <c r="B652" s="97"/>
      <c r="C652" s="97"/>
      <c r="D652" s="97"/>
      <c r="E652" s="97"/>
      <c r="F652" s="97"/>
      <c r="G652" s="98"/>
      <c r="H652" s="97"/>
      <c r="I652" s="97"/>
      <c r="J652" s="97"/>
      <c r="K652" s="97"/>
      <c r="L652" s="97"/>
      <c r="M652" s="97"/>
      <c r="N652" s="97"/>
      <c r="O652" s="97"/>
      <c r="P652" s="97"/>
      <c r="Q652" s="97"/>
      <c r="R652" s="97"/>
      <c r="S652" s="97"/>
      <c r="T652" s="97"/>
      <c r="U652" s="98"/>
      <c r="V652" s="97"/>
      <c r="W652" s="97"/>
      <c r="X652" s="97"/>
      <c r="Y652" s="97"/>
      <c r="Z652" s="97"/>
      <c r="AA652" s="97"/>
      <c r="AB652" s="97"/>
      <c r="AC652" s="97"/>
      <c r="AD652" s="97"/>
      <c r="AE652" s="97"/>
      <c r="AF652" s="97"/>
      <c r="AG652" s="97"/>
      <c r="AH652" s="97"/>
      <c r="AI652" s="97"/>
      <c r="AJ652" s="97"/>
      <c r="AK652" s="97"/>
      <c r="AL652" s="97"/>
      <c r="AM652" s="97"/>
      <c r="AN652" s="97"/>
      <c r="AO652" s="97"/>
      <c r="AP652" s="97"/>
      <c r="AQ652" s="99"/>
      <c r="AR652" s="99"/>
      <c r="AS652" s="99"/>
    </row>
    <row r="653">
      <c r="A653" s="97"/>
      <c r="B653" s="97"/>
      <c r="C653" s="97"/>
      <c r="D653" s="97"/>
      <c r="E653" s="97"/>
      <c r="F653" s="97"/>
      <c r="G653" s="98"/>
      <c r="H653" s="97"/>
      <c r="I653" s="97"/>
      <c r="J653" s="97"/>
      <c r="K653" s="97"/>
      <c r="L653" s="97"/>
      <c r="M653" s="97"/>
      <c r="N653" s="97"/>
      <c r="O653" s="97"/>
      <c r="P653" s="97"/>
      <c r="Q653" s="97"/>
      <c r="R653" s="97"/>
      <c r="S653" s="97"/>
      <c r="T653" s="97"/>
      <c r="U653" s="98"/>
      <c r="V653" s="97"/>
      <c r="W653" s="97"/>
      <c r="X653" s="97"/>
      <c r="Y653" s="97"/>
      <c r="Z653" s="97"/>
      <c r="AA653" s="97"/>
      <c r="AB653" s="97"/>
      <c r="AC653" s="97"/>
      <c r="AD653" s="97"/>
      <c r="AE653" s="97"/>
      <c r="AF653" s="97"/>
      <c r="AG653" s="97"/>
      <c r="AH653" s="97"/>
      <c r="AI653" s="97"/>
      <c r="AJ653" s="97"/>
      <c r="AK653" s="97"/>
      <c r="AL653" s="97"/>
      <c r="AM653" s="97"/>
      <c r="AN653" s="97"/>
      <c r="AO653" s="97"/>
      <c r="AP653" s="97"/>
      <c r="AQ653" s="99"/>
      <c r="AR653" s="99"/>
      <c r="AS653" s="99"/>
    </row>
    <row r="654">
      <c r="A654" s="97"/>
      <c r="B654" s="97"/>
      <c r="C654" s="97"/>
      <c r="D654" s="97"/>
      <c r="E654" s="97"/>
      <c r="F654" s="97"/>
      <c r="G654" s="98"/>
      <c r="H654" s="97"/>
      <c r="I654" s="97"/>
      <c r="J654" s="97"/>
      <c r="K654" s="97"/>
      <c r="L654" s="97"/>
      <c r="M654" s="97"/>
      <c r="N654" s="97"/>
      <c r="O654" s="97"/>
      <c r="P654" s="97"/>
      <c r="Q654" s="97"/>
      <c r="R654" s="97"/>
      <c r="S654" s="97"/>
      <c r="T654" s="97"/>
      <c r="U654" s="98"/>
      <c r="V654" s="97"/>
      <c r="W654" s="97"/>
      <c r="X654" s="97"/>
      <c r="Y654" s="97"/>
      <c r="Z654" s="97"/>
      <c r="AA654" s="97"/>
      <c r="AB654" s="97"/>
      <c r="AC654" s="97"/>
      <c r="AD654" s="97"/>
      <c r="AE654" s="97"/>
      <c r="AF654" s="97"/>
      <c r="AG654" s="97"/>
      <c r="AH654" s="97"/>
      <c r="AI654" s="97"/>
      <c r="AJ654" s="97"/>
      <c r="AK654" s="97"/>
      <c r="AL654" s="97"/>
      <c r="AM654" s="97"/>
      <c r="AN654" s="97"/>
      <c r="AO654" s="97"/>
      <c r="AP654" s="97"/>
      <c r="AQ654" s="99"/>
      <c r="AR654" s="99"/>
      <c r="AS654" s="99"/>
    </row>
    <row r="655">
      <c r="A655" s="97"/>
      <c r="B655" s="97"/>
      <c r="C655" s="97"/>
      <c r="D655" s="97"/>
      <c r="E655" s="97"/>
      <c r="F655" s="97"/>
      <c r="G655" s="98"/>
      <c r="H655" s="97"/>
      <c r="I655" s="97"/>
      <c r="J655" s="97"/>
      <c r="K655" s="97"/>
      <c r="L655" s="97"/>
      <c r="M655" s="97"/>
      <c r="N655" s="97"/>
      <c r="O655" s="97"/>
      <c r="P655" s="97"/>
      <c r="Q655" s="97"/>
      <c r="R655" s="97"/>
      <c r="S655" s="97"/>
      <c r="T655" s="97"/>
      <c r="U655" s="98"/>
      <c r="V655" s="97"/>
      <c r="W655" s="97"/>
      <c r="X655" s="97"/>
      <c r="Y655" s="97"/>
      <c r="Z655" s="97"/>
      <c r="AA655" s="97"/>
      <c r="AB655" s="97"/>
      <c r="AC655" s="97"/>
      <c r="AD655" s="97"/>
      <c r="AE655" s="97"/>
      <c r="AF655" s="97"/>
      <c r="AG655" s="97"/>
      <c r="AH655" s="97"/>
      <c r="AI655" s="97"/>
      <c r="AJ655" s="97"/>
      <c r="AK655" s="97"/>
      <c r="AL655" s="97"/>
      <c r="AM655" s="97"/>
      <c r="AN655" s="97"/>
      <c r="AO655" s="97"/>
      <c r="AP655" s="97"/>
      <c r="AQ655" s="99"/>
      <c r="AR655" s="99"/>
      <c r="AS655" s="99"/>
    </row>
    <row r="656">
      <c r="A656" s="97"/>
      <c r="B656" s="97"/>
      <c r="C656" s="97"/>
      <c r="D656" s="97"/>
      <c r="E656" s="97"/>
      <c r="F656" s="97"/>
      <c r="G656" s="98"/>
      <c r="H656" s="97"/>
      <c r="I656" s="97"/>
      <c r="J656" s="97"/>
      <c r="K656" s="97"/>
      <c r="L656" s="97"/>
      <c r="M656" s="97"/>
      <c r="N656" s="97"/>
      <c r="O656" s="97"/>
      <c r="P656" s="97"/>
      <c r="Q656" s="97"/>
      <c r="R656" s="97"/>
      <c r="S656" s="97"/>
      <c r="T656" s="97"/>
      <c r="U656" s="98"/>
      <c r="V656" s="97"/>
      <c r="W656" s="97"/>
      <c r="X656" s="97"/>
      <c r="Y656" s="97"/>
      <c r="Z656" s="97"/>
      <c r="AA656" s="97"/>
      <c r="AB656" s="97"/>
      <c r="AC656" s="97"/>
      <c r="AD656" s="97"/>
      <c r="AE656" s="97"/>
      <c r="AF656" s="97"/>
      <c r="AG656" s="97"/>
      <c r="AH656" s="97"/>
      <c r="AI656" s="97"/>
      <c r="AJ656" s="97"/>
      <c r="AK656" s="97"/>
      <c r="AL656" s="97"/>
      <c r="AM656" s="97"/>
      <c r="AN656" s="97"/>
      <c r="AO656" s="97"/>
      <c r="AP656" s="97"/>
      <c r="AQ656" s="99"/>
      <c r="AR656" s="99"/>
      <c r="AS656" s="99"/>
    </row>
    <row r="657">
      <c r="A657" s="97"/>
      <c r="B657" s="97"/>
      <c r="C657" s="97"/>
      <c r="D657" s="97"/>
      <c r="E657" s="97"/>
      <c r="F657" s="97"/>
      <c r="G657" s="98"/>
      <c r="H657" s="97"/>
      <c r="I657" s="97"/>
      <c r="J657" s="97"/>
      <c r="K657" s="97"/>
      <c r="L657" s="97"/>
      <c r="M657" s="97"/>
      <c r="N657" s="97"/>
      <c r="O657" s="97"/>
      <c r="P657" s="97"/>
      <c r="Q657" s="97"/>
      <c r="R657" s="97"/>
      <c r="S657" s="97"/>
      <c r="T657" s="97"/>
      <c r="U657" s="98"/>
      <c r="V657" s="97"/>
      <c r="W657" s="97"/>
      <c r="X657" s="97"/>
      <c r="Y657" s="97"/>
      <c r="Z657" s="97"/>
      <c r="AA657" s="97"/>
      <c r="AB657" s="97"/>
      <c r="AC657" s="97"/>
      <c r="AD657" s="97"/>
      <c r="AE657" s="97"/>
      <c r="AF657" s="97"/>
      <c r="AG657" s="97"/>
      <c r="AH657" s="97"/>
      <c r="AI657" s="97"/>
      <c r="AJ657" s="97"/>
      <c r="AK657" s="97"/>
      <c r="AL657" s="97"/>
      <c r="AM657" s="97"/>
      <c r="AN657" s="97"/>
      <c r="AO657" s="97"/>
      <c r="AP657" s="97"/>
      <c r="AQ657" s="99"/>
      <c r="AR657" s="99"/>
      <c r="AS657" s="99"/>
    </row>
    <row r="658">
      <c r="A658" s="97"/>
      <c r="B658" s="97"/>
      <c r="C658" s="97"/>
      <c r="D658" s="97"/>
      <c r="E658" s="97"/>
      <c r="F658" s="97"/>
      <c r="G658" s="98"/>
      <c r="H658" s="97"/>
      <c r="I658" s="97"/>
      <c r="J658" s="97"/>
      <c r="K658" s="97"/>
      <c r="L658" s="97"/>
      <c r="M658" s="97"/>
      <c r="N658" s="97"/>
      <c r="O658" s="97"/>
      <c r="P658" s="97"/>
      <c r="Q658" s="97"/>
      <c r="R658" s="97"/>
      <c r="S658" s="97"/>
      <c r="T658" s="97"/>
      <c r="U658" s="98"/>
      <c r="V658" s="97"/>
      <c r="W658" s="97"/>
      <c r="X658" s="97"/>
      <c r="Y658" s="97"/>
      <c r="Z658" s="97"/>
      <c r="AA658" s="97"/>
      <c r="AB658" s="97"/>
      <c r="AC658" s="97"/>
      <c r="AD658" s="97"/>
      <c r="AE658" s="97"/>
      <c r="AF658" s="97"/>
      <c r="AG658" s="97"/>
      <c r="AH658" s="97"/>
      <c r="AI658" s="97"/>
      <c r="AJ658" s="97"/>
      <c r="AK658" s="97"/>
      <c r="AL658" s="97"/>
      <c r="AM658" s="97"/>
      <c r="AN658" s="97"/>
      <c r="AO658" s="97"/>
      <c r="AP658" s="97"/>
      <c r="AQ658" s="99"/>
      <c r="AR658" s="99"/>
      <c r="AS658" s="99"/>
    </row>
    <row r="659">
      <c r="A659" s="97"/>
      <c r="B659" s="97"/>
      <c r="C659" s="97"/>
      <c r="D659" s="97"/>
      <c r="E659" s="97"/>
      <c r="F659" s="97"/>
      <c r="G659" s="98"/>
      <c r="H659" s="97"/>
      <c r="I659" s="97"/>
      <c r="J659" s="97"/>
      <c r="K659" s="97"/>
      <c r="L659" s="97"/>
      <c r="M659" s="97"/>
      <c r="N659" s="97"/>
      <c r="O659" s="97"/>
      <c r="P659" s="97"/>
      <c r="Q659" s="97"/>
      <c r="R659" s="97"/>
      <c r="S659" s="97"/>
      <c r="T659" s="97"/>
      <c r="U659" s="98"/>
      <c r="V659" s="97"/>
      <c r="W659" s="97"/>
      <c r="X659" s="97"/>
      <c r="Y659" s="97"/>
      <c r="Z659" s="97"/>
      <c r="AA659" s="97"/>
      <c r="AB659" s="97"/>
      <c r="AC659" s="97"/>
      <c r="AD659" s="97"/>
      <c r="AE659" s="97"/>
      <c r="AF659" s="97"/>
      <c r="AG659" s="97"/>
      <c r="AH659" s="97"/>
      <c r="AI659" s="97"/>
      <c r="AJ659" s="97"/>
      <c r="AK659" s="97"/>
      <c r="AL659" s="97"/>
      <c r="AM659" s="97"/>
      <c r="AN659" s="97"/>
      <c r="AO659" s="97"/>
      <c r="AP659" s="97"/>
      <c r="AQ659" s="99"/>
      <c r="AR659" s="99"/>
      <c r="AS659" s="99"/>
    </row>
    <row r="660">
      <c r="A660" s="97"/>
      <c r="B660" s="97"/>
      <c r="C660" s="97"/>
      <c r="D660" s="97"/>
      <c r="E660" s="97"/>
      <c r="F660" s="97"/>
      <c r="G660" s="98"/>
      <c r="H660" s="97"/>
      <c r="I660" s="97"/>
      <c r="J660" s="97"/>
      <c r="K660" s="97"/>
      <c r="L660" s="97"/>
      <c r="M660" s="97"/>
      <c r="N660" s="97"/>
      <c r="O660" s="97"/>
      <c r="P660" s="97"/>
      <c r="Q660" s="97"/>
      <c r="R660" s="97"/>
      <c r="S660" s="97"/>
      <c r="T660" s="97"/>
      <c r="U660" s="98"/>
      <c r="V660" s="97"/>
      <c r="W660" s="97"/>
      <c r="X660" s="97"/>
      <c r="Y660" s="97"/>
      <c r="Z660" s="97"/>
      <c r="AA660" s="97"/>
      <c r="AB660" s="97"/>
      <c r="AC660" s="97"/>
      <c r="AD660" s="97"/>
      <c r="AE660" s="97"/>
      <c r="AF660" s="97"/>
      <c r="AG660" s="97"/>
      <c r="AH660" s="97"/>
      <c r="AI660" s="97"/>
      <c r="AJ660" s="97"/>
      <c r="AK660" s="97"/>
      <c r="AL660" s="97"/>
      <c r="AM660" s="97"/>
      <c r="AN660" s="97"/>
      <c r="AO660" s="97"/>
      <c r="AP660" s="97"/>
      <c r="AQ660" s="99"/>
      <c r="AR660" s="99"/>
      <c r="AS660" s="99"/>
    </row>
    <row r="661">
      <c r="A661" s="97"/>
      <c r="B661" s="97"/>
      <c r="C661" s="97"/>
      <c r="D661" s="97"/>
      <c r="E661" s="97"/>
      <c r="F661" s="97"/>
      <c r="G661" s="98"/>
      <c r="H661" s="97"/>
      <c r="I661" s="97"/>
      <c r="J661" s="97"/>
      <c r="K661" s="97"/>
      <c r="L661" s="97"/>
      <c r="M661" s="97"/>
      <c r="N661" s="97"/>
      <c r="O661" s="97"/>
      <c r="P661" s="97"/>
      <c r="Q661" s="97"/>
      <c r="R661" s="97"/>
      <c r="S661" s="97"/>
      <c r="T661" s="97"/>
      <c r="U661" s="98"/>
      <c r="V661" s="97"/>
      <c r="W661" s="97"/>
      <c r="X661" s="97"/>
      <c r="Y661" s="97"/>
      <c r="Z661" s="97"/>
      <c r="AA661" s="97"/>
      <c r="AB661" s="97"/>
      <c r="AC661" s="97"/>
      <c r="AD661" s="97"/>
      <c r="AE661" s="97"/>
      <c r="AF661" s="97"/>
      <c r="AG661" s="97"/>
      <c r="AH661" s="97"/>
      <c r="AI661" s="97"/>
      <c r="AJ661" s="97"/>
      <c r="AK661" s="97"/>
      <c r="AL661" s="97"/>
      <c r="AM661" s="97"/>
      <c r="AN661" s="97"/>
      <c r="AO661" s="97"/>
      <c r="AP661" s="97"/>
      <c r="AQ661" s="99"/>
      <c r="AR661" s="99"/>
      <c r="AS661" s="99"/>
    </row>
    <row r="662">
      <c r="A662" s="97"/>
      <c r="B662" s="97"/>
      <c r="C662" s="97"/>
      <c r="D662" s="97"/>
      <c r="E662" s="97"/>
      <c r="F662" s="97"/>
      <c r="G662" s="98"/>
      <c r="H662" s="97"/>
      <c r="I662" s="97"/>
      <c r="J662" s="97"/>
      <c r="K662" s="97"/>
      <c r="L662" s="97"/>
      <c r="M662" s="97"/>
      <c r="N662" s="97"/>
      <c r="O662" s="97"/>
      <c r="P662" s="97"/>
      <c r="Q662" s="97"/>
      <c r="R662" s="97"/>
      <c r="S662" s="97"/>
      <c r="T662" s="97"/>
      <c r="U662" s="98"/>
      <c r="V662" s="97"/>
      <c r="W662" s="97"/>
      <c r="X662" s="97"/>
      <c r="Y662" s="97"/>
      <c r="Z662" s="97"/>
      <c r="AA662" s="97"/>
      <c r="AB662" s="97"/>
      <c r="AC662" s="97"/>
      <c r="AD662" s="97"/>
      <c r="AE662" s="97"/>
      <c r="AF662" s="97"/>
      <c r="AG662" s="97"/>
      <c r="AH662" s="97"/>
      <c r="AI662" s="97"/>
      <c r="AJ662" s="97"/>
      <c r="AK662" s="97"/>
      <c r="AL662" s="97"/>
      <c r="AM662" s="97"/>
      <c r="AN662" s="97"/>
      <c r="AO662" s="97"/>
      <c r="AP662" s="97"/>
      <c r="AQ662" s="99"/>
      <c r="AR662" s="99"/>
      <c r="AS662" s="99"/>
    </row>
    <row r="663">
      <c r="A663" s="97"/>
      <c r="B663" s="97"/>
      <c r="C663" s="97"/>
      <c r="D663" s="97"/>
      <c r="E663" s="97"/>
      <c r="F663" s="97"/>
      <c r="G663" s="98"/>
      <c r="H663" s="97"/>
      <c r="I663" s="97"/>
      <c r="J663" s="97"/>
      <c r="K663" s="97"/>
      <c r="L663" s="97"/>
      <c r="M663" s="97"/>
      <c r="N663" s="97"/>
      <c r="O663" s="97"/>
      <c r="P663" s="97"/>
      <c r="Q663" s="97"/>
      <c r="R663" s="97"/>
      <c r="S663" s="97"/>
      <c r="T663" s="97"/>
      <c r="U663" s="98"/>
      <c r="V663" s="97"/>
      <c r="W663" s="97"/>
      <c r="X663" s="97"/>
      <c r="Y663" s="97"/>
      <c r="Z663" s="97"/>
      <c r="AA663" s="97"/>
      <c r="AB663" s="97"/>
      <c r="AC663" s="97"/>
      <c r="AD663" s="97"/>
      <c r="AE663" s="97"/>
      <c r="AF663" s="97"/>
      <c r="AG663" s="97"/>
      <c r="AH663" s="97"/>
      <c r="AI663" s="97"/>
      <c r="AJ663" s="97"/>
      <c r="AK663" s="97"/>
      <c r="AL663" s="97"/>
      <c r="AM663" s="97"/>
      <c r="AN663" s="97"/>
      <c r="AO663" s="97"/>
      <c r="AP663" s="97"/>
      <c r="AQ663" s="99"/>
      <c r="AR663" s="99"/>
      <c r="AS663" s="99"/>
    </row>
    <row r="664">
      <c r="A664" s="97"/>
      <c r="B664" s="97"/>
      <c r="C664" s="97"/>
      <c r="D664" s="97"/>
      <c r="E664" s="97"/>
      <c r="F664" s="97"/>
      <c r="G664" s="98"/>
      <c r="H664" s="97"/>
      <c r="I664" s="97"/>
      <c r="J664" s="97"/>
      <c r="K664" s="97"/>
      <c r="L664" s="97"/>
      <c r="M664" s="97"/>
      <c r="N664" s="97"/>
      <c r="O664" s="97"/>
      <c r="P664" s="97"/>
      <c r="Q664" s="97"/>
      <c r="R664" s="97"/>
      <c r="S664" s="97"/>
      <c r="T664" s="97"/>
      <c r="U664" s="98"/>
      <c r="V664" s="97"/>
      <c r="W664" s="97"/>
      <c r="X664" s="97"/>
      <c r="Y664" s="97"/>
      <c r="Z664" s="97"/>
      <c r="AA664" s="97"/>
      <c r="AB664" s="97"/>
      <c r="AC664" s="97"/>
      <c r="AD664" s="97"/>
      <c r="AE664" s="97"/>
      <c r="AF664" s="97"/>
      <c r="AG664" s="97"/>
      <c r="AH664" s="97"/>
      <c r="AI664" s="97"/>
      <c r="AJ664" s="97"/>
      <c r="AK664" s="97"/>
      <c r="AL664" s="97"/>
      <c r="AM664" s="97"/>
      <c r="AN664" s="97"/>
      <c r="AO664" s="97"/>
      <c r="AP664" s="97"/>
      <c r="AQ664" s="99"/>
      <c r="AR664" s="99"/>
      <c r="AS664" s="99"/>
    </row>
    <row r="665">
      <c r="A665" s="97"/>
      <c r="B665" s="97"/>
      <c r="C665" s="97"/>
      <c r="D665" s="97"/>
      <c r="E665" s="97"/>
      <c r="F665" s="97"/>
      <c r="G665" s="98"/>
      <c r="H665" s="97"/>
      <c r="I665" s="97"/>
      <c r="J665" s="97"/>
      <c r="K665" s="97"/>
      <c r="L665" s="97"/>
      <c r="M665" s="97"/>
      <c r="N665" s="97"/>
      <c r="O665" s="97"/>
      <c r="P665" s="97"/>
      <c r="Q665" s="97"/>
      <c r="R665" s="97"/>
      <c r="S665" s="97"/>
      <c r="T665" s="97"/>
      <c r="U665" s="98"/>
      <c r="V665" s="97"/>
      <c r="W665" s="97"/>
      <c r="X665" s="97"/>
      <c r="Y665" s="97"/>
      <c r="Z665" s="97"/>
      <c r="AA665" s="97"/>
      <c r="AB665" s="97"/>
      <c r="AC665" s="97"/>
      <c r="AD665" s="97"/>
      <c r="AE665" s="97"/>
      <c r="AF665" s="97"/>
      <c r="AG665" s="97"/>
      <c r="AH665" s="97"/>
      <c r="AI665" s="97"/>
      <c r="AJ665" s="97"/>
      <c r="AK665" s="97"/>
      <c r="AL665" s="97"/>
      <c r="AM665" s="97"/>
      <c r="AN665" s="97"/>
      <c r="AO665" s="97"/>
      <c r="AP665" s="97"/>
      <c r="AQ665" s="99"/>
      <c r="AR665" s="99"/>
      <c r="AS665" s="99"/>
    </row>
    <row r="666">
      <c r="A666" s="97"/>
      <c r="B666" s="97"/>
      <c r="C666" s="97"/>
      <c r="D666" s="97"/>
      <c r="E666" s="97"/>
      <c r="F666" s="97"/>
      <c r="G666" s="98"/>
      <c r="H666" s="97"/>
      <c r="I666" s="97"/>
      <c r="J666" s="97"/>
      <c r="K666" s="97"/>
      <c r="L666" s="97"/>
      <c r="M666" s="97"/>
      <c r="N666" s="97"/>
      <c r="O666" s="97"/>
      <c r="P666" s="97"/>
      <c r="Q666" s="97"/>
      <c r="R666" s="97"/>
      <c r="S666" s="97"/>
      <c r="T666" s="97"/>
      <c r="U666" s="98"/>
      <c r="V666" s="97"/>
      <c r="W666" s="97"/>
      <c r="X666" s="97"/>
      <c r="Y666" s="97"/>
      <c r="Z666" s="97"/>
      <c r="AA666" s="97"/>
      <c r="AB666" s="97"/>
      <c r="AC666" s="97"/>
      <c r="AD666" s="97"/>
      <c r="AE666" s="97"/>
      <c r="AF666" s="97"/>
      <c r="AG666" s="97"/>
      <c r="AH666" s="97"/>
      <c r="AI666" s="97"/>
      <c r="AJ666" s="97"/>
      <c r="AK666" s="97"/>
      <c r="AL666" s="97"/>
      <c r="AM666" s="97"/>
      <c r="AN666" s="97"/>
      <c r="AO666" s="97"/>
      <c r="AP666" s="97"/>
      <c r="AQ666" s="99"/>
      <c r="AR666" s="99"/>
      <c r="AS666" s="99"/>
    </row>
    <row r="667">
      <c r="A667" s="97"/>
      <c r="B667" s="97"/>
      <c r="C667" s="97"/>
      <c r="D667" s="97"/>
      <c r="E667" s="97"/>
      <c r="F667" s="97"/>
      <c r="G667" s="98"/>
      <c r="H667" s="97"/>
      <c r="I667" s="97"/>
      <c r="J667" s="97"/>
      <c r="K667" s="97"/>
      <c r="L667" s="97"/>
      <c r="M667" s="97"/>
      <c r="N667" s="97"/>
      <c r="O667" s="97"/>
      <c r="P667" s="97"/>
      <c r="Q667" s="97"/>
      <c r="R667" s="97"/>
      <c r="S667" s="97"/>
      <c r="T667" s="97"/>
      <c r="U667" s="98"/>
      <c r="V667" s="97"/>
      <c r="W667" s="97"/>
      <c r="X667" s="97"/>
      <c r="Y667" s="97"/>
      <c r="Z667" s="97"/>
      <c r="AA667" s="97"/>
      <c r="AB667" s="97"/>
      <c r="AC667" s="97"/>
      <c r="AD667" s="97"/>
      <c r="AE667" s="97"/>
      <c r="AF667" s="97"/>
      <c r="AG667" s="97"/>
      <c r="AH667" s="97"/>
      <c r="AI667" s="97"/>
      <c r="AJ667" s="97"/>
      <c r="AK667" s="97"/>
      <c r="AL667" s="97"/>
      <c r="AM667" s="97"/>
      <c r="AN667" s="97"/>
      <c r="AO667" s="97"/>
      <c r="AP667" s="97"/>
      <c r="AQ667" s="99"/>
      <c r="AR667" s="99"/>
      <c r="AS667" s="99"/>
    </row>
    <row r="668">
      <c r="A668" s="97"/>
      <c r="B668" s="97"/>
      <c r="C668" s="97"/>
      <c r="D668" s="97"/>
      <c r="E668" s="97"/>
      <c r="F668" s="97"/>
      <c r="G668" s="98"/>
      <c r="H668" s="97"/>
      <c r="I668" s="97"/>
      <c r="J668" s="97"/>
      <c r="K668" s="97"/>
      <c r="L668" s="97"/>
      <c r="M668" s="97"/>
      <c r="N668" s="97"/>
      <c r="O668" s="97"/>
      <c r="P668" s="97"/>
      <c r="Q668" s="97"/>
      <c r="R668" s="97"/>
      <c r="S668" s="97"/>
      <c r="T668" s="97"/>
      <c r="U668" s="98"/>
      <c r="V668" s="97"/>
      <c r="W668" s="97"/>
      <c r="X668" s="97"/>
      <c r="Y668" s="97"/>
      <c r="Z668" s="97"/>
      <c r="AA668" s="97"/>
      <c r="AB668" s="97"/>
      <c r="AC668" s="97"/>
      <c r="AD668" s="97"/>
      <c r="AE668" s="97"/>
      <c r="AF668" s="97"/>
      <c r="AG668" s="97"/>
      <c r="AH668" s="97"/>
      <c r="AI668" s="97"/>
      <c r="AJ668" s="97"/>
      <c r="AK668" s="97"/>
      <c r="AL668" s="97"/>
      <c r="AM668" s="97"/>
      <c r="AN668" s="97"/>
      <c r="AO668" s="97"/>
      <c r="AP668" s="97"/>
      <c r="AQ668" s="99"/>
      <c r="AR668" s="99"/>
      <c r="AS668" s="99"/>
    </row>
    <row r="669">
      <c r="A669" s="97"/>
      <c r="B669" s="97"/>
      <c r="C669" s="97"/>
      <c r="D669" s="97"/>
      <c r="E669" s="97"/>
      <c r="F669" s="97"/>
      <c r="G669" s="98"/>
      <c r="H669" s="97"/>
      <c r="I669" s="97"/>
      <c r="J669" s="97"/>
      <c r="K669" s="97"/>
      <c r="L669" s="97"/>
      <c r="M669" s="97"/>
      <c r="N669" s="97"/>
      <c r="O669" s="97"/>
      <c r="P669" s="97"/>
      <c r="Q669" s="97"/>
      <c r="R669" s="97"/>
      <c r="S669" s="97"/>
      <c r="T669" s="97"/>
      <c r="U669" s="98"/>
      <c r="V669" s="97"/>
      <c r="W669" s="97"/>
      <c r="X669" s="97"/>
      <c r="Y669" s="97"/>
      <c r="Z669" s="97"/>
      <c r="AA669" s="97"/>
      <c r="AB669" s="97"/>
      <c r="AC669" s="97"/>
      <c r="AD669" s="97"/>
      <c r="AE669" s="97"/>
      <c r="AF669" s="97"/>
      <c r="AG669" s="97"/>
      <c r="AH669" s="97"/>
      <c r="AI669" s="97"/>
      <c r="AJ669" s="97"/>
      <c r="AK669" s="97"/>
      <c r="AL669" s="97"/>
      <c r="AM669" s="97"/>
      <c r="AN669" s="97"/>
      <c r="AO669" s="97"/>
      <c r="AP669" s="97"/>
      <c r="AQ669" s="99"/>
      <c r="AR669" s="99"/>
      <c r="AS669" s="99"/>
    </row>
    <row r="670">
      <c r="A670" s="97"/>
      <c r="B670" s="97"/>
      <c r="C670" s="97"/>
      <c r="D670" s="97"/>
      <c r="E670" s="97"/>
      <c r="F670" s="97"/>
      <c r="G670" s="98"/>
      <c r="H670" s="97"/>
      <c r="I670" s="97"/>
      <c r="J670" s="97"/>
      <c r="K670" s="97"/>
      <c r="L670" s="97"/>
      <c r="M670" s="97"/>
      <c r="N670" s="97"/>
      <c r="O670" s="97"/>
      <c r="P670" s="97"/>
      <c r="Q670" s="97"/>
      <c r="R670" s="97"/>
      <c r="S670" s="97"/>
      <c r="T670" s="97"/>
      <c r="U670" s="98"/>
      <c r="V670" s="97"/>
      <c r="W670" s="97"/>
      <c r="X670" s="97"/>
      <c r="Y670" s="97"/>
      <c r="Z670" s="97"/>
      <c r="AA670" s="97"/>
      <c r="AB670" s="97"/>
      <c r="AC670" s="97"/>
      <c r="AD670" s="97"/>
      <c r="AE670" s="97"/>
      <c r="AF670" s="97"/>
      <c r="AG670" s="97"/>
      <c r="AH670" s="97"/>
      <c r="AI670" s="97"/>
      <c r="AJ670" s="97"/>
      <c r="AK670" s="97"/>
      <c r="AL670" s="97"/>
      <c r="AM670" s="97"/>
      <c r="AN670" s="97"/>
      <c r="AO670" s="97"/>
      <c r="AP670" s="97"/>
      <c r="AQ670" s="99"/>
      <c r="AR670" s="99"/>
      <c r="AS670" s="99"/>
    </row>
    <row r="671">
      <c r="A671" s="97"/>
      <c r="B671" s="97"/>
      <c r="C671" s="97"/>
      <c r="D671" s="97"/>
      <c r="E671" s="97"/>
      <c r="F671" s="97"/>
      <c r="G671" s="98"/>
      <c r="H671" s="97"/>
      <c r="I671" s="97"/>
      <c r="J671" s="97"/>
      <c r="K671" s="97"/>
      <c r="L671" s="97"/>
      <c r="M671" s="97"/>
      <c r="N671" s="97"/>
      <c r="O671" s="97"/>
      <c r="P671" s="97"/>
      <c r="Q671" s="97"/>
      <c r="R671" s="97"/>
      <c r="S671" s="97"/>
      <c r="T671" s="97"/>
      <c r="U671" s="98"/>
      <c r="V671" s="97"/>
      <c r="W671" s="97"/>
      <c r="X671" s="97"/>
      <c r="Y671" s="97"/>
      <c r="Z671" s="97"/>
      <c r="AA671" s="97"/>
      <c r="AB671" s="97"/>
      <c r="AC671" s="97"/>
      <c r="AD671" s="97"/>
      <c r="AE671" s="97"/>
      <c r="AF671" s="97"/>
      <c r="AG671" s="97"/>
      <c r="AH671" s="97"/>
      <c r="AI671" s="97"/>
      <c r="AJ671" s="97"/>
      <c r="AK671" s="97"/>
      <c r="AL671" s="97"/>
      <c r="AM671" s="97"/>
      <c r="AN671" s="97"/>
      <c r="AO671" s="97"/>
      <c r="AP671" s="97"/>
      <c r="AQ671" s="99"/>
      <c r="AR671" s="99"/>
      <c r="AS671" s="99"/>
    </row>
    <row r="672">
      <c r="A672" s="97"/>
      <c r="B672" s="97"/>
      <c r="C672" s="97"/>
      <c r="D672" s="97"/>
      <c r="E672" s="97"/>
      <c r="F672" s="97"/>
      <c r="G672" s="98"/>
      <c r="H672" s="97"/>
      <c r="I672" s="97"/>
      <c r="J672" s="97"/>
      <c r="K672" s="97"/>
      <c r="L672" s="97"/>
      <c r="M672" s="97"/>
      <c r="N672" s="97"/>
      <c r="O672" s="97"/>
      <c r="P672" s="97"/>
      <c r="Q672" s="97"/>
      <c r="R672" s="97"/>
      <c r="S672" s="97"/>
      <c r="T672" s="97"/>
      <c r="U672" s="98"/>
      <c r="V672" s="97"/>
      <c r="W672" s="97"/>
      <c r="X672" s="97"/>
      <c r="Y672" s="97"/>
      <c r="Z672" s="97"/>
      <c r="AA672" s="97"/>
      <c r="AB672" s="97"/>
      <c r="AC672" s="97"/>
      <c r="AD672" s="97"/>
      <c r="AE672" s="97"/>
      <c r="AF672" s="97"/>
      <c r="AG672" s="97"/>
      <c r="AH672" s="97"/>
      <c r="AI672" s="97"/>
      <c r="AJ672" s="97"/>
      <c r="AK672" s="97"/>
      <c r="AL672" s="97"/>
      <c r="AM672" s="97"/>
      <c r="AN672" s="97"/>
      <c r="AO672" s="97"/>
      <c r="AP672" s="97"/>
      <c r="AQ672" s="99"/>
      <c r="AR672" s="99"/>
      <c r="AS672" s="99"/>
    </row>
    <row r="673">
      <c r="A673" s="97"/>
      <c r="B673" s="97"/>
      <c r="C673" s="97"/>
      <c r="D673" s="97"/>
      <c r="E673" s="97"/>
      <c r="F673" s="97"/>
      <c r="G673" s="98"/>
      <c r="H673" s="97"/>
      <c r="I673" s="97"/>
      <c r="J673" s="97"/>
      <c r="K673" s="97"/>
      <c r="L673" s="97"/>
      <c r="M673" s="97"/>
      <c r="N673" s="97"/>
      <c r="O673" s="97"/>
      <c r="P673" s="97"/>
      <c r="Q673" s="97"/>
      <c r="R673" s="97"/>
      <c r="S673" s="97"/>
      <c r="T673" s="97"/>
      <c r="U673" s="98"/>
      <c r="V673" s="97"/>
      <c r="W673" s="97"/>
      <c r="X673" s="97"/>
      <c r="Y673" s="97"/>
      <c r="Z673" s="97"/>
      <c r="AA673" s="97"/>
      <c r="AB673" s="97"/>
      <c r="AC673" s="97"/>
      <c r="AD673" s="97"/>
      <c r="AE673" s="97"/>
      <c r="AF673" s="97"/>
      <c r="AG673" s="97"/>
      <c r="AH673" s="97"/>
      <c r="AI673" s="97"/>
      <c r="AJ673" s="97"/>
      <c r="AK673" s="97"/>
      <c r="AL673" s="97"/>
      <c r="AM673" s="97"/>
      <c r="AN673" s="97"/>
      <c r="AO673" s="97"/>
      <c r="AP673" s="97"/>
      <c r="AQ673" s="99"/>
      <c r="AR673" s="99"/>
      <c r="AS673" s="99"/>
    </row>
    <row r="674">
      <c r="A674" s="97"/>
      <c r="B674" s="97"/>
      <c r="C674" s="97"/>
      <c r="D674" s="97"/>
      <c r="E674" s="97"/>
      <c r="F674" s="97"/>
      <c r="G674" s="98"/>
      <c r="H674" s="97"/>
      <c r="I674" s="97"/>
      <c r="J674" s="97"/>
      <c r="K674" s="97"/>
      <c r="L674" s="97"/>
      <c r="M674" s="97"/>
      <c r="N674" s="97"/>
      <c r="O674" s="97"/>
      <c r="P674" s="97"/>
      <c r="Q674" s="97"/>
      <c r="R674" s="97"/>
      <c r="S674" s="97"/>
      <c r="T674" s="97"/>
      <c r="U674" s="98"/>
      <c r="V674" s="97"/>
      <c r="W674" s="97"/>
      <c r="X674" s="97"/>
      <c r="Y674" s="97"/>
      <c r="Z674" s="97"/>
      <c r="AA674" s="97"/>
      <c r="AB674" s="97"/>
      <c r="AC674" s="97"/>
      <c r="AD674" s="97"/>
      <c r="AE674" s="97"/>
      <c r="AF674" s="97"/>
      <c r="AG674" s="97"/>
      <c r="AH674" s="97"/>
      <c r="AI674" s="97"/>
      <c r="AJ674" s="97"/>
      <c r="AK674" s="97"/>
      <c r="AL674" s="97"/>
      <c r="AM674" s="97"/>
      <c r="AN674" s="97"/>
      <c r="AO674" s="97"/>
      <c r="AP674" s="97"/>
      <c r="AQ674" s="99"/>
      <c r="AR674" s="99"/>
      <c r="AS674" s="99"/>
    </row>
    <row r="675">
      <c r="A675" s="97"/>
      <c r="B675" s="97"/>
      <c r="C675" s="97"/>
      <c r="D675" s="97"/>
      <c r="E675" s="97"/>
      <c r="F675" s="97"/>
      <c r="G675" s="98"/>
      <c r="H675" s="97"/>
      <c r="I675" s="97"/>
      <c r="J675" s="97"/>
      <c r="K675" s="97"/>
      <c r="L675" s="97"/>
      <c r="M675" s="97"/>
      <c r="N675" s="97"/>
      <c r="O675" s="97"/>
      <c r="P675" s="97"/>
      <c r="Q675" s="97"/>
      <c r="R675" s="97"/>
      <c r="S675" s="97"/>
      <c r="T675" s="97"/>
      <c r="U675" s="98"/>
      <c r="V675" s="97"/>
      <c r="W675" s="97"/>
      <c r="X675" s="97"/>
      <c r="Y675" s="97"/>
      <c r="Z675" s="97"/>
      <c r="AA675" s="97"/>
      <c r="AB675" s="97"/>
      <c r="AC675" s="97"/>
      <c r="AD675" s="97"/>
      <c r="AE675" s="97"/>
      <c r="AF675" s="97"/>
      <c r="AG675" s="97"/>
      <c r="AH675" s="97"/>
      <c r="AI675" s="97"/>
      <c r="AJ675" s="97"/>
      <c r="AK675" s="97"/>
      <c r="AL675" s="97"/>
      <c r="AM675" s="97"/>
      <c r="AN675" s="97"/>
      <c r="AO675" s="97"/>
      <c r="AP675" s="97"/>
      <c r="AQ675" s="99"/>
      <c r="AR675" s="99"/>
      <c r="AS675" s="99"/>
    </row>
    <row r="676">
      <c r="A676" s="97"/>
      <c r="B676" s="97"/>
      <c r="C676" s="97"/>
      <c r="D676" s="97"/>
      <c r="E676" s="97"/>
      <c r="F676" s="97"/>
      <c r="G676" s="98"/>
      <c r="H676" s="97"/>
      <c r="I676" s="97"/>
      <c r="J676" s="97"/>
      <c r="K676" s="97"/>
      <c r="L676" s="97"/>
      <c r="M676" s="97"/>
      <c r="N676" s="97"/>
      <c r="O676" s="97"/>
      <c r="P676" s="97"/>
      <c r="Q676" s="97"/>
      <c r="R676" s="97"/>
      <c r="S676" s="97"/>
      <c r="T676" s="97"/>
      <c r="U676" s="98"/>
      <c r="V676" s="97"/>
      <c r="W676" s="97"/>
      <c r="X676" s="97"/>
      <c r="Y676" s="97"/>
      <c r="Z676" s="97"/>
      <c r="AA676" s="97"/>
      <c r="AB676" s="97"/>
      <c r="AC676" s="97"/>
      <c r="AD676" s="97"/>
      <c r="AE676" s="97"/>
      <c r="AF676" s="97"/>
      <c r="AG676" s="97"/>
      <c r="AH676" s="97"/>
      <c r="AI676" s="97"/>
      <c r="AJ676" s="97"/>
      <c r="AK676" s="97"/>
      <c r="AL676" s="97"/>
      <c r="AM676" s="97"/>
      <c r="AN676" s="97"/>
      <c r="AO676" s="97"/>
      <c r="AP676" s="97"/>
      <c r="AQ676" s="99"/>
      <c r="AR676" s="99"/>
      <c r="AS676" s="99"/>
    </row>
    <row r="677">
      <c r="A677" s="97"/>
      <c r="B677" s="97"/>
      <c r="C677" s="97"/>
      <c r="D677" s="97"/>
      <c r="E677" s="97"/>
      <c r="F677" s="97"/>
      <c r="G677" s="98"/>
      <c r="H677" s="97"/>
      <c r="I677" s="97"/>
      <c r="J677" s="97"/>
      <c r="K677" s="97"/>
      <c r="L677" s="97"/>
      <c r="M677" s="97"/>
      <c r="N677" s="97"/>
      <c r="O677" s="97"/>
      <c r="P677" s="97"/>
      <c r="Q677" s="97"/>
      <c r="R677" s="97"/>
      <c r="S677" s="97"/>
      <c r="T677" s="97"/>
      <c r="U677" s="98"/>
      <c r="V677" s="97"/>
      <c r="W677" s="97"/>
      <c r="X677" s="97"/>
      <c r="Y677" s="97"/>
      <c r="Z677" s="97"/>
      <c r="AA677" s="97"/>
      <c r="AB677" s="97"/>
      <c r="AC677" s="97"/>
      <c r="AD677" s="97"/>
      <c r="AE677" s="97"/>
      <c r="AF677" s="97"/>
      <c r="AG677" s="97"/>
      <c r="AH677" s="97"/>
      <c r="AI677" s="97"/>
      <c r="AJ677" s="97"/>
      <c r="AK677" s="97"/>
      <c r="AL677" s="97"/>
      <c r="AM677" s="97"/>
      <c r="AN677" s="97"/>
      <c r="AO677" s="97"/>
      <c r="AP677" s="97"/>
      <c r="AQ677" s="99"/>
      <c r="AR677" s="99"/>
      <c r="AS677" s="99"/>
    </row>
    <row r="678">
      <c r="A678" s="97"/>
      <c r="B678" s="97"/>
      <c r="C678" s="97"/>
      <c r="D678" s="97"/>
      <c r="E678" s="97"/>
      <c r="F678" s="97"/>
      <c r="G678" s="98"/>
      <c r="H678" s="97"/>
      <c r="I678" s="97"/>
      <c r="J678" s="97"/>
      <c r="K678" s="97"/>
      <c r="L678" s="97"/>
      <c r="M678" s="97"/>
      <c r="N678" s="97"/>
      <c r="O678" s="97"/>
      <c r="P678" s="97"/>
      <c r="Q678" s="97"/>
      <c r="R678" s="97"/>
      <c r="S678" s="97"/>
      <c r="T678" s="97"/>
      <c r="U678" s="98"/>
      <c r="V678" s="97"/>
      <c r="W678" s="97"/>
      <c r="X678" s="97"/>
      <c r="Y678" s="97"/>
      <c r="Z678" s="97"/>
      <c r="AA678" s="97"/>
      <c r="AB678" s="97"/>
      <c r="AC678" s="97"/>
      <c r="AD678" s="97"/>
      <c r="AE678" s="97"/>
      <c r="AF678" s="97"/>
      <c r="AG678" s="97"/>
      <c r="AH678" s="97"/>
      <c r="AI678" s="97"/>
      <c r="AJ678" s="97"/>
      <c r="AK678" s="97"/>
      <c r="AL678" s="97"/>
      <c r="AM678" s="97"/>
      <c r="AN678" s="97"/>
      <c r="AO678" s="97"/>
      <c r="AP678" s="97"/>
      <c r="AQ678" s="99"/>
      <c r="AR678" s="99"/>
      <c r="AS678" s="99"/>
    </row>
    <row r="679">
      <c r="A679" s="97"/>
      <c r="B679" s="97"/>
      <c r="C679" s="97"/>
      <c r="D679" s="97"/>
      <c r="E679" s="97"/>
      <c r="F679" s="97"/>
      <c r="G679" s="98"/>
      <c r="H679" s="97"/>
      <c r="I679" s="97"/>
      <c r="J679" s="97"/>
      <c r="K679" s="97"/>
      <c r="L679" s="97"/>
      <c r="M679" s="97"/>
      <c r="N679" s="97"/>
      <c r="O679" s="97"/>
      <c r="P679" s="97"/>
      <c r="Q679" s="97"/>
      <c r="R679" s="97"/>
      <c r="S679" s="97"/>
      <c r="T679" s="97"/>
      <c r="U679" s="98"/>
      <c r="V679" s="97"/>
      <c r="W679" s="97"/>
      <c r="X679" s="97"/>
      <c r="Y679" s="97"/>
      <c r="Z679" s="97"/>
      <c r="AA679" s="97"/>
      <c r="AB679" s="97"/>
      <c r="AC679" s="97"/>
      <c r="AD679" s="97"/>
      <c r="AE679" s="97"/>
      <c r="AF679" s="97"/>
      <c r="AG679" s="97"/>
      <c r="AH679" s="97"/>
      <c r="AI679" s="97"/>
      <c r="AJ679" s="97"/>
      <c r="AK679" s="97"/>
      <c r="AL679" s="97"/>
      <c r="AM679" s="97"/>
      <c r="AN679" s="97"/>
      <c r="AO679" s="97"/>
      <c r="AP679" s="97"/>
      <c r="AQ679" s="99"/>
      <c r="AR679" s="99"/>
      <c r="AS679" s="99"/>
    </row>
    <row r="680">
      <c r="A680" s="97"/>
      <c r="B680" s="97"/>
      <c r="C680" s="97"/>
      <c r="D680" s="97"/>
      <c r="E680" s="97"/>
      <c r="F680" s="97"/>
      <c r="G680" s="98"/>
      <c r="H680" s="97"/>
      <c r="I680" s="97"/>
      <c r="J680" s="97"/>
      <c r="K680" s="97"/>
      <c r="L680" s="97"/>
      <c r="M680" s="97"/>
      <c r="N680" s="97"/>
      <c r="O680" s="97"/>
      <c r="P680" s="97"/>
      <c r="Q680" s="97"/>
      <c r="R680" s="97"/>
      <c r="S680" s="97"/>
      <c r="T680" s="97"/>
      <c r="U680" s="98"/>
      <c r="V680" s="97"/>
      <c r="W680" s="97"/>
      <c r="X680" s="97"/>
      <c r="Y680" s="97"/>
      <c r="Z680" s="97"/>
      <c r="AA680" s="97"/>
      <c r="AB680" s="97"/>
      <c r="AC680" s="97"/>
      <c r="AD680" s="97"/>
      <c r="AE680" s="97"/>
      <c r="AF680" s="97"/>
      <c r="AG680" s="97"/>
      <c r="AH680" s="97"/>
      <c r="AI680" s="97"/>
      <c r="AJ680" s="97"/>
      <c r="AK680" s="97"/>
      <c r="AL680" s="97"/>
      <c r="AM680" s="97"/>
      <c r="AN680" s="97"/>
      <c r="AO680" s="97"/>
      <c r="AP680" s="97"/>
      <c r="AQ680" s="99"/>
      <c r="AR680" s="99"/>
      <c r="AS680" s="99"/>
    </row>
    <row r="681">
      <c r="A681" s="97"/>
      <c r="B681" s="97"/>
      <c r="C681" s="97"/>
      <c r="D681" s="97"/>
      <c r="E681" s="97"/>
      <c r="F681" s="97"/>
      <c r="G681" s="98"/>
      <c r="H681" s="97"/>
      <c r="I681" s="97"/>
      <c r="J681" s="97"/>
      <c r="K681" s="97"/>
      <c r="L681" s="97"/>
      <c r="M681" s="97"/>
      <c r="N681" s="97"/>
      <c r="O681" s="97"/>
      <c r="P681" s="97"/>
      <c r="Q681" s="97"/>
      <c r="R681" s="97"/>
      <c r="S681" s="97"/>
      <c r="T681" s="97"/>
      <c r="U681" s="98"/>
      <c r="V681" s="97"/>
      <c r="W681" s="97"/>
      <c r="X681" s="97"/>
      <c r="Y681" s="97"/>
      <c r="Z681" s="97"/>
      <c r="AA681" s="97"/>
      <c r="AB681" s="97"/>
      <c r="AC681" s="97"/>
      <c r="AD681" s="97"/>
      <c r="AE681" s="97"/>
      <c r="AF681" s="97"/>
      <c r="AG681" s="97"/>
      <c r="AH681" s="97"/>
      <c r="AI681" s="97"/>
      <c r="AJ681" s="97"/>
      <c r="AK681" s="97"/>
      <c r="AL681" s="97"/>
      <c r="AM681" s="97"/>
      <c r="AN681" s="97"/>
      <c r="AO681" s="97"/>
      <c r="AP681" s="97"/>
      <c r="AQ681" s="99"/>
      <c r="AR681" s="99"/>
      <c r="AS681" s="99"/>
    </row>
    <row r="682">
      <c r="A682" s="97"/>
      <c r="B682" s="97"/>
      <c r="C682" s="97"/>
      <c r="D682" s="97"/>
      <c r="E682" s="97"/>
      <c r="F682" s="97"/>
      <c r="G682" s="98"/>
      <c r="H682" s="97"/>
      <c r="I682" s="97"/>
      <c r="J682" s="97"/>
      <c r="K682" s="97"/>
      <c r="L682" s="97"/>
      <c r="M682" s="97"/>
      <c r="N682" s="97"/>
      <c r="O682" s="97"/>
      <c r="P682" s="97"/>
      <c r="Q682" s="97"/>
      <c r="R682" s="97"/>
      <c r="S682" s="97"/>
      <c r="T682" s="97"/>
      <c r="U682" s="98"/>
      <c r="V682" s="97"/>
      <c r="W682" s="97"/>
      <c r="X682" s="97"/>
      <c r="Y682" s="97"/>
      <c r="Z682" s="97"/>
      <c r="AA682" s="97"/>
      <c r="AB682" s="97"/>
      <c r="AC682" s="97"/>
      <c r="AD682" s="97"/>
      <c r="AE682" s="97"/>
      <c r="AF682" s="97"/>
      <c r="AG682" s="97"/>
      <c r="AH682" s="97"/>
      <c r="AI682" s="97"/>
      <c r="AJ682" s="97"/>
      <c r="AK682" s="97"/>
      <c r="AL682" s="97"/>
      <c r="AM682" s="97"/>
      <c r="AN682" s="97"/>
      <c r="AO682" s="97"/>
      <c r="AP682" s="97"/>
      <c r="AQ682" s="99"/>
      <c r="AR682" s="99"/>
      <c r="AS682" s="99"/>
    </row>
    <row r="683">
      <c r="A683" s="97"/>
      <c r="B683" s="97"/>
      <c r="C683" s="97"/>
      <c r="D683" s="97"/>
      <c r="E683" s="97"/>
      <c r="F683" s="97"/>
      <c r="G683" s="98"/>
      <c r="H683" s="97"/>
      <c r="I683" s="97"/>
      <c r="J683" s="97"/>
      <c r="K683" s="97"/>
      <c r="L683" s="97"/>
      <c r="M683" s="97"/>
      <c r="N683" s="97"/>
      <c r="O683" s="97"/>
      <c r="P683" s="97"/>
      <c r="Q683" s="97"/>
      <c r="R683" s="97"/>
      <c r="S683" s="97"/>
      <c r="T683" s="97"/>
      <c r="U683" s="98"/>
      <c r="V683" s="97"/>
      <c r="W683" s="97"/>
      <c r="X683" s="97"/>
      <c r="Y683" s="97"/>
      <c r="Z683" s="97"/>
      <c r="AA683" s="97"/>
      <c r="AB683" s="97"/>
      <c r="AC683" s="97"/>
      <c r="AD683" s="97"/>
      <c r="AE683" s="97"/>
      <c r="AF683" s="97"/>
      <c r="AG683" s="97"/>
      <c r="AH683" s="97"/>
      <c r="AI683" s="97"/>
      <c r="AJ683" s="97"/>
      <c r="AK683" s="97"/>
      <c r="AL683" s="97"/>
      <c r="AM683" s="97"/>
      <c r="AN683" s="97"/>
      <c r="AO683" s="97"/>
      <c r="AP683" s="97"/>
      <c r="AQ683" s="99"/>
      <c r="AR683" s="99"/>
      <c r="AS683" s="99"/>
    </row>
    <row r="684">
      <c r="A684" s="97"/>
      <c r="B684" s="97"/>
      <c r="C684" s="97"/>
      <c r="D684" s="97"/>
      <c r="E684" s="97"/>
      <c r="F684" s="97"/>
      <c r="G684" s="98"/>
      <c r="H684" s="97"/>
      <c r="I684" s="97"/>
      <c r="J684" s="97"/>
      <c r="K684" s="97"/>
      <c r="L684" s="97"/>
      <c r="M684" s="97"/>
      <c r="N684" s="97"/>
      <c r="O684" s="97"/>
      <c r="P684" s="97"/>
      <c r="Q684" s="97"/>
      <c r="R684" s="97"/>
      <c r="S684" s="97"/>
      <c r="T684" s="97"/>
      <c r="U684" s="98"/>
      <c r="V684" s="97"/>
      <c r="W684" s="97"/>
      <c r="X684" s="97"/>
      <c r="Y684" s="97"/>
      <c r="Z684" s="97"/>
      <c r="AA684" s="97"/>
      <c r="AB684" s="97"/>
      <c r="AC684" s="97"/>
      <c r="AD684" s="97"/>
      <c r="AE684" s="97"/>
      <c r="AF684" s="97"/>
      <c r="AG684" s="97"/>
      <c r="AH684" s="97"/>
      <c r="AI684" s="97"/>
      <c r="AJ684" s="97"/>
      <c r="AK684" s="97"/>
      <c r="AL684" s="97"/>
      <c r="AM684" s="97"/>
      <c r="AN684" s="97"/>
      <c r="AO684" s="97"/>
      <c r="AP684" s="97"/>
      <c r="AQ684" s="99"/>
      <c r="AR684" s="99"/>
      <c r="AS684" s="99"/>
    </row>
    <row r="685">
      <c r="A685" s="97"/>
      <c r="B685" s="97"/>
      <c r="C685" s="97"/>
      <c r="D685" s="97"/>
      <c r="E685" s="97"/>
      <c r="F685" s="97"/>
      <c r="G685" s="98"/>
      <c r="H685" s="97"/>
      <c r="I685" s="97"/>
      <c r="J685" s="97"/>
      <c r="K685" s="97"/>
      <c r="L685" s="97"/>
      <c r="M685" s="97"/>
      <c r="N685" s="97"/>
      <c r="O685" s="97"/>
      <c r="P685" s="97"/>
      <c r="Q685" s="97"/>
      <c r="R685" s="97"/>
      <c r="S685" s="97"/>
      <c r="T685" s="97"/>
      <c r="U685" s="98"/>
      <c r="V685" s="97"/>
      <c r="W685" s="97"/>
      <c r="X685" s="97"/>
      <c r="Y685" s="97"/>
      <c r="Z685" s="97"/>
      <c r="AA685" s="97"/>
      <c r="AB685" s="97"/>
      <c r="AC685" s="97"/>
      <c r="AD685" s="97"/>
      <c r="AE685" s="97"/>
      <c r="AF685" s="97"/>
      <c r="AG685" s="97"/>
      <c r="AH685" s="97"/>
      <c r="AI685" s="97"/>
      <c r="AJ685" s="97"/>
      <c r="AK685" s="97"/>
      <c r="AL685" s="97"/>
      <c r="AM685" s="97"/>
      <c r="AN685" s="97"/>
      <c r="AO685" s="97"/>
      <c r="AP685" s="97"/>
      <c r="AQ685" s="99"/>
      <c r="AR685" s="99"/>
      <c r="AS685" s="99"/>
    </row>
    <row r="686">
      <c r="A686" s="97"/>
      <c r="B686" s="97"/>
      <c r="C686" s="97"/>
      <c r="D686" s="97"/>
      <c r="E686" s="97"/>
      <c r="F686" s="97"/>
      <c r="G686" s="98"/>
      <c r="H686" s="97"/>
      <c r="I686" s="97"/>
      <c r="J686" s="97"/>
      <c r="K686" s="97"/>
      <c r="L686" s="97"/>
      <c r="M686" s="97"/>
      <c r="N686" s="97"/>
      <c r="O686" s="97"/>
      <c r="P686" s="97"/>
      <c r="Q686" s="97"/>
      <c r="R686" s="97"/>
      <c r="S686" s="97"/>
      <c r="T686" s="97"/>
      <c r="U686" s="98"/>
      <c r="V686" s="97"/>
      <c r="W686" s="97"/>
      <c r="X686" s="97"/>
      <c r="Y686" s="97"/>
      <c r="Z686" s="97"/>
      <c r="AA686" s="97"/>
      <c r="AB686" s="97"/>
      <c r="AC686" s="97"/>
      <c r="AD686" s="97"/>
      <c r="AE686" s="97"/>
      <c r="AF686" s="97"/>
      <c r="AG686" s="97"/>
      <c r="AH686" s="97"/>
      <c r="AI686" s="97"/>
      <c r="AJ686" s="97"/>
      <c r="AK686" s="97"/>
      <c r="AL686" s="97"/>
      <c r="AM686" s="97"/>
      <c r="AN686" s="97"/>
      <c r="AO686" s="97"/>
      <c r="AP686" s="97"/>
      <c r="AQ686" s="99"/>
      <c r="AR686" s="99"/>
      <c r="AS686" s="99"/>
    </row>
    <row r="687">
      <c r="A687" s="97"/>
      <c r="B687" s="97"/>
      <c r="C687" s="97"/>
      <c r="D687" s="97"/>
      <c r="E687" s="97"/>
      <c r="F687" s="97"/>
      <c r="G687" s="98"/>
      <c r="H687" s="97"/>
      <c r="I687" s="97"/>
      <c r="J687" s="97"/>
      <c r="K687" s="97"/>
      <c r="L687" s="97"/>
      <c r="M687" s="97"/>
      <c r="N687" s="97"/>
      <c r="O687" s="97"/>
      <c r="P687" s="97"/>
      <c r="Q687" s="97"/>
      <c r="R687" s="97"/>
      <c r="S687" s="97"/>
      <c r="T687" s="97"/>
      <c r="U687" s="98"/>
      <c r="V687" s="97"/>
      <c r="W687" s="97"/>
      <c r="X687" s="97"/>
      <c r="Y687" s="97"/>
      <c r="Z687" s="97"/>
      <c r="AA687" s="97"/>
      <c r="AB687" s="97"/>
      <c r="AC687" s="97"/>
      <c r="AD687" s="97"/>
      <c r="AE687" s="97"/>
      <c r="AF687" s="97"/>
      <c r="AG687" s="97"/>
      <c r="AH687" s="97"/>
      <c r="AI687" s="97"/>
      <c r="AJ687" s="97"/>
      <c r="AK687" s="97"/>
      <c r="AL687" s="97"/>
      <c r="AM687" s="97"/>
      <c r="AN687" s="97"/>
      <c r="AO687" s="97"/>
      <c r="AP687" s="97"/>
      <c r="AQ687" s="99"/>
      <c r="AR687" s="99"/>
      <c r="AS687" s="99"/>
    </row>
    <row r="688">
      <c r="A688" s="97"/>
      <c r="B688" s="97"/>
      <c r="C688" s="97"/>
      <c r="D688" s="97"/>
      <c r="E688" s="97"/>
      <c r="F688" s="97"/>
      <c r="G688" s="98"/>
      <c r="H688" s="97"/>
      <c r="I688" s="97"/>
      <c r="J688" s="97"/>
      <c r="K688" s="97"/>
      <c r="L688" s="97"/>
      <c r="M688" s="97"/>
      <c r="N688" s="97"/>
      <c r="O688" s="97"/>
      <c r="P688" s="97"/>
      <c r="Q688" s="97"/>
      <c r="R688" s="97"/>
      <c r="S688" s="97"/>
      <c r="T688" s="97"/>
      <c r="U688" s="98"/>
      <c r="V688" s="97"/>
      <c r="W688" s="97"/>
      <c r="X688" s="97"/>
      <c r="Y688" s="97"/>
      <c r="Z688" s="97"/>
      <c r="AA688" s="97"/>
      <c r="AB688" s="97"/>
      <c r="AC688" s="97"/>
      <c r="AD688" s="97"/>
      <c r="AE688" s="97"/>
      <c r="AF688" s="97"/>
      <c r="AG688" s="97"/>
      <c r="AH688" s="97"/>
      <c r="AI688" s="97"/>
      <c r="AJ688" s="97"/>
      <c r="AK688" s="97"/>
      <c r="AL688" s="97"/>
      <c r="AM688" s="97"/>
      <c r="AN688" s="97"/>
      <c r="AO688" s="97"/>
      <c r="AP688" s="97"/>
      <c r="AQ688" s="99"/>
      <c r="AR688" s="99"/>
      <c r="AS688" s="99"/>
    </row>
    <row r="689">
      <c r="A689" s="97"/>
      <c r="B689" s="97"/>
      <c r="C689" s="97"/>
      <c r="D689" s="97"/>
      <c r="E689" s="97"/>
      <c r="F689" s="97"/>
      <c r="G689" s="98"/>
      <c r="H689" s="97"/>
      <c r="I689" s="97"/>
      <c r="J689" s="97"/>
      <c r="K689" s="97"/>
      <c r="L689" s="97"/>
      <c r="M689" s="97"/>
      <c r="N689" s="97"/>
      <c r="O689" s="97"/>
      <c r="P689" s="97"/>
      <c r="Q689" s="97"/>
      <c r="R689" s="97"/>
      <c r="S689" s="97"/>
      <c r="T689" s="97"/>
      <c r="U689" s="98"/>
      <c r="V689" s="97"/>
      <c r="W689" s="97"/>
      <c r="X689" s="97"/>
      <c r="Y689" s="97"/>
      <c r="Z689" s="97"/>
      <c r="AA689" s="97"/>
      <c r="AB689" s="97"/>
      <c r="AC689" s="97"/>
      <c r="AD689" s="97"/>
      <c r="AE689" s="97"/>
      <c r="AF689" s="97"/>
      <c r="AG689" s="97"/>
      <c r="AH689" s="97"/>
      <c r="AI689" s="97"/>
      <c r="AJ689" s="97"/>
      <c r="AK689" s="97"/>
      <c r="AL689" s="97"/>
      <c r="AM689" s="97"/>
      <c r="AN689" s="97"/>
      <c r="AO689" s="97"/>
      <c r="AP689" s="97"/>
      <c r="AQ689" s="99"/>
      <c r="AR689" s="99"/>
      <c r="AS689" s="99"/>
    </row>
    <row r="690">
      <c r="A690" s="97"/>
      <c r="B690" s="97"/>
      <c r="C690" s="97"/>
      <c r="D690" s="97"/>
      <c r="E690" s="97"/>
      <c r="F690" s="97"/>
      <c r="G690" s="98"/>
      <c r="H690" s="97"/>
      <c r="I690" s="97"/>
      <c r="J690" s="97"/>
      <c r="K690" s="97"/>
      <c r="L690" s="97"/>
      <c r="M690" s="97"/>
      <c r="N690" s="97"/>
      <c r="O690" s="97"/>
      <c r="P690" s="97"/>
      <c r="Q690" s="97"/>
      <c r="R690" s="97"/>
      <c r="S690" s="97"/>
      <c r="T690" s="97"/>
      <c r="U690" s="98"/>
      <c r="V690" s="97"/>
      <c r="W690" s="97"/>
      <c r="X690" s="97"/>
      <c r="Y690" s="97"/>
      <c r="Z690" s="97"/>
      <c r="AA690" s="97"/>
      <c r="AB690" s="97"/>
      <c r="AC690" s="97"/>
      <c r="AD690" s="97"/>
      <c r="AE690" s="97"/>
      <c r="AF690" s="97"/>
      <c r="AG690" s="97"/>
      <c r="AH690" s="97"/>
      <c r="AI690" s="97"/>
      <c r="AJ690" s="97"/>
      <c r="AK690" s="97"/>
      <c r="AL690" s="97"/>
      <c r="AM690" s="97"/>
      <c r="AN690" s="97"/>
      <c r="AO690" s="97"/>
      <c r="AP690" s="97"/>
      <c r="AQ690" s="99"/>
      <c r="AR690" s="99"/>
      <c r="AS690" s="99"/>
    </row>
    <row r="691">
      <c r="A691" s="97"/>
      <c r="B691" s="97"/>
      <c r="C691" s="97"/>
      <c r="D691" s="97"/>
      <c r="E691" s="97"/>
      <c r="F691" s="97"/>
      <c r="G691" s="98"/>
      <c r="H691" s="97"/>
      <c r="I691" s="97"/>
      <c r="J691" s="97"/>
      <c r="K691" s="97"/>
      <c r="L691" s="97"/>
      <c r="M691" s="97"/>
      <c r="N691" s="97"/>
      <c r="O691" s="97"/>
      <c r="P691" s="97"/>
      <c r="Q691" s="97"/>
      <c r="R691" s="97"/>
      <c r="S691" s="97"/>
      <c r="T691" s="97"/>
      <c r="U691" s="98"/>
      <c r="V691" s="97"/>
      <c r="W691" s="97"/>
      <c r="X691" s="97"/>
      <c r="Y691" s="97"/>
      <c r="Z691" s="97"/>
      <c r="AA691" s="97"/>
      <c r="AB691" s="97"/>
      <c r="AC691" s="97"/>
      <c r="AD691" s="97"/>
      <c r="AE691" s="97"/>
      <c r="AF691" s="97"/>
      <c r="AG691" s="97"/>
      <c r="AH691" s="97"/>
      <c r="AI691" s="97"/>
      <c r="AJ691" s="97"/>
      <c r="AK691" s="97"/>
      <c r="AL691" s="97"/>
      <c r="AM691" s="97"/>
      <c r="AN691" s="97"/>
      <c r="AO691" s="97"/>
      <c r="AP691" s="97"/>
      <c r="AQ691" s="99"/>
      <c r="AR691" s="99"/>
      <c r="AS691" s="99"/>
    </row>
    <row r="692">
      <c r="A692" s="97"/>
      <c r="B692" s="97"/>
      <c r="C692" s="97"/>
      <c r="D692" s="97"/>
      <c r="E692" s="97"/>
      <c r="F692" s="97"/>
      <c r="G692" s="98"/>
      <c r="H692" s="97"/>
      <c r="I692" s="97"/>
      <c r="J692" s="97"/>
      <c r="K692" s="97"/>
      <c r="L692" s="97"/>
      <c r="M692" s="97"/>
      <c r="N692" s="97"/>
      <c r="O692" s="97"/>
      <c r="P692" s="97"/>
      <c r="Q692" s="97"/>
      <c r="R692" s="97"/>
      <c r="S692" s="97"/>
      <c r="T692" s="97"/>
      <c r="U692" s="98"/>
      <c r="V692" s="97"/>
      <c r="W692" s="97"/>
      <c r="X692" s="97"/>
      <c r="Y692" s="97"/>
      <c r="Z692" s="97"/>
      <c r="AA692" s="97"/>
      <c r="AB692" s="97"/>
      <c r="AC692" s="97"/>
      <c r="AD692" s="97"/>
      <c r="AE692" s="97"/>
      <c r="AF692" s="97"/>
      <c r="AG692" s="97"/>
      <c r="AH692" s="97"/>
      <c r="AI692" s="97"/>
      <c r="AJ692" s="97"/>
      <c r="AK692" s="97"/>
      <c r="AL692" s="97"/>
      <c r="AM692" s="97"/>
      <c r="AN692" s="97"/>
      <c r="AO692" s="97"/>
      <c r="AP692" s="97"/>
      <c r="AQ692" s="99"/>
      <c r="AR692" s="99"/>
      <c r="AS692" s="99"/>
    </row>
    <row r="693">
      <c r="A693" s="97"/>
      <c r="B693" s="97"/>
      <c r="C693" s="97"/>
      <c r="D693" s="97"/>
      <c r="E693" s="97"/>
      <c r="F693" s="97"/>
      <c r="G693" s="98"/>
      <c r="H693" s="97"/>
      <c r="I693" s="97"/>
      <c r="J693" s="97"/>
      <c r="K693" s="97"/>
      <c r="L693" s="97"/>
      <c r="M693" s="97"/>
      <c r="N693" s="97"/>
      <c r="O693" s="97"/>
      <c r="P693" s="97"/>
      <c r="Q693" s="97"/>
      <c r="R693" s="97"/>
      <c r="S693" s="97"/>
      <c r="T693" s="97"/>
      <c r="U693" s="98"/>
      <c r="V693" s="97"/>
      <c r="W693" s="97"/>
      <c r="X693" s="97"/>
      <c r="Y693" s="97"/>
      <c r="Z693" s="97"/>
      <c r="AA693" s="97"/>
      <c r="AB693" s="97"/>
      <c r="AC693" s="97"/>
      <c r="AD693" s="97"/>
      <c r="AE693" s="97"/>
      <c r="AF693" s="97"/>
      <c r="AG693" s="97"/>
      <c r="AH693" s="97"/>
      <c r="AI693" s="97"/>
      <c r="AJ693" s="97"/>
      <c r="AK693" s="97"/>
      <c r="AL693" s="97"/>
      <c r="AM693" s="97"/>
      <c r="AN693" s="97"/>
      <c r="AO693" s="97"/>
      <c r="AP693" s="97"/>
      <c r="AQ693" s="99"/>
      <c r="AR693" s="99"/>
      <c r="AS693" s="99"/>
    </row>
    <row r="694">
      <c r="A694" s="97"/>
      <c r="B694" s="97"/>
      <c r="C694" s="97"/>
      <c r="D694" s="97"/>
      <c r="E694" s="97"/>
      <c r="F694" s="97"/>
      <c r="G694" s="98"/>
      <c r="H694" s="97"/>
      <c r="I694" s="97"/>
      <c r="J694" s="97"/>
      <c r="K694" s="97"/>
      <c r="L694" s="97"/>
      <c r="M694" s="97"/>
      <c r="N694" s="97"/>
      <c r="O694" s="97"/>
      <c r="P694" s="97"/>
      <c r="Q694" s="97"/>
      <c r="R694" s="97"/>
      <c r="S694" s="97"/>
      <c r="T694" s="97"/>
      <c r="U694" s="98"/>
      <c r="V694" s="97"/>
      <c r="W694" s="97"/>
      <c r="X694" s="97"/>
      <c r="Y694" s="97"/>
      <c r="Z694" s="97"/>
      <c r="AA694" s="97"/>
      <c r="AB694" s="97"/>
      <c r="AC694" s="97"/>
      <c r="AD694" s="97"/>
      <c r="AE694" s="97"/>
      <c r="AF694" s="97"/>
      <c r="AG694" s="97"/>
      <c r="AH694" s="97"/>
      <c r="AI694" s="97"/>
      <c r="AJ694" s="97"/>
      <c r="AK694" s="97"/>
      <c r="AL694" s="97"/>
      <c r="AM694" s="97"/>
      <c r="AN694" s="97"/>
      <c r="AO694" s="97"/>
      <c r="AP694" s="97"/>
      <c r="AQ694" s="99"/>
      <c r="AR694" s="99"/>
      <c r="AS694" s="99"/>
    </row>
    <row r="695">
      <c r="A695" s="97"/>
      <c r="B695" s="97"/>
      <c r="C695" s="97"/>
      <c r="D695" s="97"/>
      <c r="E695" s="97"/>
      <c r="F695" s="97"/>
      <c r="G695" s="98"/>
      <c r="H695" s="97"/>
      <c r="I695" s="97"/>
      <c r="J695" s="97"/>
      <c r="K695" s="97"/>
      <c r="L695" s="97"/>
      <c r="M695" s="97"/>
      <c r="N695" s="97"/>
      <c r="O695" s="97"/>
      <c r="P695" s="97"/>
      <c r="Q695" s="97"/>
      <c r="R695" s="97"/>
      <c r="S695" s="97"/>
      <c r="T695" s="97"/>
      <c r="U695" s="98"/>
      <c r="V695" s="97"/>
      <c r="W695" s="97"/>
      <c r="X695" s="97"/>
      <c r="Y695" s="97"/>
      <c r="Z695" s="97"/>
      <c r="AA695" s="97"/>
      <c r="AB695" s="97"/>
      <c r="AC695" s="97"/>
      <c r="AD695" s="97"/>
      <c r="AE695" s="97"/>
      <c r="AF695" s="97"/>
      <c r="AG695" s="97"/>
      <c r="AH695" s="97"/>
      <c r="AI695" s="97"/>
      <c r="AJ695" s="97"/>
      <c r="AK695" s="97"/>
      <c r="AL695" s="97"/>
      <c r="AM695" s="97"/>
      <c r="AN695" s="97"/>
      <c r="AO695" s="97"/>
      <c r="AP695" s="97"/>
      <c r="AQ695" s="99"/>
      <c r="AR695" s="99"/>
      <c r="AS695" s="99"/>
    </row>
    <row r="696">
      <c r="A696" s="97"/>
      <c r="B696" s="97"/>
      <c r="C696" s="97"/>
      <c r="D696" s="97"/>
      <c r="E696" s="97"/>
      <c r="F696" s="97"/>
      <c r="G696" s="98"/>
      <c r="H696" s="97"/>
      <c r="I696" s="97"/>
      <c r="J696" s="97"/>
      <c r="K696" s="97"/>
      <c r="L696" s="97"/>
      <c r="M696" s="97"/>
      <c r="N696" s="97"/>
      <c r="O696" s="97"/>
      <c r="P696" s="97"/>
      <c r="Q696" s="97"/>
      <c r="R696" s="97"/>
      <c r="S696" s="97"/>
      <c r="T696" s="97"/>
      <c r="U696" s="98"/>
      <c r="V696" s="97"/>
      <c r="W696" s="97"/>
      <c r="X696" s="97"/>
      <c r="Y696" s="97"/>
      <c r="Z696" s="97"/>
      <c r="AA696" s="97"/>
      <c r="AB696" s="97"/>
      <c r="AC696" s="97"/>
      <c r="AD696" s="97"/>
      <c r="AE696" s="97"/>
      <c r="AF696" s="97"/>
      <c r="AG696" s="97"/>
      <c r="AH696" s="97"/>
      <c r="AI696" s="97"/>
      <c r="AJ696" s="97"/>
      <c r="AK696" s="97"/>
      <c r="AL696" s="97"/>
      <c r="AM696" s="97"/>
      <c r="AN696" s="97"/>
      <c r="AO696" s="97"/>
      <c r="AP696" s="97"/>
      <c r="AQ696" s="99"/>
      <c r="AR696" s="99"/>
      <c r="AS696" s="99"/>
    </row>
    <row r="697">
      <c r="A697" s="97"/>
      <c r="B697" s="97"/>
      <c r="C697" s="97"/>
      <c r="D697" s="97"/>
      <c r="E697" s="97"/>
      <c r="F697" s="97"/>
      <c r="G697" s="98"/>
      <c r="H697" s="97"/>
      <c r="I697" s="97"/>
      <c r="J697" s="97"/>
      <c r="K697" s="97"/>
      <c r="L697" s="97"/>
      <c r="M697" s="97"/>
      <c r="N697" s="97"/>
      <c r="O697" s="97"/>
      <c r="P697" s="97"/>
      <c r="Q697" s="97"/>
      <c r="R697" s="97"/>
      <c r="S697" s="97"/>
      <c r="T697" s="97"/>
      <c r="U697" s="98"/>
      <c r="V697" s="97"/>
      <c r="W697" s="97"/>
      <c r="X697" s="97"/>
      <c r="Y697" s="97"/>
      <c r="Z697" s="97"/>
      <c r="AA697" s="97"/>
      <c r="AB697" s="97"/>
      <c r="AC697" s="97"/>
      <c r="AD697" s="97"/>
      <c r="AE697" s="97"/>
      <c r="AF697" s="97"/>
      <c r="AG697" s="97"/>
      <c r="AH697" s="97"/>
      <c r="AI697" s="97"/>
      <c r="AJ697" s="97"/>
      <c r="AK697" s="97"/>
      <c r="AL697" s="97"/>
      <c r="AM697" s="97"/>
      <c r="AN697" s="97"/>
      <c r="AO697" s="97"/>
      <c r="AP697" s="97"/>
      <c r="AQ697" s="99"/>
      <c r="AR697" s="99"/>
      <c r="AS697" s="99"/>
    </row>
    <row r="698">
      <c r="A698" s="97"/>
      <c r="B698" s="97"/>
      <c r="C698" s="97"/>
      <c r="D698" s="97"/>
      <c r="E698" s="97"/>
      <c r="F698" s="97"/>
      <c r="G698" s="98"/>
      <c r="H698" s="97"/>
      <c r="I698" s="97"/>
      <c r="J698" s="97"/>
      <c r="K698" s="97"/>
      <c r="L698" s="97"/>
      <c r="M698" s="97"/>
      <c r="N698" s="97"/>
      <c r="O698" s="97"/>
      <c r="P698" s="97"/>
      <c r="Q698" s="97"/>
      <c r="R698" s="97"/>
      <c r="S698" s="97"/>
      <c r="T698" s="97"/>
      <c r="U698" s="98"/>
      <c r="V698" s="97"/>
      <c r="W698" s="97"/>
      <c r="X698" s="97"/>
      <c r="Y698" s="97"/>
      <c r="Z698" s="97"/>
      <c r="AA698" s="97"/>
      <c r="AB698" s="97"/>
      <c r="AC698" s="97"/>
      <c r="AD698" s="97"/>
      <c r="AE698" s="97"/>
      <c r="AF698" s="97"/>
      <c r="AG698" s="97"/>
      <c r="AH698" s="97"/>
      <c r="AI698" s="97"/>
      <c r="AJ698" s="97"/>
      <c r="AK698" s="97"/>
      <c r="AL698" s="97"/>
      <c r="AM698" s="97"/>
      <c r="AN698" s="97"/>
      <c r="AO698" s="97"/>
      <c r="AP698" s="97"/>
      <c r="AQ698" s="99"/>
      <c r="AR698" s="99"/>
      <c r="AS698" s="99"/>
    </row>
    <row r="699">
      <c r="A699" s="97"/>
      <c r="B699" s="97"/>
      <c r="C699" s="97"/>
      <c r="D699" s="97"/>
      <c r="E699" s="97"/>
      <c r="F699" s="97"/>
      <c r="G699" s="98"/>
      <c r="H699" s="97"/>
      <c r="I699" s="97"/>
      <c r="J699" s="97"/>
      <c r="K699" s="97"/>
      <c r="L699" s="97"/>
      <c r="M699" s="97"/>
      <c r="N699" s="97"/>
      <c r="O699" s="97"/>
      <c r="P699" s="97"/>
      <c r="Q699" s="97"/>
      <c r="R699" s="97"/>
      <c r="S699" s="97"/>
      <c r="T699" s="97"/>
      <c r="U699" s="98"/>
      <c r="V699" s="97"/>
      <c r="W699" s="97"/>
      <c r="X699" s="97"/>
      <c r="Y699" s="97"/>
      <c r="Z699" s="97"/>
      <c r="AA699" s="97"/>
      <c r="AB699" s="97"/>
      <c r="AC699" s="97"/>
      <c r="AD699" s="97"/>
      <c r="AE699" s="97"/>
      <c r="AF699" s="97"/>
      <c r="AG699" s="97"/>
      <c r="AH699" s="97"/>
      <c r="AI699" s="97"/>
      <c r="AJ699" s="97"/>
      <c r="AK699" s="97"/>
      <c r="AL699" s="97"/>
      <c r="AM699" s="97"/>
      <c r="AN699" s="97"/>
      <c r="AO699" s="97"/>
      <c r="AP699" s="97"/>
      <c r="AQ699" s="99"/>
      <c r="AR699" s="99"/>
      <c r="AS699" s="99"/>
    </row>
    <row r="700">
      <c r="A700" s="97"/>
      <c r="B700" s="97"/>
      <c r="C700" s="97"/>
      <c r="D700" s="97"/>
      <c r="E700" s="97"/>
      <c r="F700" s="97"/>
      <c r="G700" s="98"/>
      <c r="H700" s="97"/>
      <c r="I700" s="97"/>
      <c r="J700" s="97"/>
      <c r="K700" s="97"/>
      <c r="L700" s="97"/>
      <c r="M700" s="97"/>
      <c r="N700" s="97"/>
      <c r="O700" s="97"/>
      <c r="P700" s="97"/>
      <c r="Q700" s="97"/>
      <c r="R700" s="97"/>
      <c r="S700" s="97"/>
      <c r="T700" s="97"/>
      <c r="U700" s="98"/>
      <c r="V700" s="97"/>
      <c r="W700" s="97"/>
      <c r="X700" s="97"/>
      <c r="Y700" s="97"/>
      <c r="Z700" s="97"/>
      <c r="AA700" s="97"/>
      <c r="AB700" s="97"/>
      <c r="AC700" s="97"/>
      <c r="AD700" s="97"/>
      <c r="AE700" s="97"/>
      <c r="AF700" s="97"/>
      <c r="AG700" s="97"/>
      <c r="AH700" s="97"/>
      <c r="AI700" s="97"/>
      <c r="AJ700" s="97"/>
      <c r="AK700" s="97"/>
      <c r="AL700" s="97"/>
      <c r="AM700" s="97"/>
      <c r="AN700" s="97"/>
      <c r="AO700" s="97"/>
      <c r="AP700" s="97"/>
      <c r="AQ700" s="99"/>
      <c r="AR700" s="99"/>
      <c r="AS700" s="99"/>
    </row>
    <row r="701">
      <c r="A701" s="97"/>
      <c r="B701" s="97"/>
      <c r="C701" s="97"/>
      <c r="D701" s="97"/>
      <c r="E701" s="97"/>
      <c r="F701" s="97"/>
      <c r="G701" s="98"/>
      <c r="H701" s="97"/>
      <c r="I701" s="97"/>
      <c r="J701" s="97"/>
      <c r="K701" s="97"/>
      <c r="L701" s="97"/>
      <c r="M701" s="97"/>
      <c r="N701" s="97"/>
      <c r="O701" s="97"/>
      <c r="P701" s="97"/>
      <c r="Q701" s="97"/>
      <c r="R701" s="97"/>
      <c r="S701" s="97"/>
      <c r="T701" s="97"/>
      <c r="U701" s="98"/>
      <c r="V701" s="97"/>
      <c r="W701" s="97"/>
      <c r="X701" s="97"/>
      <c r="Y701" s="97"/>
      <c r="Z701" s="97"/>
      <c r="AA701" s="97"/>
      <c r="AB701" s="97"/>
      <c r="AC701" s="97"/>
      <c r="AD701" s="97"/>
      <c r="AE701" s="97"/>
      <c r="AF701" s="97"/>
      <c r="AG701" s="97"/>
      <c r="AH701" s="97"/>
      <c r="AI701" s="97"/>
      <c r="AJ701" s="97"/>
      <c r="AK701" s="97"/>
      <c r="AL701" s="97"/>
      <c r="AM701" s="97"/>
      <c r="AN701" s="97"/>
      <c r="AO701" s="97"/>
      <c r="AP701" s="97"/>
      <c r="AQ701" s="99"/>
      <c r="AR701" s="99"/>
      <c r="AS701" s="99"/>
    </row>
    <row r="702">
      <c r="A702" s="97"/>
      <c r="B702" s="97"/>
      <c r="C702" s="97"/>
      <c r="D702" s="97"/>
      <c r="E702" s="97"/>
      <c r="F702" s="97"/>
      <c r="G702" s="98"/>
      <c r="H702" s="97"/>
      <c r="I702" s="97"/>
      <c r="J702" s="97"/>
      <c r="K702" s="97"/>
      <c r="L702" s="97"/>
      <c r="M702" s="97"/>
      <c r="N702" s="97"/>
      <c r="O702" s="97"/>
      <c r="P702" s="97"/>
      <c r="Q702" s="97"/>
      <c r="R702" s="97"/>
      <c r="S702" s="97"/>
      <c r="T702" s="97"/>
      <c r="U702" s="98"/>
      <c r="V702" s="97"/>
      <c r="W702" s="97"/>
      <c r="X702" s="97"/>
      <c r="Y702" s="97"/>
      <c r="Z702" s="97"/>
      <c r="AA702" s="97"/>
      <c r="AB702" s="97"/>
      <c r="AC702" s="97"/>
      <c r="AD702" s="97"/>
      <c r="AE702" s="97"/>
      <c r="AF702" s="97"/>
      <c r="AG702" s="97"/>
      <c r="AH702" s="97"/>
      <c r="AI702" s="97"/>
      <c r="AJ702" s="97"/>
      <c r="AK702" s="97"/>
      <c r="AL702" s="97"/>
      <c r="AM702" s="97"/>
      <c r="AN702" s="97"/>
      <c r="AO702" s="97"/>
      <c r="AP702" s="97"/>
      <c r="AQ702" s="99"/>
      <c r="AR702" s="99"/>
      <c r="AS702" s="99"/>
    </row>
    <row r="703">
      <c r="A703" s="97"/>
      <c r="B703" s="97"/>
      <c r="C703" s="97"/>
      <c r="D703" s="97"/>
      <c r="E703" s="97"/>
      <c r="F703" s="97"/>
      <c r="G703" s="98"/>
      <c r="H703" s="97"/>
      <c r="I703" s="97"/>
      <c r="J703" s="97"/>
      <c r="K703" s="97"/>
      <c r="L703" s="97"/>
      <c r="M703" s="97"/>
      <c r="N703" s="97"/>
      <c r="O703" s="97"/>
      <c r="P703" s="97"/>
      <c r="Q703" s="97"/>
      <c r="R703" s="97"/>
      <c r="S703" s="97"/>
      <c r="T703" s="97"/>
      <c r="U703" s="98"/>
      <c r="V703" s="97"/>
      <c r="W703" s="97"/>
      <c r="X703" s="97"/>
      <c r="Y703" s="97"/>
      <c r="Z703" s="97"/>
      <c r="AA703" s="97"/>
      <c r="AB703" s="97"/>
      <c r="AC703" s="97"/>
      <c r="AD703" s="97"/>
      <c r="AE703" s="97"/>
      <c r="AF703" s="97"/>
      <c r="AG703" s="97"/>
      <c r="AH703" s="97"/>
      <c r="AI703" s="97"/>
      <c r="AJ703" s="97"/>
      <c r="AK703" s="97"/>
      <c r="AL703" s="97"/>
      <c r="AM703" s="97"/>
      <c r="AN703" s="97"/>
      <c r="AO703" s="97"/>
      <c r="AP703" s="97"/>
      <c r="AQ703" s="99"/>
      <c r="AR703" s="99"/>
      <c r="AS703" s="99"/>
    </row>
    <row r="704">
      <c r="A704" s="97"/>
      <c r="B704" s="97"/>
      <c r="C704" s="97"/>
      <c r="D704" s="97"/>
      <c r="E704" s="97"/>
      <c r="F704" s="97"/>
      <c r="G704" s="98"/>
      <c r="H704" s="97"/>
      <c r="I704" s="97"/>
      <c r="J704" s="97"/>
      <c r="K704" s="97"/>
      <c r="L704" s="97"/>
      <c r="M704" s="97"/>
      <c r="N704" s="97"/>
      <c r="O704" s="97"/>
      <c r="P704" s="97"/>
      <c r="Q704" s="97"/>
      <c r="R704" s="97"/>
      <c r="S704" s="97"/>
      <c r="T704" s="97"/>
      <c r="U704" s="98"/>
      <c r="V704" s="97"/>
      <c r="W704" s="97"/>
      <c r="X704" s="97"/>
      <c r="Y704" s="97"/>
      <c r="Z704" s="97"/>
      <c r="AA704" s="97"/>
      <c r="AB704" s="97"/>
      <c r="AC704" s="97"/>
      <c r="AD704" s="97"/>
      <c r="AE704" s="97"/>
      <c r="AF704" s="97"/>
      <c r="AG704" s="97"/>
      <c r="AH704" s="97"/>
      <c r="AI704" s="97"/>
      <c r="AJ704" s="97"/>
      <c r="AK704" s="97"/>
      <c r="AL704" s="97"/>
      <c r="AM704" s="97"/>
      <c r="AN704" s="97"/>
      <c r="AO704" s="97"/>
      <c r="AP704" s="97"/>
      <c r="AQ704" s="99"/>
      <c r="AR704" s="99"/>
      <c r="AS704" s="99"/>
    </row>
    <row r="705">
      <c r="A705" s="97"/>
      <c r="B705" s="97"/>
      <c r="C705" s="97"/>
      <c r="D705" s="97"/>
      <c r="E705" s="97"/>
      <c r="F705" s="97"/>
      <c r="G705" s="98"/>
      <c r="H705" s="97"/>
      <c r="I705" s="97"/>
      <c r="J705" s="97"/>
      <c r="K705" s="97"/>
      <c r="L705" s="97"/>
      <c r="M705" s="97"/>
      <c r="N705" s="97"/>
      <c r="O705" s="97"/>
      <c r="P705" s="97"/>
      <c r="Q705" s="97"/>
      <c r="R705" s="97"/>
      <c r="S705" s="97"/>
      <c r="T705" s="97"/>
      <c r="U705" s="98"/>
      <c r="V705" s="97"/>
      <c r="W705" s="97"/>
      <c r="X705" s="97"/>
      <c r="Y705" s="97"/>
      <c r="Z705" s="97"/>
      <c r="AA705" s="97"/>
      <c r="AB705" s="97"/>
      <c r="AC705" s="97"/>
      <c r="AD705" s="97"/>
      <c r="AE705" s="97"/>
      <c r="AF705" s="97"/>
      <c r="AG705" s="97"/>
      <c r="AH705" s="97"/>
      <c r="AI705" s="97"/>
      <c r="AJ705" s="97"/>
      <c r="AK705" s="97"/>
      <c r="AL705" s="97"/>
      <c r="AM705" s="97"/>
      <c r="AN705" s="97"/>
      <c r="AO705" s="97"/>
      <c r="AP705" s="97"/>
      <c r="AQ705" s="99"/>
      <c r="AR705" s="99"/>
      <c r="AS705" s="99"/>
    </row>
    <row r="706">
      <c r="A706" s="97"/>
      <c r="B706" s="97"/>
      <c r="C706" s="97"/>
      <c r="D706" s="97"/>
      <c r="E706" s="97"/>
      <c r="F706" s="97"/>
      <c r="G706" s="98"/>
      <c r="H706" s="97"/>
      <c r="I706" s="97"/>
      <c r="J706" s="97"/>
      <c r="K706" s="97"/>
      <c r="L706" s="97"/>
      <c r="M706" s="97"/>
      <c r="N706" s="97"/>
      <c r="O706" s="97"/>
      <c r="P706" s="97"/>
      <c r="Q706" s="97"/>
      <c r="R706" s="97"/>
      <c r="S706" s="97"/>
      <c r="T706" s="97"/>
      <c r="U706" s="98"/>
      <c r="V706" s="97"/>
      <c r="W706" s="97"/>
      <c r="X706" s="97"/>
      <c r="Y706" s="97"/>
      <c r="Z706" s="97"/>
      <c r="AA706" s="97"/>
      <c r="AB706" s="97"/>
      <c r="AC706" s="97"/>
      <c r="AD706" s="97"/>
      <c r="AE706" s="97"/>
      <c r="AF706" s="97"/>
      <c r="AG706" s="97"/>
      <c r="AH706" s="97"/>
      <c r="AI706" s="97"/>
      <c r="AJ706" s="97"/>
      <c r="AK706" s="97"/>
      <c r="AL706" s="97"/>
      <c r="AM706" s="97"/>
      <c r="AN706" s="97"/>
      <c r="AO706" s="97"/>
      <c r="AP706" s="97"/>
      <c r="AQ706" s="99"/>
      <c r="AR706" s="99"/>
      <c r="AS706" s="99"/>
    </row>
    <row r="707">
      <c r="A707" s="97"/>
      <c r="B707" s="97"/>
      <c r="C707" s="97"/>
      <c r="D707" s="97"/>
      <c r="E707" s="97"/>
      <c r="F707" s="97"/>
      <c r="G707" s="98"/>
      <c r="H707" s="97"/>
      <c r="I707" s="97"/>
      <c r="J707" s="97"/>
      <c r="K707" s="97"/>
      <c r="L707" s="97"/>
      <c r="M707" s="97"/>
      <c r="N707" s="97"/>
      <c r="O707" s="97"/>
      <c r="P707" s="97"/>
      <c r="Q707" s="97"/>
      <c r="R707" s="97"/>
      <c r="S707" s="97"/>
      <c r="T707" s="97"/>
      <c r="U707" s="98"/>
      <c r="V707" s="97"/>
      <c r="W707" s="97"/>
      <c r="X707" s="97"/>
      <c r="Y707" s="97"/>
      <c r="Z707" s="97"/>
      <c r="AA707" s="97"/>
      <c r="AB707" s="97"/>
      <c r="AC707" s="97"/>
      <c r="AD707" s="97"/>
      <c r="AE707" s="97"/>
      <c r="AF707" s="97"/>
      <c r="AG707" s="97"/>
      <c r="AH707" s="97"/>
      <c r="AI707" s="97"/>
      <c r="AJ707" s="97"/>
      <c r="AK707" s="97"/>
      <c r="AL707" s="97"/>
      <c r="AM707" s="97"/>
      <c r="AN707" s="97"/>
      <c r="AO707" s="97"/>
      <c r="AP707" s="97"/>
      <c r="AQ707" s="99"/>
      <c r="AR707" s="99"/>
      <c r="AS707" s="99"/>
    </row>
    <row r="708">
      <c r="A708" s="97"/>
      <c r="B708" s="97"/>
      <c r="C708" s="97"/>
      <c r="D708" s="97"/>
      <c r="E708" s="97"/>
      <c r="F708" s="97"/>
      <c r="G708" s="98"/>
      <c r="H708" s="97"/>
      <c r="I708" s="97"/>
      <c r="J708" s="97"/>
      <c r="K708" s="97"/>
      <c r="L708" s="97"/>
      <c r="M708" s="97"/>
      <c r="N708" s="97"/>
      <c r="O708" s="97"/>
      <c r="P708" s="97"/>
      <c r="Q708" s="97"/>
      <c r="R708" s="97"/>
      <c r="S708" s="97"/>
      <c r="T708" s="97"/>
      <c r="U708" s="98"/>
      <c r="V708" s="97"/>
      <c r="W708" s="97"/>
      <c r="X708" s="97"/>
      <c r="Y708" s="97"/>
      <c r="Z708" s="97"/>
      <c r="AA708" s="97"/>
      <c r="AB708" s="97"/>
      <c r="AC708" s="97"/>
      <c r="AD708" s="97"/>
      <c r="AE708" s="97"/>
      <c r="AF708" s="97"/>
      <c r="AG708" s="97"/>
      <c r="AH708" s="97"/>
      <c r="AI708" s="97"/>
      <c r="AJ708" s="97"/>
      <c r="AK708" s="97"/>
      <c r="AL708" s="97"/>
      <c r="AM708" s="97"/>
      <c r="AN708" s="97"/>
      <c r="AO708" s="97"/>
      <c r="AP708" s="97"/>
      <c r="AQ708" s="99"/>
      <c r="AR708" s="99"/>
      <c r="AS708" s="99"/>
    </row>
    <row r="709">
      <c r="A709" s="97"/>
      <c r="B709" s="97"/>
      <c r="C709" s="97"/>
      <c r="D709" s="97"/>
      <c r="E709" s="97"/>
      <c r="F709" s="97"/>
      <c r="G709" s="98"/>
      <c r="H709" s="97"/>
      <c r="I709" s="97"/>
      <c r="J709" s="97"/>
      <c r="K709" s="97"/>
      <c r="L709" s="97"/>
      <c r="M709" s="97"/>
      <c r="N709" s="97"/>
      <c r="O709" s="97"/>
      <c r="P709" s="97"/>
      <c r="Q709" s="97"/>
      <c r="R709" s="97"/>
      <c r="S709" s="97"/>
      <c r="T709" s="97"/>
      <c r="U709" s="98"/>
      <c r="V709" s="97"/>
      <c r="W709" s="97"/>
      <c r="X709" s="97"/>
      <c r="Y709" s="97"/>
      <c r="Z709" s="97"/>
      <c r="AA709" s="97"/>
      <c r="AB709" s="97"/>
      <c r="AC709" s="97"/>
      <c r="AD709" s="97"/>
      <c r="AE709" s="97"/>
      <c r="AF709" s="97"/>
      <c r="AG709" s="97"/>
      <c r="AH709" s="97"/>
      <c r="AI709" s="97"/>
      <c r="AJ709" s="97"/>
      <c r="AK709" s="97"/>
      <c r="AL709" s="97"/>
      <c r="AM709" s="97"/>
      <c r="AN709" s="97"/>
      <c r="AO709" s="97"/>
      <c r="AP709" s="97"/>
      <c r="AQ709" s="99"/>
      <c r="AR709" s="99"/>
      <c r="AS709" s="99"/>
    </row>
    <row r="710">
      <c r="A710" s="97"/>
      <c r="B710" s="97"/>
      <c r="C710" s="97"/>
      <c r="D710" s="97"/>
      <c r="E710" s="97"/>
      <c r="F710" s="97"/>
      <c r="G710" s="98"/>
      <c r="H710" s="97"/>
      <c r="I710" s="97"/>
      <c r="J710" s="97"/>
      <c r="K710" s="97"/>
      <c r="L710" s="97"/>
      <c r="M710" s="97"/>
      <c r="N710" s="97"/>
      <c r="O710" s="97"/>
      <c r="P710" s="97"/>
      <c r="Q710" s="97"/>
      <c r="R710" s="97"/>
      <c r="S710" s="97"/>
      <c r="T710" s="97"/>
      <c r="U710" s="98"/>
      <c r="V710" s="97"/>
      <c r="W710" s="97"/>
      <c r="X710" s="97"/>
      <c r="Y710" s="97"/>
      <c r="Z710" s="97"/>
      <c r="AA710" s="97"/>
      <c r="AB710" s="97"/>
      <c r="AC710" s="97"/>
      <c r="AD710" s="97"/>
      <c r="AE710" s="97"/>
      <c r="AF710" s="97"/>
      <c r="AG710" s="97"/>
      <c r="AH710" s="97"/>
      <c r="AI710" s="97"/>
      <c r="AJ710" s="97"/>
      <c r="AK710" s="97"/>
      <c r="AL710" s="97"/>
      <c r="AM710" s="97"/>
      <c r="AN710" s="97"/>
      <c r="AO710" s="97"/>
      <c r="AP710" s="97"/>
      <c r="AQ710" s="99"/>
      <c r="AR710" s="99"/>
      <c r="AS710" s="99"/>
    </row>
    <row r="711">
      <c r="A711" s="97"/>
      <c r="B711" s="97"/>
      <c r="C711" s="97"/>
      <c r="D711" s="97"/>
      <c r="E711" s="97"/>
      <c r="F711" s="97"/>
      <c r="G711" s="98"/>
      <c r="H711" s="97"/>
      <c r="I711" s="97"/>
      <c r="J711" s="97"/>
      <c r="K711" s="97"/>
      <c r="L711" s="97"/>
      <c r="M711" s="97"/>
      <c r="N711" s="97"/>
      <c r="O711" s="97"/>
      <c r="P711" s="97"/>
      <c r="Q711" s="97"/>
      <c r="R711" s="97"/>
      <c r="S711" s="97"/>
      <c r="T711" s="97"/>
      <c r="U711" s="98"/>
      <c r="V711" s="97"/>
      <c r="W711" s="97"/>
      <c r="X711" s="97"/>
      <c r="Y711" s="97"/>
      <c r="Z711" s="97"/>
      <c r="AA711" s="97"/>
      <c r="AB711" s="97"/>
      <c r="AC711" s="97"/>
      <c r="AD711" s="97"/>
      <c r="AE711" s="97"/>
      <c r="AF711" s="97"/>
      <c r="AG711" s="97"/>
      <c r="AH711" s="97"/>
      <c r="AI711" s="97"/>
      <c r="AJ711" s="97"/>
      <c r="AK711" s="97"/>
      <c r="AL711" s="97"/>
      <c r="AM711" s="97"/>
      <c r="AN711" s="97"/>
      <c r="AO711" s="97"/>
      <c r="AP711" s="97"/>
      <c r="AQ711" s="99"/>
      <c r="AR711" s="99"/>
      <c r="AS711" s="99"/>
    </row>
    <row r="712">
      <c r="A712" s="97"/>
      <c r="B712" s="97"/>
      <c r="C712" s="97"/>
      <c r="D712" s="97"/>
      <c r="E712" s="97"/>
      <c r="F712" s="97"/>
      <c r="G712" s="98"/>
      <c r="H712" s="97"/>
      <c r="I712" s="97"/>
      <c r="J712" s="97"/>
      <c r="K712" s="97"/>
      <c r="L712" s="97"/>
      <c r="M712" s="97"/>
      <c r="N712" s="97"/>
      <c r="O712" s="97"/>
      <c r="P712" s="97"/>
      <c r="Q712" s="97"/>
      <c r="R712" s="97"/>
      <c r="S712" s="97"/>
      <c r="T712" s="97"/>
      <c r="U712" s="98"/>
      <c r="V712" s="97"/>
      <c r="W712" s="97"/>
      <c r="X712" s="97"/>
      <c r="Y712" s="97"/>
      <c r="Z712" s="97"/>
      <c r="AA712" s="97"/>
      <c r="AB712" s="97"/>
      <c r="AC712" s="97"/>
      <c r="AD712" s="97"/>
      <c r="AE712" s="97"/>
      <c r="AF712" s="97"/>
      <c r="AG712" s="97"/>
      <c r="AH712" s="97"/>
      <c r="AI712" s="97"/>
      <c r="AJ712" s="97"/>
      <c r="AK712" s="97"/>
      <c r="AL712" s="97"/>
      <c r="AM712" s="97"/>
      <c r="AN712" s="97"/>
      <c r="AO712" s="97"/>
      <c r="AP712" s="97"/>
      <c r="AQ712" s="99"/>
      <c r="AR712" s="99"/>
      <c r="AS712" s="99"/>
    </row>
    <row r="713">
      <c r="A713" s="97"/>
      <c r="B713" s="97"/>
      <c r="C713" s="97"/>
      <c r="D713" s="97"/>
      <c r="E713" s="97"/>
      <c r="F713" s="97"/>
      <c r="G713" s="98"/>
      <c r="H713" s="97"/>
      <c r="I713" s="97"/>
      <c r="J713" s="97"/>
      <c r="K713" s="97"/>
      <c r="L713" s="97"/>
      <c r="M713" s="97"/>
      <c r="N713" s="97"/>
      <c r="O713" s="97"/>
      <c r="P713" s="97"/>
      <c r="Q713" s="97"/>
      <c r="R713" s="97"/>
      <c r="S713" s="97"/>
      <c r="T713" s="97"/>
      <c r="U713" s="98"/>
      <c r="V713" s="97"/>
      <c r="W713" s="97"/>
      <c r="X713" s="97"/>
      <c r="Y713" s="97"/>
      <c r="Z713" s="97"/>
      <c r="AA713" s="97"/>
      <c r="AB713" s="97"/>
      <c r="AC713" s="97"/>
      <c r="AD713" s="97"/>
      <c r="AE713" s="97"/>
      <c r="AF713" s="97"/>
      <c r="AG713" s="97"/>
      <c r="AH713" s="97"/>
      <c r="AI713" s="97"/>
      <c r="AJ713" s="97"/>
      <c r="AK713" s="97"/>
      <c r="AL713" s="97"/>
      <c r="AM713" s="97"/>
      <c r="AN713" s="97"/>
      <c r="AO713" s="97"/>
      <c r="AP713" s="97"/>
      <c r="AQ713" s="99"/>
      <c r="AR713" s="99"/>
      <c r="AS713" s="99"/>
    </row>
    <row r="714">
      <c r="A714" s="97"/>
      <c r="B714" s="97"/>
      <c r="C714" s="97"/>
      <c r="D714" s="97"/>
      <c r="E714" s="97"/>
      <c r="F714" s="97"/>
      <c r="G714" s="98"/>
      <c r="H714" s="97"/>
      <c r="I714" s="97"/>
      <c r="J714" s="97"/>
      <c r="K714" s="97"/>
      <c r="L714" s="97"/>
      <c r="M714" s="97"/>
      <c r="N714" s="97"/>
      <c r="O714" s="97"/>
      <c r="P714" s="97"/>
      <c r="Q714" s="97"/>
      <c r="R714" s="97"/>
      <c r="S714" s="97"/>
      <c r="T714" s="97"/>
      <c r="U714" s="98"/>
      <c r="V714" s="97"/>
      <c r="W714" s="97"/>
      <c r="X714" s="97"/>
      <c r="Y714" s="97"/>
      <c r="Z714" s="97"/>
      <c r="AA714" s="97"/>
      <c r="AB714" s="97"/>
      <c r="AC714" s="97"/>
      <c r="AD714" s="97"/>
      <c r="AE714" s="97"/>
      <c r="AF714" s="97"/>
      <c r="AG714" s="97"/>
      <c r="AH714" s="97"/>
      <c r="AI714" s="97"/>
      <c r="AJ714" s="97"/>
      <c r="AK714" s="97"/>
      <c r="AL714" s="97"/>
      <c r="AM714" s="97"/>
      <c r="AN714" s="97"/>
      <c r="AO714" s="97"/>
      <c r="AP714" s="97"/>
      <c r="AQ714" s="99"/>
      <c r="AR714" s="99"/>
      <c r="AS714" s="99"/>
    </row>
    <row r="715">
      <c r="A715" s="97"/>
      <c r="B715" s="97"/>
      <c r="C715" s="97"/>
      <c r="D715" s="97"/>
      <c r="E715" s="97"/>
      <c r="F715" s="97"/>
      <c r="G715" s="98"/>
      <c r="H715" s="97"/>
      <c r="I715" s="97"/>
      <c r="J715" s="97"/>
      <c r="K715" s="97"/>
      <c r="L715" s="97"/>
      <c r="M715" s="97"/>
      <c r="N715" s="97"/>
      <c r="O715" s="97"/>
      <c r="P715" s="97"/>
      <c r="Q715" s="97"/>
      <c r="R715" s="97"/>
      <c r="S715" s="97"/>
      <c r="T715" s="97"/>
      <c r="U715" s="98"/>
      <c r="V715" s="97"/>
      <c r="W715" s="97"/>
      <c r="X715" s="97"/>
      <c r="Y715" s="97"/>
      <c r="Z715" s="97"/>
      <c r="AA715" s="97"/>
      <c r="AB715" s="97"/>
      <c r="AC715" s="97"/>
      <c r="AD715" s="97"/>
      <c r="AE715" s="97"/>
      <c r="AF715" s="97"/>
      <c r="AG715" s="97"/>
      <c r="AH715" s="97"/>
      <c r="AI715" s="97"/>
      <c r="AJ715" s="97"/>
      <c r="AK715" s="97"/>
      <c r="AL715" s="97"/>
      <c r="AM715" s="97"/>
      <c r="AN715" s="97"/>
      <c r="AO715" s="97"/>
      <c r="AP715" s="97"/>
      <c r="AQ715" s="99"/>
      <c r="AR715" s="99"/>
      <c r="AS715" s="99"/>
    </row>
    <row r="716">
      <c r="A716" s="97"/>
      <c r="B716" s="97"/>
      <c r="C716" s="97"/>
      <c r="D716" s="97"/>
      <c r="E716" s="97"/>
      <c r="F716" s="97"/>
      <c r="G716" s="98"/>
      <c r="H716" s="97"/>
      <c r="I716" s="97"/>
      <c r="J716" s="97"/>
      <c r="K716" s="97"/>
      <c r="L716" s="97"/>
      <c r="M716" s="97"/>
      <c r="N716" s="97"/>
      <c r="O716" s="97"/>
      <c r="P716" s="97"/>
      <c r="Q716" s="97"/>
      <c r="R716" s="97"/>
      <c r="S716" s="97"/>
      <c r="T716" s="97"/>
      <c r="U716" s="98"/>
      <c r="V716" s="97"/>
      <c r="W716" s="97"/>
      <c r="X716" s="97"/>
      <c r="Y716" s="97"/>
      <c r="Z716" s="97"/>
      <c r="AA716" s="97"/>
      <c r="AB716" s="97"/>
      <c r="AC716" s="97"/>
      <c r="AD716" s="97"/>
      <c r="AE716" s="97"/>
      <c r="AF716" s="97"/>
      <c r="AG716" s="97"/>
      <c r="AH716" s="97"/>
      <c r="AI716" s="97"/>
      <c r="AJ716" s="97"/>
      <c r="AK716" s="97"/>
      <c r="AL716" s="97"/>
      <c r="AM716" s="97"/>
      <c r="AN716" s="97"/>
      <c r="AO716" s="97"/>
      <c r="AP716" s="97"/>
      <c r="AQ716" s="99"/>
      <c r="AR716" s="99"/>
      <c r="AS716" s="99"/>
    </row>
    <row r="717">
      <c r="A717" s="97"/>
      <c r="B717" s="97"/>
      <c r="C717" s="97"/>
      <c r="D717" s="97"/>
      <c r="E717" s="97"/>
      <c r="F717" s="97"/>
      <c r="G717" s="98"/>
      <c r="H717" s="97"/>
      <c r="I717" s="97"/>
      <c r="J717" s="97"/>
      <c r="K717" s="97"/>
      <c r="L717" s="97"/>
      <c r="M717" s="97"/>
      <c r="N717" s="97"/>
      <c r="O717" s="97"/>
      <c r="P717" s="97"/>
      <c r="Q717" s="97"/>
      <c r="R717" s="97"/>
      <c r="S717" s="97"/>
      <c r="T717" s="97"/>
      <c r="U717" s="98"/>
      <c r="V717" s="97"/>
      <c r="W717" s="97"/>
      <c r="X717" s="97"/>
      <c r="Y717" s="97"/>
      <c r="Z717" s="97"/>
      <c r="AA717" s="97"/>
      <c r="AB717" s="97"/>
      <c r="AC717" s="97"/>
      <c r="AD717" s="97"/>
      <c r="AE717" s="97"/>
      <c r="AF717" s="97"/>
      <c r="AG717" s="97"/>
      <c r="AH717" s="97"/>
      <c r="AI717" s="97"/>
      <c r="AJ717" s="97"/>
      <c r="AK717" s="97"/>
      <c r="AL717" s="97"/>
      <c r="AM717" s="97"/>
      <c r="AN717" s="97"/>
      <c r="AO717" s="97"/>
      <c r="AP717" s="97"/>
      <c r="AQ717" s="99"/>
      <c r="AR717" s="99"/>
      <c r="AS717" s="99"/>
    </row>
    <row r="718">
      <c r="A718" s="97"/>
      <c r="B718" s="97"/>
      <c r="C718" s="97"/>
      <c r="D718" s="97"/>
      <c r="E718" s="97"/>
      <c r="F718" s="97"/>
      <c r="G718" s="98"/>
      <c r="H718" s="97"/>
      <c r="I718" s="97"/>
      <c r="J718" s="97"/>
      <c r="K718" s="97"/>
      <c r="L718" s="97"/>
      <c r="M718" s="97"/>
      <c r="N718" s="97"/>
      <c r="O718" s="97"/>
      <c r="P718" s="97"/>
      <c r="Q718" s="97"/>
      <c r="R718" s="97"/>
      <c r="S718" s="97"/>
      <c r="T718" s="97"/>
      <c r="U718" s="98"/>
      <c r="V718" s="97"/>
      <c r="W718" s="97"/>
      <c r="X718" s="97"/>
      <c r="Y718" s="97"/>
      <c r="Z718" s="97"/>
      <c r="AA718" s="97"/>
      <c r="AB718" s="97"/>
      <c r="AC718" s="97"/>
      <c r="AD718" s="97"/>
      <c r="AE718" s="97"/>
      <c r="AF718" s="97"/>
      <c r="AG718" s="97"/>
      <c r="AH718" s="97"/>
      <c r="AI718" s="97"/>
      <c r="AJ718" s="97"/>
      <c r="AK718" s="97"/>
      <c r="AL718" s="97"/>
      <c r="AM718" s="97"/>
      <c r="AN718" s="97"/>
      <c r="AO718" s="97"/>
      <c r="AP718" s="97"/>
      <c r="AQ718" s="99"/>
      <c r="AR718" s="99"/>
      <c r="AS718" s="99"/>
    </row>
    <row r="719">
      <c r="A719" s="97"/>
      <c r="B719" s="97"/>
      <c r="C719" s="97"/>
      <c r="D719" s="97"/>
      <c r="E719" s="97"/>
      <c r="F719" s="97"/>
      <c r="G719" s="98"/>
      <c r="H719" s="97"/>
      <c r="I719" s="97"/>
      <c r="J719" s="97"/>
      <c r="K719" s="97"/>
      <c r="L719" s="97"/>
      <c r="M719" s="97"/>
      <c r="N719" s="97"/>
      <c r="O719" s="97"/>
      <c r="P719" s="97"/>
      <c r="Q719" s="97"/>
      <c r="R719" s="97"/>
      <c r="S719" s="97"/>
      <c r="T719" s="97"/>
      <c r="U719" s="98"/>
      <c r="V719" s="97"/>
      <c r="W719" s="97"/>
      <c r="X719" s="97"/>
      <c r="Y719" s="97"/>
      <c r="Z719" s="97"/>
      <c r="AA719" s="97"/>
      <c r="AB719" s="97"/>
      <c r="AC719" s="97"/>
      <c r="AD719" s="97"/>
      <c r="AE719" s="97"/>
      <c r="AF719" s="97"/>
      <c r="AG719" s="97"/>
      <c r="AH719" s="97"/>
      <c r="AI719" s="97"/>
      <c r="AJ719" s="97"/>
      <c r="AK719" s="97"/>
      <c r="AL719" s="97"/>
      <c r="AM719" s="97"/>
      <c r="AN719" s="97"/>
      <c r="AO719" s="97"/>
      <c r="AP719" s="97"/>
      <c r="AQ719" s="99"/>
      <c r="AR719" s="99"/>
      <c r="AS719" s="99"/>
    </row>
    <row r="720">
      <c r="A720" s="97"/>
      <c r="B720" s="97"/>
      <c r="C720" s="97"/>
      <c r="D720" s="97"/>
      <c r="E720" s="97"/>
      <c r="F720" s="97"/>
      <c r="G720" s="98"/>
      <c r="H720" s="97"/>
      <c r="I720" s="97"/>
      <c r="J720" s="97"/>
      <c r="K720" s="97"/>
      <c r="L720" s="97"/>
      <c r="M720" s="97"/>
      <c r="N720" s="97"/>
      <c r="O720" s="97"/>
      <c r="P720" s="97"/>
      <c r="Q720" s="97"/>
      <c r="R720" s="97"/>
      <c r="S720" s="97"/>
      <c r="T720" s="97"/>
      <c r="U720" s="98"/>
      <c r="V720" s="97"/>
      <c r="W720" s="97"/>
      <c r="X720" s="97"/>
      <c r="Y720" s="97"/>
      <c r="Z720" s="97"/>
      <c r="AA720" s="97"/>
      <c r="AB720" s="97"/>
      <c r="AC720" s="97"/>
      <c r="AD720" s="97"/>
      <c r="AE720" s="97"/>
      <c r="AF720" s="97"/>
      <c r="AG720" s="97"/>
      <c r="AH720" s="97"/>
      <c r="AI720" s="97"/>
      <c r="AJ720" s="97"/>
      <c r="AK720" s="97"/>
      <c r="AL720" s="97"/>
      <c r="AM720" s="97"/>
      <c r="AN720" s="97"/>
      <c r="AO720" s="97"/>
      <c r="AP720" s="97"/>
      <c r="AQ720" s="99"/>
      <c r="AR720" s="99"/>
      <c r="AS720" s="99"/>
    </row>
    <row r="721">
      <c r="A721" s="97"/>
      <c r="B721" s="97"/>
      <c r="C721" s="97"/>
      <c r="D721" s="97"/>
      <c r="E721" s="97"/>
      <c r="F721" s="97"/>
      <c r="G721" s="98"/>
      <c r="H721" s="97"/>
      <c r="I721" s="97"/>
      <c r="J721" s="97"/>
      <c r="K721" s="97"/>
      <c r="L721" s="97"/>
      <c r="M721" s="97"/>
      <c r="N721" s="97"/>
      <c r="O721" s="97"/>
      <c r="P721" s="97"/>
      <c r="Q721" s="97"/>
      <c r="R721" s="97"/>
      <c r="S721" s="97"/>
      <c r="T721" s="97"/>
      <c r="U721" s="98"/>
      <c r="V721" s="97"/>
      <c r="W721" s="97"/>
      <c r="X721" s="97"/>
      <c r="Y721" s="97"/>
      <c r="Z721" s="97"/>
      <c r="AA721" s="97"/>
      <c r="AB721" s="97"/>
      <c r="AC721" s="97"/>
      <c r="AD721" s="97"/>
      <c r="AE721" s="97"/>
      <c r="AF721" s="97"/>
      <c r="AG721" s="97"/>
      <c r="AH721" s="97"/>
      <c r="AI721" s="97"/>
      <c r="AJ721" s="97"/>
      <c r="AK721" s="97"/>
      <c r="AL721" s="97"/>
      <c r="AM721" s="97"/>
      <c r="AN721" s="97"/>
      <c r="AO721" s="97"/>
      <c r="AP721" s="97"/>
      <c r="AQ721" s="99"/>
      <c r="AR721" s="99"/>
      <c r="AS721" s="99"/>
    </row>
    <row r="722">
      <c r="A722" s="97"/>
      <c r="B722" s="97"/>
      <c r="C722" s="97"/>
      <c r="D722" s="97"/>
      <c r="E722" s="97"/>
      <c r="F722" s="97"/>
      <c r="G722" s="98"/>
      <c r="H722" s="97"/>
      <c r="I722" s="97"/>
      <c r="J722" s="97"/>
      <c r="K722" s="97"/>
      <c r="L722" s="97"/>
      <c r="M722" s="97"/>
      <c r="N722" s="97"/>
      <c r="O722" s="97"/>
      <c r="P722" s="97"/>
      <c r="Q722" s="97"/>
      <c r="R722" s="97"/>
      <c r="S722" s="97"/>
      <c r="T722" s="97"/>
      <c r="U722" s="98"/>
      <c r="V722" s="97"/>
      <c r="W722" s="97"/>
      <c r="X722" s="97"/>
      <c r="Y722" s="97"/>
      <c r="Z722" s="97"/>
      <c r="AA722" s="97"/>
      <c r="AB722" s="97"/>
      <c r="AC722" s="97"/>
      <c r="AD722" s="97"/>
      <c r="AE722" s="97"/>
      <c r="AF722" s="97"/>
      <c r="AG722" s="97"/>
      <c r="AH722" s="97"/>
      <c r="AI722" s="97"/>
      <c r="AJ722" s="97"/>
      <c r="AK722" s="97"/>
      <c r="AL722" s="97"/>
      <c r="AM722" s="97"/>
      <c r="AN722" s="97"/>
      <c r="AO722" s="97"/>
      <c r="AP722" s="97"/>
      <c r="AQ722" s="99"/>
      <c r="AR722" s="99"/>
      <c r="AS722" s="99"/>
    </row>
    <row r="723">
      <c r="A723" s="97"/>
      <c r="B723" s="97"/>
      <c r="C723" s="97"/>
      <c r="D723" s="97"/>
      <c r="E723" s="97"/>
      <c r="F723" s="97"/>
      <c r="G723" s="98"/>
      <c r="H723" s="97"/>
      <c r="I723" s="97"/>
      <c r="J723" s="97"/>
      <c r="K723" s="97"/>
      <c r="L723" s="97"/>
      <c r="M723" s="97"/>
      <c r="N723" s="97"/>
      <c r="O723" s="97"/>
      <c r="P723" s="97"/>
      <c r="Q723" s="97"/>
      <c r="R723" s="97"/>
      <c r="S723" s="97"/>
      <c r="T723" s="97"/>
      <c r="U723" s="98"/>
      <c r="V723" s="97"/>
      <c r="W723" s="97"/>
      <c r="X723" s="97"/>
      <c r="Y723" s="97"/>
      <c r="Z723" s="97"/>
      <c r="AA723" s="97"/>
      <c r="AB723" s="97"/>
      <c r="AC723" s="97"/>
      <c r="AD723" s="97"/>
      <c r="AE723" s="97"/>
      <c r="AF723" s="97"/>
      <c r="AG723" s="97"/>
      <c r="AH723" s="97"/>
      <c r="AI723" s="97"/>
      <c r="AJ723" s="97"/>
      <c r="AK723" s="97"/>
      <c r="AL723" s="97"/>
      <c r="AM723" s="97"/>
      <c r="AN723" s="97"/>
      <c r="AO723" s="97"/>
      <c r="AP723" s="97"/>
      <c r="AQ723" s="99"/>
      <c r="AR723" s="99"/>
      <c r="AS723" s="99"/>
    </row>
    <row r="724">
      <c r="A724" s="97"/>
      <c r="B724" s="97"/>
      <c r="C724" s="97"/>
      <c r="D724" s="97"/>
      <c r="E724" s="97"/>
      <c r="F724" s="97"/>
      <c r="G724" s="98"/>
      <c r="H724" s="97"/>
      <c r="I724" s="97"/>
      <c r="J724" s="97"/>
      <c r="K724" s="97"/>
      <c r="L724" s="97"/>
      <c r="M724" s="97"/>
      <c r="N724" s="97"/>
      <c r="O724" s="97"/>
      <c r="P724" s="97"/>
      <c r="Q724" s="97"/>
      <c r="R724" s="97"/>
      <c r="S724" s="97"/>
      <c r="T724" s="97"/>
      <c r="U724" s="98"/>
      <c r="V724" s="97"/>
      <c r="W724" s="97"/>
      <c r="X724" s="97"/>
      <c r="Y724" s="97"/>
      <c r="Z724" s="97"/>
      <c r="AA724" s="97"/>
      <c r="AB724" s="97"/>
      <c r="AC724" s="97"/>
      <c r="AD724" s="97"/>
      <c r="AE724" s="97"/>
      <c r="AF724" s="97"/>
      <c r="AG724" s="97"/>
      <c r="AH724" s="97"/>
      <c r="AI724" s="97"/>
      <c r="AJ724" s="97"/>
      <c r="AK724" s="97"/>
      <c r="AL724" s="97"/>
      <c r="AM724" s="97"/>
      <c r="AN724" s="97"/>
      <c r="AO724" s="97"/>
      <c r="AP724" s="97"/>
      <c r="AQ724" s="99"/>
      <c r="AR724" s="99"/>
      <c r="AS724" s="99"/>
    </row>
    <row r="725">
      <c r="A725" s="97"/>
      <c r="B725" s="97"/>
      <c r="C725" s="97"/>
      <c r="D725" s="97"/>
      <c r="E725" s="97"/>
      <c r="F725" s="97"/>
      <c r="G725" s="98"/>
      <c r="H725" s="97"/>
      <c r="I725" s="97"/>
      <c r="J725" s="97"/>
      <c r="K725" s="97"/>
      <c r="L725" s="97"/>
      <c r="M725" s="97"/>
      <c r="N725" s="97"/>
      <c r="O725" s="97"/>
      <c r="P725" s="97"/>
      <c r="Q725" s="97"/>
      <c r="R725" s="97"/>
      <c r="S725" s="97"/>
      <c r="T725" s="97"/>
      <c r="U725" s="98"/>
      <c r="V725" s="97"/>
      <c r="W725" s="97"/>
      <c r="X725" s="97"/>
      <c r="Y725" s="97"/>
      <c r="Z725" s="97"/>
      <c r="AA725" s="97"/>
      <c r="AB725" s="97"/>
      <c r="AC725" s="97"/>
      <c r="AD725" s="97"/>
      <c r="AE725" s="97"/>
      <c r="AF725" s="97"/>
      <c r="AG725" s="97"/>
      <c r="AH725" s="97"/>
      <c r="AI725" s="97"/>
      <c r="AJ725" s="97"/>
      <c r="AK725" s="97"/>
      <c r="AL725" s="97"/>
      <c r="AM725" s="97"/>
      <c r="AN725" s="97"/>
      <c r="AO725" s="97"/>
      <c r="AP725" s="97"/>
      <c r="AQ725" s="99"/>
      <c r="AR725" s="99"/>
      <c r="AS725" s="99"/>
    </row>
    <row r="726">
      <c r="A726" s="97"/>
      <c r="B726" s="97"/>
      <c r="C726" s="97"/>
      <c r="D726" s="97"/>
      <c r="E726" s="97"/>
      <c r="F726" s="97"/>
      <c r="G726" s="98"/>
      <c r="H726" s="97"/>
      <c r="I726" s="97"/>
      <c r="J726" s="97"/>
      <c r="K726" s="97"/>
      <c r="L726" s="97"/>
      <c r="M726" s="97"/>
      <c r="N726" s="97"/>
      <c r="O726" s="97"/>
      <c r="P726" s="97"/>
      <c r="Q726" s="97"/>
      <c r="R726" s="97"/>
      <c r="S726" s="97"/>
      <c r="T726" s="97"/>
      <c r="U726" s="98"/>
      <c r="V726" s="97"/>
      <c r="W726" s="97"/>
      <c r="X726" s="97"/>
      <c r="Y726" s="97"/>
      <c r="Z726" s="97"/>
      <c r="AA726" s="97"/>
      <c r="AB726" s="97"/>
      <c r="AC726" s="97"/>
      <c r="AD726" s="97"/>
      <c r="AE726" s="97"/>
      <c r="AF726" s="97"/>
      <c r="AG726" s="97"/>
      <c r="AH726" s="97"/>
      <c r="AI726" s="97"/>
      <c r="AJ726" s="97"/>
      <c r="AK726" s="97"/>
      <c r="AL726" s="97"/>
      <c r="AM726" s="97"/>
      <c r="AN726" s="97"/>
      <c r="AO726" s="97"/>
      <c r="AP726" s="97"/>
      <c r="AQ726" s="99"/>
      <c r="AR726" s="99"/>
      <c r="AS726" s="99"/>
    </row>
    <row r="727">
      <c r="A727" s="97"/>
      <c r="B727" s="97"/>
      <c r="C727" s="97"/>
      <c r="D727" s="97"/>
      <c r="E727" s="97"/>
      <c r="F727" s="97"/>
      <c r="G727" s="98"/>
      <c r="H727" s="97"/>
      <c r="I727" s="97"/>
      <c r="J727" s="97"/>
      <c r="K727" s="97"/>
      <c r="L727" s="97"/>
      <c r="M727" s="97"/>
      <c r="N727" s="97"/>
      <c r="O727" s="97"/>
      <c r="P727" s="97"/>
      <c r="Q727" s="97"/>
      <c r="R727" s="97"/>
      <c r="S727" s="97"/>
      <c r="T727" s="97"/>
      <c r="U727" s="98"/>
      <c r="V727" s="97"/>
      <c r="W727" s="97"/>
      <c r="X727" s="97"/>
      <c r="Y727" s="97"/>
      <c r="Z727" s="97"/>
      <c r="AA727" s="97"/>
      <c r="AB727" s="97"/>
      <c r="AC727" s="97"/>
      <c r="AD727" s="97"/>
      <c r="AE727" s="97"/>
      <c r="AF727" s="97"/>
      <c r="AG727" s="97"/>
      <c r="AH727" s="97"/>
      <c r="AI727" s="97"/>
      <c r="AJ727" s="97"/>
      <c r="AK727" s="97"/>
      <c r="AL727" s="97"/>
      <c r="AM727" s="97"/>
      <c r="AN727" s="97"/>
      <c r="AO727" s="97"/>
      <c r="AP727" s="97"/>
      <c r="AQ727" s="99"/>
      <c r="AR727" s="99"/>
      <c r="AS727" s="99"/>
    </row>
    <row r="728">
      <c r="A728" s="97"/>
      <c r="B728" s="97"/>
      <c r="C728" s="97"/>
      <c r="D728" s="97"/>
      <c r="E728" s="97"/>
      <c r="F728" s="97"/>
      <c r="G728" s="98"/>
      <c r="H728" s="97"/>
      <c r="I728" s="97"/>
      <c r="J728" s="97"/>
      <c r="K728" s="97"/>
      <c r="L728" s="97"/>
      <c r="M728" s="97"/>
      <c r="N728" s="97"/>
      <c r="O728" s="97"/>
      <c r="P728" s="97"/>
      <c r="Q728" s="97"/>
      <c r="R728" s="97"/>
      <c r="S728" s="97"/>
      <c r="T728" s="97"/>
      <c r="U728" s="98"/>
      <c r="V728" s="97"/>
      <c r="W728" s="97"/>
      <c r="X728" s="97"/>
      <c r="Y728" s="97"/>
      <c r="Z728" s="97"/>
      <c r="AA728" s="97"/>
      <c r="AB728" s="97"/>
      <c r="AC728" s="97"/>
      <c r="AD728" s="97"/>
      <c r="AE728" s="97"/>
      <c r="AF728" s="97"/>
      <c r="AG728" s="97"/>
      <c r="AH728" s="97"/>
      <c r="AI728" s="97"/>
      <c r="AJ728" s="97"/>
      <c r="AK728" s="97"/>
      <c r="AL728" s="97"/>
      <c r="AM728" s="97"/>
      <c r="AN728" s="97"/>
      <c r="AO728" s="97"/>
      <c r="AP728" s="97"/>
      <c r="AQ728" s="99"/>
      <c r="AR728" s="99"/>
      <c r="AS728" s="99"/>
    </row>
    <row r="729">
      <c r="A729" s="97"/>
      <c r="B729" s="97"/>
      <c r="C729" s="97"/>
      <c r="D729" s="97"/>
      <c r="E729" s="97"/>
      <c r="F729" s="97"/>
      <c r="G729" s="98"/>
      <c r="H729" s="97"/>
      <c r="I729" s="97"/>
      <c r="J729" s="97"/>
      <c r="K729" s="97"/>
      <c r="L729" s="97"/>
      <c r="M729" s="97"/>
      <c r="N729" s="97"/>
      <c r="O729" s="97"/>
      <c r="P729" s="97"/>
      <c r="Q729" s="97"/>
      <c r="R729" s="97"/>
      <c r="S729" s="97"/>
      <c r="T729" s="97"/>
      <c r="U729" s="98"/>
      <c r="V729" s="97"/>
      <c r="W729" s="97"/>
      <c r="X729" s="97"/>
      <c r="Y729" s="97"/>
      <c r="Z729" s="97"/>
      <c r="AA729" s="97"/>
      <c r="AB729" s="97"/>
      <c r="AC729" s="97"/>
      <c r="AD729" s="97"/>
      <c r="AE729" s="97"/>
      <c r="AF729" s="97"/>
      <c r="AG729" s="97"/>
      <c r="AH729" s="97"/>
      <c r="AI729" s="97"/>
      <c r="AJ729" s="97"/>
      <c r="AK729" s="97"/>
      <c r="AL729" s="97"/>
      <c r="AM729" s="97"/>
      <c r="AN729" s="97"/>
      <c r="AO729" s="97"/>
      <c r="AP729" s="97"/>
      <c r="AQ729" s="99"/>
      <c r="AR729" s="99"/>
      <c r="AS729" s="99"/>
    </row>
    <row r="730">
      <c r="A730" s="97"/>
      <c r="B730" s="97"/>
      <c r="C730" s="97"/>
      <c r="D730" s="97"/>
      <c r="E730" s="97"/>
      <c r="F730" s="97"/>
      <c r="G730" s="98"/>
      <c r="H730" s="97"/>
      <c r="I730" s="97"/>
      <c r="J730" s="97"/>
      <c r="K730" s="97"/>
      <c r="L730" s="97"/>
      <c r="M730" s="97"/>
      <c r="N730" s="97"/>
      <c r="O730" s="97"/>
      <c r="P730" s="97"/>
      <c r="Q730" s="97"/>
      <c r="R730" s="97"/>
      <c r="S730" s="97"/>
      <c r="T730" s="97"/>
      <c r="U730" s="98"/>
      <c r="V730" s="97"/>
      <c r="W730" s="97"/>
      <c r="X730" s="97"/>
      <c r="Y730" s="97"/>
      <c r="Z730" s="97"/>
      <c r="AA730" s="97"/>
      <c r="AB730" s="97"/>
      <c r="AC730" s="97"/>
      <c r="AD730" s="97"/>
      <c r="AE730" s="97"/>
      <c r="AF730" s="97"/>
      <c r="AG730" s="97"/>
      <c r="AH730" s="97"/>
      <c r="AI730" s="97"/>
      <c r="AJ730" s="97"/>
      <c r="AK730" s="97"/>
      <c r="AL730" s="97"/>
      <c r="AM730" s="97"/>
      <c r="AN730" s="97"/>
      <c r="AO730" s="97"/>
      <c r="AP730" s="97"/>
      <c r="AQ730" s="99"/>
      <c r="AR730" s="99"/>
      <c r="AS730" s="99"/>
    </row>
    <row r="731">
      <c r="A731" s="97"/>
      <c r="B731" s="97"/>
      <c r="C731" s="97"/>
      <c r="D731" s="97"/>
      <c r="E731" s="97"/>
      <c r="F731" s="97"/>
      <c r="G731" s="98"/>
      <c r="H731" s="97"/>
      <c r="I731" s="97"/>
      <c r="J731" s="97"/>
      <c r="K731" s="97"/>
      <c r="L731" s="97"/>
      <c r="M731" s="97"/>
      <c r="N731" s="97"/>
      <c r="O731" s="97"/>
      <c r="P731" s="97"/>
      <c r="Q731" s="97"/>
      <c r="R731" s="97"/>
      <c r="S731" s="97"/>
      <c r="T731" s="97"/>
      <c r="U731" s="98"/>
      <c r="V731" s="97"/>
      <c r="W731" s="97"/>
      <c r="X731" s="97"/>
      <c r="Y731" s="97"/>
      <c r="Z731" s="97"/>
      <c r="AA731" s="97"/>
      <c r="AB731" s="97"/>
      <c r="AC731" s="97"/>
      <c r="AD731" s="97"/>
      <c r="AE731" s="97"/>
      <c r="AF731" s="97"/>
      <c r="AG731" s="97"/>
      <c r="AH731" s="97"/>
      <c r="AI731" s="97"/>
      <c r="AJ731" s="97"/>
      <c r="AK731" s="97"/>
      <c r="AL731" s="97"/>
      <c r="AM731" s="97"/>
      <c r="AN731" s="97"/>
      <c r="AO731" s="97"/>
      <c r="AP731" s="97"/>
      <c r="AQ731" s="99"/>
      <c r="AR731" s="99"/>
      <c r="AS731" s="99"/>
    </row>
    <row r="732">
      <c r="A732" s="97"/>
      <c r="B732" s="97"/>
      <c r="C732" s="97"/>
      <c r="D732" s="97"/>
      <c r="E732" s="97"/>
      <c r="F732" s="97"/>
      <c r="G732" s="98"/>
      <c r="H732" s="97"/>
      <c r="I732" s="97"/>
      <c r="J732" s="97"/>
      <c r="K732" s="97"/>
      <c r="L732" s="97"/>
      <c r="M732" s="97"/>
      <c r="N732" s="97"/>
      <c r="O732" s="97"/>
      <c r="P732" s="97"/>
      <c r="Q732" s="97"/>
      <c r="R732" s="97"/>
      <c r="S732" s="97"/>
      <c r="T732" s="97"/>
      <c r="U732" s="98"/>
      <c r="V732" s="97"/>
      <c r="W732" s="97"/>
      <c r="X732" s="97"/>
      <c r="Y732" s="97"/>
      <c r="Z732" s="97"/>
      <c r="AA732" s="97"/>
      <c r="AB732" s="97"/>
      <c r="AC732" s="97"/>
      <c r="AD732" s="97"/>
      <c r="AE732" s="97"/>
      <c r="AF732" s="97"/>
      <c r="AG732" s="97"/>
      <c r="AH732" s="97"/>
      <c r="AI732" s="97"/>
      <c r="AJ732" s="97"/>
      <c r="AK732" s="97"/>
      <c r="AL732" s="97"/>
      <c r="AM732" s="97"/>
      <c r="AN732" s="97"/>
      <c r="AO732" s="97"/>
      <c r="AP732" s="97"/>
      <c r="AQ732" s="99"/>
      <c r="AR732" s="99"/>
      <c r="AS732" s="99"/>
    </row>
    <row r="733">
      <c r="A733" s="97"/>
      <c r="B733" s="97"/>
      <c r="C733" s="97"/>
      <c r="D733" s="97"/>
      <c r="E733" s="97"/>
      <c r="F733" s="97"/>
      <c r="G733" s="98"/>
      <c r="H733" s="97"/>
      <c r="I733" s="97"/>
      <c r="J733" s="97"/>
      <c r="K733" s="97"/>
      <c r="L733" s="97"/>
      <c r="M733" s="97"/>
      <c r="N733" s="97"/>
      <c r="O733" s="97"/>
      <c r="P733" s="97"/>
      <c r="Q733" s="97"/>
      <c r="R733" s="97"/>
      <c r="S733" s="97"/>
      <c r="T733" s="97"/>
      <c r="U733" s="98"/>
      <c r="V733" s="97"/>
      <c r="W733" s="97"/>
      <c r="X733" s="97"/>
      <c r="Y733" s="97"/>
      <c r="Z733" s="97"/>
      <c r="AA733" s="97"/>
      <c r="AB733" s="97"/>
      <c r="AC733" s="97"/>
      <c r="AD733" s="97"/>
      <c r="AE733" s="97"/>
      <c r="AF733" s="97"/>
      <c r="AG733" s="97"/>
      <c r="AH733" s="97"/>
      <c r="AI733" s="97"/>
      <c r="AJ733" s="97"/>
      <c r="AK733" s="97"/>
      <c r="AL733" s="97"/>
      <c r="AM733" s="97"/>
      <c r="AN733" s="97"/>
      <c r="AO733" s="97"/>
      <c r="AP733" s="97"/>
      <c r="AQ733" s="99"/>
      <c r="AR733" s="99"/>
      <c r="AS733" s="99"/>
    </row>
    <row r="734">
      <c r="A734" s="97"/>
      <c r="B734" s="97"/>
      <c r="C734" s="97"/>
      <c r="D734" s="97"/>
      <c r="E734" s="97"/>
      <c r="F734" s="97"/>
      <c r="G734" s="98"/>
      <c r="H734" s="97"/>
      <c r="I734" s="97"/>
      <c r="J734" s="97"/>
      <c r="K734" s="97"/>
      <c r="L734" s="97"/>
      <c r="M734" s="97"/>
      <c r="N734" s="97"/>
      <c r="O734" s="97"/>
      <c r="P734" s="97"/>
      <c r="Q734" s="97"/>
      <c r="R734" s="97"/>
      <c r="S734" s="97"/>
      <c r="T734" s="97"/>
      <c r="U734" s="98"/>
      <c r="V734" s="97"/>
      <c r="W734" s="97"/>
      <c r="X734" s="97"/>
      <c r="Y734" s="97"/>
      <c r="Z734" s="97"/>
      <c r="AA734" s="97"/>
      <c r="AB734" s="97"/>
      <c r="AC734" s="97"/>
      <c r="AD734" s="97"/>
      <c r="AE734" s="97"/>
      <c r="AF734" s="97"/>
      <c r="AG734" s="97"/>
      <c r="AH734" s="97"/>
      <c r="AI734" s="97"/>
      <c r="AJ734" s="97"/>
      <c r="AK734" s="97"/>
      <c r="AL734" s="97"/>
      <c r="AM734" s="97"/>
      <c r="AN734" s="97"/>
      <c r="AO734" s="97"/>
      <c r="AP734" s="97"/>
      <c r="AQ734" s="99"/>
      <c r="AR734" s="99"/>
      <c r="AS734" s="99"/>
    </row>
    <row r="735">
      <c r="A735" s="97"/>
      <c r="B735" s="97"/>
      <c r="C735" s="97"/>
      <c r="D735" s="97"/>
      <c r="E735" s="97"/>
      <c r="F735" s="97"/>
      <c r="G735" s="98"/>
      <c r="H735" s="97"/>
      <c r="I735" s="97"/>
      <c r="J735" s="97"/>
      <c r="K735" s="97"/>
      <c r="L735" s="97"/>
      <c r="M735" s="97"/>
      <c r="N735" s="97"/>
      <c r="O735" s="97"/>
      <c r="P735" s="97"/>
      <c r="Q735" s="97"/>
      <c r="R735" s="97"/>
      <c r="S735" s="97"/>
      <c r="T735" s="97"/>
      <c r="U735" s="98"/>
      <c r="V735" s="97"/>
      <c r="W735" s="97"/>
      <c r="X735" s="97"/>
      <c r="Y735" s="97"/>
      <c r="Z735" s="97"/>
      <c r="AA735" s="97"/>
      <c r="AB735" s="97"/>
      <c r="AC735" s="97"/>
      <c r="AD735" s="97"/>
      <c r="AE735" s="97"/>
      <c r="AF735" s="97"/>
      <c r="AG735" s="97"/>
      <c r="AH735" s="97"/>
      <c r="AI735" s="97"/>
      <c r="AJ735" s="97"/>
      <c r="AK735" s="97"/>
      <c r="AL735" s="97"/>
      <c r="AM735" s="97"/>
      <c r="AN735" s="97"/>
      <c r="AO735" s="97"/>
      <c r="AP735" s="97"/>
      <c r="AQ735" s="99"/>
      <c r="AR735" s="99"/>
      <c r="AS735" s="99"/>
    </row>
    <row r="736">
      <c r="A736" s="97"/>
      <c r="B736" s="97"/>
      <c r="C736" s="97"/>
      <c r="D736" s="97"/>
      <c r="E736" s="97"/>
      <c r="F736" s="97"/>
      <c r="G736" s="98"/>
      <c r="H736" s="97"/>
      <c r="I736" s="97"/>
      <c r="J736" s="97"/>
      <c r="K736" s="97"/>
      <c r="L736" s="97"/>
      <c r="M736" s="97"/>
      <c r="N736" s="97"/>
      <c r="O736" s="97"/>
      <c r="P736" s="97"/>
      <c r="Q736" s="97"/>
      <c r="R736" s="97"/>
      <c r="S736" s="97"/>
      <c r="T736" s="97"/>
      <c r="U736" s="98"/>
      <c r="V736" s="97"/>
      <c r="W736" s="97"/>
      <c r="X736" s="97"/>
      <c r="Y736" s="97"/>
      <c r="Z736" s="97"/>
      <c r="AA736" s="97"/>
      <c r="AB736" s="97"/>
      <c r="AC736" s="97"/>
      <c r="AD736" s="97"/>
      <c r="AE736" s="97"/>
      <c r="AF736" s="97"/>
      <c r="AG736" s="97"/>
      <c r="AH736" s="97"/>
      <c r="AI736" s="97"/>
      <c r="AJ736" s="97"/>
      <c r="AK736" s="97"/>
      <c r="AL736" s="97"/>
      <c r="AM736" s="97"/>
      <c r="AN736" s="97"/>
      <c r="AO736" s="97"/>
      <c r="AP736" s="97"/>
      <c r="AQ736" s="99"/>
      <c r="AR736" s="99"/>
      <c r="AS736" s="99"/>
    </row>
    <row r="737">
      <c r="A737" s="97"/>
      <c r="B737" s="97"/>
      <c r="C737" s="97"/>
      <c r="D737" s="97"/>
      <c r="E737" s="97"/>
      <c r="F737" s="97"/>
      <c r="G737" s="98"/>
      <c r="H737" s="97"/>
      <c r="I737" s="97"/>
      <c r="J737" s="97"/>
      <c r="K737" s="97"/>
      <c r="L737" s="97"/>
      <c r="M737" s="97"/>
      <c r="N737" s="97"/>
      <c r="O737" s="97"/>
      <c r="P737" s="97"/>
      <c r="Q737" s="97"/>
      <c r="R737" s="97"/>
      <c r="S737" s="97"/>
      <c r="T737" s="97"/>
      <c r="U737" s="98"/>
      <c r="V737" s="97"/>
      <c r="W737" s="97"/>
      <c r="X737" s="97"/>
      <c r="Y737" s="97"/>
      <c r="Z737" s="97"/>
      <c r="AA737" s="97"/>
      <c r="AB737" s="97"/>
      <c r="AC737" s="97"/>
      <c r="AD737" s="97"/>
      <c r="AE737" s="97"/>
      <c r="AF737" s="97"/>
      <c r="AG737" s="97"/>
      <c r="AH737" s="97"/>
      <c r="AI737" s="97"/>
      <c r="AJ737" s="97"/>
      <c r="AK737" s="97"/>
      <c r="AL737" s="97"/>
      <c r="AM737" s="97"/>
      <c r="AN737" s="97"/>
      <c r="AO737" s="97"/>
      <c r="AP737" s="97"/>
      <c r="AQ737" s="99"/>
      <c r="AR737" s="99"/>
      <c r="AS737" s="99"/>
    </row>
    <row r="738">
      <c r="A738" s="97"/>
      <c r="B738" s="97"/>
      <c r="C738" s="97"/>
      <c r="D738" s="97"/>
      <c r="E738" s="97"/>
      <c r="F738" s="97"/>
      <c r="G738" s="98"/>
      <c r="H738" s="97"/>
      <c r="I738" s="97"/>
      <c r="J738" s="97"/>
      <c r="K738" s="97"/>
      <c r="L738" s="97"/>
      <c r="M738" s="97"/>
      <c r="N738" s="97"/>
      <c r="O738" s="97"/>
      <c r="P738" s="97"/>
      <c r="Q738" s="97"/>
      <c r="R738" s="97"/>
      <c r="S738" s="97"/>
      <c r="T738" s="97"/>
      <c r="U738" s="98"/>
      <c r="V738" s="97"/>
      <c r="W738" s="97"/>
      <c r="X738" s="97"/>
      <c r="Y738" s="97"/>
      <c r="Z738" s="97"/>
      <c r="AA738" s="97"/>
      <c r="AB738" s="97"/>
      <c r="AC738" s="97"/>
      <c r="AD738" s="97"/>
      <c r="AE738" s="97"/>
      <c r="AF738" s="97"/>
      <c r="AG738" s="97"/>
      <c r="AH738" s="97"/>
      <c r="AI738" s="97"/>
      <c r="AJ738" s="97"/>
      <c r="AK738" s="97"/>
      <c r="AL738" s="97"/>
      <c r="AM738" s="97"/>
      <c r="AN738" s="97"/>
      <c r="AO738" s="97"/>
      <c r="AP738" s="97"/>
      <c r="AQ738" s="99"/>
      <c r="AR738" s="99"/>
      <c r="AS738" s="99"/>
    </row>
    <row r="739">
      <c r="A739" s="97"/>
      <c r="B739" s="97"/>
      <c r="C739" s="97"/>
      <c r="D739" s="97"/>
      <c r="E739" s="97"/>
      <c r="F739" s="97"/>
      <c r="G739" s="98"/>
      <c r="H739" s="97"/>
      <c r="I739" s="97"/>
      <c r="J739" s="97"/>
      <c r="K739" s="97"/>
      <c r="L739" s="97"/>
      <c r="M739" s="97"/>
      <c r="N739" s="97"/>
      <c r="O739" s="97"/>
      <c r="P739" s="97"/>
      <c r="Q739" s="97"/>
      <c r="R739" s="97"/>
      <c r="S739" s="97"/>
      <c r="T739" s="97"/>
      <c r="U739" s="98"/>
      <c r="V739" s="97"/>
      <c r="W739" s="97"/>
      <c r="X739" s="97"/>
      <c r="Y739" s="97"/>
      <c r="Z739" s="97"/>
      <c r="AA739" s="97"/>
      <c r="AB739" s="97"/>
      <c r="AC739" s="97"/>
      <c r="AD739" s="97"/>
      <c r="AE739" s="97"/>
      <c r="AF739" s="97"/>
      <c r="AG739" s="97"/>
      <c r="AH739" s="97"/>
      <c r="AI739" s="97"/>
      <c r="AJ739" s="97"/>
      <c r="AK739" s="97"/>
      <c r="AL739" s="97"/>
      <c r="AM739" s="97"/>
      <c r="AN739" s="97"/>
      <c r="AO739" s="97"/>
      <c r="AP739" s="97"/>
      <c r="AQ739" s="99"/>
      <c r="AR739" s="99"/>
      <c r="AS739" s="99"/>
    </row>
    <row r="740">
      <c r="A740" s="97"/>
      <c r="B740" s="97"/>
      <c r="C740" s="97"/>
      <c r="D740" s="97"/>
      <c r="E740" s="97"/>
      <c r="F740" s="97"/>
      <c r="G740" s="98"/>
      <c r="H740" s="97"/>
      <c r="I740" s="97"/>
      <c r="J740" s="97"/>
      <c r="K740" s="97"/>
      <c r="L740" s="97"/>
      <c r="M740" s="97"/>
      <c r="N740" s="97"/>
      <c r="O740" s="97"/>
      <c r="P740" s="97"/>
      <c r="Q740" s="97"/>
      <c r="R740" s="97"/>
      <c r="S740" s="97"/>
      <c r="T740" s="97"/>
      <c r="U740" s="98"/>
      <c r="V740" s="97"/>
      <c r="W740" s="97"/>
      <c r="X740" s="97"/>
      <c r="Y740" s="97"/>
      <c r="Z740" s="97"/>
      <c r="AA740" s="97"/>
      <c r="AB740" s="97"/>
      <c r="AC740" s="97"/>
      <c r="AD740" s="97"/>
      <c r="AE740" s="97"/>
      <c r="AF740" s="97"/>
      <c r="AG740" s="97"/>
      <c r="AH740" s="97"/>
      <c r="AI740" s="97"/>
      <c r="AJ740" s="97"/>
      <c r="AK740" s="97"/>
      <c r="AL740" s="97"/>
      <c r="AM740" s="97"/>
      <c r="AN740" s="97"/>
      <c r="AO740" s="97"/>
      <c r="AP740" s="97"/>
      <c r="AQ740" s="99"/>
      <c r="AR740" s="99"/>
      <c r="AS740" s="99"/>
    </row>
    <row r="741">
      <c r="A741" s="97"/>
      <c r="B741" s="97"/>
      <c r="C741" s="97"/>
      <c r="D741" s="97"/>
      <c r="E741" s="97"/>
      <c r="F741" s="97"/>
      <c r="G741" s="98"/>
      <c r="H741" s="97"/>
      <c r="I741" s="97"/>
      <c r="J741" s="97"/>
      <c r="K741" s="97"/>
      <c r="L741" s="97"/>
      <c r="M741" s="97"/>
      <c r="N741" s="97"/>
      <c r="O741" s="97"/>
      <c r="P741" s="97"/>
      <c r="Q741" s="97"/>
      <c r="R741" s="97"/>
      <c r="S741" s="97"/>
      <c r="T741" s="97"/>
      <c r="U741" s="98"/>
      <c r="V741" s="97"/>
      <c r="W741" s="97"/>
      <c r="X741" s="97"/>
      <c r="Y741" s="97"/>
      <c r="Z741" s="97"/>
      <c r="AA741" s="97"/>
      <c r="AB741" s="97"/>
      <c r="AC741" s="97"/>
      <c r="AD741" s="97"/>
      <c r="AE741" s="97"/>
      <c r="AF741" s="97"/>
      <c r="AG741" s="97"/>
      <c r="AH741" s="97"/>
      <c r="AI741" s="97"/>
      <c r="AJ741" s="97"/>
      <c r="AK741" s="97"/>
      <c r="AL741" s="97"/>
      <c r="AM741" s="97"/>
      <c r="AN741" s="97"/>
      <c r="AO741" s="97"/>
      <c r="AP741" s="97"/>
      <c r="AQ741" s="99"/>
      <c r="AR741" s="99"/>
      <c r="AS741" s="99"/>
    </row>
    <row r="742">
      <c r="A742" s="97"/>
      <c r="B742" s="97"/>
      <c r="C742" s="97"/>
      <c r="D742" s="97"/>
      <c r="E742" s="97"/>
      <c r="F742" s="97"/>
      <c r="G742" s="98"/>
      <c r="H742" s="97"/>
      <c r="I742" s="97"/>
      <c r="J742" s="97"/>
      <c r="K742" s="97"/>
      <c r="L742" s="97"/>
      <c r="M742" s="97"/>
      <c r="N742" s="97"/>
      <c r="O742" s="97"/>
      <c r="P742" s="97"/>
      <c r="Q742" s="97"/>
      <c r="R742" s="97"/>
      <c r="S742" s="97"/>
      <c r="T742" s="97"/>
      <c r="U742" s="98"/>
      <c r="V742" s="97"/>
      <c r="W742" s="97"/>
      <c r="X742" s="97"/>
      <c r="Y742" s="97"/>
      <c r="Z742" s="97"/>
      <c r="AA742" s="97"/>
      <c r="AB742" s="97"/>
      <c r="AC742" s="97"/>
      <c r="AD742" s="97"/>
      <c r="AE742" s="97"/>
      <c r="AF742" s="97"/>
      <c r="AG742" s="97"/>
      <c r="AH742" s="97"/>
      <c r="AI742" s="97"/>
      <c r="AJ742" s="97"/>
      <c r="AK742" s="97"/>
      <c r="AL742" s="97"/>
      <c r="AM742" s="97"/>
      <c r="AN742" s="97"/>
      <c r="AO742" s="97"/>
      <c r="AP742" s="97"/>
      <c r="AQ742" s="99"/>
      <c r="AR742" s="99"/>
      <c r="AS742" s="99"/>
    </row>
    <row r="743">
      <c r="A743" s="97"/>
      <c r="B743" s="97"/>
      <c r="C743" s="97"/>
      <c r="D743" s="97"/>
      <c r="E743" s="97"/>
      <c r="F743" s="97"/>
      <c r="G743" s="98"/>
      <c r="H743" s="97"/>
      <c r="I743" s="97"/>
      <c r="J743" s="97"/>
      <c r="K743" s="97"/>
      <c r="L743" s="97"/>
      <c r="M743" s="97"/>
      <c r="N743" s="97"/>
      <c r="O743" s="97"/>
      <c r="P743" s="97"/>
      <c r="Q743" s="97"/>
      <c r="R743" s="97"/>
      <c r="S743" s="97"/>
      <c r="T743" s="97"/>
      <c r="U743" s="98"/>
      <c r="V743" s="97"/>
      <c r="W743" s="97"/>
      <c r="X743" s="97"/>
      <c r="Y743" s="97"/>
      <c r="Z743" s="97"/>
      <c r="AA743" s="97"/>
      <c r="AB743" s="97"/>
      <c r="AC743" s="97"/>
      <c r="AD743" s="97"/>
      <c r="AE743" s="97"/>
      <c r="AF743" s="97"/>
      <c r="AG743" s="97"/>
      <c r="AH743" s="97"/>
      <c r="AI743" s="97"/>
      <c r="AJ743" s="97"/>
      <c r="AK743" s="97"/>
      <c r="AL743" s="97"/>
      <c r="AM743" s="97"/>
      <c r="AN743" s="97"/>
      <c r="AO743" s="97"/>
      <c r="AP743" s="97"/>
      <c r="AQ743" s="99"/>
      <c r="AR743" s="99"/>
      <c r="AS743" s="99"/>
    </row>
    <row r="744">
      <c r="A744" s="97"/>
      <c r="B744" s="97"/>
      <c r="C744" s="97"/>
      <c r="D744" s="97"/>
      <c r="E744" s="97"/>
      <c r="F744" s="97"/>
      <c r="G744" s="98"/>
      <c r="H744" s="97"/>
      <c r="I744" s="97"/>
      <c r="J744" s="97"/>
      <c r="K744" s="97"/>
      <c r="L744" s="97"/>
      <c r="M744" s="97"/>
      <c r="N744" s="97"/>
      <c r="O744" s="97"/>
      <c r="P744" s="97"/>
      <c r="Q744" s="97"/>
      <c r="R744" s="97"/>
      <c r="S744" s="97"/>
      <c r="T744" s="97"/>
      <c r="U744" s="98"/>
      <c r="V744" s="97"/>
      <c r="W744" s="97"/>
      <c r="X744" s="97"/>
      <c r="Y744" s="97"/>
      <c r="Z744" s="97"/>
      <c r="AA744" s="97"/>
      <c r="AB744" s="97"/>
      <c r="AC744" s="97"/>
      <c r="AD744" s="97"/>
      <c r="AE744" s="97"/>
      <c r="AF744" s="97"/>
      <c r="AG744" s="97"/>
      <c r="AH744" s="97"/>
      <c r="AI744" s="97"/>
      <c r="AJ744" s="97"/>
      <c r="AK744" s="97"/>
      <c r="AL744" s="97"/>
      <c r="AM744" s="97"/>
      <c r="AN744" s="97"/>
      <c r="AO744" s="97"/>
      <c r="AP744" s="97"/>
      <c r="AQ744" s="99"/>
      <c r="AR744" s="99"/>
      <c r="AS744" s="99"/>
    </row>
    <row r="745">
      <c r="A745" s="97"/>
      <c r="B745" s="97"/>
      <c r="C745" s="97"/>
      <c r="D745" s="97"/>
      <c r="E745" s="97"/>
      <c r="F745" s="97"/>
      <c r="G745" s="98"/>
      <c r="H745" s="97"/>
      <c r="I745" s="97"/>
      <c r="J745" s="97"/>
      <c r="K745" s="97"/>
      <c r="L745" s="97"/>
      <c r="M745" s="97"/>
      <c r="N745" s="97"/>
      <c r="O745" s="97"/>
      <c r="P745" s="97"/>
      <c r="Q745" s="97"/>
      <c r="R745" s="97"/>
      <c r="S745" s="97"/>
      <c r="T745" s="97"/>
      <c r="U745" s="98"/>
      <c r="V745" s="97"/>
      <c r="W745" s="97"/>
      <c r="X745" s="97"/>
      <c r="Y745" s="97"/>
      <c r="Z745" s="97"/>
      <c r="AA745" s="97"/>
      <c r="AB745" s="97"/>
      <c r="AC745" s="97"/>
      <c r="AD745" s="97"/>
      <c r="AE745" s="97"/>
      <c r="AF745" s="97"/>
      <c r="AG745" s="97"/>
      <c r="AH745" s="97"/>
      <c r="AI745" s="97"/>
      <c r="AJ745" s="97"/>
      <c r="AK745" s="97"/>
      <c r="AL745" s="97"/>
      <c r="AM745" s="97"/>
      <c r="AN745" s="97"/>
      <c r="AO745" s="97"/>
      <c r="AP745" s="97"/>
      <c r="AQ745" s="99"/>
      <c r="AR745" s="99"/>
      <c r="AS745" s="99"/>
    </row>
    <row r="746">
      <c r="A746" s="97"/>
      <c r="B746" s="97"/>
      <c r="C746" s="97"/>
      <c r="D746" s="97"/>
      <c r="E746" s="97"/>
      <c r="F746" s="97"/>
      <c r="G746" s="98"/>
      <c r="H746" s="97"/>
      <c r="I746" s="97"/>
      <c r="J746" s="97"/>
      <c r="K746" s="97"/>
      <c r="L746" s="97"/>
      <c r="M746" s="97"/>
      <c r="N746" s="97"/>
      <c r="O746" s="97"/>
      <c r="P746" s="97"/>
      <c r="Q746" s="97"/>
      <c r="R746" s="97"/>
      <c r="S746" s="97"/>
      <c r="T746" s="97"/>
      <c r="U746" s="98"/>
      <c r="V746" s="97"/>
      <c r="W746" s="97"/>
      <c r="X746" s="97"/>
      <c r="Y746" s="97"/>
      <c r="Z746" s="97"/>
      <c r="AA746" s="97"/>
      <c r="AB746" s="97"/>
      <c r="AC746" s="97"/>
      <c r="AD746" s="97"/>
      <c r="AE746" s="97"/>
      <c r="AF746" s="97"/>
      <c r="AG746" s="97"/>
      <c r="AH746" s="97"/>
      <c r="AI746" s="97"/>
      <c r="AJ746" s="97"/>
      <c r="AK746" s="97"/>
      <c r="AL746" s="97"/>
      <c r="AM746" s="97"/>
      <c r="AN746" s="97"/>
      <c r="AO746" s="97"/>
      <c r="AP746" s="97"/>
      <c r="AQ746" s="99"/>
      <c r="AR746" s="99"/>
      <c r="AS746" s="99"/>
    </row>
    <row r="747">
      <c r="A747" s="97"/>
      <c r="B747" s="97"/>
      <c r="C747" s="97"/>
      <c r="D747" s="97"/>
      <c r="E747" s="97"/>
      <c r="F747" s="97"/>
      <c r="G747" s="98"/>
      <c r="H747" s="97"/>
      <c r="I747" s="97"/>
      <c r="J747" s="97"/>
      <c r="K747" s="97"/>
      <c r="L747" s="97"/>
      <c r="M747" s="97"/>
      <c r="N747" s="97"/>
      <c r="O747" s="97"/>
      <c r="P747" s="97"/>
      <c r="Q747" s="97"/>
      <c r="R747" s="97"/>
      <c r="S747" s="97"/>
      <c r="T747" s="97"/>
      <c r="U747" s="98"/>
      <c r="V747" s="97"/>
      <c r="W747" s="97"/>
      <c r="X747" s="97"/>
      <c r="Y747" s="97"/>
      <c r="Z747" s="97"/>
      <c r="AA747" s="97"/>
      <c r="AB747" s="97"/>
      <c r="AC747" s="97"/>
      <c r="AD747" s="97"/>
      <c r="AE747" s="97"/>
      <c r="AF747" s="97"/>
      <c r="AG747" s="97"/>
      <c r="AH747" s="97"/>
      <c r="AI747" s="97"/>
      <c r="AJ747" s="97"/>
      <c r="AK747" s="97"/>
      <c r="AL747" s="97"/>
      <c r="AM747" s="97"/>
      <c r="AN747" s="97"/>
      <c r="AO747" s="97"/>
      <c r="AP747" s="97"/>
      <c r="AQ747" s="99"/>
      <c r="AR747" s="99"/>
      <c r="AS747" s="99"/>
    </row>
    <row r="748">
      <c r="A748" s="97"/>
      <c r="B748" s="97"/>
      <c r="C748" s="97"/>
      <c r="D748" s="97"/>
      <c r="E748" s="97"/>
      <c r="F748" s="97"/>
      <c r="G748" s="98"/>
      <c r="H748" s="97"/>
      <c r="I748" s="97"/>
      <c r="J748" s="97"/>
      <c r="K748" s="97"/>
      <c r="L748" s="97"/>
      <c r="M748" s="97"/>
      <c r="N748" s="97"/>
      <c r="O748" s="97"/>
      <c r="P748" s="97"/>
      <c r="Q748" s="97"/>
      <c r="R748" s="97"/>
      <c r="S748" s="97"/>
      <c r="T748" s="97"/>
      <c r="U748" s="98"/>
      <c r="V748" s="97"/>
      <c r="W748" s="97"/>
      <c r="X748" s="97"/>
      <c r="Y748" s="97"/>
      <c r="Z748" s="97"/>
      <c r="AA748" s="97"/>
      <c r="AB748" s="97"/>
      <c r="AC748" s="97"/>
      <c r="AD748" s="97"/>
      <c r="AE748" s="97"/>
      <c r="AF748" s="97"/>
      <c r="AG748" s="97"/>
      <c r="AH748" s="97"/>
      <c r="AI748" s="97"/>
      <c r="AJ748" s="97"/>
      <c r="AK748" s="97"/>
      <c r="AL748" s="97"/>
      <c r="AM748" s="97"/>
      <c r="AN748" s="97"/>
      <c r="AO748" s="97"/>
      <c r="AP748" s="97"/>
      <c r="AQ748" s="99"/>
      <c r="AR748" s="99"/>
      <c r="AS748" s="99"/>
    </row>
    <row r="749">
      <c r="A749" s="97"/>
      <c r="B749" s="97"/>
      <c r="C749" s="97"/>
      <c r="D749" s="97"/>
      <c r="E749" s="97"/>
      <c r="F749" s="97"/>
      <c r="G749" s="98"/>
      <c r="H749" s="97"/>
      <c r="I749" s="97"/>
      <c r="J749" s="97"/>
      <c r="K749" s="97"/>
      <c r="L749" s="97"/>
      <c r="M749" s="97"/>
      <c r="N749" s="97"/>
      <c r="O749" s="97"/>
      <c r="P749" s="97"/>
      <c r="Q749" s="97"/>
      <c r="R749" s="97"/>
      <c r="S749" s="97"/>
      <c r="T749" s="97"/>
      <c r="U749" s="98"/>
      <c r="V749" s="97"/>
      <c r="W749" s="97"/>
      <c r="X749" s="97"/>
      <c r="Y749" s="97"/>
      <c r="Z749" s="97"/>
      <c r="AA749" s="97"/>
      <c r="AB749" s="97"/>
      <c r="AC749" s="97"/>
      <c r="AD749" s="97"/>
      <c r="AE749" s="97"/>
      <c r="AF749" s="97"/>
      <c r="AG749" s="97"/>
      <c r="AH749" s="97"/>
      <c r="AI749" s="97"/>
      <c r="AJ749" s="97"/>
      <c r="AK749" s="97"/>
      <c r="AL749" s="97"/>
      <c r="AM749" s="97"/>
      <c r="AN749" s="97"/>
      <c r="AO749" s="97"/>
      <c r="AP749" s="97"/>
      <c r="AQ749" s="99"/>
      <c r="AR749" s="99"/>
      <c r="AS749" s="99"/>
    </row>
    <row r="750">
      <c r="A750" s="97"/>
      <c r="B750" s="97"/>
      <c r="C750" s="97"/>
      <c r="D750" s="97"/>
      <c r="E750" s="97"/>
      <c r="F750" s="97"/>
      <c r="G750" s="98"/>
      <c r="H750" s="97"/>
      <c r="I750" s="97"/>
      <c r="J750" s="97"/>
      <c r="K750" s="97"/>
      <c r="L750" s="97"/>
      <c r="M750" s="97"/>
      <c r="N750" s="97"/>
      <c r="O750" s="97"/>
      <c r="P750" s="97"/>
      <c r="Q750" s="97"/>
      <c r="R750" s="97"/>
      <c r="S750" s="97"/>
      <c r="T750" s="97"/>
      <c r="U750" s="98"/>
      <c r="V750" s="97"/>
      <c r="W750" s="97"/>
      <c r="X750" s="97"/>
      <c r="Y750" s="97"/>
      <c r="Z750" s="97"/>
      <c r="AA750" s="97"/>
      <c r="AB750" s="97"/>
      <c r="AC750" s="97"/>
      <c r="AD750" s="97"/>
      <c r="AE750" s="97"/>
      <c r="AF750" s="97"/>
      <c r="AG750" s="97"/>
      <c r="AH750" s="97"/>
      <c r="AI750" s="97"/>
      <c r="AJ750" s="97"/>
      <c r="AK750" s="97"/>
      <c r="AL750" s="97"/>
      <c r="AM750" s="97"/>
      <c r="AN750" s="97"/>
      <c r="AO750" s="97"/>
      <c r="AP750" s="97"/>
      <c r="AQ750" s="99"/>
      <c r="AR750" s="99"/>
      <c r="AS750" s="99"/>
    </row>
    <row r="751">
      <c r="A751" s="97"/>
      <c r="B751" s="97"/>
      <c r="C751" s="97"/>
      <c r="D751" s="97"/>
      <c r="E751" s="97"/>
      <c r="F751" s="97"/>
      <c r="G751" s="98"/>
      <c r="H751" s="97"/>
      <c r="I751" s="97"/>
      <c r="J751" s="97"/>
      <c r="K751" s="97"/>
      <c r="L751" s="97"/>
      <c r="M751" s="97"/>
      <c r="N751" s="97"/>
      <c r="O751" s="97"/>
      <c r="P751" s="97"/>
      <c r="Q751" s="97"/>
      <c r="R751" s="97"/>
      <c r="S751" s="97"/>
      <c r="T751" s="97"/>
      <c r="U751" s="98"/>
      <c r="V751" s="97"/>
      <c r="W751" s="97"/>
      <c r="X751" s="97"/>
      <c r="Y751" s="97"/>
      <c r="Z751" s="97"/>
      <c r="AA751" s="97"/>
      <c r="AB751" s="97"/>
      <c r="AC751" s="97"/>
      <c r="AD751" s="97"/>
      <c r="AE751" s="97"/>
      <c r="AF751" s="97"/>
      <c r="AG751" s="97"/>
      <c r="AH751" s="97"/>
      <c r="AI751" s="97"/>
      <c r="AJ751" s="97"/>
      <c r="AK751" s="97"/>
      <c r="AL751" s="97"/>
      <c r="AM751" s="97"/>
      <c r="AN751" s="97"/>
      <c r="AO751" s="97"/>
      <c r="AP751" s="97"/>
      <c r="AQ751" s="99"/>
      <c r="AR751" s="99"/>
      <c r="AS751" s="99"/>
    </row>
    <row r="752">
      <c r="A752" s="97"/>
      <c r="B752" s="97"/>
      <c r="C752" s="97"/>
      <c r="D752" s="97"/>
      <c r="E752" s="97"/>
      <c r="F752" s="97"/>
      <c r="G752" s="98"/>
      <c r="H752" s="97"/>
      <c r="I752" s="97"/>
      <c r="J752" s="97"/>
      <c r="K752" s="97"/>
      <c r="L752" s="97"/>
      <c r="M752" s="97"/>
      <c r="N752" s="97"/>
      <c r="O752" s="97"/>
      <c r="P752" s="97"/>
      <c r="Q752" s="97"/>
      <c r="R752" s="97"/>
      <c r="S752" s="97"/>
      <c r="T752" s="97"/>
      <c r="U752" s="98"/>
      <c r="V752" s="97"/>
      <c r="W752" s="97"/>
      <c r="X752" s="97"/>
      <c r="Y752" s="97"/>
      <c r="Z752" s="97"/>
      <c r="AA752" s="97"/>
      <c r="AB752" s="97"/>
      <c r="AC752" s="97"/>
      <c r="AD752" s="97"/>
      <c r="AE752" s="97"/>
      <c r="AF752" s="97"/>
      <c r="AG752" s="97"/>
      <c r="AH752" s="97"/>
      <c r="AI752" s="97"/>
      <c r="AJ752" s="97"/>
      <c r="AK752" s="97"/>
      <c r="AL752" s="97"/>
      <c r="AM752" s="97"/>
      <c r="AN752" s="97"/>
      <c r="AO752" s="97"/>
      <c r="AP752" s="97"/>
      <c r="AQ752" s="99"/>
      <c r="AR752" s="99"/>
      <c r="AS752" s="99"/>
    </row>
    <row r="753">
      <c r="A753" s="97"/>
      <c r="B753" s="97"/>
      <c r="C753" s="97"/>
      <c r="D753" s="97"/>
      <c r="E753" s="97"/>
      <c r="F753" s="97"/>
      <c r="G753" s="98"/>
      <c r="H753" s="97"/>
      <c r="I753" s="97"/>
      <c r="J753" s="97"/>
      <c r="K753" s="97"/>
      <c r="L753" s="97"/>
      <c r="M753" s="97"/>
      <c r="N753" s="97"/>
      <c r="O753" s="97"/>
      <c r="P753" s="97"/>
      <c r="Q753" s="97"/>
      <c r="R753" s="97"/>
      <c r="S753" s="97"/>
      <c r="T753" s="97"/>
      <c r="U753" s="98"/>
      <c r="V753" s="97"/>
      <c r="W753" s="97"/>
      <c r="X753" s="97"/>
      <c r="Y753" s="97"/>
      <c r="Z753" s="97"/>
      <c r="AA753" s="97"/>
      <c r="AB753" s="97"/>
      <c r="AC753" s="97"/>
      <c r="AD753" s="97"/>
      <c r="AE753" s="97"/>
      <c r="AF753" s="97"/>
      <c r="AG753" s="97"/>
      <c r="AH753" s="97"/>
      <c r="AI753" s="97"/>
      <c r="AJ753" s="97"/>
      <c r="AK753" s="97"/>
      <c r="AL753" s="97"/>
      <c r="AM753" s="97"/>
      <c r="AN753" s="97"/>
      <c r="AO753" s="97"/>
      <c r="AP753" s="97"/>
      <c r="AQ753" s="99"/>
      <c r="AR753" s="99"/>
      <c r="AS753" s="99"/>
    </row>
    <row r="754">
      <c r="A754" s="97"/>
      <c r="B754" s="97"/>
      <c r="C754" s="97"/>
      <c r="D754" s="97"/>
      <c r="E754" s="97"/>
      <c r="F754" s="97"/>
      <c r="G754" s="98"/>
      <c r="H754" s="97"/>
      <c r="I754" s="97"/>
      <c r="J754" s="97"/>
      <c r="K754" s="97"/>
      <c r="L754" s="97"/>
      <c r="M754" s="97"/>
      <c r="N754" s="97"/>
      <c r="O754" s="97"/>
      <c r="P754" s="97"/>
      <c r="Q754" s="97"/>
      <c r="R754" s="97"/>
      <c r="S754" s="97"/>
      <c r="T754" s="97"/>
      <c r="U754" s="98"/>
      <c r="V754" s="97"/>
      <c r="W754" s="97"/>
      <c r="X754" s="97"/>
      <c r="Y754" s="97"/>
      <c r="Z754" s="97"/>
      <c r="AA754" s="97"/>
      <c r="AB754" s="97"/>
      <c r="AC754" s="97"/>
      <c r="AD754" s="97"/>
      <c r="AE754" s="97"/>
      <c r="AF754" s="97"/>
      <c r="AG754" s="97"/>
      <c r="AH754" s="97"/>
      <c r="AI754" s="97"/>
      <c r="AJ754" s="97"/>
      <c r="AK754" s="97"/>
      <c r="AL754" s="97"/>
      <c r="AM754" s="97"/>
      <c r="AN754" s="97"/>
      <c r="AO754" s="97"/>
      <c r="AP754" s="97"/>
      <c r="AQ754" s="99"/>
      <c r="AR754" s="99"/>
      <c r="AS754" s="99"/>
    </row>
    <row r="755">
      <c r="A755" s="97"/>
      <c r="B755" s="97"/>
      <c r="C755" s="97"/>
      <c r="D755" s="97"/>
      <c r="E755" s="97"/>
      <c r="F755" s="97"/>
      <c r="G755" s="98"/>
      <c r="H755" s="97"/>
      <c r="I755" s="97"/>
      <c r="J755" s="97"/>
      <c r="K755" s="97"/>
      <c r="L755" s="97"/>
      <c r="M755" s="97"/>
      <c r="N755" s="97"/>
      <c r="O755" s="97"/>
      <c r="P755" s="97"/>
      <c r="Q755" s="97"/>
      <c r="R755" s="97"/>
      <c r="S755" s="97"/>
      <c r="T755" s="97"/>
      <c r="U755" s="98"/>
      <c r="V755" s="97"/>
      <c r="W755" s="97"/>
      <c r="X755" s="97"/>
      <c r="Y755" s="97"/>
      <c r="Z755" s="97"/>
      <c r="AA755" s="97"/>
      <c r="AB755" s="97"/>
      <c r="AC755" s="97"/>
      <c r="AD755" s="97"/>
      <c r="AE755" s="97"/>
      <c r="AF755" s="97"/>
      <c r="AG755" s="97"/>
      <c r="AH755" s="97"/>
      <c r="AI755" s="97"/>
      <c r="AJ755" s="97"/>
      <c r="AK755" s="97"/>
      <c r="AL755" s="97"/>
      <c r="AM755" s="97"/>
      <c r="AN755" s="97"/>
      <c r="AO755" s="97"/>
      <c r="AP755" s="97"/>
      <c r="AQ755" s="99"/>
      <c r="AR755" s="99"/>
      <c r="AS755" s="99"/>
    </row>
    <row r="756">
      <c r="A756" s="97"/>
      <c r="B756" s="97"/>
      <c r="C756" s="97"/>
      <c r="D756" s="97"/>
      <c r="E756" s="97"/>
      <c r="F756" s="97"/>
      <c r="G756" s="98"/>
      <c r="H756" s="97"/>
      <c r="I756" s="97"/>
      <c r="J756" s="97"/>
      <c r="K756" s="97"/>
      <c r="L756" s="97"/>
      <c r="M756" s="97"/>
      <c r="N756" s="97"/>
      <c r="O756" s="97"/>
      <c r="P756" s="97"/>
      <c r="Q756" s="97"/>
      <c r="R756" s="97"/>
      <c r="S756" s="97"/>
      <c r="T756" s="97"/>
      <c r="U756" s="98"/>
      <c r="V756" s="97"/>
      <c r="W756" s="97"/>
      <c r="X756" s="97"/>
      <c r="Y756" s="97"/>
      <c r="Z756" s="97"/>
      <c r="AA756" s="97"/>
      <c r="AB756" s="97"/>
      <c r="AC756" s="97"/>
      <c r="AD756" s="97"/>
      <c r="AE756" s="97"/>
      <c r="AF756" s="97"/>
      <c r="AG756" s="97"/>
      <c r="AH756" s="97"/>
      <c r="AI756" s="97"/>
      <c r="AJ756" s="97"/>
      <c r="AK756" s="97"/>
      <c r="AL756" s="97"/>
      <c r="AM756" s="97"/>
      <c r="AN756" s="97"/>
      <c r="AO756" s="97"/>
      <c r="AP756" s="97"/>
      <c r="AQ756" s="99"/>
      <c r="AR756" s="99"/>
      <c r="AS756" s="99"/>
    </row>
    <row r="757">
      <c r="A757" s="97"/>
      <c r="B757" s="97"/>
      <c r="C757" s="97"/>
      <c r="D757" s="97"/>
      <c r="E757" s="97"/>
      <c r="F757" s="97"/>
      <c r="G757" s="98"/>
      <c r="H757" s="97"/>
      <c r="I757" s="97"/>
      <c r="J757" s="97"/>
      <c r="K757" s="97"/>
      <c r="L757" s="97"/>
      <c r="M757" s="97"/>
      <c r="N757" s="97"/>
      <c r="O757" s="97"/>
      <c r="P757" s="97"/>
      <c r="Q757" s="97"/>
      <c r="R757" s="97"/>
      <c r="S757" s="97"/>
      <c r="T757" s="97"/>
      <c r="U757" s="98"/>
      <c r="V757" s="97"/>
      <c r="W757" s="97"/>
      <c r="X757" s="97"/>
      <c r="Y757" s="97"/>
      <c r="Z757" s="97"/>
      <c r="AA757" s="97"/>
      <c r="AB757" s="97"/>
      <c r="AC757" s="97"/>
      <c r="AD757" s="97"/>
      <c r="AE757" s="97"/>
      <c r="AF757" s="97"/>
      <c r="AG757" s="97"/>
      <c r="AH757" s="97"/>
      <c r="AI757" s="97"/>
      <c r="AJ757" s="97"/>
      <c r="AK757" s="97"/>
      <c r="AL757" s="97"/>
      <c r="AM757" s="97"/>
      <c r="AN757" s="97"/>
      <c r="AO757" s="97"/>
      <c r="AP757" s="97"/>
      <c r="AQ757" s="99"/>
      <c r="AR757" s="99"/>
      <c r="AS757" s="99"/>
    </row>
    <row r="758">
      <c r="A758" s="97"/>
      <c r="B758" s="97"/>
      <c r="C758" s="97"/>
      <c r="D758" s="97"/>
      <c r="E758" s="97"/>
      <c r="F758" s="97"/>
      <c r="G758" s="98"/>
      <c r="H758" s="97"/>
      <c r="I758" s="97"/>
      <c r="J758" s="97"/>
      <c r="K758" s="97"/>
      <c r="L758" s="97"/>
      <c r="M758" s="97"/>
      <c r="N758" s="97"/>
      <c r="O758" s="97"/>
      <c r="P758" s="97"/>
      <c r="Q758" s="97"/>
      <c r="R758" s="97"/>
      <c r="S758" s="97"/>
      <c r="T758" s="97"/>
      <c r="U758" s="98"/>
      <c r="V758" s="97"/>
      <c r="W758" s="97"/>
      <c r="X758" s="97"/>
      <c r="Y758" s="97"/>
      <c r="Z758" s="97"/>
      <c r="AA758" s="97"/>
      <c r="AB758" s="97"/>
      <c r="AC758" s="97"/>
      <c r="AD758" s="97"/>
      <c r="AE758" s="97"/>
      <c r="AF758" s="97"/>
      <c r="AG758" s="97"/>
      <c r="AH758" s="97"/>
      <c r="AI758" s="97"/>
      <c r="AJ758" s="97"/>
      <c r="AK758" s="97"/>
      <c r="AL758" s="97"/>
      <c r="AM758" s="97"/>
      <c r="AN758" s="97"/>
      <c r="AO758" s="97"/>
      <c r="AP758" s="97"/>
      <c r="AQ758" s="99"/>
      <c r="AR758" s="99"/>
      <c r="AS758" s="99"/>
    </row>
    <row r="759">
      <c r="A759" s="97"/>
      <c r="B759" s="97"/>
      <c r="C759" s="97"/>
      <c r="D759" s="97"/>
      <c r="E759" s="97"/>
      <c r="F759" s="97"/>
      <c r="G759" s="98"/>
      <c r="H759" s="97"/>
      <c r="I759" s="97"/>
      <c r="J759" s="97"/>
      <c r="K759" s="97"/>
      <c r="L759" s="97"/>
      <c r="M759" s="97"/>
      <c r="N759" s="97"/>
      <c r="O759" s="97"/>
      <c r="P759" s="97"/>
      <c r="Q759" s="97"/>
      <c r="R759" s="97"/>
      <c r="S759" s="97"/>
      <c r="T759" s="97"/>
      <c r="U759" s="98"/>
      <c r="V759" s="97"/>
      <c r="W759" s="97"/>
      <c r="X759" s="97"/>
      <c r="Y759" s="97"/>
      <c r="Z759" s="97"/>
      <c r="AA759" s="97"/>
      <c r="AB759" s="97"/>
      <c r="AC759" s="97"/>
      <c r="AD759" s="97"/>
      <c r="AE759" s="97"/>
      <c r="AF759" s="97"/>
      <c r="AG759" s="97"/>
      <c r="AH759" s="97"/>
      <c r="AI759" s="97"/>
      <c r="AJ759" s="97"/>
      <c r="AK759" s="97"/>
      <c r="AL759" s="97"/>
      <c r="AM759" s="97"/>
      <c r="AN759" s="97"/>
      <c r="AO759" s="97"/>
      <c r="AP759" s="97"/>
      <c r="AQ759" s="99"/>
      <c r="AR759" s="99"/>
      <c r="AS759" s="99"/>
    </row>
    <row r="760">
      <c r="A760" s="97"/>
      <c r="B760" s="97"/>
      <c r="C760" s="97"/>
      <c r="D760" s="97"/>
      <c r="E760" s="97"/>
      <c r="F760" s="97"/>
      <c r="G760" s="98"/>
      <c r="H760" s="97"/>
      <c r="I760" s="97"/>
      <c r="J760" s="97"/>
      <c r="K760" s="97"/>
      <c r="L760" s="97"/>
      <c r="M760" s="97"/>
      <c r="N760" s="97"/>
      <c r="O760" s="97"/>
      <c r="P760" s="97"/>
      <c r="Q760" s="97"/>
      <c r="R760" s="97"/>
      <c r="S760" s="97"/>
      <c r="T760" s="97"/>
      <c r="U760" s="98"/>
      <c r="V760" s="97"/>
      <c r="W760" s="97"/>
      <c r="X760" s="97"/>
      <c r="Y760" s="97"/>
      <c r="Z760" s="97"/>
      <c r="AA760" s="97"/>
      <c r="AB760" s="97"/>
      <c r="AC760" s="97"/>
      <c r="AD760" s="97"/>
      <c r="AE760" s="97"/>
      <c r="AF760" s="97"/>
      <c r="AG760" s="97"/>
      <c r="AH760" s="97"/>
      <c r="AI760" s="97"/>
      <c r="AJ760" s="97"/>
      <c r="AK760" s="97"/>
      <c r="AL760" s="97"/>
      <c r="AM760" s="97"/>
      <c r="AN760" s="97"/>
      <c r="AO760" s="97"/>
      <c r="AP760" s="97"/>
      <c r="AQ760" s="99"/>
      <c r="AR760" s="99"/>
      <c r="AS760" s="99"/>
    </row>
    <row r="761">
      <c r="A761" s="97"/>
      <c r="B761" s="97"/>
      <c r="C761" s="97"/>
      <c r="D761" s="97"/>
      <c r="E761" s="97"/>
      <c r="F761" s="97"/>
      <c r="G761" s="98"/>
      <c r="H761" s="97"/>
      <c r="I761" s="97"/>
      <c r="J761" s="97"/>
      <c r="K761" s="97"/>
      <c r="L761" s="97"/>
      <c r="M761" s="97"/>
      <c r="N761" s="97"/>
      <c r="O761" s="97"/>
      <c r="P761" s="97"/>
      <c r="Q761" s="97"/>
      <c r="R761" s="97"/>
      <c r="S761" s="97"/>
      <c r="T761" s="97"/>
      <c r="U761" s="98"/>
      <c r="V761" s="97"/>
      <c r="W761" s="97"/>
      <c r="X761" s="97"/>
      <c r="Y761" s="97"/>
      <c r="Z761" s="97"/>
      <c r="AA761" s="97"/>
      <c r="AB761" s="97"/>
      <c r="AC761" s="97"/>
      <c r="AD761" s="97"/>
      <c r="AE761" s="97"/>
      <c r="AF761" s="97"/>
      <c r="AG761" s="97"/>
      <c r="AH761" s="97"/>
      <c r="AI761" s="97"/>
      <c r="AJ761" s="97"/>
      <c r="AK761" s="97"/>
      <c r="AL761" s="97"/>
      <c r="AM761" s="97"/>
      <c r="AN761" s="97"/>
      <c r="AO761" s="97"/>
      <c r="AP761" s="97"/>
      <c r="AQ761" s="99"/>
      <c r="AR761" s="99"/>
      <c r="AS761" s="99"/>
    </row>
    <row r="762">
      <c r="A762" s="97"/>
      <c r="B762" s="97"/>
      <c r="C762" s="97"/>
      <c r="D762" s="97"/>
      <c r="E762" s="97"/>
      <c r="F762" s="97"/>
      <c r="G762" s="98"/>
      <c r="H762" s="97"/>
      <c r="I762" s="97"/>
      <c r="J762" s="97"/>
      <c r="K762" s="97"/>
      <c r="L762" s="97"/>
      <c r="M762" s="97"/>
      <c r="N762" s="97"/>
      <c r="O762" s="97"/>
      <c r="P762" s="97"/>
      <c r="Q762" s="97"/>
      <c r="R762" s="97"/>
      <c r="S762" s="97"/>
      <c r="T762" s="97"/>
      <c r="U762" s="98"/>
      <c r="V762" s="97"/>
      <c r="W762" s="97"/>
      <c r="X762" s="97"/>
      <c r="Y762" s="97"/>
      <c r="Z762" s="97"/>
      <c r="AA762" s="97"/>
      <c r="AB762" s="97"/>
      <c r="AC762" s="97"/>
      <c r="AD762" s="97"/>
      <c r="AE762" s="97"/>
      <c r="AF762" s="97"/>
      <c r="AG762" s="97"/>
      <c r="AH762" s="97"/>
      <c r="AI762" s="97"/>
      <c r="AJ762" s="97"/>
      <c r="AK762" s="97"/>
      <c r="AL762" s="97"/>
      <c r="AM762" s="97"/>
      <c r="AN762" s="97"/>
      <c r="AO762" s="97"/>
      <c r="AP762" s="97"/>
      <c r="AQ762" s="99"/>
      <c r="AR762" s="99"/>
      <c r="AS762" s="99"/>
    </row>
    <row r="763">
      <c r="A763" s="97"/>
      <c r="B763" s="97"/>
      <c r="C763" s="97"/>
      <c r="D763" s="97"/>
      <c r="E763" s="97"/>
      <c r="F763" s="97"/>
      <c r="G763" s="98"/>
      <c r="H763" s="97"/>
      <c r="I763" s="97"/>
      <c r="J763" s="97"/>
      <c r="K763" s="97"/>
      <c r="L763" s="97"/>
      <c r="M763" s="97"/>
      <c r="N763" s="97"/>
      <c r="O763" s="97"/>
      <c r="P763" s="97"/>
      <c r="Q763" s="97"/>
      <c r="R763" s="97"/>
      <c r="S763" s="97"/>
      <c r="T763" s="97"/>
      <c r="U763" s="98"/>
      <c r="V763" s="97"/>
      <c r="W763" s="97"/>
      <c r="X763" s="97"/>
      <c r="Y763" s="97"/>
      <c r="Z763" s="97"/>
      <c r="AA763" s="97"/>
      <c r="AB763" s="97"/>
      <c r="AC763" s="97"/>
      <c r="AD763" s="97"/>
      <c r="AE763" s="97"/>
      <c r="AF763" s="97"/>
      <c r="AG763" s="97"/>
      <c r="AH763" s="97"/>
      <c r="AI763" s="97"/>
      <c r="AJ763" s="97"/>
      <c r="AK763" s="97"/>
      <c r="AL763" s="97"/>
      <c r="AM763" s="97"/>
      <c r="AN763" s="97"/>
      <c r="AO763" s="97"/>
      <c r="AP763" s="97"/>
      <c r="AQ763" s="99"/>
      <c r="AR763" s="99"/>
      <c r="AS763" s="99"/>
    </row>
    <row r="764">
      <c r="A764" s="97"/>
      <c r="B764" s="97"/>
      <c r="C764" s="97"/>
      <c r="D764" s="97"/>
      <c r="E764" s="97"/>
      <c r="F764" s="97"/>
      <c r="G764" s="98"/>
      <c r="H764" s="97"/>
      <c r="I764" s="97"/>
      <c r="J764" s="97"/>
      <c r="K764" s="97"/>
      <c r="L764" s="97"/>
      <c r="M764" s="97"/>
      <c r="N764" s="97"/>
      <c r="O764" s="97"/>
      <c r="P764" s="97"/>
      <c r="Q764" s="97"/>
      <c r="R764" s="97"/>
      <c r="S764" s="97"/>
      <c r="T764" s="97"/>
      <c r="U764" s="98"/>
      <c r="V764" s="97"/>
      <c r="W764" s="97"/>
      <c r="X764" s="97"/>
      <c r="Y764" s="97"/>
      <c r="Z764" s="97"/>
      <c r="AA764" s="97"/>
      <c r="AB764" s="97"/>
      <c r="AC764" s="97"/>
      <c r="AD764" s="97"/>
      <c r="AE764" s="97"/>
      <c r="AF764" s="97"/>
      <c r="AG764" s="97"/>
      <c r="AH764" s="97"/>
      <c r="AI764" s="97"/>
      <c r="AJ764" s="97"/>
      <c r="AK764" s="97"/>
      <c r="AL764" s="97"/>
      <c r="AM764" s="97"/>
      <c r="AN764" s="97"/>
      <c r="AO764" s="97"/>
      <c r="AP764" s="97"/>
      <c r="AQ764" s="99"/>
      <c r="AR764" s="99"/>
      <c r="AS764" s="99"/>
    </row>
    <row r="765">
      <c r="A765" s="97"/>
      <c r="B765" s="97"/>
      <c r="C765" s="97"/>
      <c r="D765" s="97"/>
      <c r="E765" s="97"/>
      <c r="F765" s="97"/>
      <c r="G765" s="98"/>
      <c r="H765" s="97"/>
      <c r="I765" s="97"/>
      <c r="J765" s="97"/>
      <c r="K765" s="97"/>
      <c r="L765" s="97"/>
      <c r="M765" s="97"/>
      <c r="N765" s="97"/>
      <c r="O765" s="97"/>
      <c r="P765" s="97"/>
      <c r="Q765" s="97"/>
      <c r="R765" s="97"/>
      <c r="S765" s="97"/>
      <c r="T765" s="97"/>
      <c r="U765" s="98"/>
      <c r="V765" s="97"/>
      <c r="W765" s="97"/>
      <c r="X765" s="97"/>
      <c r="Y765" s="97"/>
      <c r="Z765" s="97"/>
      <c r="AA765" s="97"/>
      <c r="AB765" s="97"/>
      <c r="AC765" s="97"/>
      <c r="AD765" s="97"/>
      <c r="AE765" s="97"/>
      <c r="AF765" s="97"/>
      <c r="AG765" s="97"/>
      <c r="AH765" s="97"/>
      <c r="AI765" s="97"/>
      <c r="AJ765" s="97"/>
      <c r="AK765" s="97"/>
      <c r="AL765" s="97"/>
      <c r="AM765" s="97"/>
      <c r="AN765" s="97"/>
      <c r="AO765" s="97"/>
      <c r="AP765" s="97"/>
      <c r="AQ765" s="99"/>
      <c r="AR765" s="99"/>
      <c r="AS765" s="99"/>
    </row>
    <row r="766">
      <c r="A766" s="97"/>
      <c r="B766" s="97"/>
      <c r="C766" s="97"/>
      <c r="D766" s="97"/>
      <c r="E766" s="97"/>
      <c r="F766" s="97"/>
      <c r="G766" s="98"/>
      <c r="H766" s="97"/>
      <c r="I766" s="97"/>
      <c r="J766" s="97"/>
      <c r="K766" s="97"/>
      <c r="L766" s="97"/>
      <c r="M766" s="97"/>
      <c r="N766" s="97"/>
      <c r="O766" s="97"/>
      <c r="P766" s="97"/>
      <c r="Q766" s="97"/>
      <c r="R766" s="97"/>
      <c r="S766" s="97"/>
      <c r="T766" s="97"/>
      <c r="U766" s="98"/>
      <c r="V766" s="97"/>
      <c r="W766" s="97"/>
      <c r="X766" s="97"/>
      <c r="Y766" s="97"/>
      <c r="Z766" s="97"/>
      <c r="AA766" s="97"/>
      <c r="AB766" s="97"/>
      <c r="AC766" s="97"/>
      <c r="AD766" s="97"/>
      <c r="AE766" s="97"/>
      <c r="AF766" s="97"/>
      <c r="AG766" s="97"/>
      <c r="AH766" s="97"/>
      <c r="AI766" s="97"/>
      <c r="AJ766" s="97"/>
      <c r="AK766" s="97"/>
      <c r="AL766" s="97"/>
      <c r="AM766" s="97"/>
      <c r="AN766" s="97"/>
      <c r="AO766" s="97"/>
      <c r="AP766" s="97"/>
      <c r="AQ766" s="99"/>
      <c r="AR766" s="99"/>
      <c r="AS766" s="99"/>
    </row>
    <row r="767">
      <c r="A767" s="97"/>
      <c r="B767" s="97"/>
      <c r="C767" s="97"/>
      <c r="D767" s="97"/>
      <c r="E767" s="97"/>
      <c r="F767" s="97"/>
      <c r="G767" s="98"/>
      <c r="H767" s="97"/>
      <c r="I767" s="97"/>
      <c r="J767" s="97"/>
      <c r="K767" s="97"/>
      <c r="L767" s="97"/>
      <c r="M767" s="97"/>
      <c r="N767" s="97"/>
      <c r="O767" s="97"/>
      <c r="P767" s="97"/>
      <c r="Q767" s="97"/>
      <c r="R767" s="97"/>
      <c r="S767" s="97"/>
      <c r="T767" s="97"/>
      <c r="U767" s="98"/>
      <c r="V767" s="97"/>
      <c r="W767" s="97"/>
      <c r="X767" s="97"/>
      <c r="Y767" s="97"/>
      <c r="Z767" s="97"/>
      <c r="AA767" s="97"/>
      <c r="AB767" s="97"/>
      <c r="AC767" s="97"/>
      <c r="AD767" s="97"/>
      <c r="AE767" s="97"/>
      <c r="AF767" s="97"/>
      <c r="AG767" s="97"/>
      <c r="AH767" s="97"/>
      <c r="AI767" s="97"/>
      <c r="AJ767" s="97"/>
      <c r="AK767" s="97"/>
      <c r="AL767" s="97"/>
      <c r="AM767" s="97"/>
      <c r="AN767" s="97"/>
      <c r="AO767" s="97"/>
      <c r="AP767" s="97"/>
      <c r="AQ767" s="99"/>
      <c r="AR767" s="99"/>
      <c r="AS767" s="99"/>
    </row>
    <row r="768">
      <c r="A768" s="97"/>
      <c r="B768" s="97"/>
      <c r="C768" s="97"/>
      <c r="D768" s="97"/>
      <c r="E768" s="97"/>
      <c r="F768" s="97"/>
      <c r="G768" s="98"/>
      <c r="H768" s="97"/>
      <c r="I768" s="97"/>
      <c r="J768" s="97"/>
      <c r="K768" s="97"/>
      <c r="L768" s="97"/>
      <c r="M768" s="97"/>
      <c r="N768" s="97"/>
      <c r="O768" s="97"/>
      <c r="P768" s="97"/>
      <c r="Q768" s="97"/>
      <c r="R768" s="97"/>
      <c r="S768" s="97"/>
      <c r="T768" s="97"/>
      <c r="U768" s="98"/>
      <c r="V768" s="97"/>
      <c r="W768" s="97"/>
      <c r="X768" s="97"/>
      <c r="Y768" s="97"/>
      <c r="Z768" s="97"/>
      <c r="AA768" s="97"/>
      <c r="AB768" s="97"/>
      <c r="AC768" s="97"/>
      <c r="AD768" s="97"/>
      <c r="AE768" s="97"/>
      <c r="AF768" s="97"/>
      <c r="AG768" s="97"/>
      <c r="AH768" s="97"/>
      <c r="AI768" s="97"/>
      <c r="AJ768" s="97"/>
      <c r="AK768" s="97"/>
      <c r="AL768" s="97"/>
      <c r="AM768" s="97"/>
      <c r="AN768" s="97"/>
      <c r="AO768" s="97"/>
      <c r="AP768" s="97"/>
      <c r="AQ768" s="99"/>
      <c r="AR768" s="99"/>
      <c r="AS768" s="99"/>
    </row>
    <row r="769">
      <c r="A769" s="97"/>
      <c r="B769" s="97"/>
      <c r="C769" s="97"/>
      <c r="D769" s="97"/>
      <c r="E769" s="97"/>
      <c r="F769" s="97"/>
      <c r="G769" s="98"/>
      <c r="H769" s="97"/>
      <c r="I769" s="97"/>
      <c r="J769" s="97"/>
      <c r="K769" s="97"/>
      <c r="L769" s="97"/>
      <c r="M769" s="97"/>
      <c r="N769" s="97"/>
      <c r="O769" s="97"/>
      <c r="P769" s="97"/>
      <c r="Q769" s="97"/>
      <c r="R769" s="97"/>
      <c r="S769" s="97"/>
      <c r="T769" s="97"/>
      <c r="U769" s="98"/>
      <c r="V769" s="97"/>
      <c r="W769" s="97"/>
      <c r="X769" s="97"/>
      <c r="Y769" s="97"/>
      <c r="Z769" s="97"/>
      <c r="AA769" s="97"/>
      <c r="AB769" s="97"/>
      <c r="AC769" s="97"/>
      <c r="AD769" s="97"/>
      <c r="AE769" s="97"/>
      <c r="AF769" s="97"/>
      <c r="AG769" s="97"/>
      <c r="AH769" s="97"/>
      <c r="AI769" s="97"/>
      <c r="AJ769" s="97"/>
      <c r="AK769" s="97"/>
      <c r="AL769" s="97"/>
      <c r="AM769" s="97"/>
      <c r="AN769" s="97"/>
      <c r="AO769" s="97"/>
      <c r="AP769" s="97"/>
      <c r="AQ769" s="99"/>
      <c r="AR769" s="99"/>
      <c r="AS769" s="99"/>
    </row>
    <row r="770">
      <c r="A770" s="97"/>
      <c r="B770" s="97"/>
      <c r="C770" s="97"/>
      <c r="D770" s="97"/>
      <c r="E770" s="97"/>
      <c r="F770" s="97"/>
      <c r="G770" s="98"/>
      <c r="H770" s="97"/>
      <c r="I770" s="97"/>
      <c r="J770" s="97"/>
      <c r="K770" s="97"/>
      <c r="L770" s="97"/>
      <c r="M770" s="97"/>
      <c r="N770" s="97"/>
      <c r="O770" s="97"/>
      <c r="P770" s="97"/>
      <c r="Q770" s="97"/>
      <c r="R770" s="97"/>
      <c r="S770" s="97"/>
      <c r="T770" s="97"/>
      <c r="U770" s="98"/>
      <c r="V770" s="97"/>
      <c r="W770" s="97"/>
      <c r="X770" s="97"/>
      <c r="Y770" s="97"/>
      <c r="Z770" s="97"/>
      <c r="AA770" s="97"/>
      <c r="AB770" s="97"/>
      <c r="AC770" s="97"/>
      <c r="AD770" s="97"/>
      <c r="AE770" s="97"/>
      <c r="AF770" s="97"/>
      <c r="AG770" s="97"/>
      <c r="AH770" s="97"/>
      <c r="AI770" s="97"/>
      <c r="AJ770" s="97"/>
      <c r="AK770" s="97"/>
      <c r="AL770" s="97"/>
      <c r="AM770" s="97"/>
      <c r="AN770" s="97"/>
      <c r="AO770" s="97"/>
      <c r="AP770" s="97"/>
      <c r="AQ770" s="99"/>
      <c r="AR770" s="99"/>
      <c r="AS770" s="99"/>
    </row>
    <row r="771">
      <c r="A771" s="97"/>
      <c r="B771" s="97"/>
      <c r="C771" s="97"/>
      <c r="D771" s="97"/>
      <c r="E771" s="97"/>
      <c r="F771" s="97"/>
      <c r="G771" s="98"/>
      <c r="H771" s="97"/>
      <c r="I771" s="97"/>
      <c r="J771" s="97"/>
      <c r="K771" s="97"/>
      <c r="L771" s="97"/>
      <c r="M771" s="97"/>
      <c r="N771" s="97"/>
      <c r="O771" s="97"/>
      <c r="P771" s="97"/>
      <c r="Q771" s="97"/>
      <c r="R771" s="97"/>
      <c r="S771" s="97"/>
      <c r="T771" s="97"/>
      <c r="U771" s="98"/>
      <c r="V771" s="97"/>
      <c r="W771" s="97"/>
      <c r="X771" s="97"/>
      <c r="Y771" s="97"/>
      <c r="Z771" s="97"/>
      <c r="AA771" s="97"/>
      <c r="AB771" s="97"/>
      <c r="AC771" s="97"/>
      <c r="AD771" s="97"/>
      <c r="AE771" s="97"/>
      <c r="AF771" s="97"/>
      <c r="AG771" s="97"/>
      <c r="AH771" s="97"/>
      <c r="AI771" s="97"/>
      <c r="AJ771" s="97"/>
      <c r="AK771" s="97"/>
      <c r="AL771" s="97"/>
      <c r="AM771" s="97"/>
      <c r="AN771" s="97"/>
      <c r="AO771" s="97"/>
      <c r="AP771" s="97"/>
      <c r="AQ771" s="99"/>
      <c r="AR771" s="99"/>
      <c r="AS771" s="99"/>
    </row>
    <row r="772">
      <c r="A772" s="97"/>
      <c r="B772" s="97"/>
      <c r="C772" s="97"/>
      <c r="D772" s="97"/>
      <c r="E772" s="97"/>
      <c r="F772" s="97"/>
      <c r="G772" s="98"/>
      <c r="H772" s="97"/>
      <c r="I772" s="97"/>
      <c r="J772" s="97"/>
      <c r="K772" s="97"/>
      <c r="L772" s="97"/>
      <c r="M772" s="97"/>
      <c r="N772" s="97"/>
      <c r="O772" s="97"/>
      <c r="P772" s="97"/>
      <c r="Q772" s="97"/>
      <c r="R772" s="97"/>
      <c r="S772" s="97"/>
      <c r="T772" s="97"/>
      <c r="U772" s="98"/>
      <c r="V772" s="97"/>
      <c r="W772" s="97"/>
      <c r="X772" s="97"/>
      <c r="Y772" s="97"/>
      <c r="Z772" s="97"/>
      <c r="AA772" s="97"/>
      <c r="AB772" s="97"/>
      <c r="AC772" s="97"/>
      <c r="AD772" s="97"/>
      <c r="AE772" s="97"/>
      <c r="AF772" s="97"/>
      <c r="AG772" s="97"/>
      <c r="AH772" s="97"/>
      <c r="AI772" s="97"/>
      <c r="AJ772" s="97"/>
      <c r="AK772" s="97"/>
      <c r="AL772" s="97"/>
      <c r="AM772" s="97"/>
      <c r="AN772" s="97"/>
      <c r="AO772" s="97"/>
      <c r="AP772" s="97"/>
      <c r="AQ772" s="99"/>
      <c r="AR772" s="99"/>
      <c r="AS772" s="99"/>
    </row>
    <row r="773">
      <c r="A773" s="97"/>
      <c r="B773" s="97"/>
      <c r="C773" s="97"/>
      <c r="D773" s="97"/>
      <c r="E773" s="97"/>
      <c r="F773" s="97"/>
      <c r="G773" s="98"/>
      <c r="H773" s="97"/>
      <c r="I773" s="97"/>
      <c r="J773" s="97"/>
      <c r="K773" s="97"/>
      <c r="L773" s="97"/>
      <c r="M773" s="97"/>
      <c r="N773" s="97"/>
      <c r="O773" s="97"/>
      <c r="P773" s="97"/>
      <c r="Q773" s="97"/>
      <c r="R773" s="97"/>
      <c r="S773" s="97"/>
      <c r="T773" s="97"/>
      <c r="U773" s="98"/>
      <c r="V773" s="97"/>
      <c r="W773" s="97"/>
      <c r="X773" s="97"/>
      <c r="Y773" s="97"/>
      <c r="Z773" s="97"/>
      <c r="AA773" s="97"/>
      <c r="AB773" s="97"/>
      <c r="AC773" s="97"/>
      <c r="AD773" s="97"/>
      <c r="AE773" s="97"/>
      <c r="AF773" s="97"/>
      <c r="AG773" s="97"/>
      <c r="AH773" s="97"/>
      <c r="AI773" s="97"/>
      <c r="AJ773" s="97"/>
      <c r="AK773" s="97"/>
      <c r="AL773" s="97"/>
      <c r="AM773" s="97"/>
      <c r="AN773" s="97"/>
      <c r="AO773" s="97"/>
      <c r="AP773" s="97"/>
      <c r="AQ773" s="99"/>
      <c r="AR773" s="99"/>
      <c r="AS773" s="99"/>
    </row>
    <row r="774">
      <c r="A774" s="97"/>
      <c r="B774" s="97"/>
      <c r="C774" s="97"/>
      <c r="D774" s="97"/>
      <c r="E774" s="97"/>
      <c r="F774" s="97"/>
      <c r="G774" s="98"/>
      <c r="H774" s="97"/>
      <c r="I774" s="97"/>
      <c r="J774" s="97"/>
      <c r="K774" s="97"/>
      <c r="L774" s="97"/>
      <c r="M774" s="97"/>
      <c r="N774" s="97"/>
      <c r="O774" s="97"/>
      <c r="P774" s="97"/>
      <c r="Q774" s="97"/>
      <c r="R774" s="97"/>
      <c r="S774" s="97"/>
      <c r="T774" s="97"/>
      <c r="U774" s="98"/>
      <c r="V774" s="97"/>
      <c r="W774" s="97"/>
      <c r="X774" s="97"/>
      <c r="Y774" s="97"/>
      <c r="Z774" s="97"/>
      <c r="AA774" s="97"/>
      <c r="AB774" s="97"/>
      <c r="AC774" s="97"/>
      <c r="AD774" s="97"/>
      <c r="AE774" s="97"/>
      <c r="AF774" s="97"/>
      <c r="AG774" s="97"/>
      <c r="AH774" s="97"/>
      <c r="AI774" s="97"/>
      <c r="AJ774" s="97"/>
      <c r="AK774" s="97"/>
      <c r="AL774" s="97"/>
      <c r="AM774" s="97"/>
      <c r="AN774" s="97"/>
      <c r="AO774" s="97"/>
      <c r="AP774" s="97"/>
      <c r="AQ774" s="99"/>
      <c r="AR774" s="99"/>
      <c r="AS774" s="99"/>
    </row>
    <row r="775">
      <c r="A775" s="97"/>
      <c r="B775" s="97"/>
      <c r="C775" s="97"/>
      <c r="D775" s="97"/>
      <c r="E775" s="97"/>
      <c r="F775" s="97"/>
      <c r="G775" s="98"/>
      <c r="H775" s="97"/>
      <c r="I775" s="97"/>
      <c r="J775" s="97"/>
      <c r="K775" s="97"/>
      <c r="L775" s="97"/>
      <c r="M775" s="97"/>
      <c r="N775" s="97"/>
      <c r="O775" s="97"/>
      <c r="P775" s="97"/>
      <c r="Q775" s="97"/>
      <c r="R775" s="97"/>
      <c r="S775" s="97"/>
      <c r="T775" s="97"/>
      <c r="U775" s="98"/>
      <c r="V775" s="97"/>
      <c r="W775" s="97"/>
      <c r="X775" s="97"/>
      <c r="Y775" s="97"/>
      <c r="Z775" s="97"/>
      <c r="AA775" s="97"/>
      <c r="AB775" s="97"/>
      <c r="AC775" s="97"/>
      <c r="AD775" s="97"/>
      <c r="AE775" s="97"/>
      <c r="AF775" s="97"/>
      <c r="AG775" s="97"/>
      <c r="AH775" s="97"/>
      <c r="AI775" s="97"/>
      <c r="AJ775" s="97"/>
      <c r="AK775" s="97"/>
      <c r="AL775" s="97"/>
      <c r="AM775" s="97"/>
      <c r="AN775" s="97"/>
      <c r="AO775" s="97"/>
      <c r="AP775" s="97"/>
      <c r="AQ775" s="99"/>
      <c r="AR775" s="99"/>
      <c r="AS775" s="99"/>
    </row>
    <row r="776">
      <c r="A776" s="97"/>
      <c r="B776" s="97"/>
      <c r="C776" s="97"/>
      <c r="D776" s="97"/>
      <c r="E776" s="97"/>
      <c r="F776" s="97"/>
      <c r="G776" s="98"/>
      <c r="H776" s="97"/>
      <c r="I776" s="97"/>
      <c r="J776" s="97"/>
      <c r="K776" s="97"/>
      <c r="L776" s="97"/>
      <c r="M776" s="97"/>
      <c r="N776" s="97"/>
      <c r="O776" s="97"/>
      <c r="P776" s="97"/>
      <c r="Q776" s="97"/>
      <c r="R776" s="97"/>
      <c r="S776" s="97"/>
      <c r="T776" s="97"/>
      <c r="U776" s="98"/>
      <c r="V776" s="97"/>
      <c r="W776" s="97"/>
      <c r="X776" s="97"/>
      <c r="Y776" s="97"/>
      <c r="Z776" s="97"/>
      <c r="AA776" s="97"/>
      <c r="AB776" s="97"/>
      <c r="AC776" s="97"/>
      <c r="AD776" s="97"/>
      <c r="AE776" s="97"/>
      <c r="AF776" s="97"/>
      <c r="AG776" s="97"/>
      <c r="AH776" s="97"/>
      <c r="AI776" s="97"/>
      <c r="AJ776" s="97"/>
      <c r="AK776" s="97"/>
      <c r="AL776" s="97"/>
      <c r="AM776" s="97"/>
      <c r="AN776" s="97"/>
      <c r="AO776" s="97"/>
      <c r="AP776" s="97"/>
      <c r="AQ776" s="99"/>
      <c r="AR776" s="99"/>
      <c r="AS776" s="99"/>
    </row>
    <row r="777">
      <c r="A777" s="97"/>
      <c r="B777" s="97"/>
      <c r="C777" s="97"/>
      <c r="D777" s="97"/>
      <c r="E777" s="97"/>
      <c r="F777" s="97"/>
      <c r="G777" s="98"/>
      <c r="H777" s="97"/>
      <c r="I777" s="97"/>
      <c r="J777" s="97"/>
      <c r="K777" s="97"/>
      <c r="L777" s="97"/>
      <c r="M777" s="97"/>
      <c r="N777" s="97"/>
      <c r="O777" s="97"/>
      <c r="P777" s="97"/>
      <c r="Q777" s="97"/>
      <c r="R777" s="97"/>
      <c r="S777" s="97"/>
      <c r="T777" s="97"/>
      <c r="U777" s="98"/>
      <c r="V777" s="97"/>
      <c r="W777" s="97"/>
      <c r="X777" s="97"/>
      <c r="Y777" s="97"/>
      <c r="Z777" s="97"/>
      <c r="AA777" s="97"/>
      <c r="AB777" s="97"/>
      <c r="AC777" s="97"/>
      <c r="AD777" s="97"/>
      <c r="AE777" s="97"/>
      <c r="AF777" s="97"/>
      <c r="AG777" s="97"/>
      <c r="AH777" s="97"/>
      <c r="AI777" s="97"/>
      <c r="AJ777" s="97"/>
      <c r="AK777" s="97"/>
      <c r="AL777" s="97"/>
      <c r="AM777" s="97"/>
      <c r="AN777" s="97"/>
      <c r="AO777" s="97"/>
      <c r="AP777" s="97"/>
      <c r="AQ777" s="99"/>
      <c r="AR777" s="99"/>
      <c r="AS777" s="99"/>
    </row>
    <row r="778">
      <c r="A778" s="97"/>
      <c r="B778" s="97"/>
      <c r="C778" s="97"/>
      <c r="D778" s="97"/>
      <c r="E778" s="97"/>
      <c r="F778" s="97"/>
      <c r="G778" s="98"/>
      <c r="H778" s="97"/>
      <c r="I778" s="97"/>
      <c r="J778" s="97"/>
      <c r="K778" s="97"/>
      <c r="L778" s="97"/>
      <c r="M778" s="97"/>
      <c r="N778" s="97"/>
      <c r="O778" s="97"/>
      <c r="P778" s="97"/>
      <c r="Q778" s="97"/>
      <c r="R778" s="97"/>
      <c r="S778" s="97"/>
      <c r="T778" s="97"/>
      <c r="U778" s="98"/>
      <c r="V778" s="97"/>
      <c r="W778" s="97"/>
      <c r="X778" s="97"/>
      <c r="Y778" s="97"/>
      <c r="Z778" s="97"/>
      <c r="AA778" s="97"/>
      <c r="AB778" s="97"/>
      <c r="AC778" s="97"/>
      <c r="AD778" s="97"/>
      <c r="AE778" s="97"/>
      <c r="AF778" s="97"/>
      <c r="AG778" s="97"/>
      <c r="AH778" s="97"/>
      <c r="AI778" s="97"/>
      <c r="AJ778" s="97"/>
      <c r="AK778" s="97"/>
      <c r="AL778" s="97"/>
      <c r="AM778" s="97"/>
      <c r="AN778" s="97"/>
      <c r="AO778" s="97"/>
      <c r="AP778" s="97"/>
      <c r="AQ778" s="99"/>
      <c r="AR778" s="99"/>
      <c r="AS778" s="99"/>
    </row>
    <row r="779">
      <c r="A779" s="97"/>
      <c r="B779" s="97"/>
      <c r="C779" s="97"/>
      <c r="D779" s="97"/>
      <c r="E779" s="97"/>
      <c r="F779" s="97"/>
      <c r="G779" s="98"/>
      <c r="H779" s="97"/>
      <c r="I779" s="97"/>
      <c r="J779" s="97"/>
      <c r="K779" s="97"/>
      <c r="L779" s="97"/>
      <c r="M779" s="97"/>
      <c r="N779" s="97"/>
      <c r="O779" s="97"/>
      <c r="P779" s="97"/>
      <c r="Q779" s="97"/>
      <c r="R779" s="97"/>
      <c r="S779" s="97"/>
      <c r="T779" s="97"/>
      <c r="U779" s="98"/>
      <c r="V779" s="97"/>
      <c r="W779" s="97"/>
      <c r="X779" s="97"/>
      <c r="Y779" s="97"/>
      <c r="Z779" s="97"/>
      <c r="AA779" s="97"/>
      <c r="AB779" s="97"/>
      <c r="AC779" s="97"/>
      <c r="AD779" s="97"/>
      <c r="AE779" s="97"/>
      <c r="AF779" s="97"/>
      <c r="AG779" s="97"/>
      <c r="AH779" s="97"/>
      <c r="AI779" s="97"/>
      <c r="AJ779" s="97"/>
      <c r="AK779" s="97"/>
      <c r="AL779" s="97"/>
      <c r="AM779" s="97"/>
      <c r="AN779" s="97"/>
      <c r="AO779" s="97"/>
      <c r="AP779" s="97"/>
      <c r="AQ779" s="99"/>
      <c r="AR779" s="99"/>
      <c r="AS779" s="99"/>
    </row>
    <row r="780">
      <c r="A780" s="97"/>
      <c r="B780" s="97"/>
      <c r="C780" s="97"/>
      <c r="D780" s="97"/>
      <c r="E780" s="97"/>
      <c r="F780" s="97"/>
      <c r="G780" s="98"/>
      <c r="H780" s="97"/>
      <c r="I780" s="97"/>
      <c r="J780" s="97"/>
      <c r="K780" s="97"/>
      <c r="L780" s="97"/>
      <c r="M780" s="97"/>
      <c r="N780" s="97"/>
      <c r="O780" s="97"/>
      <c r="P780" s="97"/>
      <c r="Q780" s="97"/>
      <c r="R780" s="97"/>
      <c r="S780" s="97"/>
      <c r="T780" s="97"/>
      <c r="U780" s="98"/>
      <c r="V780" s="97"/>
      <c r="W780" s="97"/>
      <c r="X780" s="97"/>
      <c r="Y780" s="97"/>
      <c r="Z780" s="97"/>
      <c r="AA780" s="97"/>
      <c r="AB780" s="97"/>
      <c r="AC780" s="97"/>
      <c r="AD780" s="97"/>
      <c r="AE780" s="97"/>
      <c r="AF780" s="97"/>
      <c r="AG780" s="97"/>
      <c r="AH780" s="97"/>
      <c r="AI780" s="97"/>
      <c r="AJ780" s="97"/>
      <c r="AK780" s="97"/>
      <c r="AL780" s="97"/>
      <c r="AM780" s="97"/>
      <c r="AN780" s="97"/>
      <c r="AO780" s="97"/>
      <c r="AP780" s="97"/>
      <c r="AQ780" s="99"/>
      <c r="AR780" s="99"/>
      <c r="AS780" s="99"/>
    </row>
    <row r="781">
      <c r="A781" s="97"/>
      <c r="B781" s="97"/>
      <c r="C781" s="97"/>
      <c r="D781" s="97"/>
      <c r="E781" s="97"/>
      <c r="F781" s="97"/>
      <c r="G781" s="98"/>
      <c r="H781" s="97"/>
      <c r="I781" s="97"/>
      <c r="J781" s="97"/>
      <c r="K781" s="97"/>
      <c r="L781" s="97"/>
      <c r="M781" s="97"/>
      <c r="N781" s="97"/>
      <c r="O781" s="97"/>
      <c r="P781" s="97"/>
      <c r="Q781" s="97"/>
      <c r="R781" s="97"/>
      <c r="S781" s="97"/>
      <c r="T781" s="97"/>
      <c r="U781" s="98"/>
      <c r="V781" s="97"/>
      <c r="W781" s="97"/>
      <c r="X781" s="97"/>
      <c r="Y781" s="97"/>
      <c r="Z781" s="97"/>
      <c r="AA781" s="97"/>
      <c r="AB781" s="97"/>
      <c r="AC781" s="97"/>
      <c r="AD781" s="97"/>
      <c r="AE781" s="97"/>
      <c r="AF781" s="97"/>
      <c r="AG781" s="97"/>
      <c r="AH781" s="97"/>
      <c r="AI781" s="97"/>
      <c r="AJ781" s="97"/>
      <c r="AK781" s="97"/>
      <c r="AL781" s="97"/>
      <c r="AM781" s="97"/>
      <c r="AN781" s="97"/>
      <c r="AO781" s="97"/>
      <c r="AP781" s="97"/>
      <c r="AQ781" s="99"/>
      <c r="AR781" s="99"/>
      <c r="AS781" s="99"/>
    </row>
    <row r="782">
      <c r="A782" s="97"/>
      <c r="B782" s="97"/>
      <c r="C782" s="97"/>
      <c r="D782" s="97"/>
      <c r="E782" s="97"/>
      <c r="F782" s="97"/>
      <c r="G782" s="98"/>
      <c r="H782" s="97"/>
      <c r="I782" s="97"/>
      <c r="J782" s="97"/>
      <c r="K782" s="97"/>
      <c r="L782" s="97"/>
      <c r="M782" s="97"/>
      <c r="N782" s="97"/>
      <c r="O782" s="97"/>
      <c r="P782" s="97"/>
      <c r="Q782" s="97"/>
      <c r="R782" s="97"/>
      <c r="S782" s="97"/>
      <c r="T782" s="97"/>
      <c r="U782" s="98"/>
      <c r="V782" s="97"/>
      <c r="W782" s="97"/>
      <c r="X782" s="97"/>
      <c r="Y782" s="97"/>
      <c r="Z782" s="97"/>
      <c r="AA782" s="97"/>
      <c r="AB782" s="97"/>
      <c r="AC782" s="97"/>
      <c r="AD782" s="97"/>
      <c r="AE782" s="97"/>
      <c r="AF782" s="97"/>
      <c r="AG782" s="97"/>
      <c r="AH782" s="97"/>
      <c r="AI782" s="97"/>
      <c r="AJ782" s="97"/>
      <c r="AK782" s="97"/>
      <c r="AL782" s="97"/>
      <c r="AM782" s="97"/>
      <c r="AN782" s="97"/>
      <c r="AO782" s="97"/>
      <c r="AP782" s="97"/>
      <c r="AQ782" s="99"/>
      <c r="AR782" s="99"/>
      <c r="AS782" s="99"/>
    </row>
    <row r="783">
      <c r="A783" s="97"/>
      <c r="B783" s="97"/>
      <c r="C783" s="97"/>
      <c r="D783" s="97"/>
      <c r="E783" s="97"/>
      <c r="F783" s="97"/>
      <c r="G783" s="98"/>
      <c r="H783" s="97"/>
      <c r="I783" s="97"/>
      <c r="J783" s="97"/>
      <c r="K783" s="97"/>
      <c r="L783" s="97"/>
      <c r="M783" s="97"/>
      <c r="N783" s="97"/>
      <c r="O783" s="97"/>
      <c r="P783" s="97"/>
      <c r="Q783" s="97"/>
      <c r="R783" s="97"/>
      <c r="S783" s="97"/>
      <c r="T783" s="97"/>
      <c r="U783" s="98"/>
      <c r="V783" s="97"/>
      <c r="W783" s="97"/>
      <c r="X783" s="97"/>
      <c r="Y783" s="97"/>
      <c r="Z783" s="97"/>
      <c r="AA783" s="97"/>
      <c r="AB783" s="97"/>
      <c r="AC783" s="97"/>
      <c r="AD783" s="97"/>
      <c r="AE783" s="97"/>
      <c r="AF783" s="97"/>
      <c r="AG783" s="97"/>
      <c r="AH783" s="97"/>
      <c r="AI783" s="97"/>
      <c r="AJ783" s="97"/>
      <c r="AK783" s="97"/>
      <c r="AL783" s="97"/>
      <c r="AM783" s="97"/>
      <c r="AN783" s="97"/>
      <c r="AO783" s="97"/>
      <c r="AP783" s="97"/>
      <c r="AQ783" s="99"/>
      <c r="AR783" s="99"/>
      <c r="AS783" s="99"/>
    </row>
    <row r="784">
      <c r="A784" s="97"/>
      <c r="B784" s="97"/>
      <c r="C784" s="97"/>
      <c r="D784" s="97"/>
      <c r="E784" s="97"/>
      <c r="F784" s="97"/>
      <c r="G784" s="98"/>
      <c r="H784" s="97"/>
      <c r="I784" s="97"/>
      <c r="J784" s="97"/>
      <c r="K784" s="97"/>
      <c r="L784" s="97"/>
      <c r="M784" s="97"/>
      <c r="N784" s="97"/>
      <c r="O784" s="97"/>
      <c r="P784" s="97"/>
      <c r="Q784" s="97"/>
      <c r="R784" s="97"/>
      <c r="S784" s="97"/>
      <c r="T784" s="97"/>
      <c r="U784" s="98"/>
      <c r="V784" s="97"/>
      <c r="W784" s="97"/>
      <c r="X784" s="97"/>
      <c r="Y784" s="97"/>
      <c r="Z784" s="97"/>
      <c r="AA784" s="97"/>
      <c r="AB784" s="97"/>
      <c r="AC784" s="97"/>
      <c r="AD784" s="97"/>
      <c r="AE784" s="97"/>
      <c r="AF784" s="97"/>
      <c r="AG784" s="97"/>
      <c r="AH784" s="97"/>
      <c r="AI784" s="97"/>
      <c r="AJ784" s="97"/>
      <c r="AK784" s="97"/>
      <c r="AL784" s="97"/>
      <c r="AM784" s="97"/>
      <c r="AN784" s="97"/>
      <c r="AO784" s="97"/>
      <c r="AP784" s="97"/>
      <c r="AQ784" s="99"/>
      <c r="AR784" s="99"/>
      <c r="AS784" s="99"/>
    </row>
    <row r="785">
      <c r="A785" s="97"/>
      <c r="B785" s="97"/>
      <c r="C785" s="97"/>
      <c r="D785" s="97"/>
      <c r="E785" s="97"/>
      <c r="F785" s="97"/>
      <c r="G785" s="98"/>
      <c r="H785" s="97"/>
      <c r="I785" s="97"/>
      <c r="J785" s="97"/>
      <c r="K785" s="97"/>
      <c r="L785" s="97"/>
      <c r="M785" s="97"/>
      <c r="N785" s="97"/>
      <c r="O785" s="97"/>
      <c r="P785" s="97"/>
      <c r="Q785" s="97"/>
      <c r="R785" s="97"/>
      <c r="S785" s="97"/>
      <c r="T785" s="97"/>
      <c r="U785" s="98"/>
      <c r="V785" s="97"/>
      <c r="W785" s="97"/>
      <c r="X785" s="97"/>
      <c r="Y785" s="97"/>
      <c r="Z785" s="97"/>
      <c r="AA785" s="97"/>
      <c r="AB785" s="97"/>
      <c r="AC785" s="97"/>
      <c r="AD785" s="97"/>
      <c r="AE785" s="97"/>
      <c r="AF785" s="97"/>
      <c r="AG785" s="97"/>
      <c r="AH785" s="97"/>
      <c r="AI785" s="97"/>
      <c r="AJ785" s="97"/>
      <c r="AK785" s="97"/>
      <c r="AL785" s="97"/>
      <c r="AM785" s="97"/>
      <c r="AN785" s="97"/>
      <c r="AO785" s="97"/>
      <c r="AP785" s="97"/>
      <c r="AQ785" s="99"/>
      <c r="AR785" s="99"/>
      <c r="AS785" s="99"/>
    </row>
    <row r="786">
      <c r="A786" s="97"/>
      <c r="B786" s="97"/>
      <c r="C786" s="97"/>
      <c r="D786" s="97"/>
      <c r="E786" s="97"/>
      <c r="F786" s="97"/>
      <c r="G786" s="98"/>
      <c r="H786" s="97"/>
      <c r="I786" s="97"/>
      <c r="J786" s="97"/>
      <c r="K786" s="97"/>
      <c r="L786" s="97"/>
      <c r="M786" s="97"/>
      <c r="N786" s="97"/>
      <c r="O786" s="97"/>
      <c r="P786" s="97"/>
      <c r="Q786" s="97"/>
      <c r="R786" s="97"/>
      <c r="S786" s="97"/>
      <c r="T786" s="97"/>
      <c r="U786" s="98"/>
      <c r="V786" s="97"/>
      <c r="W786" s="97"/>
      <c r="X786" s="97"/>
      <c r="Y786" s="97"/>
      <c r="Z786" s="97"/>
      <c r="AA786" s="97"/>
      <c r="AB786" s="97"/>
      <c r="AC786" s="97"/>
      <c r="AD786" s="97"/>
      <c r="AE786" s="97"/>
      <c r="AF786" s="97"/>
      <c r="AG786" s="97"/>
      <c r="AH786" s="97"/>
      <c r="AI786" s="97"/>
      <c r="AJ786" s="97"/>
      <c r="AK786" s="97"/>
      <c r="AL786" s="97"/>
      <c r="AM786" s="97"/>
      <c r="AN786" s="97"/>
      <c r="AO786" s="97"/>
      <c r="AP786" s="97"/>
      <c r="AQ786" s="99"/>
      <c r="AR786" s="99"/>
      <c r="AS786" s="99"/>
    </row>
    <row r="787">
      <c r="A787" s="97"/>
      <c r="B787" s="97"/>
      <c r="C787" s="97"/>
      <c r="D787" s="97"/>
      <c r="E787" s="97"/>
      <c r="F787" s="97"/>
      <c r="G787" s="98"/>
      <c r="H787" s="97"/>
      <c r="I787" s="97"/>
      <c r="J787" s="97"/>
      <c r="K787" s="97"/>
      <c r="L787" s="97"/>
      <c r="M787" s="97"/>
      <c r="N787" s="97"/>
      <c r="O787" s="97"/>
      <c r="P787" s="97"/>
      <c r="Q787" s="97"/>
      <c r="R787" s="97"/>
      <c r="S787" s="97"/>
      <c r="T787" s="97"/>
      <c r="U787" s="98"/>
      <c r="V787" s="97"/>
      <c r="W787" s="97"/>
      <c r="X787" s="97"/>
      <c r="Y787" s="97"/>
      <c r="Z787" s="97"/>
      <c r="AA787" s="97"/>
      <c r="AB787" s="97"/>
      <c r="AC787" s="97"/>
      <c r="AD787" s="97"/>
      <c r="AE787" s="97"/>
      <c r="AF787" s="97"/>
      <c r="AG787" s="97"/>
      <c r="AH787" s="97"/>
      <c r="AI787" s="97"/>
      <c r="AJ787" s="97"/>
      <c r="AK787" s="97"/>
      <c r="AL787" s="97"/>
      <c r="AM787" s="97"/>
      <c r="AN787" s="97"/>
      <c r="AO787" s="97"/>
      <c r="AP787" s="97"/>
      <c r="AQ787" s="99"/>
      <c r="AR787" s="99"/>
      <c r="AS787" s="99"/>
    </row>
    <row r="788">
      <c r="A788" s="97"/>
      <c r="B788" s="97"/>
      <c r="C788" s="97"/>
      <c r="D788" s="97"/>
      <c r="E788" s="97"/>
      <c r="F788" s="97"/>
      <c r="G788" s="98"/>
      <c r="H788" s="97"/>
      <c r="I788" s="97"/>
      <c r="J788" s="97"/>
      <c r="K788" s="97"/>
      <c r="L788" s="97"/>
      <c r="M788" s="97"/>
      <c r="N788" s="97"/>
      <c r="O788" s="97"/>
      <c r="P788" s="97"/>
      <c r="Q788" s="97"/>
      <c r="R788" s="97"/>
      <c r="S788" s="97"/>
      <c r="T788" s="97"/>
      <c r="U788" s="98"/>
      <c r="V788" s="97"/>
      <c r="W788" s="97"/>
      <c r="X788" s="97"/>
      <c r="Y788" s="97"/>
      <c r="Z788" s="97"/>
      <c r="AA788" s="97"/>
      <c r="AB788" s="97"/>
      <c r="AC788" s="97"/>
      <c r="AD788" s="97"/>
      <c r="AE788" s="97"/>
      <c r="AF788" s="97"/>
      <c r="AG788" s="97"/>
      <c r="AH788" s="97"/>
      <c r="AI788" s="97"/>
      <c r="AJ788" s="97"/>
      <c r="AK788" s="97"/>
      <c r="AL788" s="97"/>
      <c r="AM788" s="97"/>
      <c r="AN788" s="97"/>
      <c r="AO788" s="97"/>
      <c r="AP788" s="97"/>
      <c r="AQ788" s="99"/>
      <c r="AR788" s="99"/>
      <c r="AS788" s="99"/>
    </row>
    <row r="789">
      <c r="A789" s="97"/>
      <c r="B789" s="97"/>
      <c r="C789" s="97"/>
      <c r="D789" s="97"/>
      <c r="E789" s="97"/>
      <c r="F789" s="97"/>
      <c r="G789" s="98"/>
      <c r="H789" s="97"/>
      <c r="I789" s="97"/>
      <c r="J789" s="97"/>
      <c r="K789" s="97"/>
      <c r="L789" s="97"/>
      <c r="M789" s="97"/>
      <c r="N789" s="97"/>
      <c r="O789" s="97"/>
      <c r="P789" s="97"/>
      <c r="Q789" s="97"/>
      <c r="R789" s="97"/>
      <c r="S789" s="97"/>
      <c r="T789" s="97"/>
      <c r="U789" s="98"/>
      <c r="V789" s="97"/>
      <c r="W789" s="97"/>
      <c r="X789" s="97"/>
      <c r="Y789" s="97"/>
      <c r="Z789" s="97"/>
      <c r="AA789" s="97"/>
      <c r="AB789" s="97"/>
      <c r="AC789" s="97"/>
      <c r="AD789" s="97"/>
      <c r="AE789" s="97"/>
      <c r="AF789" s="97"/>
      <c r="AG789" s="97"/>
      <c r="AH789" s="97"/>
      <c r="AI789" s="97"/>
      <c r="AJ789" s="97"/>
      <c r="AK789" s="97"/>
      <c r="AL789" s="97"/>
      <c r="AM789" s="97"/>
      <c r="AN789" s="97"/>
      <c r="AO789" s="97"/>
      <c r="AP789" s="97"/>
      <c r="AQ789" s="99"/>
      <c r="AR789" s="99"/>
      <c r="AS789" s="99"/>
    </row>
    <row r="790">
      <c r="A790" s="97"/>
      <c r="B790" s="97"/>
      <c r="C790" s="97"/>
      <c r="D790" s="97"/>
      <c r="E790" s="97"/>
      <c r="F790" s="97"/>
      <c r="G790" s="98"/>
      <c r="H790" s="97"/>
      <c r="I790" s="97"/>
      <c r="J790" s="97"/>
      <c r="K790" s="97"/>
      <c r="L790" s="97"/>
      <c r="M790" s="97"/>
      <c r="N790" s="97"/>
      <c r="O790" s="97"/>
      <c r="P790" s="97"/>
      <c r="Q790" s="97"/>
      <c r="R790" s="97"/>
      <c r="S790" s="97"/>
      <c r="T790" s="97"/>
      <c r="U790" s="98"/>
      <c r="V790" s="97"/>
      <c r="W790" s="97"/>
      <c r="X790" s="97"/>
      <c r="Y790" s="97"/>
      <c r="Z790" s="97"/>
      <c r="AA790" s="97"/>
      <c r="AB790" s="97"/>
      <c r="AC790" s="97"/>
      <c r="AD790" s="97"/>
      <c r="AE790" s="97"/>
      <c r="AF790" s="97"/>
      <c r="AG790" s="97"/>
      <c r="AH790" s="97"/>
      <c r="AI790" s="97"/>
      <c r="AJ790" s="97"/>
      <c r="AK790" s="97"/>
      <c r="AL790" s="97"/>
      <c r="AM790" s="97"/>
      <c r="AN790" s="97"/>
      <c r="AO790" s="97"/>
      <c r="AP790" s="97"/>
      <c r="AQ790" s="99"/>
      <c r="AR790" s="99"/>
      <c r="AS790" s="99"/>
    </row>
    <row r="791">
      <c r="A791" s="97"/>
      <c r="B791" s="97"/>
      <c r="C791" s="97"/>
      <c r="D791" s="97"/>
      <c r="E791" s="97"/>
      <c r="F791" s="97"/>
      <c r="G791" s="98"/>
      <c r="H791" s="97"/>
      <c r="I791" s="97"/>
      <c r="J791" s="97"/>
      <c r="K791" s="97"/>
      <c r="L791" s="97"/>
      <c r="M791" s="97"/>
      <c r="N791" s="97"/>
      <c r="O791" s="97"/>
      <c r="P791" s="97"/>
      <c r="Q791" s="97"/>
      <c r="R791" s="97"/>
      <c r="S791" s="97"/>
      <c r="T791" s="97"/>
      <c r="U791" s="98"/>
      <c r="V791" s="97"/>
      <c r="W791" s="97"/>
      <c r="X791" s="97"/>
      <c r="Y791" s="97"/>
      <c r="Z791" s="97"/>
      <c r="AA791" s="97"/>
      <c r="AB791" s="97"/>
      <c r="AC791" s="97"/>
      <c r="AD791" s="97"/>
      <c r="AE791" s="97"/>
      <c r="AF791" s="97"/>
      <c r="AG791" s="97"/>
      <c r="AH791" s="97"/>
      <c r="AI791" s="97"/>
      <c r="AJ791" s="97"/>
      <c r="AK791" s="97"/>
      <c r="AL791" s="97"/>
      <c r="AM791" s="97"/>
      <c r="AN791" s="97"/>
      <c r="AO791" s="97"/>
      <c r="AP791" s="97"/>
      <c r="AQ791" s="99"/>
      <c r="AR791" s="99"/>
      <c r="AS791" s="99"/>
    </row>
    <row r="792">
      <c r="A792" s="97"/>
      <c r="B792" s="97"/>
      <c r="C792" s="97"/>
      <c r="D792" s="97"/>
      <c r="E792" s="97"/>
      <c r="F792" s="97"/>
      <c r="G792" s="98"/>
      <c r="H792" s="97"/>
      <c r="I792" s="97"/>
      <c r="J792" s="97"/>
      <c r="K792" s="97"/>
      <c r="L792" s="97"/>
      <c r="M792" s="97"/>
      <c r="N792" s="97"/>
      <c r="O792" s="97"/>
      <c r="P792" s="97"/>
      <c r="Q792" s="97"/>
      <c r="R792" s="97"/>
      <c r="S792" s="97"/>
      <c r="T792" s="97"/>
      <c r="U792" s="98"/>
      <c r="V792" s="97"/>
      <c r="W792" s="97"/>
      <c r="X792" s="97"/>
      <c r="Y792" s="97"/>
      <c r="Z792" s="97"/>
      <c r="AA792" s="97"/>
      <c r="AB792" s="97"/>
      <c r="AC792" s="97"/>
      <c r="AD792" s="97"/>
      <c r="AE792" s="97"/>
      <c r="AF792" s="97"/>
      <c r="AG792" s="97"/>
      <c r="AH792" s="97"/>
      <c r="AI792" s="97"/>
      <c r="AJ792" s="97"/>
      <c r="AK792" s="97"/>
      <c r="AL792" s="97"/>
      <c r="AM792" s="97"/>
      <c r="AN792" s="97"/>
      <c r="AO792" s="97"/>
      <c r="AP792" s="97"/>
      <c r="AQ792" s="99"/>
      <c r="AR792" s="99"/>
      <c r="AS792" s="99"/>
    </row>
    <row r="793">
      <c r="A793" s="97"/>
      <c r="B793" s="97"/>
      <c r="C793" s="97"/>
      <c r="D793" s="97"/>
      <c r="E793" s="97"/>
      <c r="F793" s="97"/>
      <c r="G793" s="98"/>
      <c r="H793" s="97"/>
      <c r="I793" s="97"/>
      <c r="J793" s="97"/>
      <c r="K793" s="97"/>
      <c r="L793" s="97"/>
      <c r="M793" s="97"/>
      <c r="N793" s="97"/>
      <c r="O793" s="97"/>
      <c r="P793" s="97"/>
      <c r="Q793" s="97"/>
      <c r="R793" s="97"/>
      <c r="S793" s="97"/>
      <c r="T793" s="97"/>
      <c r="U793" s="98"/>
      <c r="V793" s="97"/>
      <c r="W793" s="97"/>
      <c r="X793" s="97"/>
      <c r="Y793" s="97"/>
      <c r="Z793" s="97"/>
      <c r="AA793" s="97"/>
      <c r="AB793" s="97"/>
      <c r="AC793" s="97"/>
      <c r="AD793" s="97"/>
      <c r="AE793" s="97"/>
      <c r="AF793" s="97"/>
      <c r="AG793" s="97"/>
      <c r="AH793" s="97"/>
      <c r="AI793" s="97"/>
      <c r="AJ793" s="97"/>
      <c r="AK793" s="97"/>
      <c r="AL793" s="97"/>
      <c r="AM793" s="97"/>
      <c r="AN793" s="97"/>
      <c r="AO793" s="97"/>
      <c r="AP793" s="97"/>
      <c r="AQ793" s="99"/>
      <c r="AR793" s="99"/>
      <c r="AS793" s="99"/>
    </row>
    <row r="794">
      <c r="A794" s="97"/>
      <c r="B794" s="97"/>
      <c r="C794" s="97"/>
      <c r="D794" s="97"/>
      <c r="E794" s="97"/>
      <c r="F794" s="97"/>
      <c r="G794" s="98"/>
      <c r="H794" s="97"/>
      <c r="I794" s="97"/>
      <c r="J794" s="97"/>
      <c r="K794" s="97"/>
      <c r="L794" s="97"/>
      <c r="M794" s="97"/>
      <c r="N794" s="97"/>
      <c r="O794" s="97"/>
      <c r="P794" s="97"/>
      <c r="Q794" s="97"/>
      <c r="R794" s="97"/>
      <c r="S794" s="97"/>
      <c r="T794" s="97"/>
      <c r="U794" s="98"/>
      <c r="V794" s="97"/>
      <c r="W794" s="97"/>
      <c r="X794" s="97"/>
      <c r="Y794" s="97"/>
      <c r="Z794" s="97"/>
      <c r="AA794" s="97"/>
      <c r="AB794" s="97"/>
      <c r="AC794" s="97"/>
      <c r="AD794" s="97"/>
      <c r="AE794" s="97"/>
      <c r="AF794" s="97"/>
      <c r="AG794" s="97"/>
      <c r="AH794" s="97"/>
      <c r="AI794" s="97"/>
      <c r="AJ794" s="97"/>
      <c r="AK794" s="97"/>
      <c r="AL794" s="97"/>
      <c r="AM794" s="97"/>
      <c r="AN794" s="97"/>
      <c r="AO794" s="97"/>
      <c r="AP794" s="97"/>
      <c r="AQ794" s="99"/>
      <c r="AR794" s="99"/>
      <c r="AS794" s="99"/>
    </row>
    <row r="795">
      <c r="A795" s="97"/>
      <c r="B795" s="97"/>
      <c r="C795" s="97"/>
      <c r="D795" s="97"/>
      <c r="E795" s="97"/>
      <c r="F795" s="97"/>
      <c r="G795" s="98"/>
      <c r="H795" s="97"/>
      <c r="I795" s="97"/>
      <c r="J795" s="97"/>
      <c r="K795" s="97"/>
      <c r="L795" s="97"/>
      <c r="M795" s="97"/>
      <c r="N795" s="97"/>
      <c r="O795" s="97"/>
      <c r="P795" s="97"/>
      <c r="Q795" s="97"/>
      <c r="R795" s="97"/>
      <c r="S795" s="97"/>
      <c r="T795" s="97"/>
      <c r="U795" s="98"/>
      <c r="V795" s="97"/>
      <c r="W795" s="97"/>
      <c r="X795" s="97"/>
      <c r="Y795" s="97"/>
      <c r="Z795" s="97"/>
      <c r="AA795" s="97"/>
      <c r="AB795" s="97"/>
      <c r="AC795" s="97"/>
      <c r="AD795" s="97"/>
      <c r="AE795" s="97"/>
      <c r="AF795" s="97"/>
      <c r="AG795" s="97"/>
      <c r="AH795" s="97"/>
      <c r="AI795" s="97"/>
      <c r="AJ795" s="97"/>
      <c r="AK795" s="97"/>
      <c r="AL795" s="97"/>
      <c r="AM795" s="97"/>
      <c r="AN795" s="97"/>
      <c r="AO795" s="97"/>
      <c r="AP795" s="97"/>
      <c r="AQ795" s="99"/>
      <c r="AR795" s="99"/>
      <c r="AS795" s="99"/>
    </row>
    <row r="796">
      <c r="A796" s="97"/>
      <c r="B796" s="97"/>
      <c r="C796" s="97"/>
      <c r="D796" s="97"/>
      <c r="E796" s="97"/>
      <c r="F796" s="97"/>
      <c r="G796" s="98"/>
      <c r="H796" s="97"/>
      <c r="I796" s="97"/>
      <c r="J796" s="97"/>
      <c r="K796" s="97"/>
      <c r="L796" s="97"/>
      <c r="M796" s="97"/>
      <c r="N796" s="97"/>
      <c r="O796" s="97"/>
      <c r="P796" s="97"/>
      <c r="Q796" s="97"/>
      <c r="R796" s="97"/>
      <c r="S796" s="97"/>
      <c r="T796" s="97"/>
      <c r="U796" s="98"/>
      <c r="V796" s="97"/>
      <c r="W796" s="97"/>
      <c r="X796" s="97"/>
      <c r="Y796" s="97"/>
      <c r="Z796" s="97"/>
      <c r="AA796" s="97"/>
      <c r="AB796" s="97"/>
      <c r="AC796" s="97"/>
      <c r="AD796" s="97"/>
      <c r="AE796" s="97"/>
      <c r="AF796" s="97"/>
      <c r="AG796" s="97"/>
      <c r="AH796" s="97"/>
      <c r="AI796" s="97"/>
      <c r="AJ796" s="97"/>
      <c r="AK796" s="97"/>
      <c r="AL796" s="97"/>
      <c r="AM796" s="97"/>
      <c r="AN796" s="97"/>
      <c r="AO796" s="97"/>
      <c r="AP796" s="97"/>
      <c r="AQ796" s="99"/>
      <c r="AR796" s="99"/>
      <c r="AS796" s="99"/>
    </row>
    <row r="797">
      <c r="A797" s="97"/>
      <c r="B797" s="97"/>
      <c r="C797" s="97"/>
      <c r="D797" s="97"/>
      <c r="E797" s="97"/>
      <c r="F797" s="97"/>
      <c r="G797" s="98"/>
      <c r="H797" s="97"/>
      <c r="I797" s="97"/>
      <c r="J797" s="97"/>
      <c r="K797" s="97"/>
      <c r="L797" s="97"/>
      <c r="M797" s="97"/>
      <c r="N797" s="97"/>
      <c r="O797" s="97"/>
      <c r="P797" s="97"/>
      <c r="Q797" s="97"/>
      <c r="R797" s="97"/>
      <c r="S797" s="97"/>
      <c r="T797" s="97"/>
      <c r="U797" s="98"/>
      <c r="V797" s="97"/>
      <c r="W797" s="97"/>
      <c r="X797" s="97"/>
      <c r="Y797" s="97"/>
      <c r="Z797" s="97"/>
      <c r="AA797" s="97"/>
      <c r="AB797" s="97"/>
      <c r="AC797" s="97"/>
      <c r="AD797" s="97"/>
      <c r="AE797" s="97"/>
      <c r="AF797" s="97"/>
      <c r="AG797" s="97"/>
      <c r="AH797" s="97"/>
      <c r="AI797" s="97"/>
      <c r="AJ797" s="97"/>
      <c r="AK797" s="97"/>
      <c r="AL797" s="97"/>
      <c r="AM797" s="97"/>
      <c r="AN797" s="97"/>
      <c r="AO797" s="97"/>
      <c r="AP797" s="97"/>
      <c r="AQ797" s="99"/>
      <c r="AR797" s="99"/>
      <c r="AS797" s="99"/>
    </row>
    <row r="798">
      <c r="A798" s="97"/>
      <c r="B798" s="97"/>
      <c r="C798" s="97"/>
      <c r="D798" s="97"/>
      <c r="E798" s="97"/>
      <c r="F798" s="97"/>
      <c r="G798" s="98"/>
      <c r="H798" s="97"/>
      <c r="I798" s="97"/>
      <c r="J798" s="97"/>
      <c r="K798" s="97"/>
      <c r="L798" s="97"/>
      <c r="M798" s="97"/>
      <c r="N798" s="97"/>
      <c r="O798" s="97"/>
      <c r="P798" s="97"/>
      <c r="Q798" s="97"/>
      <c r="R798" s="97"/>
      <c r="S798" s="97"/>
      <c r="T798" s="97"/>
      <c r="U798" s="98"/>
      <c r="V798" s="97"/>
      <c r="W798" s="97"/>
      <c r="X798" s="97"/>
      <c r="Y798" s="97"/>
      <c r="Z798" s="97"/>
      <c r="AA798" s="97"/>
      <c r="AB798" s="97"/>
      <c r="AC798" s="97"/>
      <c r="AD798" s="97"/>
      <c r="AE798" s="97"/>
      <c r="AF798" s="97"/>
      <c r="AG798" s="97"/>
      <c r="AH798" s="97"/>
      <c r="AI798" s="97"/>
      <c r="AJ798" s="97"/>
      <c r="AK798" s="97"/>
      <c r="AL798" s="97"/>
      <c r="AM798" s="97"/>
      <c r="AN798" s="97"/>
      <c r="AO798" s="97"/>
      <c r="AP798" s="97"/>
      <c r="AQ798" s="99"/>
      <c r="AR798" s="99"/>
      <c r="AS798" s="99"/>
    </row>
    <row r="799">
      <c r="A799" s="97"/>
      <c r="B799" s="97"/>
      <c r="C799" s="97"/>
      <c r="D799" s="97"/>
      <c r="E799" s="97"/>
      <c r="F799" s="97"/>
      <c r="G799" s="98"/>
      <c r="H799" s="97"/>
      <c r="I799" s="97"/>
      <c r="J799" s="97"/>
      <c r="K799" s="97"/>
      <c r="L799" s="97"/>
      <c r="M799" s="97"/>
      <c r="N799" s="97"/>
      <c r="O799" s="97"/>
      <c r="P799" s="97"/>
      <c r="Q799" s="97"/>
      <c r="R799" s="97"/>
      <c r="S799" s="97"/>
      <c r="T799" s="97"/>
      <c r="U799" s="98"/>
      <c r="V799" s="97"/>
      <c r="W799" s="97"/>
      <c r="X799" s="97"/>
      <c r="Y799" s="97"/>
      <c r="Z799" s="97"/>
      <c r="AA799" s="97"/>
      <c r="AB799" s="97"/>
      <c r="AC799" s="97"/>
      <c r="AD799" s="97"/>
      <c r="AE799" s="97"/>
      <c r="AF799" s="97"/>
      <c r="AG799" s="97"/>
      <c r="AH799" s="97"/>
      <c r="AI799" s="97"/>
      <c r="AJ799" s="97"/>
      <c r="AK799" s="97"/>
      <c r="AL799" s="97"/>
      <c r="AM799" s="97"/>
      <c r="AN799" s="97"/>
      <c r="AO799" s="97"/>
      <c r="AP799" s="97"/>
      <c r="AQ799" s="99"/>
      <c r="AR799" s="99"/>
      <c r="AS799" s="99"/>
    </row>
    <row r="800">
      <c r="A800" s="97"/>
      <c r="B800" s="97"/>
      <c r="C800" s="97"/>
      <c r="D800" s="97"/>
      <c r="E800" s="97"/>
      <c r="F800" s="97"/>
      <c r="G800" s="98"/>
      <c r="H800" s="97"/>
      <c r="I800" s="97"/>
      <c r="J800" s="97"/>
      <c r="K800" s="97"/>
      <c r="L800" s="97"/>
      <c r="M800" s="97"/>
      <c r="N800" s="97"/>
      <c r="O800" s="97"/>
      <c r="P800" s="97"/>
      <c r="Q800" s="97"/>
      <c r="R800" s="97"/>
      <c r="S800" s="97"/>
      <c r="T800" s="97"/>
      <c r="U800" s="98"/>
      <c r="V800" s="97"/>
      <c r="W800" s="97"/>
      <c r="X800" s="97"/>
      <c r="Y800" s="97"/>
      <c r="Z800" s="97"/>
      <c r="AA800" s="97"/>
      <c r="AB800" s="97"/>
      <c r="AC800" s="97"/>
      <c r="AD800" s="97"/>
      <c r="AE800" s="97"/>
      <c r="AF800" s="97"/>
      <c r="AG800" s="97"/>
      <c r="AH800" s="97"/>
      <c r="AI800" s="97"/>
      <c r="AJ800" s="97"/>
      <c r="AK800" s="97"/>
      <c r="AL800" s="97"/>
      <c r="AM800" s="97"/>
      <c r="AN800" s="97"/>
      <c r="AO800" s="97"/>
      <c r="AP800" s="97"/>
      <c r="AQ800" s="99"/>
      <c r="AR800" s="99"/>
      <c r="AS800" s="99"/>
    </row>
    <row r="801">
      <c r="A801" s="97"/>
      <c r="B801" s="97"/>
      <c r="C801" s="97"/>
      <c r="D801" s="97"/>
      <c r="E801" s="97"/>
      <c r="F801" s="97"/>
      <c r="G801" s="98"/>
      <c r="H801" s="97"/>
      <c r="I801" s="97"/>
      <c r="J801" s="97"/>
      <c r="K801" s="97"/>
      <c r="L801" s="97"/>
      <c r="M801" s="97"/>
      <c r="N801" s="97"/>
      <c r="O801" s="97"/>
      <c r="P801" s="97"/>
      <c r="Q801" s="97"/>
      <c r="R801" s="97"/>
      <c r="S801" s="97"/>
      <c r="T801" s="97"/>
      <c r="U801" s="98"/>
      <c r="V801" s="97"/>
      <c r="W801" s="97"/>
      <c r="X801" s="97"/>
      <c r="Y801" s="97"/>
      <c r="Z801" s="97"/>
      <c r="AA801" s="97"/>
      <c r="AB801" s="97"/>
      <c r="AC801" s="97"/>
      <c r="AD801" s="97"/>
      <c r="AE801" s="97"/>
      <c r="AF801" s="97"/>
      <c r="AG801" s="97"/>
      <c r="AH801" s="97"/>
      <c r="AI801" s="97"/>
      <c r="AJ801" s="97"/>
      <c r="AK801" s="97"/>
      <c r="AL801" s="97"/>
      <c r="AM801" s="97"/>
      <c r="AN801" s="97"/>
      <c r="AO801" s="97"/>
      <c r="AP801" s="97"/>
      <c r="AQ801" s="99"/>
      <c r="AR801" s="99"/>
      <c r="AS801" s="99"/>
    </row>
    <row r="802">
      <c r="A802" s="97"/>
      <c r="B802" s="97"/>
      <c r="C802" s="97"/>
      <c r="D802" s="97"/>
      <c r="E802" s="97"/>
      <c r="F802" s="97"/>
      <c r="G802" s="98"/>
      <c r="H802" s="97"/>
      <c r="I802" s="97"/>
      <c r="J802" s="97"/>
      <c r="K802" s="97"/>
      <c r="L802" s="97"/>
      <c r="M802" s="97"/>
      <c r="N802" s="97"/>
      <c r="O802" s="97"/>
      <c r="P802" s="97"/>
      <c r="Q802" s="97"/>
      <c r="R802" s="97"/>
      <c r="S802" s="97"/>
      <c r="T802" s="97"/>
      <c r="U802" s="98"/>
      <c r="V802" s="97"/>
      <c r="W802" s="97"/>
      <c r="X802" s="97"/>
      <c r="Y802" s="97"/>
      <c r="Z802" s="97"/>
      <c r="AA802" s="97"/>
      <c r="AB802" s="97"/>
      <c r="AC802" s="97"/>
      <c r="AD802" s="97"/>
      <c r="AE802" s="97"/>
      <c r="AF802" s="97"/>
      <c r="AG802" s="97"/>
      <c r="AH802" s="97"/>
      <c r="AI802" s="97"/>
      <c r="AJ802" s="97"/>
      <c r="AK802" s="97"/>
      <c r="AL802" s="97"/>
      <c r="AM802" s="97"/>
      <c r="AN802" s="97"/>
      <c r="AO802" s="97"/>
      <c r="AP802" s="97"/>
      <c r="AQ802" s="99"/>
      <c r="AR802" s="99"/>
      <c r="AS802" s="99"/>
    </row>
    <row r="803">
      <c r="A803" s="97"/>
      <c r="B803" s="97"/>
      <c r="C803" s="97"/>
      <c r="D803" s="97"/>
      <c r="E803" s="97"/>
      <c r="F803" s="97"/>
      <c r="G803" s="98"/>
      <c r="H803" s="97"/>
      <c r="I803" s="97"/>
      <c r="J803" s="97"/>
      <c r="K803" s="97"/>
      <c r="L803" s="97"/>
      <c r="M803" s="97"/>
      <c r="N803" s="97"/>
      <c r="O803" s="97"/>
      <c r="P803" s="97"/>
      <c r="Q803" s="97"/>
      <c r="R803" s="97"/>
      <c r="S803" s="97"/>
      <c r="T803" s="97"/>
      <c r="U803" s="98"/>
      <c r="V803" s="97"/>
      <c r="W803" s="97"/>
      <c r="X803" s="97"/>
      <c r="Y803" s="97"/>
      <c r="Z803" s="97"/>
      <c r="AA803" s="97"/>
      <c r="AB803" s="97"/>
      <c r="AC803" s="97"/>
      <c r="AD803" s="97"/>
      <c r="AE803" s="97"/>
      <c r="AF803" s="97"/>
      <c r="AG803" s="97"/>
      <c r="AH803" s="97"/>
      <c r="AI803" s="97"/>
      <c r="AJ803" s="97"/>
      <c r="AK803" s="97"/>
      <c r="AL803" s="97"/>
      <c r="AM803" s="97"/>
      <c r="AN803" s="97"/>
      <c r="AO803" s="97"/>
      <c r="AP803" s="97"/>
      <c r="AQ803" s="99"/>
      <c r="AR803" s="99"/>
      <c r="AS803" s="99"/>
    </row>
    <row r="804">
      <c r="A804" s="97"/>
      <c r="B804" s="97"/>
      <c r="C804" s="97"/>
      <c r="D804" s="97"/>
      <c r="E804" s="97"/>
      <c r="F804" s="97"/>
      <c r="G804" s="98"/>
      <c r="H804" s="97"/>
      <c r="I804" s="97"/>
      <c r="J804" s="97"/>
      <c r="K804" s="97"/>
      <c r="L804" s="97"/>
      <c r="M804" s="97"/>
      <c r="N804" s="97"/>
      <c r="O804" s="97"/>
      <c r="P804" s="97"/>
      <c r="Q804" s="97"/>
      <c r="R804" s="97"/>
      <c r="S804" s="97"/>
      <c r="T804" s="97"/>
      <c r="U804" s="98"/>
      <c r="V804" s="97"/>
      <c r="W804" s="97"/>
      <c r="X804" s="97"/>
      <c r="Y804" s="97"/>
      <c r="Z804" s="97"/>
      <c r="AA804" s="97"/>
      <c r="AB804" s="97"/>
      <c r="AC804" s="97"/>
      <c r="AD804" s="97"/>
      <c r="AE804" s="97"/>
      <c r="AF804" s="97"/>
      <c r="AG804" s="97"/>
      <c r="AH804" s="97"/>
      <c r="AI804" s="97"/>
      <c r="AJ804" s="97"/>
      <c r="AK804" s="97"/>
      <c r="AL804" s="97"/>
      <c r="AM804" s="97"/>
      <c r="AN804" s="97"/>
      <c r="AO804" s="97"/>
      <c r="AP804" s="97"/>
      <c r="AQ804" s="99"/>
      <c r="AR804" s="99"/>
      <c r="AS804" s="99"/>
    </row>
    <row r="805">
      <c r="A805" s="97"/>
      <c r="B805" s="97"/>
      <c r="C805" s="97"/>
      <c r="D805" s="97"/>
      <c r="E805" s="97"/>
      <c r="F805" s="97"/>
      <c r="G805" s="98"/>
      <c r="H805" s="97"/>
      <c r="I805" s="97"/>
      <c r="J805" s="97"/>
      <c r="K805" s="97"/>
      <c r="L805" s="97"/>
      <c r="M805" s="97"/>
      <c r="N805" s="97"/>
      <c r="O805" s="97"/>
      <c r="P805" s="97"/>
      <c r="Q805" s="97"/>
      <c r="R805" s="97"/>
      <c r="S805" s="97"/>
      <c r="T805" s="97"/>
      <c r="U805" s="98"/>
      <c r="V805" s="97"/>
      <c r="W805" s="97"/>
      <c r="X805" s="97"/>
      <c r="Y805" s="97"/>
      <c r="Z805" s="97"/>
      <c r="AA805" s="97"/>
      <c r="AB805" s="97"/>
      <c r="AC805" s="97"/>
      <c r="AD805" s="97"/>
      <c r="AE805" s="97"/>
      <c r="AF805" s="97"/>
      <c r="AG805" s="97"/>
      <c r="AH805" s="97"/>
      <c r="AI805" s="97"/>
      <c r="AJ805" s="97"/>
      <c r="AK805" s="97"/>
      <c r="AL805" s="97"/>
      <c r="AM805" s="97"/>
      <c r="AN805" s="97"/>
      <c r="AO805" s="97"/>
      <c r="AP805" s="97"/>
      <c r="AQ805" s="99"/>
      <c r="AR805" s="99"/>
      <c r="AS805" s="99"/>
    </row>
    <row r="806">
      <c r="A806" s="97"/>
      <c r="B806" s="97"/>
      <c r="C806" s="97"/>
      <c r="D806" s="97"/>
      <c r="E806" s="97"/>
      <c r="F806" s="97"/>
      <c r="G806" s="98"/>
      <c r="H806" s="97"/>
      <c r="I806" s="97"/>
      <c r="J806" s="97"/>
      <c r="K806" s="97"/>
      <c r="L806" s="97"/>
      <c r="M806" s="97"/>
      <c r="N806" s="97"/>
      <c r="O806" s="97"/>
      <c r="P806" s="97"/>
      <c r="Q806" s="97"/>
      <c r="R806" s="97"/>
      <c r="S806" s="97"/>
      <c r="T806" s="97"/>
      <c r="U806" s="98"/>
      <c r="V806" s="97"/>
      <c r="W806" s="97"/>
      <c r="X806" s="97"/>
      <c r="Y806" s="97"/>
      <c r="Z806" s="97"/>
      <c r="AA806" s="97"/>
      <c r="AB806" s="97"/>
      <c r="AC806" s="97"/>
      <c r="AD806" s="97"/>
      <c r="AE806" s="97"/>
      <c r="AF806" s="97"/>
      <c r="AG806" s="97"/>
      <c r="AH806" s="97"/>
      <c r="AI806" s="97"/>
      <c r="AJ806" s="97"/>
      <c r="AK806" s="97"/>
      <c r="AL806" s="97"/>
      <c r="AM806" s="97"/>
      <c r="AN806" s="97"/>
      <c r="AO806" s="97"/>
      <c r="AP806" s="97"/>
      <c r="AQ806" s="99"/>
      <c r="AR806" s="99"/>
      <c r="AS806" s="99"/>
    </row>
    <row r="807">
      <c r="A807" s="97"/>
      <c r="B807" s="97"/>
      <c r="C807" s="97"/>
      <c r="D807" s="97"/>
      <c r="E807" s="97"/>
      <c r="F807" s="97"/>
      <c r="G807" s="98"/>
      <c r="H807" s="97"/>
      <c r="I807" s="97"/>
      <c r="J807" s="97"/>
      <c r="K807" s="97"/>
      <c r="L807" s="97"/>
      <c r="M807" s="97"/>
      <c r="N807" s="97"/>
      <c r="O807" s="97"/>
      <c r="P807" s="97"/>
      <c r="Q807" s="97"/>
      <c r="R807" s="97"/>
      <c r="S807" s="97"/>
      <c r="T807" s="97"/>
      <c r="U807" s="98"/>
      <c r="V807" s="97"/>
      <c r="W807" s="97"/>
      <c r="X807" s="97"/>
      <c r="Y807" s="97"/>
      <c r="Z807" s="97"/>
      <c r="AA807" s="97"/>
      <c r="AB807" s="97"/>
      <c r="AC807" s="97"/>
      <c r="AD807" s="97"/>
      <c r="AE807" s="97"/>
      <c r="AF807" s="97"/>
      <c r="AG807" s="97"/>
      <c r="AH807" s="97"/>
      <c r="AI807" s="97"/>
      <c r="AJ807" s="97"/>
      <c r="AK807" s="97"/>
      <c r="AL807" s="97"/>
      <c r="AM807" s="97"/>
      <c r="AN807" s="97"/>
      <c r="AO807" s="97"/>
      <c r="AP807" s="97"/>
      <c r="AQ807" s="99"/>
      <c r="AR807" s="99"/>
      <c r="AS807" s="99"/>
    </row>
    <row r="808">
      <c r="A808" s="97"/>
      <c r="B808" s="97"/>
      <c r="C808" s="97"/>
      <c r="D808" s="97"/>
      <c r="E808" s="97"/>
      <c r="F808" s="97"/>
      <c r="G808" s="98"/>
      <c r="H808" s="97"/>
      <c r="I808" s="97"/>
      <c r="J808" s="97"/>
      <c r="K808" s="97"/>
      <c r="L808" s="97"/>
      <c r="M808" s="97"/>
      <c r="N808" s="97"/>
      <c r="O808" s="97"/>
      <c r="P808" s="97"/>
      <c r="Q808" s="97"/>
      <c r="R808" s="97"/>
      <c r="S808" s="97"/>
      <c r="T808" s="97"/>
      <c r="U808" s="98"/>
      <c r="V808" s="97"/>
      <c r="W808" s="97"/>
      <c r="X808" s="97"/>
      <c r="Y808" s="97"/>
      <c r="Z808" s="97"/>
      <c r="AA808" s="97"/>
      <c r="AB808" s="97"/>
      <c r="AC808" s="97"/>
      <c r="AD808" s="97"/>
      <c r="AE808" s="97"/>
      <c r="AF808" s="97"/>
      <c r="AG808" s="97"/>
      <c r="AH808" s="97"/>
      <c r="AI808" s="97"/>
      <c r="AJ808" s="97"/>
      <c r="AK808" s="97"/>
      <c r="AL808" s="97"/>
      <c r="AM808" s="97"/>
      <c r="AN808" s="97"/>
      <c r="AO808" s="97"/>
      <c r="AP808" s="97"/>
      <c r="AQ808" s="99"/>
      <c r="AR808" s="99"/>
      <c r="AS808" s="99"/>
    </row>
    <row r="809">
      <c r="A809" s="97"/>
      <c r="B809" s="97"/>
      <c r="C809" s="97"/>
      <c r="D809" s="97"/>
      <c r="E809" s="97"/>
      <c r="F809" s="97"/>
      <c r="G809" s="98"/>
      <c r="H809" s="97"/>
      <c r="I809" s="97"/>
      <c r="J809" s="97"/>
      <c r="K809" s="97"/>
      <c r="L809" s="97"/>
      <c r="M809" s="97"/>
      <c r="N809" s="97"/>
      <c r="O809" s="97"/>
      <c r="P809" s="97"/>
      <c r="Q809" s="97"/>
      <c r="R809" s="97"/>
      <c r="S809" s="97"/>
      <c r="T809" s="97"/>
      <c r="U809" s="98"/>
      <c r="V809" s="97"/>
      <c r="W809" s="97"/>
      <c r="X809" s="97"/>
      <c r="Y809" s="97"/>
      <c r="Z809" s="97"/>
      <c r="AA809" s="97"/>
      <c r="AB809" s="97"/>
      <c r="AC809" s="97"/>
      <c r="AD809" s="97"/>
      <c r="AE809" s="97"/>
      <c r="AF809" s="97"/>
      <c r="AG809" s="97"/>
      <c r="AH809" s="97"/>
      <c r="AI809" s="97"/>
      <c r="AJ809" s="97"/>
      <c r="AK809" s="97"/>
      <c r="AL809" s="97"/>
      <c r="AM809" s="97"/>
      <c r="AN809" s="97"/>
      <c r="AO809" s="97"/>
      <c r="AP809" s="97"/>
      <c r="AQ809" s="99"/>
      <c r="AR809" s="99"/>
      <c r="AS809" s="99"/>
    </row>
    <row r="810">
      <c r="A810" s="97"/>
      <c r="B810" s="97"/>
      <c r="C810" s="97"/>
      <c r="D810" s="97"/>
      <c r="E810" s="97"/>
      <c r="F810" s="97"/>
      <c r="G810" s="98"/>
      <c r="H810" s="97"/>
      <c r="I810" s="97"/>
      <c r="J810" s="97"/>
      <c r="K810" s="97"/>
      <c r="L810" s="97"/>
      <c r="M810" s="97"/>
      <c r="N810" s="97"/>
      <c r="O810" s="97"/>
      <c r="P810" s="97"/>
      <c r="Q810" s="97"/>
      <c r="R810" s="97"/>
      <c r="S810" s="97"/>
      <c r="T810" s="97"/>
      <c r="U810" s="98"/>
      <c r="V810" s="97"/>
      <c r="W810" s="97"/>
      <c r="X810" s="97"/>
      <c r="Y810" s="97"/>
      <c r="Z810" s="97"/>
      <c r="AA810" s="97"/>
      <c r="AB810" s="97"/>
      <c r="AC810" s="97"/>
      <c r="AD810" s="97"/>
      <c r="AE810" s="97"/>
      <c r="AF810" s="97"/>
      <c r="AG810" s="97"/>
      <c r="AH810" s="97"/>
      <c r="AI810" s="97"/>
      <c r="AJ810" s="97"/>
      <c r="AK810" s="97"/>
      <c r="AL810" s="97"/>
      <c r="AM810" s="97"/>
      <c r="AN810" s="97"/>
      <c r="AO810" s="97"/>
      <c r="AP810" s="97"/>
      <c r="AQ810" s="99"/>
      <c r="AR810" s="99"/>
      <c r="AS810" s="99"/>
    </row>
    <row r="811">
      <c r="A811" s="97"/>
      <c r="B811" s="97"/>
      <c r="C811" s="97"/>
      <c r="D811" s="97"/>
      <c r="E811" s="97"/>
      <c r="F811" s="97"/>
      <c r="G811" s="98"/>
      <c r="H811" s="97"/>
      <c r="I811" s="97"/>
      <c r="J811" s="97"/>
      <c r="K811" s="97"/>
      <c r="L811" s="97"/>
      <c r="M811" s="97"/>
      <c r="N811" s="97"/>
      <c r="O811" s="97"/>
      <c r="P811" s="97"/>
      <c r="Q811" s="97"/>
      <c r="R811" s="97"/>
      <c r="S811" s="97"/>
      <c r="T811" s="97"/>
      <c r="U811" s="98"/>
      <c r="V811" s="97"/>
      <c r="W811" s="97"/>
      <c r="X811" s="97"/>
      <c r="Y811" s="97"/>
      <c r="Z811" s="97"/>
      <c r="AA811" s="97"/>
      <c r="AB811" s="97"/>
      <c r="AC811" s="97"/>
      <c r="AD811" s="97"/>
      <c r="AE811" s="97"/>
      <c r="AF811" s="97"/>
      <c r="AG811" s="97"/>
      <c r="AH811" s="97"/>
      <c r="AI811" s="97"/>
      <c r="AJ811" s="97"/>
      <c r="AK811" s="97"/>
      <c r="AL811" s="97"/>
      <c r="AM811" s="97"/>
      <c r="AN811" s="97"/>
      <c r="AO811" s="97"/>
      <c r="AP811" s="97"/>
      <c r="AQ811" s="99"/>
      <c r="AR811" s="99"/>
      <c r="AS811" s="99"/>
    </row>
    <row r="812">
      <c r="A812" s="97"/>
      <c r="B812" s="97"/>
      <c r="C812" s="97"/>
      <c r="D812" s="97"/>
      <c r="E812" s="97"/>
      <c r="F812" s="97"/>
      <c r="G812" s="98"/>
      <c r="H812" s="97"/>
      <c r="I812" s="97"/>
      <c r="J812" s="97"/>
      <c r="K812" s="97"/>
      <c r="L812" s="97"/>
      <c r="M812" s="97"/>
      <c r="N812" s="97"/>
      <c r="O812" s="97"/>
      <c r="P812" s="97"/>
      <c r="Q812" s="97"/>
      <c r="R812" s="97"/>
      <c r="S812" s="97"/>
      <c r="T812" s="97"/>
      <c r="U812" s="98"/>
      <c r="V812" s="97"/>
      <c r="W812" s="97"/>
      <c r="X812" s="97"/>
      <c r="Y812" s="97"/>
      <c r="Z812" s="97"/>
      <c r="AA812" s="97"/>
      <c r="AB812" s="97"/>
      <c r="AC812" s="97"/>
      <c r="AD812" s="97"/>
      <c r="AE812" s="97"/>
      <c r="AF812" s="97"/>
      <c r="AG812" s="97"/>
      <c r="AH812" s="97"/>
      <c r="AI812" s="97"/>
      <c r="AJ812" s="97"/>
      <c r="AK812" s="97"/>
      <c r="AL812" s="97"/>
      <c r="AM812" s="97"/>
      <c r="AN812" s="97"/>
      <c r="AO812" s="97"/>
      <c r="AP812" s="97"/>
      <c r="AQ812" s="99"/>
      <c r="AR812" s="99"/>
      <c r="AS812" s="99"/>
    </row>
    <row r="813">
      <c r="A813" s="97"/>
      <c r="B813" s="97"/>
      <c r="C813" s="97"/>
      <c r="D813" s="97"/>
      <c r="E813" s="97"/>
      <c r="F813" s="97"/>
      <c r="G813" s="98"/>
      <c r="H813" s="97"/>
      <c r="I813" s="97"/>
      <c r="J813" s="97"/>
      <c r="K813" s="97"/>
      <c r="L813" s="97"/>
      <c r="M813" s="97"/>
      <c r="N813" s="97"/>
      <c r="O813" s="97"/>
      <c r="P813" s="97"/>
      <c r="Q813" s="97"/>
      <c r="R813" s="97"/>
      <c r="S813" s="97"/>
      <c r="T813" s="97"/>
      <c r="U813" s="98"/>
      <c r="V813" s="97"/>
      <c r="W813" s="97"/>
      <c r="X813" s="97"/>
      <c r="Y813" s="97"/>
      <c r="Z813" s="97"/>
      <c r="AA813" s="97"/>
      <c r="AB813" s="97"/>
      <c r="AC813" s="97"/>
      <c r="AD813" s="97"/>
      <c r="AE813" s="97"/>
      <c r="AF813" s="97"/>
      <c r="AG813" s="97"/>
      <c r="AH813" s="97"/>
      <c r="AI813" s="97"/>
      <c r="AJ813" s="97"/>
      <c r="AK813" s="97"/>
      <c r="AL813" s="97"/>
      <c r="AM813" s="97"/>
      <c r="AN813" s="97"/>
      <c r="AO813" s="97"/>
      <c r="AP813" s="97"/>
      <c r="AQ813" s="99"/>
      <c r="AR813" s="99"/>
      <c r="AS813" s="99"/>
    </row>
    <row r="814">
      <c r="A814" s="97"/>
      <c r="B814" s="97"/>
      <c r="C814" s="97"/>
      <c r="D814" s="97"/>
      <c r="E814" s="97"/>
      <c r="F814" s="97"/>
      <c r="G814" s="98"/>
      <c r="H814" s="97"/>
      <c r="I814" s="97"/>
      <c r="J814" s="97"/>
      <c r="K814" s="97"/>
      <c r="L814" s="97"/>
      <c r="M814" s="97"/>
      <c r="N814" s="97"/>
      <c r="O814" s="97"/>
      <c r="P814" s="97"/>
      <c r="Q814" s="97"/>
      <c r="R814" s="97"/>
      <c r="S814" s="97"/>
      <c r="T814" s="97"/>
      <c r="U814" s="98"/>
      <c r="V814" s="97"/>
      <c r="W814" s="97"/>
      <c r="X814" s="97"/>
      <c r="Y814" s="97"/>
      <c r="Z814" s="97"/>
      <c r="AA814" s="97"/>
      <c r="AB814" s="97"/>
      <c r="AC814" s="97"/>
      <c r="AD814" s="97"/>
      <c r="AE814" s="97"/>
      <c r="AF814" s="97"/>
      <c r="AG814" s="97"/>
      <c r="AH814" s="97"/>
      <c r="AI814" s="97"/>
      <c r="AJ814" s="97"/>
      <c r="AK814" s="97"/>
      <c r="AL814" s="97"/>
      <c r="AM814" s="97"/>
      <c r="AN814" s="97"/>
      <c r="AO814" s="97"/>
      <c r="AP814" s="97"/>
      <c r="AQ814" s="99"/>
      <c r="AR814" s="99"/>
      <c r="AS814" s="99"/>
    </row>
    <row r="815">
      <c r="A815" s="97"/>
      <c r="B815" s="97"/>
      <c r="C815" s="97"/>
      <c r="D815" s="97"/>
      <c r="E815" s="97"/>
      <c r="F815" s="97"/>
      <c r="G815" s="98"/>
      <c r="H815" s="97"/>
      <c r="I815" s="97"/>
      <c r="J815" s="97"/>
      <c r="K815" s="97"/>
      <c r="L815" s="97"/>
      <c r="M815" s="97"/>
      <c r="N815" s="97"/>
      <c r="O815" s="97"/>
      <c r="P815" s="97"/>
      <c r="Q815" s="97"/>
      <c r="R815" s="97"/>
      <c r="S815" s="97"/>
      <c r="T815" s="97"/>
      <c r="U815" s="98"/>
      <c r="V815" s="97"/>
      <c r="W815" s="97"/>
      <c r="X815" s="97"/>
      <c r="Y815" s="97"/>
      <c r="Z815" s="97"/>
      <c r="AA815" s="97"/>
      <c r="AB815" s="97"/>
      <c r="AC815" s="97"/>
      <c r="AD815" s="97"/>
      <c r="AE815" s="97"/>
      <c r="AF815" s="97"/>
      <c r="AG815" s="97"/>
      <c r="AH815" s="97"/>
      <c r="AI815" s="97"/>
      <c r="AJ815" s="97"/>
      <c r="AK815" s="97"/>
      <c r="AL815" s="97"/>
      <c r="AM815" s="97"/>
      <c r="AN815" s="97"/>
      <c r="AO815" s="97"/>
      <c r="AP815" s="97"/>
      <c r="AQ815" s="99"/>
      <c r="AR815" s="99"/>
      <c r="AS815" s="99"/>
    </row>
    <row r="816">
      <c r="A816" s="97"/>
      <c r="B816" s="97"/>
      <c r="C816" s="97"/>
      <c r="D816" s="97"/>
      <c r="E816" s="97"/>
      <c r="F816" s="97"/>
      <c r="G816" s="98"/>
      <c r="H816" s="97"/>
      <c r="I816" s="97"/>
      <c r="J816" s="97"/>
      <c r="K816" s="97"/>
      <c r="L816" s="97"/>
      <c r="M816" s="97"/>
      <c r="N816" s="97"/>
      <c r="O816" s="97"/>
      <c r="P816" s="97"/>
      <c r="Q816" s="97"/>
      <c r="R816" s="97"/>
      <c r="S816" s="97"/>
      <c r="T816" s="97"/>
      <c r="U816" s="98"/>
      <c r="V816" s="97"/>
      <c r="W816" s="97"/>
      <c r="X816" s="97"/>
      <c r="Y816" s="97"/>
      <c r="Z816" s="97"/>
      <c r="AA816" s="97"/>
      <c r="AB816" s="97"/>
      <c r="AC816" s="97"/>
      <c r="AD816" s="97"/>
      <c r="AE816" s="97"/>
      <c r="AF816" s="97"/>
      <c r="AG816" s="97"/>
      <c r="AH816" s="97"/>
      <c r="AI816" s="97"/>
      <c r="AJ816" s="97"/>
      <c r="AK816" s="97"/>
      <c r="AL816" s="97"/>
      <c r="AM816" s="97"/>
      <c r="AN816" s="97"/>
      <c r="AO816" s="97"/>
      <c r="AP816" s="97"/>
      <c r="AQ816" s="99"/>
      <c r="AR816" s="99"/>
      <c r="AS816" s="99"/>
    </row>
    <row r="817">
      <c r="A817" s="97"/>
      <c r="B817" s="97"/>
      <c r="C817" s="97"/>
      <c r="D817" s="97"/>
      <c r="E817" s="97"/>
      <c r="F817" s="97"/>
      <c r="G817" s="98"/>
      <c r="H817" s="97"/>
      <c r="I817" s="97"/>
      <c r="J817" s="97"/>
      <c r="K817" s="97"/>
      <c r="L817" s="97"/>
      <c r="M817" s="97"/>
      <c r="N817" s="97"/>
      <c r="O817" s="97"/>
      <c r="P817" s="97"/>
      <c r="Q817" s="97"/>
      <c r="R817" s="97"/>
      <c r="S817" s="97"/>
      <c r="T817" s="97"/>
      <c r="U817" s="98"/>
      <c r="V817" s="97"/>
      <c r="W817" s="97"/>
      <c r="X817" s="97"/>
      <c r="Y817" s="97"/>
      <c r="Z817" s="97"/>
      <c r="AA817" s="97"/>
      <c r="AB817" s="97"/>
      <c r="AC817" s="97"/>
      <c r="AD817" s="97"/>
      <c r="AE817" s="97"/>
      <c r="AF817" s="97"/>
      <c r="AG817" s="97"/>
      <c r="AH817" s="97"/>
      <c r="AI817" s="97"/>
      <c r="AJ817" s="97"/>
      <c r="AK817" s="97"/>
      <c r="AL817" s="97"/>
      <c r="AM817" s="97"/>
      <c r="AN817" s="97"/>
      <c r="AO817" s="97"/>
      <c r="AP817" s="97"/>
      <c r="AQ817" s="99"/>
      <c r="AR817" s="99"/>
      <c r="AS817" s="99"/>
    </row>
    <row r="818">
      <c r="A818" s="97"/>
      <c r="B818" s="97"/>
      <c r="C818" s="97"/>
      <c r="D818" s="97"/>
      <c r="E818" s="97"/>
      <c r="F818" s="97"/>
      <c r="G818" s="98"/>
      <c r="H818" s="97"/>
      <c r="I818" s="97"/>
      <c r="J818" s="97"/>
      <c r="K818" s="97"/>
      <c r="L818" s="97"/>
      <c r="M818" s="97"/>
      <c r="N818" s="97"/>
      <c r="O818" s="97"/>
      <c r="P818" s="97"/>
      <c r="Q818" s="97"/>
      <c r="R818" s="97"/>
      <c r="S818" s="97"/>
      <c r="T818" s="97"/>
      <c r="U818" s="98"/>
      <c r="V818" s="97"/>
      <c r="W818" s="97"/>
      <c r="X818" s="97"/>
      <c r="Y818" s="97"/>
      <c r="Z818" s="97"/>
      <c r="AA818" s="97"/>
      <c r="AB818" s="97"/>
      <c r="AC818" s="97"/>
      <c r="AD818" s="97"/>
      <c r="AE818" s="97"/>
      <c r="AF818" s="97"/>
      <c r="AG818" s="97"/>
      <c r="AH818" s="97"/>
      <c r="AI818" s="97"/>
      <c r="AJ818" s="97"/>
      <c r="AK818" s="97"/>
      <c r="AL818" s="97"/>
      <c r="AM818" s="97"/>
      <c r="AN818" s="97"/>
      <c r="AO818" s="97"/>
      <c r="AP818" s="97"/>
      <c r="AQ818" s="99"/>
      <c r="AR818" s="99"/>
      <c r="AS818" s="99"/>
    </row>
    <row r="819">
      <c r="A819" s="97"/>
      <c r="B819" s="97"/>
      <c r="C819" s="97"/>
      <c r="D819" s="97"/>
      <c r="E819" s="97"/>
      <c r="F819" s="97"/>
      <c r="G819" s="98"/>
      <c r="H819" s="97"/>
      <c r="I819" s="97"/>
      <c r="J819" s="97"/>
      <c r="K819" s="97"/>
      <c r="L819" s="97"/>
      <c r="M819" s="97"/>
      <c r="N819" s="97"/>
      <c r="O819" s="97"/>
      <c r="P819" s="97"/>
      <c r="Q819" s="97"/>
      <c r="R819" s="97"/>
      <c r="S819" s="97"/>
      <c r="T819" s="97"/>
      <c r="U819" s="98"/>
      <c r="V819" s="97"/>
      <c r="W819" s="97"/>
      <c r="X819" s="97"/>
      <c r="Y819" s="97"/>
      <c r="Z819" s="97"/>
      <c r="AA819" s="97"/>
      <c r="AB819" s="97"/>
      <c r="AC819" s="97"/>
      <c r="AD819" s="97"/>
      <c r="AE819" s="97"/>
      <c r="AF819" s="97"/>
      <c r="AG819" s="97"/>
      <c r="AH819" s="97"/>
      <c r="AI819" s="97"/>
      <c r="AJ819" s="97"/>
      <c r="AK819" s="97"/>
      <c r="AL819" s="97"/>
      <c r="AM819" s="97"/>
      <c r="AN819" s="97"/>
      <c r="AO819" s="97"/>
      <c r="AP819" s="97"/>
      <c r="AQ819" s="99"/>
      <c r="AR819" s="99"/>
      <c r="AS819" s="99"/>
    </row>
    <row r="820">
      <c r="A820" s="97"/>
      <c r="B820" s="97"/>
      <c r="C820" s="97"/>
      <c r="D820" s="97"/>
      <c r="E820" s="97"/>
      <c r="F820" s="97"/>
      <c r="G820" s="98"/>
      <c r="H820" s="97"/>
      <c r="I820" s="97"/>
      <c r="J820" s="97"/>
      <c r="K820" s="97"/>
      <c r="L820" s="97"/>
      <c r="M820" s="97"/>
      <c r="N820" s="97"/>
      <c r="O820" s="97"/>
      <c r="P820" s="97"/>
      <c r="Q820" s="97"/>
      <c r="R820" s="97"/>
      <c r="S820" s="97"/>
      <c r="T820" s="97"/>
      <c r="U820" s="98"/>
      <c r="V820" s="97"/>
      <c r="W820" s="97"/>
      <c r="X820" s="97"/>
      <c r="Y820" s="97"/>
      <c r="Z820" s="97"/>
      <c r="AA820" s="97"/>
      <c r="AB820" s="97"/>
      <c r="AC820" s="97"/>
      <c r="AD820" s="97"/>
      <c r="AE820" s="97"/>
      <c r="AF820" s="97"/>
      <c r="AG820" s="97"/>
      <c r="AH820" s="97"/>
      <c r="AI820" s="97"/>
      <c r="AJ820" s="97"/>
      <c r="AK820" s="97"/>
      <c r="AL820" s="97"/>
      <c r="AM820" s="97"/>
      <c r="AN820" s="97"/>
      <c r="AO820" s="97"/>
      <c r="AP820" s="97"/>
      <c r="AQ820" s="99"/>
      <c r="AR820" s="99"/>
      <c r="AS820" s="99"/>
    </row>
    <row r="821">
      <c r="A821" s="97"/>
      <c r="B821" s="97"/>
      <c r="C821" s="97"/>
      <c r="D821" s="97"/>
      <c r="E821" s="97"/>
      <c r="F821" s="97"/>
      <c r="G821" s="98"/>
      <c r="H821" s="97"/>
      <c r="I821" s="97"/>
      <c r="J821" s="97"/>
      <c r="K821" s="97"/>
      <c r="L821" s="97"/>
      <c r="M821" s="97"/>
      <c r="N821" s="97"/>
      <c r="O821" s="97"/>
      <c r="P821" s="97"/>
      <c r="Q821" s="97"/>
      <c r="R821" s="97"/>
      <c r="S821" s="97"/>
      <c r="T821" s="97"/>
      <c r="U821" s="98"/>
      <c r="V821" s="97"/>
      <c r="W821" s="97"/>
      <c r="X821" s="97"/>
      <c r="Y821" s="97"/>
      <c r="Z821" s="97"/>
      <c r="AA821" s="97"/>
      <c r="AB821" s="97"/>
      <c r="AC821" s="97"/>
      <c r="AD821" s="97"/>
      <c r="AE821" s="97"/>
      <c r="AF821" s="97"/>
      <c r="AG821" s="97"/>
      <c r="AH821" s="97"/>
      <c r="AI821" s="97"/>
      <c r="AJ821" s="97"/>
      <c r="AK821" s="97"/>
      <c r="AL821" s="97"/>
      <c r="AM821" s="97"/>
      <c r="AN821" s="97"/>
      <c r="AO821" s="97"/>
      <c r="AP821" s="97"/>
      <c r="AQ821" s="99"/>
      <c r="AR821" s="99"/>
      <c r="AS821" s="99"/>
    </row>
    <row r="822">
      <c r="A822" s="97"/>
      <c r="B822" s="97"/>
      <c r="C822" s="97"/>
      <c r="D822" s="97"/>
      <c r="E822" s="97"/>
      <c r="F822" s="97"/>
      <c r="G822" s="98"/>
      <c r="H822" s="97"/>
      <c r="I822" s="97"/>
      <c r="J822" s="97"/>
      <c r="K822" s="97"/>
      <c r="L822" s="97"/>
      <c r="M822" s="97"/>
      <c r="N822" s="97"/>
      <c r="O822" s="97"/>
      <c r="P822" s="97"/>
      <c r="Q822" s="97"/>
      <c r="R822" s="97"/>
      <c r="S822" s="97"/>
      <c r="T822" s="97"/>
      <c r="U822" s="98"/>
      <c r="V822" s="97"/>
      <c r="W822" s="97"/>
      <c r="X822" s="97"/>
      <c r="Y822" s="97"/>
      <c r="Z822" s="97"/>
      <c r="AA822" s="97"/>
      <c r="AB822" s="97"/>
      <c r="AC822" s="97"/>
      <c r="AD822" s="97"/>
      <c r="AE822" s="97"/>
      <c r="AF822" s="97"/>
      <c r="AG822" s="97"/>
      <c r="AH822" s="97"/>
      <c r="AI822" s="97"/>
      <c r="AJ822" s="97"/>
      <c r="AK822" s="97"/>
      <c r="AL822" s="97"/>
      <c r="AM822" s="97"/>
      <c r="AN822" s="97"/>
      <c r="AO822" s="97"/>
      <c r="AP822" s="97"/>
      <c r="AQ822" s="99"/>
      <c r="AR822" s="99"/>
      <c r="AS822" s="99"/>
    </row>
    <row r="823">
      <c r="A823" s="97"/>
      <c r="B823" s="97"/>
      <c r="C823" s="97"/>
      <c r="D823" s="97"/>
      <c r="E823" s="97"/>
      <c r="F823" s="97"/>
      <c r="G823" s="98"/>
      <c r="H823" s="97"/>
      <c r="I823" s="97"/>
      <c r="J823" s="97"/>
      <c r="K823" s="97"/>
      <c r="L823" s="97"/>
      <c r="M823" s="97"/>
      <c r="N823" s="97"/>
      <c r="O823" s="97"/>
      <c r="P823" s="97"/>
      <c r="Q823" s="97"/>
      <c r="R823" s="97"/>
      <c r="S823" s="97"/>
      <c r="T823" s="97"/>
      <c r="U823" s="98"/>
      <c r="V823" s="97"/>
      <c r="W823" s="97"/>
      <c r="X823" s="97"/>
      <c r="Y823" s="97"/>
      <c r="Z823" s="97"/>
      <c r="AA823" s="97"/>
      <c r="AB823" s="97"/>
      <c r="AC823" s="97"/>
      <c r="AD823" s="97"/>
      <c r="AE823" s="97"/>
      <c r="AF823" s="97"/>
      <c r="AG823" s="97"/>
      <c r="AH823" s="97"/>
      <c r="AI823" s="97"/>
      <c r="AJ823" s="97"/>
      <c r="AK823" s="97"/>
      <c r="AL823" s="97"/>
      <c r="AM823" s="97"/>
      <c r="AN823" s="97"/>
      <c r="AO823" s="97"/>
      <c r="AP823" s="97"/>
      <c r="AQ823" s="99"/>
      <c r="AR823" s="99"/>
      <c r="AS823" s="99"/>
    </row>
    <row r="824">
      <c r="A824" s="97"/>
      <c r="B824" s="97"/>
      <c r="C824" s="97"/>
      <c r="D824" s="97"/>
      <c r="E824" s="97"/>
      <c r="F824" s="97"/>
      <c r="G824" s="98"/>
      <c r="H824" s="97"/>
      <c r="I824" s="97"/>
      <c r="J824" s="97"/>
      <c r="K824" s="97"/>
      <c r="L824" s="97"/>
      <c r="M824" s="97"/>
      <c r="N824" s="97"/>
      <c r="O824" s="97"/>
      <c r="P824" s="97"/>
      <c r="Q824" s="97"/>
      <c r="R824" s="97"/>
      <c r="S824" s="97"/>
      <c r="T824" s="97"/>
      <c r="U824" s="98"/>
      <c r="V824" s="97"/>
      <c r="W824" s="97"/>
      <c r="X824" s="97"/>
      <c r="Y824" s="97"/>
      <c r="Z824" s="97"/>
      <c r="AA824" s="97"/>
      <c r="AB824" s="97"/>
      <c r="AC824" s="97"/>
      <c r="AD824" s="97"/>
      <c r="AE824" s="97"/>
      <c r="AF824" s="97"/>
      <c r="AG824" s="97"/>
      <c r="AH824" s="97"/>
      <c r="AI824" s="97"/>
      <c r="AJ824" s="97"/>
      <c r="AK824" s="97"/>
      <c r="AL824" s="97"/>
      <c r="AM824" s="97"/>
      <c r="AN824" s="97"/>
      <c r="AO824" s="97"/>
      <c r="AP824" s="97"/>
      <c r="AQ824" s="99"/>
      <c r="AR824" s="99"/>
      <c r="AS824" s="99"/>
    </row>
    <row r="825">
      <c r="A825" s="97"/>
      <c r="B825" s="97"/>
      <c r="C825" s="97"/>
      <c r="D825" s="97"/>
      <c r="E825" s="97"/>
      <c r="F825" s="97"/>
      <c r="G825" s="98"/>
      <c r="H825" s="97"/>
      <c r="I825" s="97"/>
      <c r="J825" s="97"/>
      <c r="K825" s="97"/>
      <c r="L825" s="97"/>
      <c r="M825" s="97"/>
      <c r="N825" s="97"/>
      <c r="O825" s="97"/>
      <c r="P825" s="97"/>
      <c r="Q825" s="97"/>
      <c r="R825" s="97"/>
      <c r="S825" s="97"/>
      <c r="T825" s="97"/>
      <c r="U825" s="98"/>
      <c r="V825" s="97"/>
      <c r="W825" s="97"/>
      <c r="X825" s="97"/>
      <c r="Y825" s="97"/>
      <c r="Z825" s="97"/>
      <c r="AA825" s="97"/>
      <c r="AB825" s="97"/>
      <c r="AC825" s="97"/>
      <c r="AD825" s="97"/>
      <c r="AE825" s="97"/>
      <c r="AF825" s="97"/>
      <c r="AG825" s="97"/>
      <c r="AH825" s="97"/>
      <c r="AI825" s="97"/>
      <c r="AJ825" s="97"/>
      <c r="AK825" s="97"/>
      <c r="AL825" s="97"/>
      <c r="AM825" s="97"/>
      <c r="AN825" s="97"/>
      <c r="AO825" s="97"/>
      <c r="AP825" s="97"/>
      <c r="AQ825" s="99"/>
      <c r="AR825" s="99"/>
      <c r="AS825" s="99"/>
    </row>
    <row r="826">
      <c r="A826" s="97"/>
      <c r="B826" s="97"/>
      <c r="C826" s="97"/>
      <c r="D826" s="97"/>
      <c r="E826" s="97"/>
      <c r="F826" s="97"/>
      <c r="G826" s="98"/>
      <c r="H826" s="97"/>
      <c r="I826" s="97"/>
      <c r="J826" s="97"/>
      <c r="K826" s="97"/>
      <c r="L826" s="97"/>
      <c r="M826" s="97"/>
      <c r="N826" s="97"/>
      <c r="O826" s="97"/>
      <c r="P826" s="97"/>
      <c r="Q826" s="97"/>
      <c r="R826" s="97"/>
      <c r="S826" s="97"/>
      <c r="T826" s="97"/>
      <c r="U826" s="98"/>
      <c r="V826" s="97"/>
      <c r="W826" s="97"/>
      <c r="X826" s="97"/>
      <c r="Y826" s="97"/>
      <c r="Z826" s="97"/>
      <c r="AA826" s="97"/>
      <c r="AB826" s="97"/>
      <c r="AC826" s="97"/>
      <c r="AD826" s="97"/>
      <c r="AE826" s="97"/>
      <c r="AF826" s="97"/>
      <c r="AG826" s="97"/>
      <c r="AH826" s="97"/>
      <c r="AI826" s="97"/>
      <c r="AJ826" s="97"/>
      <c r="AK826" s="97"/>
      <c r="AL826" s="97"/>
      <c r="AM826" s="97"/>
      <c r="AN826" s="97"/>
      <c r="AO826" s="97"/>
      <c r="AP826" s="97"/>
      <c r="AQ826" s="99"/>
      <c r="AR826" s="99"/>
      <c r="AS826" s="99"/>
    </row>
    <row r="827">
      <c r="A827" s="97"/>
      <c r="B827" s="97"/>
      <c r="C827" s="97"/>
      <c r="D827" s="97"/>
      <c r="E827" s="97"/>
      <c r="F827" s="97"/>
      <c r="G827" s="98"/>
      <c r="H827" s="97"/>
      <c r="I827" s="97"/>
      <c r="J827" s="97"/>
      <c r="K827" s="97"/>
      <c r="L827" s="97"/>
      <c r="M827" s="97"/>
      <c r="N827" s="97"/>
      <c r="O827" s="97"/>
      <c r="P827" s="97"/>
      <c r="Q827" s="97"/>
      <c r="R827" s="97"/>
      <c r="S827" s="97"/>
      <c r="T827" s="97"/>
      <c r="U827" s="98"/>
      <c r="V827" s="97"/>
      <c r="W827" s="97"/>
      <c r="X827" s="97"/>
      <c r="Y827" s="97"/>
      <c r="Z827" s="97"/>
      <c r="AA827" s="97"/>
      <c r="AB827" s="97"/>
      <c r="AC827" s="97"/>
      <c r="AD827" s="97"/>
      <c r="AE827" s="97"/>
      <c r="AF827" s="97"/>
      <c r="AG827" s="97"/>
      <c r="AH827" s="97"/>
      <c r="AI827" s="97"/>
      <c r="AJ827" s="97"/>
      <c r="AK827" s="97"/>
      <c r="AL827" s="97"/>
      <c r="AM827" s="97"/>
      <c r="AN827" s="97"/>
      <c r="AO827" s="97"/>
      <c r="AP827" s="97"/>
      <c r="AQ827" s="99"/>
      <c r="AR827" s="99"/>
      <c r="AS827" s="99"/>
    </row>
    <row r="828">
      <c r="A828" s="97"/>
      <c r="B828" s="97"/>
      <c r="C828" s="97"/>
      <c r="D828" s="97"/>
      <c r="E828" s="97"/>
      <c r="F828" s="97"/>
      <c r="G828" s="98"/>
      <c r="H828" s="97"/>
      <c r="I828" s="97"/>
      <c r="J828" s="97"/>
      <c r="K828" s="97"/>
      <c r="L828" s="97"/>
      <c r="M828" s="97"/>
      <c r="N828" s="97"/>
      <c r="O828" s="97"/>
      <c r="P828" s="97"/>
      <c r="Q828" s="97"/>
      <c r="R828" s="97"/>
      <c r="S828" s="97"/>
      <c r="T828" s="97"/>
      <c r="U828" s="98"/>
      <c r="V828" s="97"/>
      <c r="W828" s="97"/>
      <c r="X828" s="97"/>
      <c r="Y828" s="97"/>
      <c r="Z828" s="97"/>
      <c r="AA828" s="97"/>
      <c r="AB828" s="97"/>
      <c r="AC828" s="97"/>
      <c r="AD828" s="97"/>
      <c r="AE828" s="97"/>
      <c r="AF828" s="97"/>
      <c r="AG828" s="97"/>
      <c r="AH828" s="97"/>
      <c r="AI828" s="97"/>
      <c r="AJ828" s="97"/>
      <c r="AK828" s="97"/>
      <c r="AL828" s="97"/>
      <c r="AM828" s="97"/>
      <c r="AN828" s="97"/>
      <c r="AO828" s="97"/>
      <c r="AP828" s="97"/>
      <c r="AQ828" s="99"/>
      <c r="AR828" s="99"/>
      <c r="AS828" s="99"/>
    </row>
    <row r="829">
      <c r="A829" s="97"/>
      <c r="B829" s="97"/>
      <c r="C829" s="97"/>
      <c r="D829" s="97"/>
      <c r="E829" s="97"/>
      <c r="F829" s="97"/>
      <c r="G829" s="98"/>
      <c r="H829" s="97"/>
      <c r="I829" s="97"/>
      <c r="J829" s="97"/>
      <c r="K829" s="97"/>
      <c r="L829" s="97"/>
      <c r="M829" s="97"/>
      <c r="N829" s="97"/>
      <c r="O829" s="97"/>
      <c r="P829" s="97"/>
      <c r="Q829" s="97"/>
      <c r="R829" s="97"/>
      <c r="S829" s="97"/>
      <c r="T829" s="97"/>
      <c r="U829" s="98"/>
      <c r="V829" s="97"/>
      <c r="W829" s="97"/>
      <c r="X829" s="97"/>
      <c r="Y829" s="97"/>
      <c r="Z829" s="97"/>
      <c r="AA829" s="97"/>
      <c r="AB829" s="97"/>
      <c r="AC829" s="97"/>
      <c r="AD829" s="97"/>
      <c r="AE829" s="97"/>
      <c r="AF829" s="97"/>
      <c r="AG829" s="97"/>
      <c r="AH829" s="97"/>
      <c r="AI829" s="97"/>
      <c r="AJ829" s="97"/>
      <c r="AK829" s="97"/>
      <c r="AL829" s="97"/>
      <c r="AM829" s="97"/>
      <c r="AN829" s="97"/>
      <c r="AO829" s="97"/>
      <c r="AP829" s="97"/>
      <c r="AQ829" s="99"/>
      <c r="AR829" s="99"/>
      <c r="AS829" s="99"/>
    </row>
    <row r="830">
      <c r="A830" s="97"/>
      <c r="B830" s="97"/>
      <c r="C830" s="97"/>
      <c r="D830" s="97"/>
      <c r="E830" s="97"/>
      <c r="F830" s="97"/>
      <c r="G830" s="98"/>
      <c r="H830" s="97"/>
      <c r="I830" s="97"/>
      <c r="J830" s="97"/>
      <c r="K830" s="97"/>
      <c r="L830" s="97"/>
      <c r="M830" s="97"/>
      <c r="N830" s="97"/>
      <c r="O830" s="97"/>
      <c r="P830" s="97"/>
      <c r="Q830" s="97"/>
      <c r="R830" s="97"/>
      <c r="S830" s="97"/>
      <c r="T830" s="97"/>
      <c r="U830" s="98"/>
      <c r="V830" s="97"/>
      <c r="W830" s="97"/>
      <c r="X830" s="97"/>
      <c r="Y830" s="97"/>
      <c r="Z830" s="97"/>
      <c r="AA830" s="97"/>
      <c r="AB830" s="97"/>
      <c r="AC830" s="97"/>
      <c r="AD830" s="97"/>
      <c r="AE830" s="97"/>
      <c r="AF830" s="97"/>
      <c r="AG830" s="97"/>
      <c r="AH830" s="97"/>
      <c r="AI830" s="97"/>
      <c r="AJ830" s="97"/>
      <c r="AK830" s="97"/>
      <c r="AL830" s="97"/>
      <c r="AM830" s="97"/>
      <c r="AN830" s="97"/>
      <c r="AO830" s="97"/>
      <c r="AP830" s="97"/>
      <c r="AQ830" s="99"/>
      <c r="AR830" s="99"/>
      <c r="AS830" s="99"/>
    </row>
    <row r="831">
      <c r="A831" s="97"/>
      <c r="B831" s="97"/>
      <c r="C831" s="97"/>
      <c r="D831" s="97"/>
      <c r="E831" s="97"/>
      <c r="F831" s="97"/>
      <c r="G831" s="98"/>
      <c r="H831" s="97"/>
      <c r="I831" s="97"/>
      <c r="J831" s="97"/>
      <c r="K831" s="97"/>
      <c r="L831" s="97"/>
      <c r="M831" s="97"/>
      <c r="N831" s="97"/>
      <c r="O831" s="97"/>
      <c r="P831" s="97"/>
      <c r="Q831" s="97"/>
      <c r="R831" s="97"/>
      <c r="S831" s="97"/>
      <c r="T831" s="97"/>
      <c r="U831" s="98"/>
      <c r="V831" s="97"/>
      <c r="W831" s="97"/>
      <c r="X831" s="97"/>
      <c r="Y831" s="97"/>
      <c r="Z831" s="97"/>
      <c r="AA831" s="97"/>
      <c r="AB831" s="97"/>
      <c r="AC831" s="97"/>
      <c r="AD831" s="97"/>
      <c r="AE831" s="97"/>
      <c r="AF831" s="97"/>
      <c r="AG831" s="97"/>
      <c r="AH831" s="97"/>
      <c r="AI831" s="97"/>
      <c r="AJ831" s="97"/>
      <c r="AK831" s="97"/>
      <c r="AL831" s="97"/>
      <c r="AM831" s="97"/>
      <c r="AN831" s="97"/>
      <c r="AO831" s="97"/>
      <c r="AP831" s="97"/>
      <c r="AQ831" s="99"/>
      <c r="AR831" s="99"/>
      <c r="AS831" s="99"/>
    </row>
    <row r="832">
      <c r="A832" s="97"/>
      <c r="B832" s="97"/>
      <c r="C832" s="97"/>
      <c r="D832" s="97"/>
      <c r="E832" s="97"/>
      <c r="F832" s="97"/>
      <c r="G832" s="98"/>
      <c r="H832" s="97"/>
      <c r="I832" s="97"/>
      <c r="J832" s="97"/>
      <c r="K832" s="97"/>
      <c r="L832" s="97"/>
      <c r="M832" s="97"/>
      <c r="N832" s="97"/>
      <c r="O832" s="97"/>
      <c r="P832" s="97"/>
      <c r="Q832" s="97"/>
      <c r="R832" s="97"/>
      <c r="S832" s="97"/>
      <c r="T832" s="97"/>
      <c r="U832" s="98"/>
      <c r="V832" s="97"/>
      <c r="W832" s="97"/>
      <c r="X832" s="97"/>
      <c r="Y832" s="97"/>
      <c r="Z832" s="97"/>
      <c r="AA832" s="97"/>
      <c r="AB832" s="97"/>
      <c r="AC832" s="97"/>
      <c r="AD832" s="97"/>
      <c r="AE832" s="97"/>
      <c r="AF832" s="97"/>
      <c r="AG832" s="97"/>
      <c r="AH832" s="97"/>
      <c r="AI832" s="97"/>
      <c r="AJ832" s="97"/>
      <c r="AK832" s="97"/>
      <c r="AL832" s="97"/>
      <c r="AM832" s="97"/>
      <c r="AN832" s="97"/>
      <c r="AO832" s="97"/>
      <c r="AP832" s="97"/>
      <c r="AQ832" s="99"/>
      <c r="AR832" s="99"/>
      <c r="AS832" s="99"/>
    </row>
    <row r="833">
      <c r="A833" s="97"/>
      <c r="B833" s="97"/>
      <c r="C833" s="97"/>
      <c r="D833" s="97"/>
      <c r="E833" s="97"/>
      <c r="F833" s="97"/>
      <c r="G833" s="98"/>
      <c r="H833" s="97"/>
      <c r="I833" s="97"/>
      <c r="J833" s="97"/>
      <c r="K833" s="97"/>
      <c r="L833" s="97"/>
      <c r="M833" s="97"/>
      <c r="N833" s="97"/>
      <c r="O833" s="97"/>
      <c r="P833" s="97"/>
      <c r="Q833" s="97"/>
      <c r="R833" s="97"/>
      <c r="S833" s="97"/>
      <c r="T833" s="97"/>
      <c r="U833" s="98"/>
      <c r="V833" s="97"/>
      <c r="W833" s="97"/>
      <c r="X833" s="97"/>
      <c r="Y833" s="97"/>
      <c r="Z833" s="97"/>
      <c r="AA833" s="97"/>
      <c r="AB833" s="97"/>
      <c r="AC833" s="97"/>
      <c r="AD833" s="97"/>
      <c r="AE833" s="97"/>
      <c r="AF833" s="97"/>
      <c r="AG833" s="97"/>
      <c r="AH833" s="97"/>
      <c r="AI833" s="97"/>
      <c r="AJ833" s="97"/>
      <c r="AK833" s="97"/>
      <c r="AL833" s="97"/>
      <c r="AM833" s="97"/>
      <c r="AN833" s="97"/>
      <c r="AO833" s="97"/>
      <c r="AP833" s="97"/>
      <c r="AQ833" s="99"/>
      <c r="AR833" s="99"/>
      <c r="AS833" s="99"/>
    </row>
    <row r="834">
      <c r="A834" s="97"/>
      <c r="B834" s="97"/>
      <c r="C834" s="97"/>
      <c r="D834" s="97"/>
      <c r="E834" s="97"/>
      <c r="F834" s="97"/>
      <c r="G834" s="98"/>
      <c r="H834" s="97"/>
      <c r="I834" s="97"/>
      <c r="J834" s="97"/>
      <c r="K834" s="97"/>
      <c r="L834" s="97"/>
      <c r="M834" s="97"/>
      <c r="N834" s="97"/>
      <c r="O834" s="97"/>
      <c r="P834" s="97"/>
      <c r="Q834" s="97"/>
      <c r="R834" s="97"/>
      <c r="S834" s="97"/>
      <c r="T834" s="97"/>
      <c r="U834" s="98"/>
      <c r="V834" s="97"/>
      <c r="W834" s="97"/>
      <c r="X834" s="97"/>
      <c r="Y834" s="97"/>
      <c r="Z834" s="97"/>
      <c r="AA834" s="97"/>
      <c r="AB834" s="97"/>
      <c r="AC834" s="97"/>
      <c r="AD834" s="97"/>
      <c r="AE834" s="97"/>
      <c r="AF834" s="97"/>
      <c r="AG834" s="97"/>
      <c r="AH834" s="97"/>
      <c r="AI834" s="97"/>
      <c r="AJ834" s="97"/>
      <c r="AK834" s="97"/>
      <c r="AL834" s="97"/>
      <c r="AM834" s="97"/>
      <c r="AN834" s="97"/>
      <c r="AO834" s="97"/>
      <c r="AP834" s="97"/>
      <c r="AQ834" s="99"/>
      <c r="AR834" s="99"/>
      <c r="AS834" s="99"/>
    </row>
    <row r="835">
      <c r="A835" s="97"/>
      <c r="B835" s="97"/>
      <c r="C835" s="97"/>
      <c r="D835" s="97"/>
      <c r="E835" s="97"/>
      <c r="F835" s="97"/>
      <c r="G835" s="98"/>
      <c r="H835" s="97"/>
      <c r="I835" s="97"/>
      <c r="J835" s="97"/>
      <c r="K835" s="97"/>
      <c r="L835" s="97"/>
      <c r="M835" s="97"/>
      <c r="N835" s="97"/>
      <c r="O835" s="97"/>
      <c r="P835" s="97"/>
      <c r="Q835" s="97"/>
      <c r="R835" s="97"/>
      <c r="S835" s="97"/>
      <c r="T835" s="97"/>
      <c r="U835" s="98"/>
      <c r="V835" s="97"/>
      <c r="W835" s="97"/>
      <c r="X835" s="97"/>
      <c r="Y835" s="97"/>
      <c r="Z835" s="97"/>
      <c r="AA835" s="97"/>
      <c r="AB835" s="97"/>
      <c r="AC835" s="97"/>
      <c r="AD835" s="97"/>
      <c r="AE835" s="97"/>
      <c r="AF835" s="97"/>
      <c r="AG835" s="97"/>
      <c r="AH835" s="97"/>
      <c r="AI835" s="97"/>
      <c r="AJ835" s="97"/>
      <c r="AK835" s="97"/>
      <c r="AL835" s="97"/>
      <c r="AM835" s="97"/>
      <c r="AN835" s="97"/>
      <c r="AO835" s="97"/>
      <c r="AP835" s="97"/>
      <c r="AQ835" s="99"/>
      <c r="AR835" s="99"/>
      <c r="AS835" s="99"/>
    </row>
    <row r="836">
      <c r="A836" s="97"/>
      <c r="B836" s="97"/>
      <c r="C836" s="97"/>
      <c r="D836" s="97"/>
      <c r="E836" s="97"/>
      <c r="F836" s="97"/>
      <c r="G836" s="98"/>
      <c r="H836" s="97"/>
      <c r="I836" s="97"/>
      <c r="J836" s="97"/>
      <c r="K836" s="97"/>
      <c r="L836" s="97"/>
      <c r="M836" s="97"/>
      <c r="N836" s="97"/>
      <c r="O836" s="97"/>
      <c r="P836" s="97"/>
      <c r="Q836" s="97"/>
      <c r="R836" s="97"/>
      <c r="S836" s="97"/>
      <c r="T836" s="97"/>
      <c r="U836" s="98"/>
      <c r="V836" s="97"/>
      <c r="W836" s="97"/>
      <c r="X836" s="97"/>
      <c r="Y836" s="97"/>
      <c r="Z836" s="97"/>
      <c r="AA836" s="97"/>
      <c r="AB836" s="97"/>
      <c r="AC836" s="97"/>
      <c r="AD836" s="97"/>
      <c r="AE836" s="97"/>
      <c r="AF836" s="97"/>
      <c r="AG836" s="97"/>
      <c r="AH836" s="97"/>
      <c r="AI836" s="97"/>
      <c r="AJ836" s="97"/>
      <c r="AK836" s="97"/>
      <c r="AL836" s="97"/>
      <c r="AM836" s="97"/>
      <c r="AN836" s="97"/>
      <c r="AO836" s="97"/>
      <c r="AP836" s="97"/>
      <c r="AQ836" s="99"/>
      <c r="AR836" s="99"/>
      <c r="AS836" s="99"/>
    </row>
    <row r="837">
      <c r="A837" s="97"/>
      <c r="B837" s="97"/>
      <c r="C837" s="97"/>
      <c r="D837" s="97"/>
      <c r="E837" s="97"/>
      <c r="F837" s="97"/>
      <c r="G837" s="98"/>
      <c r="H837" s="97"/>
      <c r="I837" s="97"/>
      <c r="J837" s="97"/>
      <c r="K837" s="97"/>
      <c r="L837" s="97"/>
      <c r="M837" s="97"/>
      <c r="N837" s="97"/>
      <c r="O837" s="97"/>
      <c r="P837" s="97"/>
      <c r="Q837" s="97"/>
      <c r="R837" s="97"/>
      <c r="S837" s="97"/>
      <c r="T837" s="97"/>
      <c r="U837" s="98"/>
      <c r="V837" s="97"/>
      <c r="W837" s="97"/>
      <c r="X837" s="97"/>
      <c r="Y837" s="97"/>
      <c r="Z837" s="97"/>
      <c r="AA837" s="97"/>
      <c r="AB837" s="97"/>
      <c r="AC837" s="97"/>
      <c r="AD837" s="97"/>
      <c r="AE837" s="97"/>
      <c r="AF837" s="97"/>
      <c r="AG837" s="97"/>
      <c r="AH837" s="97"/>
      <c r="AI837" s="97"/>
      <c r="AJ837" s="97"/>
      <c r="AK837" s="97"/>
      <c r="AL837" s="97"/>
      <c r="AM837" s="97"/>
      <c r="AN837" s="97"/>
      <c r="AO837" s="97"/>
      <c r="AP837" s="97"/>
      <c r="AQ837" s="99"/>
      <c r="AR837" s="99"/>
      <c r="AS837" s="99"/>
    </row>
    <row r="838">
      <c r="A838" s="97"/>
      <c r="B838" s="97"/>
      <c r="C838" s="97"/>
      <c r="D838" s="97"/>
      <c r="E838" s="97"/>
      <c r="F838" s="97"/>
      <c r="G838" s="98"/>
      <c r="H838" s="97"/>
      <c r="I838" s="97"/>
      <c r="J838" s="97"/>
      <c r="K838" s="97"/>
      <c r="L838" s="97"/>
      <c r="M838" s="97"/>
      <c r="N838" s="97"/>
      <c r="O838" s="97"/>
      <c r="P838" s="97"/>
      <c r="Q838" s="97"/>
      <c r="R838" s="97"/>
      <c r="S838" s="97"/>
      <c r="T838" s="97"/>
      <c r="U838" s="98"/>
      <c r="V838" s="97"/>
      <c r="W838" s="97"/>
      <c r="X838" s="97"/>
      <c r="Y838" s="97"/>
      <c r="Z838" s="97"/>
      <c r="AA838" s="97"/>
      <c r="AB838" s="97"/>
      <c r="AC838" s="97"/>
      <c r="AD838" s="97"/>
      <c r="AE838" s="97"/>
      <c r="AF838" s="97"/>
      <c r="AG838" s="97"/>
      <c r="AH838" s="97"/>
      <c r="AI838" s="97"/>
      <c r="AJ838" s="97"/>
      <c r="AK838" s="97"/>
      <c r="AL838" s="97"/>
      <c r="AM838" s="97"/>
      <c r="AN838" s="97"/>
      <c r="AO838" s="97"/>
      <c r="AP838" s="97"/>
      <c r="AQ838" s="99"/>
      <c r="AR838" s="99"/>
      <c r="AS838" s="99"/>
    </row>
    <row r="839">
      <c r="A839" s="97"/>
      <c r="B839" s="97"/>
      <c r="C839" s="97"/>
      <c r="D839" s="97"/>
      <c r="E839" s="97"/>
      <c r="F839" s="97"/>
      <c r="G839" s="98"/>
      <c r="H839" s="97"/>
      <c r="I839" s="97"/>
      <c r="J839" s="97"/>
      <c r="K839" s="97"/>
      <c r="L839" s="97"/>
      <c r="M839" s="97"/>
      <c r="N839" s="97"/>
      <c r="O839" s="97"/>
      <c r="P839" s="97"/>
      <c r="Q839" s="97"/>
      <c r="R839" s="97"/>
      <c r="S839" s="97"/>
      <c r="T839" s="97"/>
      <c r="U839" s="98"/>
      <c r="V839" s="97"/>
      <c r="W839" s="97"/>
      <c r="X839" s="97"/>
      <c r="Y839" s="97"/>
      <c r="Z839" s="97"/>
      <c r="AA839" s="97"/>
      <c r="AB839" s="97"/>
      <c r="AC839" s="97"/>
      <c r="AD839" s="97"/>
      <c r="AE839" s="97"/>
      <c r="AF839" s="97"/>
      <c r="AG839" s="97"/>
      <c r="AH839" s="97"/>
      <c r="AI839" s="97"/>
      <c r="AJ839" s="97"/>
      <c r="AK839" s="97"/>
      <c r="AL839" s="97"/>
      <c r="AM839" s="97"/>
      <c r="AN839" s="97"/>
      <c r="AO839" s="97"/>
      <c r="AP839" s="97"/>
      <c r="AQ839" s="99"/>
      <c r="AR839" s="99"/>
      <c r="AS839" s="99"/>
    </row>
    <row r="840">
      <c r="A840" s="97"/>
      <c r="B840" s="97"/>
      <c r="C840" s="97"/>
      <c r="D840" s="97"/>
      <c r="E840" s="97"/>
      <c r="F840" s="97"/>
      <c r="G840" s="98"/>
      <c r="H840" s="97"/>
      <c r="I840" s="97"/>
      <c r="J840" s="97"/>
      <c r="K840" s="97"/>
      <c r="L840" s="97"/>
      <c r="M840" s="97"/>
      <c r="N840" s="97"/>
      <c r="O840" s="97"/>
      <c r="P840" s="97"/>
      <c r="Q840" s="97"/>
      <c r="R840" s="97"/>
      <c r="S840" s="97"/>
      <c r="T840" s="97"/>
      <c r="U840" s="98"/>
      <c r="V840" s="97"/>
      <c r="W840" s="97"/>
      <c r="X840" s="97"/>
      <c r="Y840" s="97"/>
      <c r="Z840" s="97"/>
      <c r="AA840" s="97"/>
      <c r="AB840" s="97"/>
      <c r="AC840" s="97"/>
      <c r="AD840" s="97"/>
      <c r="AE840" s="97"/>
      <c r="AF840" s="97"/>
      <c r="AG840" s="97"/>
      <c r="AH840" s="97"/>
      <c r="AI840" s="97"/>
      <c r="AJ840" s="97"/>
      <c r="AK840" s="97"/>
      <c r="AL840" s="97"/>
      <c r="AM840" s="97"/>
      <c r="AN840" s="97"/>
      <c r="AO840" s="97"/>
      <c r="AP840" s="97"/>
      <c r="AQ840" s="99"/>
      <c r="AR840" s="99"/>
      <c r="AS840" s="99"/>
    </row>
    <row r="841">
      <c r="A841" s="97"/>
      <c r="B841" s="97"/>
      <c r="C841" s="97"/>
      <c r="D841" s="97"/>
      <c r="E841" s="97"/>
      <c r="F841" s="97"/>
      <c r="G841" s="98"/>
      <c r="H841" s="97"/>
      <c r="I841" s="97"/>
      <c r="J841" s="97"/>
      <c r="K841" s="97"/>
      <c r="L841" s="97"/>
      <c r="M841" s="97"/>
      <c r="N841" s="97"/>
      <c r="O841" s="97"/>
      <c r="P841" s="97"/>
      <c r="Q841" s="97"/>
      <c r="R841" s="97"/>
      <c r="S841" s="97"/>
      <c r="T841" s="97"/>
      <c r="U841" s="98"/>
      <c r="V841" s="97"/>
      <c r="W841" s="97"/>
      <c r="X841" s="97"/>
      <c r="Y841" s="97"/>
      <c r="Z841" s="97"/>
      <c r="AA841" s="97"/>
      <c r="AB841" s="97"/>
      <c r="AC841" s="97"/>
      <c r="AD841" s="97"/>
      <c r="AE841" s="97"/>
      <c r="AF841" s="97"/>
      <c r="AG841" s="97"/>
      <c r="AH841" s="97"/>
      <c r="AI841" s="97"/>
      <c r="AJ841" s="97"/>
      <c r="AK841" s="97"/>
      <c r="AL841" s="97"/>
      <c r="AM841" s="97"/>
      <c r="AN841" s="97"/>
      <c r="AO841" s="97"/>
      <c r="AP841" s="97"/>
      <c r="AQ841" s="99"/>
      <c r="AR841" s="99"/>
      <c r="AS841" s="99"/>
    </row>
    <row r="842">
      <c r="A842" s="97"/>
      <c r="B842" s="97"/>
      <c r="C842" s="97"/>
      <c r="D842" s="97"/>
      <c r="E842" s="97"/>
      <c r="F842" s="97"/>
      <c r="G842" s="98"/>
      <c r="H842" s="97"/>
      <c r="I842" s="97"/>
      <c r="J842" s="97"/>
      <c r="K842" s="97"/>
      <c r="L842" s="97"/>
      <c r="M842" s="97"/>
      <c r="N842" s="97"/>
      <c r="O842" s="97"/>
      <c r="P842" s="97"/>
      <c r="Q842" s="97"/>
      <c r="R842" s="97"/>
      <c r="S842" s="97"/>
      <c r="T842" s="97"/>
      <c r="U842" s="98"/>
      <c r="V842" s="97"/>
      <c r="W842" s="97"/>
      <c r="X842" s="97"/>
      <c r="Y842" s="97"/>
      <c r="Z842" s="97"/>
      <c r="AA842" s="97"/>
      <c r="AB842" s="97"/>
      <c r="AC842" s="97"/>
      <c r="AD842" s="97"/>
      <c r="AE842" s="97"/>
      <c r="AF842" s="97"/>
      <c r="AG842" s="97"/>
      <c r="AH842" s="97"/>
      <c r="AI842" s="97"/>
      <c r="AJ842" s="97"/>
      <c r="AK842" s="97"/>
      <c r="AL842" s="97"/>
      <c r="AM842" s="97"/>
      <c r="AN842" s="97"/>
      <c r="AO842" s="97"/>
      <c r="AP842" s="97"/>
      <c r="AQ842" s="99"/>
      <c r="AR842" s="99"/>
      <c r="AS842" s="99"/>
    </row>
    <row r="843">
      <c r="A843" s="97"/>
      <c r="B843" s="97"/>
      <c r="C843" s="97"/>
      <c r="D843" s="97"/>
      <c r="E843" s="97"/>
      <c r="F843" s="97"/>
      <c r="G843" s="98"/>
      <c r="H843" s="97"/>
      <c r="I843" s="97"/>
      <c r="J843" s="97"/>
      <c r="K843" s="97"/>
      <c r="L843" s="97"/>
      <c r="M843" s="97"/>
      <c r="N843" s="97"/>
      <c r="O843" s="97"/>
      <c r="P843" s="97"/>
      <c r="Q843" s="97"/>
      <c r="R843" s="97"/>
      <c r="S843" s="97"/>
      <c r="T843" s="97"/>
      <c r="U843" s="98"/>
      <c r="V843" s="97"/>
      <c r="W843" s="97"/>
      <c r="X843" s="97"/>
      <c r="Y843" s="97"/>
      <c r="Z843" s="97"/>
      <c r="AA843" s="97"/>
      <c r="AB843" s="97"/>
      <c r="AC843" s="97"/>
      <c r="AD843" s="97"/>
      <c r="AE843" s="97"/>
      <c r="AF843" s="97"/>
      <c r="AG843" s="97"/>
      <c r="AH843" s="97"/>
      <c r="AI843" s="97"/>
      <c r="AJ843" s="97"/>
      <c r="AK843" s="97"/>
      <c r="AL843" s="97"/>
      <c r="AM843" s="97"/>
      <c r="AN843" s="97"/>
      <c r="AO843" s="97"/>
      <c r="AP843" s="97"/>
      <c r="AQ843" s="99"/>
      <c r="AR843" s="99"/>
      <c r="AS843" s="99"/>
    </row>
    <row r="844">
      <c r="A844" s="97"/>
      <c r="B844" s="97"/>
      <c r="C844" s="97"/>
      <c r="D844" s="97"/>
      <c r="E844" s="97"/>
      <c r="F844" s="97"/>
      <c r="G844" s="98"/>
      <c r="H844" s="97"/>
      <c r="I844" s="97"/>
      <c r="J844" s="97"/>
      <c r="K844" s="97"/>
      <c r="L844" s="97"/>
      <c r="M844" s="97"/>
      <c r="N844" s="97"/>
      <c r="O844" s="97"/>
      <c r="P844" s="97"/>
      <c r="Q844" s="97"/>
      <c r="R844" s="97"/>
      <c r="S844" s="97"/>
      <c r="T844" s="97"/>
      <c r="U844" s="98"/>
      <c r="V844" s="97"/>
      <c r="W844" s="97"/>
      <c r="X844" s="97"/>
      <c r="Y844" s="97"/>
      <c r="Z844" s="97"/>
      <c r="AA844" s="97"/>
      <c r="AB844" s="97"/>
      <c r="AC844" s="97"/>
      <c r="AD844" s="97"/>
      <c r="AE844" s="97"/>
      <c r="AF844" s="97"/>
      <c r="AG844" s="97"/>
      <c r="AH844" s="97"/>
      <c r="AI844" s="97"/>
      <c r="AJ844" s="97"/>
      <c r="AK844" s="97"/>
      <c r="AL844" s="97"/>
      <c r="AM844" s="97"/>
      <c r="AN844" s="97"/>
      <c r="AO844" s="97"/>
      <c r="AP844" s="97"/>
      <c r="AQ844" s="99"/>
      <c r="AR844" s="99"/>
      <c r="AS844" s="99"/>
    </row>
    <row r="845">
      <c r="A845" s="97"/>
      <c r="B845" s="97"/>
      <c r="C845" s="97"/>
      <c r="D845" s="97"/>
      <c r="E845" s="97"/>
      <c r="F845" s="97"/>
      <c r="G845" s="98"/>
      <c r="H845" s="97"/>
      <c r="I845" s="97"/>
      <c r="J845" s="97"/>
      <c r="K845" s="97"/>
      <c r="L845" s="97"/>
      <c r="M845" s="97"/>
      <c r="N845" s="97"/>
      <c r="O845" s="97"/>
      <c r="P845" s="97"/>
      <c r="Q845" s="97"/>
      <c r="R845" s="97"/>
      <c r="S845" s="97"/>
      <c r="T845" s="97"/>
      <c r="U845" s="98"/>
      <c r="V845" s="97"/>
      <c r="W845" s="97"/>
      <c r="X845" s="97"/>
      <c r="Y845" s="97"/>
      <c r="Z845" s="97"/>
      <c r="AA845" s="97"/>
      <c r="AB845" s="97"/>
      <c r="AC845" s="97"/>
      <c r="AD845" s="97"/>
      <c r="AE845" s="97"/>
      <c r="AF845" s="97"/>
      <c r="AG845" s="97"/>
      <c r="AH845" s="97"/>
      <c r="AI845" s="97"/>
      <c r="AJ845" s="97"/>
      <c r="AK845" s="97"/>
      <c r="AL845" s="97"/>
      <c r="AM845" s="97"/>
      <c r="AN845" s="97"/>
      <c r="AO845" s="97"/>
      <c r="AP845" s="97"/>
      <c r="AQ845" s="99"/>
      <c r="AR845" s="99"/>
      <c r="AS845" s="99"/>
    </row>
    <row r="846">
      <c r="A846" s="97"/>
      <c r="B846" s="97"/>
      <c r="C846" s="97"/>
      <c r="D846" s="97"/>
      <c r="E846" s="97"/>
      <c r="F846" s="97"/>
      <c r="G846" s="98"/>
      <c r="H846" s="97"/>
      <c r="I846" s="97"/>
      <c r="J846" s="97"/>
      <c r="K846" s="97"/>
      <c r="L846" s="97"/>
      <c r="M846" s="97"/>
      <c r="N846" s="97"/>
      <c r="O846" s="97"/>
      <c r="P846" s="97"/>
      <c r="Q846" s="97"/>
      <c r="R846" s="97"/>
      <c r="S846" s="97"/>
      <c r="T846" s="97"/>
      <c r="U846" s="98"/>
      <c r="V846" s="97"/>
      <c r="W846" s="97"/>
      <c r="X846" s="97"/>
      <c r="Y846" s="97"/>
      <c r="Z846" s="97"/>
      <c r="AA846" s="97"/>
      <c r="AB846" s="97"/>
      <c r="AC846" s="97"/>
      <c r="AD846" s="97"/>
      <c r="AE846" s="97"/>
      <c r="AF846" s="97"/>
      <c r="AG846" s="97"/>
      <c r="AH846" s="97"/>
      <c r="AI846" s="97"/>
      <c r="AJ846" s="97"/>
      <c r="AK846" s="97"/>
      <c r="AL846" s="97"/>
      <c r="AM846" s="97"/>
      <c r="AN846" s="97"/>
      <c r="AO846" s="97"/>
      <c r="AP846" s="97"/>
      <c r="AQ846" s="99"/>
      <c r="AR846" s="99"/>
      <c r="AS846" s="99"/>
    </row>
    <row r="847">
      <c r="A847" s="97"/>
      <c r="B847" s="97"/>
      <c r="C847" s="97"/>
      <c r="D847" s="97"/>
      <c r="E847" s="97"/>
      <c r="F847" s="97"/>
      <c r="G847" s="98"/>
      <c r="H847" s="97"/>
      <c r="I847" s="97"/>
      <c r="J847" s="97"/>
      <c r="K847" s="97"/>
      <c r="L847" s="97"/>
      <c r="M847" s="97"/>
      <c r="N847" s="97"/>
      <c r="O847" s="97"/>
      <c r="P847" s="97"/>
      <c r="Q847" s="97"/>
      <c r="R847" s="97"/>
      <c r="S847" s="97"/>
      <c r="T847" s="97"/>
      <c r="U847" s="98"/>
      <c r="V847" s="97"/>
      <c r="W847" s="97"/>
      <c r="X847" s="97"/>
      <c r="Y847" s="97"/>
      <c r="Z847" s="97"/>
      <c r="AA847" s="97"/>
      <c r="AB847" s="97"/>
      <c r="AC847" s="97"/>
      <c r="AD847" s="97"/>
      <c r="AE847" s="97"/>
      <c r="AF847" s="97"/>
      <c r="AG847" s="97"/>
      <c r="AH847" s="97"/>
      <c r="AI847" s="97"/>
      <c r="AJ847" s="97"/>
      <c r="AK847" s="97"/>
      <c r="AL847" s="97"/>
      <c r="AM847" s="97"/>
      <c r="AN847" s="97"/>
      <c r="AO847" s="97"/>
      <c r="AP847" s="97"/>
      <c r="AQ847" s="99"/>
      <c r="AR847" s="99"/>
      <c r="AS847" s="99"/>
    </row>
    <row r="848">
      <c r="A848" s="97"/>
      <c r="B848" s="97"/>
      <c r="C848" s="97"/>
      <c r="D848" s="97"/>
      <c r="E848" s="97"/>
      <c r="F848" s="97"/>
      <c r="G848" s="98"/>
      <c r="H848" s="97"/>
      <c r="I848" s="97"/>
      <c r="J848" s="97"/>
      <c r="K848" s="97"/>
      <c r="L848" s="97"/>
      <c r="M848" s="97"/>
      <c r="N848" s="97"/>
      <c r="O848" s="97"/>
      <c r="P848" s="97"/>
      <c r="Q848" s="97"/>
      <c r="R848" s="97"/>
      <c r="S848" s="97"/>
      <c r="T848" s="97"/>
      <c r="U848" s="98"/>
      <c r="V848" s="97"/>
      <c r="W848" s="97"/>
      <c r="X848" s="97"/>
      <c r="Y848" s="97"/>
      <c r="Z848" s="97"/>
      <c r="AA848" s="97"/>
      <c r="AB848" s="97"/>
      <c r="AC848" s="97"/>
      <c r="AD848" s="97"/>
      <c r="AE848" s="97"/>
      <c r="AF848" s="97"/>
      <c r="AG848" s="97"/>
      <c r="AH848" s="97"/>
      <c r="AI848" s="97"/>
      <c r="AJ848" s="97"/>
      <c r="AK848" s="97"/>
      <c r="AL848" s="97"/>
      <c r="AM848" s="97"/>
      <c r="AN848" s="97"/>
      <c r="AO848" s="97"/>
      <c r="AP848" s="97"/>
      <c r="AQ848" s="99"/>
      <c r="AR848" s="99"/>
      <c r="AS848" s="99"/>
    </row>
    <row r="849">
      <c r="A849" s="97"/>
      <c r="B849" s="97"/>
      <c r="C849" s="97"/>
      <c r="D849" s="97"/>
      <c r="E849" s="97"/>
      <c r="F849" s="97"/>
      <c r="G849" s="98"/>
      <c r="H849" s="97"/>
      <c r="I849" s="97"/>
      <c r="J849" s="97"/>
      <c r="K849" s="97"/>
      <c r="L849" s="97"/>
      <c r="M849" s="97"/>
      <c r="N849" s="97"/>
      <c r="O849" s="97"/>
      <c r="P849" s="97"/>
      <c r="Q849" s="97"/>
      <c r="R849" s="97"/>
      <c r="S849" s="97"/>
      <c r="T849" s="97"/>
      <c r="U849" s="98"/>
      <c r="V849" s="97"/>
      <c r="W849" s="97"/>
      <c r="X849" s="97"/>
      <c r="Y849" s="97"/>
      <c r="Z849" s="97"/>
      <c r="AA849" s="97"/>
      <c r="AB849" s="97"/>
      <c r="AC849" s="97"/>
      <c r="AD849" s="97"/>
      <c r="AE849" s="97"/>
      <c r="AF849" s="97"/>
      <c r="AG849" s="97"/>
      <c r="AH849" s="97"/>
      <c r="AI849" s="97"/>
      <c r="AJ849" s="97"/>
      <c r="AK849" s="97"/>
      <c r="AL849" s="97"/>
      <c r="AM849" s="97"/>
      <c r="AN849" s="97"/>
      <c r="AO849" s="97"/>
      <c r="AP849" s="97"/>
      <c r="AQ849" s="99"/>
      <c r="AR849" s="99"/>
      <c r="AS849" s="99"/>
    </row>
    <row r="850">
      <c r="A850" s="97"/>
      <c r="B850" s="97"/>
      <c r="C850" s="97"/>
      <c r="D850" s="97"/>
      <c r="E850" s="97"/>
      <c r="F850" s="97"/>
      <c r="G850" s="98"/>
      <c r="H850" s="97"/>
      <c r="I850" s="97"/>
      <c r="J850" s="97"/>
      <c r="K850" s="97"/>
      <c r="L850" s="97"/>
      <c r="M850" s="97"/>
      <c r="N850" s="97"/>
      <c r="O850" s="97"/>
      <c r="P850" s="97"/>
      <c r="Q850" s="97"/>
      <c r="R850" s="97"/>
      <c r="S850" s="97"/>
      <c r="T850" s="97"/>
      <c r="U850" s="98"/>
      <c r="V850" s="97"/>
      <c r="W850" s="97"/>
      <c r="X850" s="97"/>
      <c r="Y850" s="97"/>
      <c r="Z850" s="97"/>
      <c r="AA850" s="97"/>
      <c r="AB850" s="97"/>
      <c r="AC850" s="97"/>
      <c r="AD850" s="97"/>
      <c r="AE850" s="97"/>
      <c r="AF850" s="97"/>
      <c r="AG850" s="97"/>
      <c r="AH850" s="97"/>
      <c r="AI850" s="97"/>
      <c r="AJ850" s="97"/>
      <c r="AK850" s="97"/>
      <c r="AL850" s="97"/>
      <c r="AM850" s="97"/>
      <c r="AN850" s="97"/>
      <c r="AO850" s="97"/>
      <c r="AP850" s="97"/>
      <c r="AQ850" s="99"/>
      <c r="AR850" s="99"/>
      <c r="AS850" s="99"/>
    </row>
    <row r="851">
      <c r="A851" s="97"/>
      <c r="B851" s="97"/>
      <c r="C851" s="97"/>
      <c r="D851" s="97"/>
      <c r="E851" s="97"/>
      <c r="F851" s="97"/>
      <c r="G851" s="98"/>
      <c r="H851" s="97"/>
      <c r="I851" s="97"/>
      <c r="J851" s="97"/>
      <c r="K851" s="97"/>
      <c r="L851" s="97"/>
      <c r="M851" s="97"/>
      <c r="N851" s="97"/>
      <c r="O851" s="97"/>
      <c r="P851" s="97"/>
      <c r="Q851" s="97"/>
      <c r="R851" s="97"/>
      <c r="S851" s="97"/>
      <c r="T851" s="97"/>
      <c r="U851" s="98"/>
      <c r="V851" s="97"/>
      <c r="W851" s="97"/>
      <c r="X851" s="97"/>
      <c r="Y851" s="97"/>
      <c r="Z851" s="97"/>
      <c r="AA851" s="97"/>
      <c r="AB851" s="97"/>
      <c r="AC851" s="97"/>
      <c r="AD851" s="97"/>
      <c r="AE851" s="97"/>
      <c r="AF851" s="97"/>
      <c r="AG851" s="97"/>
      <c r="AH851" s="97"/>
      <c r="AI851" s="97"/>
      <c r="AJ851" s="97"/>
      <c r="AK851" s="97"/>
      <c r="AL851" s="97"/>
      <c r="AM851" s="97"/>
      <c r="AN851" s="97"/>
      <c r="AO851" s="97"/>
      <c r="AP851" s="97"/>
      <c r="AQ851" s="99"/>
      <c r="AR851" s="99"/>
      <c r="AS851" s="99"/>
    </row>
    <row r="852">
      <c r="A852" s="97"/>
      <c r="B852" s="97"/>
      <c r="C852" s="97"/>
      <c r="D852" s="97"/>
      <c r="E852" s="97"/>
      <c r="F852" s="97"/>
      <c r="G852" s="98"/>
      <c r="H852" s="97"/>
      <c r="I852" s="97"/>
      <c r="J852" s="97"/>
      <c r="K852" s="97"/>
      <c r="L852" s="97"/>
      <c r="M852" s="97"/>
      <c r="N852" s="97"/>
      <c r="O852" s="97"/>
      <c r="P852" s="97"/>
      <c r="Q852" s="97"/>
      <c r="R852" s="97"/>
      <c r="S852" s="97"/>
      <c r="T852" s="97"/>
      <c r="U852" s="98"/>
      <c r="V852" s="97"/>
      <c r="W852" s="97"/>
      <c r="X852" s="97"/>
      <c r="Y852" s="97"/>
      <c r="Z852" s="97"/>
      <c r="AA852" s="97"/>
      <c r="AB852" s="97"/>
      <c r="AC852" s="97"/>
      <c r="AD852" s="97"/>
      <c r="AE852" s="97"/>
      <c r="AF852" s="97"/>
      <c r="AG852" s="97"/>
      <c r="AH852" s="97"/>
      <c r="AI852" s="97"/>
      <c r="AJ852" s="97"/>
      <c r="AK852" s="97"/>
      <c r="AL852" s="97"/>
      <c r="AM852" s="97"/>
      <c r="AN852" s="97"/>
      <c r="AO852" s="97"/>
      <c r="AP852" s="97"/>
      <c r="AQ852" s="99"/>
      <c r="AR852" s="99"/>
      <c r="AS852" s="99"/>
    </row>
    <row r="853">
      <c r="A853" s="97"/>
      <c r="B853" s="97"/>
      <c r="C853" s="97"/>
      <c r="D853" s="97"/>
      <c r="E853" s="97"/>
      <c r="F853" s="97"/>
      <c r="G853" s="98"/>
      <c r="H853" s="97"/>
      <c r="I853" s="97"/>
      <c r="J853" s="97"/>
      <c r="K853" s="97"/>
      <c r="L853" s="97"/>
      <c r="M853" s="97"/>
      <c r="N853" s="97"/>
      <c r="O853" s="97"/>
      <c r="P853" s="97"/>
      <c r="Q853" s="97"/>
      <c r="R853" s="97"/>
      <c r="S853" s="97"/>
      <c r="T853" s="97"/>
      <c r="U853" s="98"/>
      <c r="V853" s="97"/>
      <c r="W853" s="97"/>
      <c r="X853" s="97"/>
      <c r="Y853" s="97"/>
      <c r="Z853" s="97"/>
      <c r="AA853" s="97"/>
      <c r="AB853" s="97"/>
      <c r="AC853" s="97"/>
      <c r="AD853" s="97"/>
      <c r="AE853" s="97"/>
      <c r="AF853" s="97"/>
      <c r="AG853" s="97"/>
      <c r="AH853" s="97"/>
      <c r="AI853" s="97"/>
      <c r="AJ853" s="97"/>
      <c r="AK853" s="97"/>
      <c r="AL853" s="97"/>
      <c r="AM853" s="97"/>
      <c r="AN853" s="97"/>
      <c r="AO853" s="97"/>
      <c r="AP853" s="97"/>
      <c r="AQ853" s="99"/>
      <c r="AR853" s="99"/>
      <c r="AS853" s="99"/>
    </row>
    <row r="854">
      <c r="A854" s="97"/>
      <c r="B854" s="97"/>
      <c r="C854" s="97"/>
      <c r="D854" s="97"/>
      <c r="E854" s="97"/>
      <c r="F854" s="97"/>
      <c r="G854" s="98"/>
      <c r="H854" s="97"/>
      <c r="I854" s="97"/>
      <c r="J854" s="97"/>
      <c r="K854" s="97"/>
      <c r="L854" s="97"/>
      <c r="M854" s="97"/>
      <c r="N854" s="97"/>
      <c r="O854" s="97"/>
      <c r="P854" s="97"/>
      <c r="Q854" s="97"/>
      <c r="R854" s="97"/>
      <c r="S854" s="97"/>
      <c r="T854" s="97"/>
      <c r="U854" s="98"/>
      <c r="V854" s="97"/>
      <c r="W854" s="97"/>
      <c r="X854" s="97"/>
      <c r="Y854" s="97"/>
      <c r="Z854" s="97"/>
      <c r="AA854" s="97"/>
      <c r="AB854" s="97"/>
      <c r="AC854" s="97"/>
      <c r="AD854" s="97"/>
      <c r="AE854" s="97"/>
      <c r="AF854" s="97"/>
      <c r="AG854" s="97"/>
      <c r="AH854" s="97"/>
      <c r="AI854" s="97"/>
      <c r="AJ854" s="97"/>
      <c r="AK854" s="97"/>
      <c r="AL854" s="97"/>
      <c r="AM854" s="97"/>
      <c r="AN854" s="97"/>
      <c r="AO854" s="97"/>
      <c r="AP854" s="97"/>
      <c r="AQ854" s="99"/>
      <c r="AR854" s="99"/>
      <c r="AS854" s="99"/>
    </row>
    <row r="855">
      <c r="A855" s="97"/>
      <c r="B855" s="97"/>
      <c r="C855" s="97"/>
      <c r="D855" s="97"/>
      <c r="E855" s="97"/>
      <c r="F855" s="97"/>
      <c r="G855" s="98"/>
      <c r="H855" s="97"/>
      <c r="I855" s="97"/>
      <c r="J855" s="97"/>
      <c r="K855" s="97"/>
      <c r="L855" s="97"/>
      <c r="M855" s="97"/>
      <c r="N855" s="97"/>
      <c r="O855" s="97"/>
      <c r="P855" s="97"/>
      <c r="Q855" s="97"/>
      <c r="R855" s="97"/>
      <c r="S855" s="97"/>
      <c r="T855" s="97"/>
      <c r="U855" s="98"/>
      <c r="V855" s="97"/>
      <c r="W855" s="97"/>
      <c r="X855" s="97"/>
      <c r="Y855" s="97"/>
      <c r="Z855" s="97"/>
      <c r="AA855" s="97"/>
      <c r="AB855" s="97"/>
      <c r="AC855" s="97"/>
      <c r="AD855" s="97"/>
      <c r="AE855" s="97"/>
      <c r="AF855" s="97"/>
      <c r="AG855" s="97"/>
      <c r="AH855" s="97"/>
      <c r="AI855" s="97"/>
      <c r="AJ855" s="97"/>
      <c r="AK855" s="97"/>
      <c r="AL855" s="97"/>
      <c r="AM855" s="97"/>
      <c r="AN855" s="97"/>
      <c r="AO855" s="97"/>
      <c r="AP855" s="97"/>
      <c r="AQ855" s="99"/>
      <c r="AR855" s="99"/>
      <c r="AS855" s="99"/>
    </row>
    <row r="856">
      <c r="A856" s="97"/>
      <c r="B856" s="97"/>
      <c r="C856" s="97"/>
      <c r="D856" s="97"/>
      <c r="E856" s="97"/>
      <c r="F856" s="97"/>
      <c r="G856" s="98"/>
      <c r="H856" s="97"/>
      <c r="I856" s="97"/>
      <c r="J856" s="97"/>
      <c r="K856" s="97"/>
      <c r="L856" s="97"/>
      <c r="M856" s="97"/>
      <c r="N856" s="97"/>
      <c r="O856" s="97"/>
      <c r="P856" s="97"/>
      <c r="Q856" s="97"/>
      <c r="R856" s="97"/>
      <c r="S856" s="97"/>
      <c r="T856" s="97"/>
      <c r="U856" s="98"/>
      <c r="V856" s="97"/>
      <c r="W856" s="97"/>
      <c r="X856" s="97"/>
      <c r="Y856" s="97"/>
      <c r="Z856" s="97"/>
      <c r="AA856" s="97"/>
      <c r="AB856" s="97"/>
      <c r="AC856" s="97"/>
      <c r="AD856" s="97"/>
      <c r="AE856" s="97"/>
      <c r="AF856" s="97"/>
      <c r="AG856" s="97"/>
      <c r="AH856" s="97"/>
      <c r="AI856" s="97"/>
      <c r="AJ856" s="97"/>
      <c r="AK856" s="97"/>
      <c r="AL856" s="97"/>
      <c r="AM856" s="97"/>
      <c r="AN856" s="97"/>
      <c r="AO856" s="97"/>
      <c r="AP856" s="97"/>
      <c r="AQ856" s="99"/>
      <c r="AR856" s="99"/>
      <c r="AS856" s="99"/>
    </row>
    <row r="857">
      <c r="A857" s="97"/>
      <c r="B857" s="97"/>
      <c r="C857" s="97"/>
      <c r="D857" s="97"/>
      <c r="E857" s="97"/>
      <c r="F857" s="97"/>
      <c r="G857" s="98"/>
      <c r="H857" s="97"/>
      <c r="I857" s="97"/>
      <c r="J857" s="97"/>
      <c r="K857" s="97"/>
      <c r="L857" s="97"/>
      <c r="M857" s="97"/>
      <c r="N857" s="97"/>
      <c r="O857" s="97"/>
      <c r="P857" s="97"/>
      <c r="Q857" s="97"/>
      <c r="R857" s="97"/>
      <c r="S857" s="97"/>
      <c r="T857" s="97"/>
      <c r="U857" s="98"/>
      <c r="V857" s="97"/>
      <c r="W857" s="97"/>
      <c r="X857" s="97"/>
      <c r="Y857" s="97"/>
      <c r="Z857" s="97"/>
      <c r="AA857" s="97"/>
      <c r="AB857" s="97"/>
      <c r="AC857" s="97"/>
      <c r="AD857" s="97"/>
      <c r="AE857" s="97"/>
      <c r="AF857" s="97"/>
      <c r="AG857" s="97"/>
      <c r="AH857" s="97"/>
      <c r="AI857" s="97"/>
      <c r="AJ857" s="97"/>
      <c r="AK857" s="97"/>
      <c r="AL857" s="97"/>
      <c r="AM857" s="97"/>
      <c r="AN857" s="97"/>
      <c r="AO857" s="97"/>
      <c r="AP857" s="97"/>
      <c r="AQ857" s="99"/>
      <c r="AR857" s="99"/>
      <c r="AS857" s="99"/>
    </row>
    <row r="858">
      <c r="A858" s="97"/>
      <c r="B858" s="97"/>
      <c r="C858" s="97"/>
      <c r="D858" s="97"/>
      <c r="E858" s="97"/>
      <c r="F858" s="97"/>
      <c r="G858" s="98"/>
      <c r="H858" s="97"/>
      <c r="I858" s="97"/>
      <c r="J858" s="97"/>
      <c r="K858" s="97"/>
      <c r="L858" s="97"/>
      <c r="M858" s="97"/>
      <c r="N858" s="97"/>
      <c r="O858" s="97"/>
      <c r="P858" s="97"/>
      <c r="Q858" s="97"/>
      <c r="R858" s="97"/>
      <c r="S858" s="97"/>
      <c r="T858" s="97"/>
      <c r="U858" s="98"/>
      <c r="V858" s="97"/>
      <c r="W858" s="97"/>
      <c r="X858" s="97"/>
      <c r="Y858" s="97"/>
      <c r="Z858" s="97"/>
      <c r="AA858" s="97"/>
      <c r="AB858" s="97"/>
      <c r="AC858" s="97"/>
      <c r="AD858" s="97"/>
      <c r="AE858" s="97"/>
      <c r="AF858" s="97"/>
      <c r="AG858" s="97"/>
      <c r="AH858" s="97"/>
      <c r="AI858" s="97"/>
      <c r="AJ858" s="97"/>
      <c r="AK858" s="97"/>
      <c r="AL858" s="97"/>
      <c r="AM858" s="97"/>
      <c r="AN858" s="97"/>
      <c r="AO858" s="97"/>
      <c r="AP858" s="97"/>
      <c r="AQ858" s="99"/>
      <c r="AR858" s="99"/>
      <c r="AS858" s="99"/>
    </row>
    <row r="859">
      <c r="A859" s="97"/>
      <c r="B859" s="97"/>
      <c r="C859" s="97"/>
      <c r="D859" s="97"/>
      <c r="E859" s="97"/>
      <c r="F859" s="97"/>
      <c r="G859" s="98"/>
      <c r="H859" s="97"/>
      <c r="I859" s="97"/>
      <c r="J859" s="97"/>
      <c r="K859" s="97"/>
      <c r="L859" s="97"/>
      <c r="M859" s="97"/>
      <c r="N859" s="97"/>
      <c r="O859" s="97"/>
      <c r="P859" s="97"/>
      <c r="Q859" s="97"/>
      <c r="R859" s="97"/>
      <c r="S859" s="97"/>
      <c r="T859" s="97"/>
      <c r="U859" s="98"/>
      <c r="V859" s="97"/>
      <c r="W859" s="97"/>
      <c r="X859" s="97"/>
      <c r="Y859" s="97"/>
      <c r="Z859" s="97"/>
      <c r="AA859" s="97"/>
      <c r="AB859" s="97"/>
      <c r="AC859" s="97"/>
      <c r="AD859" s="97"/>
      <c r="AE859" s="97"/>
      <c r="AF859" s="97"/>
      <c r="AG859" s="97"/>
      <c r="AH859" s="97"/>
      <c r="AI859" s="97"/>
      <c r="AJ859" s="97"/>
      <c r="AK859" s="97"/>
      <c r="AL859" s="97"/>
      <c r="AM859" s="97"/>
      <c r="AN859" s="97"/>
      <c r="AO859" s="97"/>
      <c r="AP859" s="97"/>
      <c r="AQ859" s="99"/>
      <c r="AR859" s="99"/>
      <c r="AS859" s="99"/>
    </row>
    <row r="860">
      <c r="A860" s="97"/>
      <c r="B860" s="97"/>
      <c r="C860" s="97"/>
      <c r="D860" s="97"/>
      <c r="E860" s="97"/>
      <c r="F860" s="97"/>
      <c r="G860" s="98"/>
      <c r="H860" s="97"/>
      <c r="I860" s="97"/>
      <c r="J860" s="97"/>
      <c r="K860" s="97"/>
      <c r="L860" s="97"/>
      <c r="M860" s="97"/>
      <c r="N860" s="97"/>
      <c r="O860" s="97"/>
      <c r="P860" s="97"/>
      <c r="Q860" s="97"/>
      <c r="R860" s="97"/>
      <c r="S860" s="97"/>
      <c r="T860" s="97"/>
      <c r="U860" s="98"/>
      <c r="V860" s="97"/>
      <c r="W860" s="97"/>
      <c r="X860" s="97"/>
      <c r="Y860" s="97"/>
      <c r="Z860" s="97"/>
      <c r="AA860" s="97"/>
      <c r="AB860" s="97"/>
      <c r="AC860" s="97"/>
      <c r="AD860" s="97"/>
      <c r="AE860" s="97"/>
      <c r="AF860" s="97"/>
      <c r="AG860" s="97"/>
      <c r="AH860" s="97"/>
      <c r="AI860" s="97"/>
      <c r="AJ860" s="97"/>
      <c r="AK860" s="97"/>
      <c r="AL860" s="97"/>
      <c r="AM860" s="97"/>
      <c r="AN860" s="97"/>
      <c r="AO860" s="97"/>
      <c r="AP860" s="97"/>
      <c r="AQ860" s="99"/>
      <c r="AR860" s="99"/>
      <c r="AS860" s="99"/>
    </row>
    <row r="861">
      <c r="A861" s="97"/>
      <c r="B861" s="97"/>
      <c r="C861" s="97"/>
      <c r="D861" s="97"/>
      <c r="E861" s="97"/>
      <c r="F861" s="97"/>
      <c r="G861" s="98"/>
      <c r="H861" s="97"/>
      <c r="I861" s="97"/>
      <c r="J861" s="97"/>
      <c r="K861" s="97"/>
      <c r="L861" s="97"/>
      <c r="M861" s="97"/>
      <c r="N861" s="97"/>
      <c r="O861" s="97"/>
      <c r="P861" s="97"/>
      <c r="Q861" s="97"/>
      <c r="R861" s="97"/>
      <c r="S861" s="97"/>
      <c r="T861" s="97"/>
      <c r="U861" s="98"/>
      <c r="V861" s="97"/>
      <c r="W861" s="97"/>
      <c r="X861" s="97"/>
      <c r="Y861" s="97"/>
      <c r="Z861" s="97"/>
      <c r="AA861" s="97"/>
      <c r="AB861" s="97"/>
      <c r="AC861" s="97"/>
      <c r="AD861" s="97"/>
      <c r="AE861" s="97"/>
      <c r="AF861" s="97"/>
      <c r="AG861" s="97"/>
      <c r="AH861" s="97"/>
      <c r="AI861" s="97"/>
      <c r="AJ861" s="97"/>
      <c r="AK861" s="97"/>
      <c r="AL861" s="97"/>
      <c r="AM861" s="97"/>
      <c r="AN861" s="97"/>
      <c r="AO861" s="97"/>
      <c r="AP861" s="97"/>
      <c r="AQ861" s="99"/>
      <c r="AR861" s="99"/>
      <c r="AS861" s="99"/>
    </row>
    <row r="862">
      <c r="A862" s="97"/>
      <c r="B862" s="97"/>
      <c r="C862" s="97"/>
      <c r="D862" s="97"/>
      <c r="E862" s="97"/>
      <c r="F862" s="97"/>
      <c r="G862" s="98"/>
      <c r="H862" s="97"/>
      <c r="I862" s="97"/>
      <c r="J862" s="97"/>
      <c r="K862" s="97"/>
      <c r="L862" s="97"/>
      <c r="M862" s="97"/>
      <c r="N862" s="97"/>
      <c r="O862" s="97"/>
      <c r="P862" s="97"/>
      <c r="Q862" s="97"/>
      <c r="R862" s="97"/>
      <c r="S862" s="97"/>
      <c r="T862" s="97"/>
      <c r="U862" s="98"/>
      <c r="V862" s="97"/>
      <c r="W862" s="97"/>
      <c r="X862" s="97"/>
      <c r="Y862" s="97"/>
      <c r="Z862" s="97"/>
      <c r="AA862" s="97"/>
      <c r="AB862" s="97"/>
      <c r="AC862" s="97"/>
      <c r="AD862" s="97"/>
      <c r="AE862" s="97"/>
      <c r="AF862" s="97"/>
      <c r="AG862" s="97"/>
      <c r="AH862" s="97"/>
      <c r="AI862" s="97"/>
      <c r="AJ862" s="97"/>
      <c r="AK862" s="97"/>
      <c r="AL862" s="97"/>
      <c r="AM862" s="97"/>
      <c r="AN862" s="97"/>
      <c r="AO862" s="97"/>
      <c r="AP862" s="97"/>
      <c r="AQ862" s="99"/>
      <c r="AR862" s="99"/>
      <c r="AS862" s="99"/>
    </row>
    <row r="863">
      <c r="A863" s="97"/>
      <c r="B863" s="97"/>
      <c r="C863" s="97"/>
      <c r="D863" s="97"/>
      <c r="E863" s="97"/>
      <c r="F863" s="97"/>
      <c r="G863" s="98"/>
      <c r="H863" s="97"/>
      <c r="I863" s="97"/>
      <c r="J863" s="97"/>
      <c r="K863" s="97"/>
      <c r="L863" s="97"/>
      <c r="M863" s="97"/>
      <c r="N863" s="97"/>
      <c r="O863" s="97"/>
      <c r="P863" s="97"/>
      <c r="Q863" s="97"/>
      <c r="R863" s="97"/>
      <c r="S863" s="97"/>
      <c r="T863" s="97"/>
      <c r="U863" s="98"/>
      <c r="V863" s="97"/>
      <c r="W863" s="97"/>
      <c r="X863" s="97"/>
      <c r="Y863" s="97"/>
      <c r="Z863" s="97"/>
      <c r="AA863" s="97"/>
      <c r="AB863" s="97"/>
      <c r="AC863" s="97"/>
      <c r="AD863" s="97"/>
      <c r="AE863" s="97"/>
      <c r="AF863" s="97"/>
      <c r="AG863" s="97"/>
      <c r="AH863" s="97"/>
      <c r="AI863" s="97"/>
      <c r="AJ863" s="97"/>
      <c r="AK863" s="97"/>
      <c r="AL863" s="97"/>
      <c r="AM863" s="97"/>
      <c r="AN863" s="97"/>
      <c r="AO863" s="97"/>
      <c r="AP863" s="97"/>
      <c r="AQ863" s="99"/>
      <c r="AR863" s="99"/>
      <c r="AS863" s="99"/>
    </row>
    <row r="864">
      <c r="A864" s="97"/>
      <c r="B864" s="97"/>
      <c r="C864" s="97"/>
      <c r="D864" s="97"/>
      <c r="E864" s="97"/>
      <c r="F864" s="97"/>
      <c r="G864" s="98"/>
      <c r="H864" s="97"/>
      <c r="I864" s="97"/>
      <c r="J864" s="97"/>
      <c r="K864" s="97"/>
      <c r="L864" s="97"/>
      <c r="M864" s="97"/>
      <c r="N864" s="97"/>
      <c r="O864" s="97"/>
      <c r="P864" s="97"/>
      <c r="Q864" s="97"/>
      <c r="R864" s="97"/>
      <c r="S864" s="97"/>
      <c r="T864" s="97"/>
      <c r="U864" s="98"/>
      <c r="V864" s="97"/>
      <c r="W864" s="97"/>
      <c r="X864" s="97"/>
      <c r="Y864" s="97"/>
      <c r="Z864" s="97"/>
      <c r="AA864" s="97"/>
      <c r="AB864" s="97"/>
      <c r="AC864" s="97"/>
      <c r="AD864" s="97"/>
      <c r="AE864" s="97"/>
      <c r="AF864" s="97"/>
      <c r="AG864" s="97"/>
      <c r="AH864" s="97"/>
      <c r="AI864" s="97"/>
      <c r="AJ864" s="97"/>
      <c r="AK864" s="97"/>
      <c r="AL864" s="97"/>
      <c r="AM864" s="97"/>
      <c r="AN864" s="97"/>
      <c r="AO864" s="97"/>
      <c r="AP864" s="97"/>
      <c r="AQ864" s="99"/>
      <c r="AR864" s="99"/>
      <c r="AS864" s="99"/>
    </row>
    <row r="865">
      <c r="A865" s="97"/>
      <c r="B865" s="97"/>
      <c r="C865" s="97"/>
      <c r="D865" s="97"/>
      <c r="E865" s="97"/>
      <c r="F865" s="97"/>
      <c r="G865" s="98"/>
      <c r="H865" s="97"/>
      <c r="I865" s="97"/>
      <c r="J865" s="97"/>
      <c r="K865" s="97"/>
      <c r="L865" s="97"/>
      <c r="M865" s="97"/>
      <c r="N865" s="97"/>
      <c r="O865" s="97"/>
      <c r="P865" s="97"/>
      <c r="Q865" s="97"/>
      <c r="R865" s="97"/>
      <c r="S865" s="97"/>
      <c r="T865" s="97"/>
      <c r="U865" s="98"/>
      <c r="V865" s="97"/>
      <c r="W865" s="97"/>
      <c r="X865" s="97"/>
      <c r="Y865" s="97"/>
      <c r="Z865" s="97"/>
      <c r="AA865" s="97"/>
      <c r="AB865" s="97"/>
      <c r="AC865" s="97"/>
      <c r="AD865" s="97"/>
      <c r="AE865" s="97"/>
      <c r="AF865" s="97"/>
      <c r="AG865" s="97"/>
      <c r="AH865" s="97"/>
      <c r="AI865" s="97"/>
      <c r="AJ865" s="97"/>
      <c r="AK865" s="97"/>
      <c r="AL865" s="97"/>
      <c r="AM865" s="97"/>
      <c r="AN865" s="97"/>
      <c r="AO865" s="97"/>
      <c r="AP865" s="97"/>
      <c r="AQ865" s="99"/>
      <c r="AR865" s="99"/>
      <c r="AS865" s="99"/>
    </row>
    <row r="866">
      <c r="A866" s="97"/>
      <c r="B866" s="97"/>
      <c r="C866" s="97"/>
      <c r="D866" s="97"/>
      <c r="E866" s="97"/>
      <c r="F866" s="97"/>
      <c r="G866" s="98"/>
      <c r="H866" s="97"/>
      <c r="I866" s="97"/>
      <c r="J866" s="97"/>
      <c r="K866" s="97"/>
      <c r="L866" s="97"/>
      <c r="M866" s="97"/>
      <c r="N866" s="97"/>
      <c r="O866" s="97"/>
      <c r="P866" s="97"/>
      <c r="Q866" s="97"/>
      <c r="R866" s="97"/>
      <c r="S866" s="97"/>
      <c r="T866" s="97"/>
      <c r="U866" s="98"/>
      <c r="V866" s="97"/>
      <c r="W866" s="97"/>
      <c r="X866" s="97"/>
      <c r="Y866" s="97"/>
      <c r="Z866" s="97"/>
      <c r="AA866" s="97"/>
      <c r="AB866" s="97"/>
      <c r="AC866" s="97"/>
      <c r="AD866" s="97"/>
      <c r="AE866" s="97"/>
      <c r="AF866" s="97"/>
      <c r="AG866" s="97"/>
      <c r="AH866" s="97"/>
      <c r="AI866" s="97"/>
      <c r="AJ866" s="97"/>
      <c r="AK866" s="97"/>
      <c r="AL866" s="97"/>
      <c r="AM866" s="97"/>
      <c r="AN866" s="97"/>
      <c r="AO866" s="97"/>
      <c r="AP866" s="97"/>
      <c r="AQ866" s="99"/>
      <c r="AR866" s="99"/>
      <c r="AS866" s="99"/>
    </row>
    <row r="867">
      <c r="A867" s="97"/>
      <c r="B867" s="97"/>
      <c r="C867" s="97"/>
      <c r="D867" s="97"/>
      <c r="E867" s="97"/>
      <c r="F867" s="97"/>
      <c r="G867" s="98"/>
      <c r="H867" s="97"/>
      <c r="I867" s="97"/>
      <c r="J867" s="97"/>
      <c r="K867" s="97"/>
      <c r="L867" s="97"/>
      <c r="M867" s="97"/>
      <c r="N867" s="97"/>
      <c r="O867" s="97"/>
      <c r="P867" s="97"/>
      <c r="Q867" s="97"/>
      <c r="R867" s="97"/>
      <c r="S867" s="97"/>
      <c r="T867" s="97"/>
      <c r="U867" s="98"/>
      <c r="V867" s="97"/>
      <c r="W867" s="97"/>
      <c r="X867" s="97"/>
      <c r="Y867" s="97"/>
      <c r="Z867" s="97"/>
      <c r="AA867" s="97"/>
      <c r="AB867" s="97"/>
      <c r="AC867" s="97"/>
      <c r="AD867" s="97"/>
      <c r="AE867" s="97"/>
      <c r="AF867" s="97"/>
      <c r="AG867" s="97"/>
      <c r="AH867" s="97"/>
      <c r="AI867" s="97"/>
      <c r="AJ867" s="97"/>
      <c r="AK867" s="97"/>
      <c r="AL867" s="97"/>
      <c r="AM867" s="97"/>
      <c r="AN867" s="97"/>
      <c r="AO867" s="97"/>
      <c r="AP867" s="97"/>
      <c r="AQ867" s="99"/>
      <c r="AR867" s="99"/>
      <c r="AS867" s="99"/>
    </row>
    <row r="868">
      <c r="A868" s="97"/>
      <c r="B868" s="97"/>
      <c r="C868" s="97"/>
      <c r="D868" s="97"/>
      <c r="E868" s="97"/>
      <c r="F868" s="97"/>
      <c r="G868" s="98"/>
      <c r="H868" s="97"/>
      <c r="I868" s="97"/>
      <c r="J868" s="97"/>
      <c r="K868" s="97"/>
      <c r="L868" s="97"/>
      <c r="M868" s="97"/>
      <c r="N868" s="97"/>
      <c r="O868" s="97"/>
      <c r="P868" s="97"/>
      <c r="Q868" s="97"/>
      <c r="R868" s="97"/>
      <c r="S868" s="97"/>
      <c r="T868" s="97"/>
      <c r="U868" s="98"/>
      <c r="V868" s="97"/>
      <c r="W868" s="97"/>
      <c r="X868" s="97"/>
      <c r="Y868" s="97"/>
      <c r="Z868" s="97"/>
      <c r="AA868" s="97"/>
      <c r="AB868" s="97"/>
      <c r="AC868" s="97"/>
      <c r="AD868" s="97"/>
      <c r="AE868" s="97"/>
      <c r="AF868" s="97"/>
      <c r="AG868" s="97"/>
      <c r="AH868" s="97"/>
      <c r="AI868" s="97"/>
      <c r="AJ868" s="97"/>
      <c r="AK868" s="97"/>
      <c r="AL868" s="97"/>
      <c r="AM868" s="97"/>
      <c r="AN868" s="97"/>
      <c r="AO868" s="97"/>
      <c r="AP868" s="97"/>
      <c r="AQ868" s="99"/>
      <c r="AR868" s="99"/>
      <c r="AS868" s="99"/>
    </row>
    <row r="869">
      <c r="A869" s="97"/>
      <c r="B869" s="97"/>
      <c r="C869" s="97"/>
      <c r="D869" s="97"/>
      <c r="E869" s="97"/>
      <c r="F869" s="97"/>
      <c r="G869" s="98"/>
      <c r="H869" s="97"/>
      <c r="I869" s="97"/>
      <c r="J869" s="97"/>
      <c r="K869" s="97"/>
      <c r="L869" s="97"/>
      <c r="M869" s="97"/>
      <c r="N869" s="97"/>
      <c r="O869" s="97"/>
      <c r="P869" s="97"/>
      <c r="Q869" s="97"/>
      <c r="R869" s="97"/>
      <c r="S869" s="97"/>
      <c r="T869" s="97"/>
      <c r="U869" s="98"/>
      <c r="V869" s="97"/>
      <c r="W869" s="97"/>
      <c r="X869" s="97"/>
      <c r="Y869" s="97"/>
      <c r="Z869" s="97"/>
      <c r="AA869" s="97"/>
      <c r="AB869" s="97"/>
      <c r="AC869" s="97"/>
      <c r="AD869" s="97"/>
      <c r="AE869" s="97"/>
      <c r="AF869" s="97"/>
      <c r="AG869" s="97"/>
      <c r="AH869" s="97"/>
      <c r="AI869" s="97"/>
      <c r="AJ869" s="97"/>
      <c r="AK869" s="97"/>
      <c r="AL869" s="97"/>
      <c r="AM869" s="97"/>
      <c r="AN869" s="97"/>
      <c r="AO869" s="97"/>
      <c r="AP869" s="97"/>
      <c r="AQ869" s="99"/>
      <c r="AR869" s="99"/>
      <c r="AS869" s="99"/>
    </row>
    <row r="870">
      <c r="A870" s="97"/>
      <c r="B870" s="97"/>
      <c r="C870" s="97"/>
      <c r="D870" s="97"/>
      <c r="E870" s="97"/>
      <c r="F870" s="97"/>
      <c r="G870" s="98"/>
      <c r="H870" s="97"/>
      <c r="I870" s="97"/>
      <c r="J870" s="97"/>
      <c r="K870" s="97"/>
      <c r="L870" s="97"/>
      <c r="M870" s="97"/>
      <c r="N870" s="97"/>
      <c r="O870" s="97"/>
      <c r="P870" s="97"/>
      <c r="Q870" s="97"/>
      <c r="R870" s="97"/>
      <c r="S870" s="97"/>
      <c r="T870" s="97"/>
      <c r="U870" s="98"/>
      <c r="V870" s="97"/>
      <c r="W870" s="97"/>
      <c r="X870" s="97"/>
      <c r="Y870" s="97"/>
      <c r="Z870" s="97"/>
      <c r="AA870" s="97"/>
      <c r="AB870" s="97"/>
      <c r="AC870" s="97"/>
      <c r="AD870" s="97"/>
      <c r="AE870" s="97"/>
      <c r="AF870" s="97"/>
      <c r="AG870" s="97"/>
      <c r="AH870" s="97"/>
      <c r="AI870" s="97"/>
      <c r="AJ870" s="97"/>
      <c r="AK870" s="97"/>
      <c r="AL870" s="97"/>
      <c r="AM870" s="97"/>
      <c r="AN870" s="97"/>
      <c r="AO870" s="97"/>
      <c r="AP870" s="97"/>
      <c r="AQ870" s="99"/>
      <c r="AR870" s="99"/>
      <c r="AS870" s="99"/>
    </row>
    <row r="871">
      <c r="A871" s="97"/>
      <c r="B871" s="97"/>
      <c r="C871" s="97"/>
      <c r="D871" s="97"/>
      <c r="E871" s="97"/>
      <c r="F871" s="97"/>
      <c r="G871" s="98"/>
      <c r="H871" s="97"/>
      <c r="I871" s="97"/>
      <c r="J871" s="97"/>
      <c r="K871" s="97"/>
      <c r="L871" s="97"/>
      <c r="M871" s="97"/>
      <c r="N871" s="97"/>
      <c r="O871" s="97"/>
      <c r="P871" s="97"/>
      <c r="Q871" s="97"/>
      <c r="R871" s="97"/>
      <c r="S871" s="97"/>
      <c r="T871" s="97"/>
      <c r="U871" s="98"/>
      <c r="V871" s="97"/>
      <c r="W871" s="97"/>
      <c r="X871" s="97"/>
      <c r="Y871" s="97"/>
      <c r="Z871" s="97"/>
      <c r="AA871" s="97"/>
      <c r="AB871" s="97"/>
      <c r="AC871" s="97"/>
      <c r="AD871" s="97"/>
      <c r="AE871" s="97"/>
      <c r="AF871" s="97"/>
      <c r="AG871" s="97"/>
      <c r="AH871" s="97"/>
      <c r="AI871" s="97"/>
      <c r="AJ871" s="97"/>
      <c r="AK871" s="97"/>
      <c r="AL871" s="97"/>
      <c r="AM871" s="97"/>
      <c r="AN871" s="97"/>
      <c r="AO871" s="97"/>
      <c r="AP871" s="97"/>
      <c r="AQ871" s="99"/>
      <c r="AR871" s="99"/>
      <c r="AS871" s="99"/>
    </row>
    <row r="872">
      <c r="A872" s="97"/>
      <c r="B872" s="97"/>
      <c r="C872" s="97"/>
      <c r="D872" s="97"/>
      <c r="E872" s="97"/>
      <c r="F872" s="97"/>
      <c r="G872" s="98"/>
      <c r="H872" s="97"/>
      <c r="I872" s="97"/>
      <c r="J872" s="97"/>
      <c r="K872" s="97"/>
      <c r="L872" s="97"/>
      <c r="M872" s="97"/>
      <c r="N872" s="97"/>
      <c r="O872" s="97"/>
      <c r="P872" s="97"/>
      <c r="Q872" s="97"/>
      <c r="R872" s="97"/>
      <c r="S872" s="97"/>
      <c r="T872" s="97"/>
      <c r="U872" s="98"/>
      <c r="V872" s="97"/>
      <c r="W872" s="97"/>
      <c r="X872" s="97"/>
      <c r="Y872" s="97"/>
      <c r="Z872" s="97"/>
      <c r="AA872" s="97"/>
      <c r="AB872" s="97"/>
      <c r="AC872" s="97"/>
      <c r="AD872" s="97"/>
      <c r="AE872" s="97"/>
      <c r="AF872" s="97"/>
      <c r="AG872" s="97"/>
      <c r="AH872" s="97"/>
      <c r="AI872" s="97"/>
      <c r="AJ872" s="97"/>
      <c r="AK872" s="97"/>
      <c r="AL872" s="97"/>
      <c r="AM872" s="97"/>
      <c r="AN872" s="97"/>
      <c r="AO872" s="97"/>
      <c r="AP872" s="97"/>
      <c r="AQ872" s="99"/>
      <c r="AR872" s="99"/>
      <c r="AS872" s="99"/>
    </row>
    <row r="873">
      <c r="A873" s="97"/>
      <c r="B873" s="97"/>
      <c r="C873" s="97"/>
      <c r="D873" s="97"/>
      <c r="E873" s="97"/>
      <c r="F873" s="97"/>
      <c r="G873" s="98"/>
      <c r="H873" s="97"/>
      <c r="I873" s="97"/>
      <c r="J873" s="97"/>
      <c r="K873" s="97"/>
      <c r="L873" s="97"/>
      <c r="M873" s="97"/>
      <c r="N873" s="97"/>
      <c r="O873" s="97"/>
      <c r="P873" s="97"/>
      <c r="Q873" s="97"/>
      <c r="R873" s="97"/>
      <c r="S873" s="97"/>
      <c r="T873" s="97"/>
      <c r="U873" s="98"/>
      <c r="V873" s="97"/>
      <c r="W873" s="97"/>
      <c r="X873" s="97"/>
      <c r="Y873" s="97"/>
      <c r="Z873" s="97"/>
      <c r="AA873" s="97"/>
      <c r="AB873" s="97"/>
      <c r="AC873" s="97"/>
      <c r="AD873" s="97"/>
      <c r="AE873" s="97"/>
      <c r="AF873" s="97"/>
      <c r="AG873" s="97"/>
      <c r="AH873" s="97"/>
      <c r="AI873" s="97"/>
      <c r="AJ873" s="97"/>
      <c r="AK873" s="97"/>
      <c r="AL873" s="97"/>
      <c r="AM873" s="97"/>
      <c r="AN873" s="97"/>
      <c r="AO873" s="97"/>
      <c r="AP873" s="97"/>
      <c r="AQ873" s="99"/>
      <c r="AR873" s="99"/>
      <c r="AS873" s="99"/>
    </row>
    <row r="874">
      <c r="A874" s="97"/>
      <c r="B874" s="97"/>
      <c r="C874" s="97"/>
      <c r="D874" s="97"/>
      <c r="E874" s="97"/>
      <c r="F874" s="97"/>
      <c r="G874" s="98"/>
      <c r="H874" s="97"/>
      <c r="I874" s="97"/>
      <c r="J874" s="97"/>
      <c r="K874" s="97"/>
      <c r="L874" s="97"/>
      <c r="M874" s="97"/>
      <c r="N874" s="97"/>
      <c r="O874" s="97"/>
      <c r="P874" s="97"/>
      <c r="Q874" s="97"/>
      <c r="R874" s="97"/>
      <c r="S874" s="97"/>
      <c r="T874" s="97"/>
      <c r="U874" s="98"/>
      <c r="V874" s="97"/>
      <c r="W874" s="97"/>
      <c r="X874" s="97"/>
      <c r="Y874" s="97"/>
      <c r="Z874" s="97"/>
      <c r="AA874" s="97"/>
      <c r="AB874" s="97"/>
      <c r="AC874" s="97"/>
      <c r="AD874" s="97"/>
      <c r="AE874" s="97"/>
      <c r="AF874" s="97"/>
      <c r="AG874" s="97"/>
      <c r="AH874" s="97"/>
      <c r="AI874" s="97"/>
      <c r="AJ874" s="97"/>
      <c r="AK874" s="97"/>
      <c r="AL874" s="97"/>
      <c r="AM874" s="97"/>
      <c r="AN874" s="97"/>
      <c r="AO874" s="97"/>
      <c r="AP874" s="97"/>
      <c r="AQ874" s="99"/>
      <c r="AR874" s="99"/>
      <c r="AS874" s="99"/>
    </row>
    <row r="875">
      <c r="A875" s="97"/>
      <c r="B875" s="97"/>
      <c r="C875" s="97"/>
      <c r="D875" s="97"/>
      <c r="E875" s="97"/>
      <c r="F875" s="97"/>
      <c r="G875" s="98"/>
      <c r="H875" s="97"/>
      <c r="I875" s="97"/>
      <c r="J875" s="97"/>
      <c r="K875" s="97"/>
      <c r="L875" s="97"/>
      <c r="M875" s="97"/>
      <c r="N875" s="97"/>
      <c r="O875" s="97"/>
      <c r="P875" s="97"/>
      <c r="Q875" s="97"/>
      <c r="R875" s="97"/>
      <c r="S875" s="97"/>
      <c r="T875" s="97"/>
      <c r="U875" s="98"/>
      <c r="V875" s="97"/>
      <c r="W875" s="97"/>
      <c r="X875" s="97"/>
      <c r="Y875" s="97"/>
      <c r="Z875" s="97"/>
      <c r="AA875" s="97"/>
      <c r="AB875" s="97"/>
      <c r="AC875" s="97"/>
      <c r="AD875" s="97"/>
      <c r="AE875" s="97"/>
      <c r="AF875" s="97"/>
      <c r="AG875" s="97"/>
      <c r="AH875" s="97"/>
      <c r="AI875" s="97"/>
      <c r="AJ875" s="97"/>
      <c r="AK875" s="97"/>
      <c r="AL875" s="97"/>
      <c r="AM875" s="97"/>
      <c r="AN875" s="97"/>
      <c r="AO875" s="97"/>
      <c r="AP875" s="97"/>
      <c r="AQ875" s="99"/>
      <c r="AR875" s="99"/>
      <c r="AS875" s="99"/>
    </row>
    <row r="876">
      <c r="A876" s="97"/>
      <c r="B876" s="97"/>
      <c r="C876" s="97"/>
      <c r="D876" s="97"/>
      <c r="E876" s="97"/>
      <c r="F876" s="97"/>
      <c r="G876" s="98"/>
      <c r="H876" s="97"/>
      <c r="I876" s="97"/>
      <c r="J876" s="97"/>
      <c r="K876" s="97"/>
      <c r="L876" s="97"/>
      <c r="M876" s="97"/>
      <c r="N876" s="97"/>
      <c r="O876" s="97"/>
      <c r="P876" s="97"/>
      <c r="Q876" s="97"/>
      <c r="R876" s="97"/>
      <c r="S876" s="97"/>
      <c r="T876" s="97"/>
      <c r="U876" s="98"/>
      <c r="V876" s="97"/>
      <c r="W876" s="97"/>
      <c r="X876" s="97"/>
      <c r="Y876" s="97"/>
      <c r="Z876" s="97"/>
      <c r="AA876" s="97"/>
      <c r="AB876" s="97"/>
      <c r="AC876" s="97"/>
      <c r="AD876" s="97"/>
      <c r="AE876" s="97"/>
      <c r="AF876" s="97"/>
      <c r="AG876" s="97"/>
      <c r="AH876" s="97"/>
      <c r="AI876" s="97"/>
      <c r="AJ876" s="97"/>
      <c r="AK876" s="97"/>
      <c r="AL876" s="97"/>
      <c r="AM876" s="97"/>
      <c r="AN876" s="97"/>
      <c r="AO876" s="97"/>
      <c r="AP876" s="97"/>
      <c r="AQ876" s="99"/>
      <c r="AR876" s="99"/>
      <c r="AS876" s="99"/>
    </row>
    <row r="877">
      <c r="A877" s="97"/>
      <c r="B877" s="97"/>
      <c r="C877" s="97"/>
      <c r="D877" s="97"/>
      <c r="E877" s="97"/>
      <c r="F877" s="97"/>
      <c r="G877" s="98"/>
      <c r="H877" s="97"/>
      <c r="I877" s="97"/>
      <c r="J877" s="97"/>
      <c r="K877" s="97"/>
      <c r="L877" s="97"/>
      <c r="M877" s="97"/>
      <c r="N877" s="97"/>
      <c r="O877" s="97"/>
      <c r="P877" s="97"/>
      <c r="Q877" s="97"/>
      <c r="R877" s="97"/>
      <c r="S877" s="97"/>
      <c r="T877" s="97"/>
      <c r="U877" s="98"/>
      <c r="V877" s="97"/>
      <c r="W877" s="97"/>
      <c r="X877" s="97"/>
      <c r="Y877" s="97"/>
      <c r="Z877" s="97"/>
      <c r="AA877" s="97"/>
      <c r="AB877" s="97"/>
      <c r="AC877" s="97"/>
      <c r="AD877" s="97"/>
      <c r="AE877" s="97"/>
      <c r="AF877" s="97"/>
      <c r="AG877" s="97"/>
      <c r="AH877" s="97"/>
      <c r="AI877" s="97"/>
      <c r="AJ877" s="97"/>
      <c r="AK877" s="97"/>
      <c r="AL877" s="97"/>
      <c r="AM877" s="97"/>
      <c r="AN877" s="97"/>
      <c r="AO877" s="97"/>
      <c r="AP877" s="97"/>
      <c r="AQ877" s="99"/>
      <c r="AR877" s="99"/>
      <c r="AS877" s="99"/>
    </row>
    <row r="878">
      <c r="A878" s="97"/>
      <c r="B878" s="97"/>
      <c r="C878" s="97"/>
      <c r="D878" s="97"/>
      <c r="E878" s="97"/>
      <c r="F878" s="97"/>
      <c r="G878" s="98"/>
      <c r="H878" s="97"/>
      <c r="I878" s="97"/>
      <c r="J878" s="97"/>
      <c r="K878" s="97"/>
      <c r="L878" s="97"/>
      <c r="M878" s="97"/>
      <c r="N878" s="97"/>
      <c r="O878" s="97"/>
      <c r="P878" s="97"/>
      <c r="Q878" s="97"/>
      <c r="R878" s="97"/>
      <c r="S878" s="97"/>
      <c r="T878" s="97"/>
      <c r="U878" s="98"/>
      <c r="V878" s="97"/>
      <c r="W878" s="97"/>
      <c r="X878" s="97"/>
      <c r="Y878" s="97"/>
      <c r="Z878" s="97"/>
      <c r="AA878" s="97"/>
      <c r="AB878" s="97"/>
      <c r="AC878" s="97"/>
      <c r="AD878" s="97"/>
      <c r="AE878" s="97"/>
      <c r="AF878" s="97"/>
      <c r="AG878" s="97"/>
      <c r="AH878" s="97"/>
      <c r="AI878" s="97"/>
      <c r="AJ878" s="97"/>
      <c r="AK878" s="97"/>
      <c r="AL878" s="97"/>
      <c r="AM878" s="97"/>
      <c r="AN878" s="97"/>
      <c r="AO878" s="97"/>
      <c r="AP878" s="97"/>
      <c r="AQ878" s="99"/>
      <c r="AR878" s="99"/>
      <c r="AS878" s="99"/>
    </row>
    <row r="879">
      <c r="A879" s="97"/>
      <c r="B879" s="97"/>
      <c r="C879" s="97"/>
      <c r="D879" s="97"/>
      <c r="E879" s="97"/>
      <c r="F879" s="97"/>
      <c r="G879" s="98"/>
      <c r="H879" s="97"/>
      <c r="I879" s="97"/>
      <c r="J879" s="97"/>
      <c r="K879" s="97"/>
      <c r="L879" s="97"/>
      <c r="M879" s="97"/>
      <c r="N879" s="97"/>
      <c r="O879" s="97"/>
      <c r="P879" s="97"/>
      <c r="Q879" s="97"/>
      <c r="R879" s="97"/>
      <c r="S879" s="97"/>
      <c r="T879" s="97"/>
      <c r="U879" s="98"/>
      <c r="V879" s="97"/>
      <c r="W879" s="97"/>
      <c r="X879" s="97"/>
      <c r="Y879" s="97"/>
      <c r="Z879" s="97"/>
      <c r="AA879" s="97"/>
      <c r="AB879" s="97"/>
      <c r="AC879" s="97"/>
      <c r="AD879" s="97"/>
      <c r="AE879" s="97"/>
      <c r="AF879" s="97"/>
      <c r="AG879" s="97"/>
      <c r="AH879" s="97"/>
      <c r="AI879" s="97"/>
      <c r="AJ879" s="97"/>
      <c r="AK879" s="97"/>
      <c r="AL879" s="97"/>
      <c r="AM879" s="97"/>
      <c r="AN879" s="97"/>
      <c r="AO879" s="97"/>
      <c r="AP879" s="97"/>
      <c r="AQ879" s="99"/>
      <c r="AR879" s="99"/>
      <c r="AS879" s="99"/>
    </row>
    <row r="880">
      <c r="A880" s="97"/>
      <c r="B880" s="97"/>
      <c r="C880" s="97"/>
      <c r="D880" s="97"/>
      <c r="E880" s="97"/>
      <c r="F880" s="97"/>
      <c r="G880" s="98"/>
      <c r="H880" s="97"/>
      <c r="I880" s="97"/>
      <c r="J880" s="97"/>
      <c r="K880" s="97"/>
      <c r="L880" s="97"/>
      <c r="M880" s="97"/>
      <c r="N880" s="97"/>
      <c r="O880" s="97"/>
      <c r="P880" s="97"/>
      <c r="Q880" s="97"/>
      <c r="R880" s="97"/>
      <c r="S880" s="97"/>
      <c r="T880" s="97"/>
      <c r="U880" s="98"/>
      <c r="V880" s="97"/>
      <c r="W880" s="97"/>
      <c r="X880" s="97"/>
      <c r="Y880" s="97"/>
      <c r="Z880" s="97"/>
      <c r="AA880" s="97"/>
      <c r="AB880" s="97"/>
      <c r="AC880" s="97"/>
      <c r="AD880" s="97"/>
      <c r="AE880" s="97"/>
      <c r="AF880" s="97"/>
      <c r="AG880" s="97"/>
      <c r="AH880" s="97"/>
      <c r="AI880" s="97"/>
      <c r="AJ880" s="97"/>
      <c r="AK880" s="97"/>
      <c r="AL880" s="97"/>
      <c r="AM880" s="97"/>
      <c r="AN880" s="97"/>
      <c r="AO880" s="97"/>
      <c r="AP880" s="97"/>
      <c r="AQ880" s="99"/>
      <c r="AR880" s="99"/>
      <c r="AS880" s="99"/>
    </row>
    <row r="881">
      <c r="A881" s="97"/>
      <c r="B881" s="97"/>
      <c r="C881" s="97"/>
      <c r="D881" s="97"/>
      <c r="E881" s="97"/>
      <c r="F881" s="97"/>
      <c r="G881" s="98"/>
      <c r="H881" s="97"/>
      <c r="I881" s="97"/>
      <c r="J881" s="97"/>
      <c r="K881" s="97"/>
      <c r="L881" s="97"/>
      <c r="M881" s="97"/>
      <c r="N881" s="97"/>
      <c r="O881" s="97"/>
      <c r="P881" s="97"/>
      <c r="Q881" s="97"/>
      <c r="R881" s="97"/>
      <c r="S881" s="97"/>
      <c r="T881" s="97"/>
      <c r="U881" s="98"/>
      <c r="V881" s="97"/>
      <c r="W881" s="97"/>
      <c r="X881" s="97"/>
      <c r="Y881" s="97"/>
      <c r="Z881" s="97"/>
      <c r="AA881" s="97"/>
      <c r="AB881" s="97"/>
      <c r="AC881" s="97"/>
      <c r="AD881" s="97"/>
      <c r="AE881" s="97"/>
      <c r="AF881" s="97"/>
      <c r="AG881" s="97"/>
      <c r="AH881" s="97"/>
      <c r="AI881" s="97"/>
      <c r="AJ881" s="97"/>
      <c r="AK881" s="97"/>
      <c r="AL881" s="97"/>
      <c r="AM881" s="97"/>
      <c r="AN881" s="97"/>
      <c r="AO881" s="97"/>
      <c r="AP881" s="97"/>
      <c r="AQ881" s="99"/>
      <c r="AR881" s="99"/>
      <c r="AS881" s="99"/>
    </row>
    <row r="882">
      <c r="A882" s="97"/>
      <c r="B882" s="97"/>
      <c r="C882" s="97"/>
      <c r="D882" s="97"/>
      <c r="E882" s="97"/>
      <c r="F882" s="97"/>
      <c r="G882" s="98"/>
      <c r="H882" s="97"/>
      <c r="I882" s="97"/>
      <c r="J882" s="97"/>
      <c r="K882" s="97"/>
      <c r="L882" s="97"/>
      <c r="M882" s="97"/>
      <c r="N882" s="97"/>
      <c r="O882" s="97"/>
      <c r="P882" s="97"/>
      <c r="Q882" s="97"/>
      <c r="R882" s="97"/>
      <c r="S882" s="97"/>
      <c r="T882" s="97"/>
      <c r="U882" s="98"/>
      <c r="V882" s="97"/>
      <c r="W882" s="97"/>
      <c r="X882" s="97"/>
      <c r="Y882" s="97"/>
      <c r="Z882" s="97"/>
      <c r="AA882" s="97"/>
      <c r="AB882" s="97"/>
      <c r="AC882" s="97"/>
      <c r="AD882" s="97"/>
      <c r="AE882" s="97"/>
      <c r="AF882" s="97"/>
      <c r="AG882" s="97"/>
      <c r="AH882" s="97"/>
      <c r="AI882" s="97"/>
      <c r="AJ882" s="97"/>
      <c r="AK882" s="97"/>
      <c r="AL882" s="97"/>
      <c r="AM882" s="97"/>
      <c r="AN882" s="97"/>
      <c r="AO882" s="97"/>
      <c r="AP882" s="97"/>
      <c r="AQ882" s="99"/>
      <c r="AR882" s="99"/>
      <c r="AS882" s="99"/>
    </row>
    <row r="883">
      <c r="A883" s="97"/>
      <c r="B883" s="97"/>
      <c r="C883" s="97"/>
      <c r="D883" s="97"/>
      <c r="E883" s="97"/>
      <c r="F883" s="97"/>
      <c r="G883" s="98"/>
      <c r="H883" s="97"/>
      <c r="I883" s="97"/>
      <c r="J883" s="97"/>
      <c r="K883" s="97"/>
      <c r="L883" s="97"/>
      <c r="M883" s="97"/>
      <c r="N883" s="97"/>
      <c r="O883" s="97"/>
      <c r="P883" s="97"/>
      <c r="Q883" s="97"/>
      <c r="R883" s="97"/>
      <c r="S883" s="97"/>
      <c r="T883" s="97"/>
      <c r="U883" s="98"/>
      <c r="V883" s="97"/>
      <c r="W883" s="97"/>
      <c r="X883" s="97"/>
      <c r="Y883" s="97"/>
      <c r="Z883" s="97"/>
      <c r="AA883" s="97"/>
      <c r="AB883" s="97"/>
      <c r="AC883" s="97"/>
      <c r="AD883" s="97"/>
      <c r="AE883" s="97"/>
      <c r="AF883" s="97"/>
      <c r="AG883" s="97"/>
      <c r="AH883" s="97"/>
      <c r="AI883" s="97"/>
      <c r="AJ883" s="97"/>
      <c r="AK883" s="97"/>
      <c r="AL883" s="97"/>
      <c r="AM883" s="97"/>
      <c r="AN883" s="97"/>
      <c r="AO883" s="97"/>
      <c r="AP883" s="97"/>
      <c r="AQ883" s="99"/>
      <c r="AR883" s="99"/>
      <c r="AS883" s="99"/>
    </row>
    <row r="884">
      <c r="A884" s="97"/>
      <c r="B884" s="97"/>
      <c r="C884" s="97"/>
      <c r="D884" s="97"/>
      <c r="E884" s="97"/>
      <c r="F884" s="97"/>
      <c r="G884" s="98"/>
      <c r="H884" s="97"/>
      <c r="I884" s="97"/>
      <c r="J884" s="97"/>
      <c r="K884" s="97"/>
      <c r="L884" s="97"/>
      <c r="M884" s="97"/>
      <c r="N884" s="97"/>
      <c r="O884" s="97"/>
      <c r="P884" s="97"/>
      <c r="Q884" s="97"/>
      <c r="R884" s="97"/>
      <c r="S884" s="97"/>
      <c r="T884" s="97"/>
      <c r="U884" s="98"/>
      <c r="V884" s="97"/>
      <c r="W884" s="97"/>
      <c r="X884" s="97"/>
      <c r="Y884" s="97"/>
      <c r="Z884" s="97"/>
      <c r="AA884" s="97"/>
      <c r="AB884" s="97"/>
      <c r="AC884" s="97"/>
      <c r="AD884" s="97"/>
      <c r="AE884" s="97"/>
      <c r="AF884" s="97"/>
      <c r="AG884" s="97"/>
      <c r="AH884" s="97"/>
      <c r="AI884" s="97"/>
      <c r="AJ884" s="97"/>
      <c r="AK884" s="97"/>
      <c r="AL884" s="97"/>
      <c r="AM884" s="97"/>
      <c r="AN884" s="97"/>
      <c r="AO884" s="97"/>
      <c r="AP884" s="97"/>
      <c r="AQ884" s="99"/>
      <c r="AR884" s="99"/>
      <c r="AS884" s="99"/>
    </row>
    <row r="885">
      <c r="A885" s="97"/>
      <c r="B885" s="97"/>
      <c r="C885" s="97"/>
      <c r="D885" s="97"/>
      <c r="E885" s="97"/>
      <c r="F885" s="97"/>
      <c r="G885" s="98"/>
      <c r="H885" s="97"/>
      <c r="I885" s="97"/>
      <c r="J885" s="97"/>
      <c r="K885" s="97"/>
      <c r="L885" s="97"/>
      <c r="M885" s="97"/>
      <c r="N885" s="97"/>
      <c r="O885" s="97"/>
      <c r="P885" s="97"/>
      <c r="Q885" s="97"/>
      <c r="R885" s="97"/>
      <c r="S885" s="97"/>
      <c r="T885" s="97"/>
      <c r="U885" s="98"/>
      <c r="V885" s="97"/>
      <c r="W885" s="97"/>
      <c r="X885" s="97"/>
      <c r="Y885" s="97"/>
      <c r="Z885" s="97"/>
      <c r="AA885" s="97"/>
      <c r="AB885" s="97"/>
      <c r="AC885" s="97"/>
      <c r="AD885" s="97"/>
      <c r="AE885" s="97"/>
      <c r="AF885" s="97"/>
      <c r="AG885" s="97"/>
      <c r="AH885" s="97"/>
      <c r="AI885" s="97"/>
      <c r="AJ885" s="97"/>
      <c r="AK885" s="97"/>
      <c r="AL885" s="97"/>
      <c r="AM885" s="97"/>
      <c r="AN885" s="97"/>
      <c r="AO885" s="97"/>
      <c r="AP885" s="97"/>
      <c r="AQ885" s="99"/>
      <c r="AR885" s="99"/>
      <c r="AS885" s="99"/>
    </row>
    <row r="886">
      <c r="A886" s="97"/>
      <c r="B886" s="97"/>
      <c r="C886" s="97"/>
      <c r="D886" s="97"/>
      <c r="E886" s="97"/>
      <c r="F886" s="97"/>
      <c r="G886" s="98"/>
      <c r="H886" s="97"/>
      <c r="I886" s="97"/>
      <c r="J886" s="97"/>
      <c r="K886" s="97"/>
      <c r="L886" s="97"/>
      <c r="M886" s="97"/>
      <c r="N886" s="97"/>
      <c r="O886" s="97"/>
      <c r="P886" s="97"/>
      <c r="Q886" s="97"/>
      <c r="R886" s="97"/>
      <c r="S886" s="97"/>
      <c r="T886" s="97"/>
      <c r="U886" s="98"/>
      <c r="V886" s="97"/>
      <c r="W886" s="97"/>
      <c r="X886" s="97"/>
      <c r="Y886" s="97"/>
      <c r="Z886" s="97"/>
      <c r="AA886" s="97"/>
      <c r="AB886" s="97"/>
      <c r="AC886" s="97"/>
      <c r="AD886" s="97"/>
      <c r="AE886" s="97"/>
      <c r="AF886" s="97"/>
      <c r="AG886" s="97"/>
      <c r="AH886" s="97"/>
      <c r="AI886" s="97"/>
      <c r="AJ886" s="97"/>
      <c r="AK886" s="97"/>
      <c r="AL886" s="97"/>
      <c r="AM886" s="97"/>
      <c r="AN886" s="97"/>
      <c r="AO886" s="97"/>
      <c r="AP886" s="97"/>
      <c r="AQ886" s="99"/>
      <c r="AR886" s="99"/>
      <c r="AS886" s="99"/>
    </row>
    <row r="887">
      <c r="A887" s="97"/>
      <c r="B887" s="97"/>
      <c r="C887" s="97"/>
      <c r="D887" s="97"/>
      <c r="E887" s="97"/>
      <c r="F887" s="97"/>
      <c r="G887" s="98"/>
      <c r="H887" s="97"/>
      <c r="I887" s="97"/>
      <c r="J887" s="97"/>
      <c r="K887" s="97"/>
      <c r="L887" s="97"/>
      <c r="M887" s="97"/>
      <c r="N887" s="97"/>
      <c r="O887" s="97"/>
      <c r="P887" s="97"/>
      <c r="Q887" s="97"/>
      <c r="R887" s="97"/>
      <c r="S887" s="97"/>
      <c r="T887" s="97"/>
      <c r="U887" s="98"/>
      <c r="V887" s="97"/>
      <c r="W887" s="97"/>
      <c r="X887" s="97"/>
      <c r="Y887" s="97"/>
      <c r="Z887" s="97"/>
      <c r="AA887" s="97"/>
      <c r="AB887" s="97"/>
      <c r="AC887" s="97"/>
      <c r="AD887" s="97"/>
      <c r="AE887" s="97"/>
      <c r="AF887" s="97"/>
      <c r="AG887" s="97"/>
      <c r="AH887" s="97"/>
      <c r="AI887" s="97"/>
      <c r="AJ887" s="97"/>
      <c r="AK887" s="97"/>
      <c r="AL887" s="97"/>
      <c r="AM887" s="97"/>
      <c r="AN887" s="97"/>
      <c r="AO887" s="97"/>
      <c r="AP887" s="97"/>
      <c r="AQ887" s="99"/>
      <c r="AR887" s="99"/>
      <c r="AS887" s="99"/>
    </row>
    <row r="888">
      <c r="A888" s="97"/>
      <c r="B888" s="97"/>
      <c r="C888" s="97"/>
      <c r="D888" s="97"/>
      <c r="E888" s="97"/>
      <c r="F888" s="97"/>
      <c r="G888" s="98"/>
      <c r="H888" s="97"/>
      <c r="I888" s="97"/>
      <c r="J888" s="97"/>
      <c r="K888" s="97"/>
      <c r="L888" s="97"/>
      <c r="M888" s="97"/>
      <c r="N888" s="97"/>
      <c r="O888" s="97"/>
      <c r="P888" s="97"/>
      <c r="Q888" s="97"/>
      <c r="R888" s="97"/>
      <c r="S888" s="97"/>
      <c r="T888" s="97"/>
      <c r="U888" s="98"/>
      <c r="V888" s="97"/>
      <c r="W888" s="97"/>
      <c r="X888" s="97"/>
      <c r="Y888" s="97"/>
      <c r="Z888" s="97"/>
      <c r="AA888" s="97"/>
      <c r="AB888" s="97"/>
      <c r="AC888" s="97"/>
      <c r="AD888" s="97"/>
      <c r="AE888" s="97"/>
      <c r="AF888" s="97"/>
      <c r="AG888" s="97"/>
      <c r="AH888" s="97"/>
      <c r="AI888" s="97"/>
      <c r="AJ888" s="97"/>
      <c r="AK888" s="97"/>
      <c r="AL888" s="97"/>
      <c r="AM888" s="97"/>
      <c r="AN888" s="97"/>
      <c r="AO888" s="97"/>
      <c r="AP888" s="97"/>
      <c r="AQ888" s="99"/>
      <c r="AR888" s="99"/>
      <c r="AS888" s="99"/>
    </row>
    <row r="889">
      <c r="A889" s="97"/>
      <c r="B889" s="97"/>
      <c r="C889" s="97"/>
      <c r="D889" s="97"/>
      <c r="E889" s="97"/>
      <c r="F889" s="97"/>
      <c r="G889" s="98"/>
      <c r="H889" s="97"/>
      <c r="I889" s="97"/>
      <c r="J889" s="97"/>
      <c r="K889" s="97"/>
      <c r="L889" s="97"/>
      <c r="M889" s="97"/>
      <c r="N889" s="97"/>
      <c r="O889" s="97"/>
      <c r="P889" s="97"/>
      <c r="Q889" s="97"/>
      <c r="R889" s="97"/>
      <c r="S889" s="97"/>
      <c r="T889" s="97"/>
      <c r="U889" s="98"/>
      <c r="V889" s="97"/>
      <c r="W889" s="97"/>
      <c r="X889" s="97"/>
      <c r="Y889" s="97"/>
      <c r="Z889" s="97"/>
      <c r="AA889" s="97"/>
      <c r="AB889" s="97"/>
      <c r="AC889" s="97"/>
      <c r="AD889" s="97"/>
      <c r="AE889" s="97"/>
      <c r="AF889" s="97"/>
      <c r="AG889" s="97"/>
      <c r="AH889" s="97"/>
      <c r="AI889" s="97"/>
      <c r="AJ889" s="97"/>
      <c r="AK889" s="97"/>
      <c r="AL889" s="97"/>
      <c r="AM889" s="97"/>
      <c r="AN889" s="97"/>
      <c r="AO889" s="97"/>
      <c r="AP889" s="97"/>
      <c r="AQ889" s="99"/>
      <c r="AR889" s="99"/>
      <c r="AS889" s="99"/>
    </row>
    <row r="890">
      <c r="A890" s="97"/>
      <c r="B890" s="97"/>
      <c r="C890" s="97"/>
      <c r="D890" s="97"/>
      <c r="E890" s="97"/>
      <c r="F890" s="97"/>
      <c r="G890" s="98"/>
      <c r="H890" s="97"/>
      <c r="I890" s="97"/>
      <c r="J890" s="97"/>
      <c r="K890" s="97"/>
      <c r="L890" s="97"/>
      <c r="M890" s="97"/>
      <c r="N890" s="97"/>
      <c r="O890" s="97"/>
      <c r="P890" s="97"/>
      <c r="Q890" s="97"/>
      <c r="R890" s="97"/>
      <c r="S890" s="97"/>
      <c r="T890" s="97"/>
      <c r="U890" s="98"/>
      <c r="V890" s="97"/>
      <c r="W890" s="97"/>
      <c r="X890" s="97"/>
      <c r="Y890" s="97"/>
      <c r="Z890" s="97"/>
      <c r="AA890" s="97"/>
      <c r="AB890" s="97"/>
      <c r="AC890" s="97"/>
      <c r="AD890" s="97"/>
      <c r="AE890" s="97"/>
      <c r="AF890" s="97"/>
      <c r="AG890" s="97"/>
      <c r="AH890" s="97"/>
      <c r="AI890" s="97"/>
      <c r="AJ890" s="97"/>
      <c r="AK890" s="97"/>
      <c r="AL890" s="97"/>
      <c r="AM890" s="97"/>
      <c r="AN890" s="97"/>
      <c r="AO890" s="97"/>
      <c r="AP890" s="97"/>
      <c r="AQ890" s="99"/>
      <c r="AR890" s="99"/>
      <c r="AS890" s="99"/>
    </row>
    <row r="891">
      <c r="A891" s="97"/>
      <c r="B891" s="97"/>
      <c r="C891" s="97"/>
      <c r="D891" s="97"/>
      <c r="E891" s="97"/>
      <c r="F891" s="97"/>
      <c r="G891" s="98"/>
      <c r="H891" s="97"/>
      <c r="I891" s="97"/>
      <c r="J891" s="97"/>
      <c r="K891" s="97"/>
      <c r="L891" s="97"/>
      <c r="M891" s="97"/>
      <c r="N891" s="97"/>
      <c r="O891" s="97"/>
      <c r="P891" s="97"/>
      <c r="Q891" s="97"/>
      <c r="R891" s="97"/>
      <c r="S891" s="97"/>
      <c r="T891" s="97"/>
      <c r="U891" s="98"/>
      <c r="V891" s="97"/>
      <c r="W891" s="97"/>
      <c r="X891" s="97"/>
      <c r="Y891" s="97"/>
      <c r="Z891" s="97"/>
      <c r="AA891" s="97"/>
      <c r="AB891" s="97"/>
      <c r="AC891" s="97"/>
      <c r="AD891" s="97"/>
      <c r="AE891" s="97"/>
      <c r="AF891" s="97"/>
      <c r="AG891" s="97"/>
      <c r="AH891" s="97"/>
      <c r="AI891" s="97"/>
      <c r="AJ891" s="97"/>
      <c r="AK891" s="97"/>
      <c r="AL891" s="97"/>
      <c r="AM891" s="97"/>
      <c r="AN891" s="97"/>
      <c r="AO891" s="97"/>
      <c r="AP891" s="97"/>
      <c r="AQ891" s="99"/>
      <c r="AR891" s="99"/>
      <c r="AS891" s="99"/>
    </row>
    <row r="892">
      <c r="A892" s="97"/>
      <c r="B892" s="97"/>
      <c r="C892" s="97"/>
      <c r="D892" s="97"/>
      <c r="E892" s="97"/>
      <c r="F892" s="97"/>
      <c r="G892" s="98"/>
      <c r="H892" s="97"/>
      <c r="I892" s="97"/>
      <c r="J892" s="97"/>
      <c r="K892" s="97"/>
      <c r="L892" s="97"/>
      <c r="M892" s="97"/>
      <c r="N892" s="97"/>
      <c r="O892" s="97"/>
      <c r="P892" s="97"/>
      <c r="Q892" s="97"/>
      <c r="R892" s="97"/>
      <c r="S892" s="97"/>
      <c r="T892" s="97"/>
      <c r="U892" s="98"/>
      <c r="V892" s="97"/>
      <c r="W892" s="97"/>
      <c r="X892" s="97"/>
      <c r="Y892" s="97"/>
      <c r="Z892" s="97"/>
      <c r="AA892" s="97"/>
      <c r="AB892" s="97"/>
      <c r="AC892" s="97"/>
      <c r="AD892" s="97"/>
      <c r="AE892" s="97"/>
      <c r="AF892" s="97"/>
      <c r="AG892" s="97"/>
      <c r="AH892" s="97"/>
      <c r="AI892" s="97"/>
      <c r="AJ892" s="97"/>
      <c r="AK892" s="97"/>
      <c r="AL892" s="97"/>
      <c r="AM892" s="97"/>
      <c r="AN892" s="97"/>
      <c r="AO892" s="97"/>
      <c r="AP892" s="97"/>
      <c r="AQ892" s="99"/>
      <c r="AR892" s="99"/>
      <c r="AS892" s="99"/>
    </row>
    <row r="893">
      <c r="A893" s="97"/>
      <c r="B893" s="97"/>
      <c r="C893" s="97"/>
      <c r="D893" s="97"/>
      <c r="E893" s="97"/>
      <c r="F893" s="97"/>
      <c r="G893" s="98"/>
      <c r="H893" s="97"/>
      <c r="I893" s="97"/>
      <c r="J893" s="97"/>
      <c r="K893" s="97"/>
      <c r="L893" s="97"/>
      <c r="M893" s="97"/>
      <c r="N893" s="97"/>
      <c r="O893" s="97"/>
      <c r="P893" s="97"/>
      <c r="Q893" s="97"/>
      <c r="R893" s="97"/>
      <c r="S893" s="97"/>
      <c r="T893" s="97"/>
      <c r="U893" s="98"/>
      <c r="V893" s="97"/>
      <c r="W893" s="97"/>
      <c r="X893" s="97"/>
      <c r="Y893" s="97"/>
      <c r="Z893" s="97"/>
      <c r="AA893" s="97"/>
      <c r="AB893" s="97"/>
      <c r="AC893" s="97"/>
      <c r="AD893" s="97"/>
      <c r="AE893" s="97"/>
      <c r="AF893" s="97"/>
      <c r="AG893" s="97"/>
      <c r="AH893" s="97"/>
      <c r="AI893" s="97"/>
      <c r="AJ893" s="97"/>
      <c r="AK893" s="97"/>
      <c r="AL893" s="97"/>
      <c r="AM893" s="97"/>
      <c r="AN893" s="97"/>
      <c r="AO893" s="97"/>
      <c r="AP893" s="97"/>
      <c r="AQ893" s="99"/>
      <c r="AR893" s="99"/>
      <c r="AS893" s="99"/>
    </row>
    <row r="894">
      <c r="A894" s="97"/>
      <c r="B894" s="97"/>
      <c r="C894" s="97"/>
      <c r="D894" s="97"/>
      <c r="E894" s="97"/>
      <c r="F894" s="97"/>
      <c r="G894" s="98"/>
      <c r="H894" s="97"/>
      <c r="I894" s="97"/>
      <c r="J894" s="97"/>
      <c r="K894" s="97"/>
      <c r="L894" s="97"/>
      <c r="M894" s="97"/>
      <c r="N894" s="97"/>
      <c r="O894" s="97"/>
      <c r="P894" s="97"/>
      <c r="Q894" s="97"/>
      <c r="R894" s="97"/>
      <c r="S894" s="97"/>
      <c r="T894" s="97"/>
      <c r="U894" s="98"/>
      <c r="V894" s="97"/>
      <c r="W894" s="97"/>
      <c r="X894" s="97"/>
      <c r="Y894" s="97"/>
      <c r="Z894" s="97"/>
      <c r="AA894" s="97"/>
      <c r="AB894" s="97"/>
      <c r="AC894" s="97"/>
      <c r="AD894" s="97"/>
      <c r="AE894" s="97"/>
      <c r="AF894" s="97"/>
      <c r="AG894" s="97"/>
      <c r="AH894" s="97"/>
      <c r="AI894" s="97"/>
      <c r="AJ894" s="97"/>
      <c r="AK894" s="97"/>
      <c r="AL894" s="97"/>
      <c r="AM894" s="97"/>
      <c r="AN894" s="97"/>
      <c r="AO894" s="97"/>
      <c r="AP894" s="97"/>
      <c r="AQ894" s="99"/>
      <c r="AR894" s="99"/>
      <c r="AS894" s="99"/>
    </row>
    <row r="895">
      <c r="A895" s="97"/>
      <c r="B895" s="97"/>
      <c r="C895" s="97"/>
      <c r="D895" s="97"/>
      <c r="E895" s="97"/>
      <c r="F895" s="97"/>
      <c r="G895" s="98"/>
      <c r="H895" s="97"/>
      <c r="I895" s="97"/>
      <c r="J895" s="97"/>
      <c r="K895" s="97"/>
      <c r="L895" s="97"/>
      <c r="M895" s="97"/>
      <c r="N895" s="97"/>
      <c r="O895" s="97"/>
      <c r="P895" s="97"/>
      <c r="Q895" s="97"/>
      <c r="R895" s="97"/>
      <c r="S895" s="97"/>
      <c r="T895" s="97"/>
      <c r="U895" s="98"/>
      <c r="V895" s="97"/>
      <c r="W895" s="97"/>
      <c r="X895" s="97"/>
      <c r="Y895" s="97"/>
      <c r="Z895" s="97"/>
      <c r="AA895" s="97"/>
      <c r="AB895" s="97"/>
      <c r="AC895" s="97"/>
      <c r="AD895" s="97"/>
      <c r="AE895" s="97"/>
      <c r="AF895" s="97"/>
      <c r="AG895" s="97"/>
      <c r="AH895" s="97"/>
      <c r="AI895" s="97"/>
      <c r="AJ895" s="97"/>
      <c r="AK895" s="97"/>
      <c r="AL895" s="97"/>
      <c r="AM895" s="97"/>
      <c r="AN895" s="97"/>
      <c r="AO895" s="97"/>
      <c r="AP895" s="97"/>
      <c r="AQ895" s="99"/>
      <c r="AR895" s="99"/>
      <c r="AS895" s="99"/>
    </row>
    <row r="896">
      <c r="A896" s="97"/>
      <c r="B896" s="97"/>
      <c r="C896" s="97"/>
      <c r="D896" s="97"/>
      <c r="E896" s="97"/>
      <c r="F896" s="97"/>
      <c r="G896" s="98"/>
      <c r="H896" s="97"/>
      <c r="I896" s="97"/>
      <c r="J896" s="97"/>
      <c r="K896" s="97"/>
      <c r="L896" s="97"/>
      <c r="M896" s="97"/>
      <c r="N896" s="97"/>
      <c r="O896" s="97"/>
      <c r="P896" s="97"/>
      <c r="Q896" s="97"/>
      <c r="R896" s="97"/>
      <c r="S896" s="97"/>
      <c r="T896" s="97"/>
      <c r="U896" s="98"/>
      <c r="V896" s="97"/>
      <c r="W896" s="97"/>
      <c r="X896" s="97"/>
      <c r="Y896" s="97"/>
      <c r="Z896" s="97"/>
      <c r="AA896" s="97"/>
      <c r="AB896" s="97"/>
      <c r="AC896" s="97"/>
      <c r="AD896" s="97"/>
      <c r="AE896" s="97"/>
      <c r="AF896" s="97"/>
      <c r="AG896" s="97"/>
      <c r="AH896" s="97"/>
      <c r="AI896" s="97"/>
      <c r="AJ896" s="97"/>
      <c r="AK896" s="97"/>
      <c r="AL896" s="97"/>
      <c r="AM896" s="97"/>
      <c r="AN896" s="97"/>
      <c r="AO896" s="97"/>
      <c r="AP896" s="97"/>
      <c r="AQ896" s="99"/>
      <c r="AR896" s="99"/>
      <c r="AS896" s="99"/>
    </row>
    <row r="897">
      <c r="A897" s="97"/>
      <c r="B897" s="97"/>
      <c r="C897" s="97"/>
      <c r="D897" s="97"/>
      <c r="E897" s="97"/>
      <c r="F897" s="97"/>
      <c r="G897" s="98"/>
      <c r="H897" s="97"/>
      <c r="I897" s="97"/>
      <c r="J897" s="97"/>
      <c r="K897" s="97"/>
      <c r="L897" s="97"/>
      <c r="M897" s="97"/>
      <c r="N897" s="97"/>
      <c r="O897" s="97"/>
      <c r="P897" s="97"/>
      <c r="Q897" s="97"/>
      <c r="R897" s="97"/>
      <c r="S897" s="97"/>
      <c r="T897" s="97"/>
      <c r="U897" s="98"/>
      <c r="V897" s="97"/>
      <c r="W897" s="97"/>
      <c r="X897" s="97"/>
      <c r="Y897" s="97"/>
      <c r="Z897" s="97"/>
      <c r="AA897" s="97"/>
      <c r="AB897" s="97"/>
      <c r="AC897" s="97"/>
      <c r="AD897" s="97"/>
      <c r="AE897" s="97"/>
      <c r="AF897" s="97"/>
      <c r="AG897" s="97"/>
      <c r="AH897" s="97"/>
      <c r="AI897" s="97"/>
      <c r="AJ897" s="97"/>
      <c r="AK897" s="97"/>
      <c r="AL897" s="97"/>
      <c r="AM897" s="97"/>
      <c r="AN897" s="97"/>
      <c r="AO897" s="97"/>
      <c r="AP897" s="97"/>
      <c r="AQ897" s="99"/>
      <c r="AR897" s="99"/>
      <c r="AS897" s="99"/>
    </row>
    <row r="898">
      <c r="A898" s="97"/>
      <c r="B898" s="97"/>
      <c r="C898" s="97"/>
      <c r="D898" s="97"/>
      <c r="E898" s="97"/>
      <c r="F898" s="97"/>
      <c r="G898" s="98"/>
      <c r="H898" s="97"/>
      <c r="I898" s="97"/>
      <c r="J898" s="97"/>
      <c r="K898" s="97"/>
      <c r="L898" s="97"/>
      <c r="M898" s="97"/>
      <c r="N898" s="97"/>
      <c r="O898" s="97"/>
      <c r="P898" s="97"/>
      <c r="Q898" s="97"/>
      <c r="R898" s="97"/>
      <c r="S898" s="97"/>
      <c r="T898" s="97"/>
      <c r="U898" s="98"/>
      <c r="V898" s="97"/>
      <c r="W898" s="97"/>
      <c r="X898" s="97"/>
      <c r="Y898" s="97"/>
      <c r="Z898" s="97"/>
      <c r="AA898" s="97"/>
      <c r="AB898" s="97"/>
      <c r="AC898" s="97"/>
      <c r="AD898" s="97"/>
      <c r="AE898" s="97"/>
      <c r="AF898" s="97"/>
      <c r="AG898" s="97"/>
      <c r="AH898" s="97"/>
      <c r="AI898" s="97"/>
      <c r="AJ898" s="97"/>
      <c r="AK898" s="97"/>
      <c r="AL898" s="97"/>
      <c r="AM898" s="97"/>
      <c r="AN898" s="97"/>
      <c r="AO898" s="97"/>
      <c r="AP898" s="97"/>
      <c r="AQ898" s="99"/>
      <c r="AR898" s="99"/>
      <c r="AS898" s="99"/>
    </row>
    <row r="899">
      <c r="A899" s="97"/>
      <c r="B899" s="97"/>
      <c r="C899" s="97"/>
      <c r="D899" s="97"/>
      <c r="E899" s="97"/>
      <c r="F899" s="97"/>
      <c r="G899" s="98"/>
      <c r="H899" s="97"/>
      <c r="I899" s="97"/>
      <c r="J899" s="97"/>
      <c r="K899" s="97"/>
      <c r="L899" s="97"/>
      <c r="M899" s="97"/>
      <c r="N899" s="97"/>
      <c r="O899" s="97"/>
      <c r="P899" s="97"/>
      <c r="Q899" s="97"/>
      <c r="R899" s="97"/>
      <c r="S899" s="97"/>
      <c r="T899" s="97"/>
      <c r="U899" s="98"/>
      <c r="V899" s="97"/>
      <c r="W899" s="97"/>
      <c r="X899" s="97"/>
      <c r="Y899" s="97"/>
      <c r="Z899" s="97"/>
      <c r="AA899" s="97"/>
      <c r="AB899" s="97"/>
      <c r="AC899" s="97"/>
      <c r="AD899" s="97"/>
      <c r="AE899" s="97"/>
      <c r="AF899" s="97"/>
      <c r="AG899" s="97"/>
      <c r="AH899" s="97"/>
      <c r="AI899" s="97"/>
      <c r="AJ899" s="97"/>
      <c r="AK899" s="97"/>
      <c r="AL899" s="97"/>
      <c r="AM899" s="97"/>
      <c r="AN899" s="97"/>
      <c r="AO899" s="97"/>
      <c r="AP899" s="97"/>
      <c r="AQ899" s="99"/>
      <c r="AR899" s="99"/>
      <c r="AS899" s="99"/>
    </row>
    <row r="900">
      <c r="A900" s="97"/>
      <c r="B900" s="97"/>
      <c r="C900" s="97"/>
      <c r="D900" s="97"/>
      <c r="E900" s="97"/>
      <c r="F900" s="97"/>
      <c r="G900" s="98"/>
      <c r="H900" s="97"/>
      <c r="I900" s="97"/>
      <c r="J900" s="97"/>
      <c r="K900" s="97"/>
      <c r="L900" s="97"/>
      <c r="M900" s="97"/>
      <c r="N900" s="97"/>
      <c r="O900" s="97"/>
      <c r="P900" s="97"/>
      <c r="Q900" s="97"/>
      <c r="R900" s="97"/>
      <c r="S900" s="97"/>
      <c r="T900" s="97"/>
      <c r="U900" s="98"/>
      <c r="V900" s="97"/>
      <c r="W900" s="97"/>
      <c r="X900" s="97"/>
      <c r="Y900" s="97"/>
      <c r="Z900" s="97"/>
      <c r="AA900" s="97"/>
      <c r="AB900" s="97"/>
      <c r="AC900" s="97"/>
      <c r="AD900" s="97"/>
      <c r="AE900" s="97"/>
      <c r="AF900" s="97"/>
      <c r="AG900" s="97"/>
      <c r="AH900" s="97"/>
      <c r="AI900" s="97"/>
      <c r="AJ900" s="97"/>
      <c r="AK900" s="97"/>
      <c r="AL900" s="97"/>
      <c r="AM900" s="97"/>
      <c r="AN900" s="97"/>
      <c r="AO900" s="97"/>
      <c r="AP900" s="97"/>
      <c r="AQ900" s="99"/>
      <c r="AR900" s="99"/>
      <c r="AS900" s="99"/>
    </row>
    <row r="901">
      <c r="A901" s="97"/>
      <c r="B901" s="97"/>
      <c r="C901" s="97"/>
      <c r="D901" s="97"/>
      <c r="E901" s="97"/>
      <c r="F901" s="97"/>
      <c r="G901" s="98"/>
      <c r="H901" s="97"/>
      <c r="I901" s="97"/>
      <c r="J901" s="97"/>
      <c r="K901" s="97"/>
      <c r="L901" s="97"/>
      <c r="M901" s="97"/>
      <c r="N901" s="97"/>
      <c r="O901" s="97"/>
      <c r="P901" s="97"/>
      <c r="Q901" s="97"/>
      <c r="R901" s="97"/>
      <c r="S901" s="97"/>
      <c r="T901" s="97"/>
      <c r="U901" s="98"/>
      <c r="V901" s="97"/>
      <c r="W901" s="97"/>
      <c r="X901" s="97"/>
      <c r="Y901" s="97"/>
      <c r="Z901" s="97"/>
      <c r="AA901" s="97"/>
      <c r="AB901" s="97"/>
      <c r="AC901" s="97"/>
      <c r="AD901" s="97"/>
      <c r="AE901" s="97"/>
      <c r="AF901" s="97"/>
      <c r="AG901" s="97"/>
      <c r="AH901" s="97"/>
      <c r="AI901" s="97"/>
      <c r="AJ901" s="97"/>
      <c r="AK901" s="97"/>
      <c r="AL901" s="97"/>
      <c r="AM901" s="97"/>
      <c r="AN901" s="97"/>
      <c r="AO901" s="97"/>
      <c r="AP901" s="97"/>
      <c r="AQ901" s="99"/>
      <c r="AR901" s="99"/>
      <c r="AS901" s="99"/>
    </row>
    <row r="902">
      <c r="A902" s="97"/>
      <c r="B902" s="97"/>
      <c r="C902" s="97"/>
      <c r="D902" s="97"/>
      <c r="E902" s="97"/>
      <c r="F902" s="97"/>
      <c r="G902" s="98"/>
      <c r="H902" s="97"/>
      <c r="I902" s="97"/>
      <c r="J902" s="97"/>
      <c r="K902" s="97"/>
      <c r="L902" s="97"/>
      <c r="M902" s="97"/>
      <c r="N902" s="97"/>
      <c r="O902" s="97"/>
      <c r="P902" s="97"/>
      <c r="Q902" s="97"/>
      <c r="R902" s="97"/>
      <c r="S902" s="97"/>
      <c r="T902" s="97"/>
      <c r="U902" s="98"/>
      <c r="V902" s="97"/>
      <c r="W902" s="97"/>
      <c r="X902" s="97"/>
      <c r="Y902" s="97"/>
      <c r="Z902" s="97"/>
      <c r="AA902" s="97"/>
      <c r="AB902" s="97"/>
      <c r="AC902" s="97"/>
      <c r="AD902" s="97"/>
      <c r="AE902" s="97"/>
      <c r="AF902" s="97"/>
      <c r="AG902" s="97"/>
      <c r="AH902" s="97"/>
      <c r="AI902" s="97"/>
      <c r="AJ902" s="97"/>
      <c r="AK902" s="97"/>
      <c r="AL902" s="97"/>
      <c r="AM902" s="97"/>
      <c r="AN902" s="97"/>
      <c r="AO902" s="97"/>
      <c r="AP902" s="97"/>
      <c r="AQ902" s="99"/>
      <c r="AR902" s="99"/>
      <c r="AS902" s="99"/>
    </row>
    <row r="903">
      <c r="A903" s="97"/>
      <c r="B903" s="97"/>
      <c r="C903" s="97"/>
      <c r="D903" s="97"/>
      <c r="E903" s="97"/>
      <c r="F903" s="97"/>
      <c r="G903" s="98"/>
      <c r="H903" s="97"/>
      <c r="I903" s="97"/>
      <c r="J903" s="97"/>
      <c r="K903" s="97"/>
      <c r="L903" s="97"/>
      <c r="M903" s="97"/>
      <c r="N903" s="97"/>
      <c r="O903" s="97"/>
      <c r="P903" s="97"/>
      <c r="Q903" s="97"/>
      <c r="R903" s="97"/>
      <c r="S903" s="97"/>
      <c r="T903" s="97"/>
      <c r="U903" s="98"/>
      <c r="V903" s="97"/>
      <c r="W903" s="97"/>
      <c r="X903" s="97"/>
      <c r="Y903" s="97"/>
      <c r="Z903" s="97"/>
      <c r="AA903" s="97"/>
      <c r="AB903" s="97"/>
      <c r="AC903" s="97"/>
      <c r="AD903" s="97"/>
      <c r="AE903" s="97"/>
      <c r="AF903" s="97"/>
      <c r="AG903" s="97"/>
      <c r="AH903" s="97"/>
      <c r="AI903" s="97"/>
      <c r="AJ903" s="97"/>
      <c r="AK903" s="97"/>
      <c r="AL903" s="97"/>
      <c r="AM903" s="97"/>
      <c r="AN903" s="97"/>
      <c r="AO903" s="97"/>
      <c r="AP903" s="97"/>
      <c r="AQ903" s="99"/>
      <c r="AR903" s="99"/>
      <c r="AS903" s="99"/>
    </row>
    <row r="904">
      <c r="A904" s="97"/>
      <c r="B904" s="97"/>
      <c r="C904" s="97"/>
      <c r="D904" s="97"/>
      <c r="E904" s="97"/>
      <c r="F904" s="97"/>
      <c r="G904" s="98"/>
      <c r="H904" s="97"/>
      <c r="I904" s="97"/>
      <c r="J904" s="97"/>
      <c r="K904" s="97"/>
      <c r="L904" s="97"/>
      <c r="M904" s="97"/>
      <c r="N904" s="97"/>
      <c r="O904" s="97"/>
      <c r="P904" s="97"/>
      <c r="Q904" s="97"/>
      <c r="R904" s="97"/>
      <c r="S904" s="97"/>
      <c r="T904" s="97"/>
      <c r="U904" s="98"/>
      <c r="V904" s="97"/>
      <c r="W904" s="97"/>
      <c r="X904" s="97"/>
      <c r="Y904" s="97"/>
      <c r="Z904" s="97"/>
      <c r="AA904" s="97"/>
      <c r="AB904" s="97"/>
      <c r="AC904" s="97"/>
      <c r="AD904" s="97"/>
      <c r="AE904" s="97"/>
      <c r="AF904" s="97"/>
      <c r="AG904" s="97"/>
      <c r="AH904" s="97"/>
      <c r="AI904" s="97"/>
      <c r="AJ904" s="97"/>
      <c r="AK904" s="97"/>
      <c r="AL904" s="97"/>
      <c r="AM904" s="97"/>
      <c r="AN904" s="97"/>
      <c r="AO904" s="97"/>
      <c r="AP904" s="97"/>
      <c r="AQ904" s="99"/>
      <c r="AR904" s="99"/>
      <c r="AS904" s="99"/>
    </row>
    <row r="905">
      <c r="A905" s="97"/>
      <c r="B905" s="97"/>
      <c r="C905" s="97"/>
      <c r="D905" s="97"/>
      <c r="E905" s="97"/>
      <c r="F905" s="97"/>
      <c r="G905" s="98"/>
      <c r="H905" s="97"/>
      <c r="I905" s="97"/>
      <c r="J905" s="97"/>
      <c r="K905" s="97"/>
      <c r="L905" s="97"/>
      <c r="M905" s="97"/>
      <c r="N905" s="97"/>
      <c r="O905" s="97"/>
      <c r="P905" s="97"/>
      <c r="Q905" s="97"/>
      <c r="R905" s="97"/>
      <c r="S905" s="97"/>
      <c r="T905" s="97"/>
      <c r="U905" s="98"/>
      <c r="V905" s="97"/>
      <c r="W905" s="97"/>
      <c r="X905" s="97"/>
      <c r="Y905" s="97"/>
      <c r="Z905" s="97"/>
      <c r="AA905" s="97"/>
      <c r="AB905" s="97"/>
      <c r="AC905" s="97"/>
      <c r="AD905" s="97"/>
      <c r="AE905" s="97"/>
      <c r="AF905" s="97"/>
      <c r="AG905" s="97"/>
      <c r="AH905" s="97"/>
      <c r="AI905" s="97"/>
      <c r="AJ905" s="97"/>
      <c r="AK905" s="97"/>
      <c r="AL905" s="97"/>
      <c r="AM905" s="97"/>
      <c r="AN905" s="97"/>
      <c r="AO905" s="97"/>
      <c r="AP905" s="97"/>
      <c r="AQ905" s="99"/>
      <c r="AR905" s="99"/>
      <c r="AS905" s="99"/>
    </row>
    <row r="906">
      <c r="A906" s="97"/>
      <c r="B906" s="97"/>
      <c r="C906" s="97"/>
      <c r="D906" s="97"/>
      <c r="E906" s="97"/>
      <c r="F906" s="97"/>
      <c r="G906" s="98"/>
      <c r="H906" s="97"/>
      <c r="I906" s="97"/>
      <c r="J906" s="97"/>
      <c r="K906" s="97"/>
      <c r="L906" s="97"/>
      <c r="M906" s="97"/>
      <c r="N906" s="97"/>
      <c r="O906" s="97"/>
      <c r="P906" s="97"/>
      <c r="Q906" s="97"/>
      <c r="R906" s="97"/>
      <c r="S906" s="97"/>
      <c r="T906" s="97"/>
      <c r="U906" s="98"/>
      <c r="V906" s="97"/>
      <c r="W906" s="97"/>
      <c r="X906" s="97"/>
      <c r="Y906" s="97"/>
      <c r="Z906" s="97"/>
      <c r="AA906" s="97"/>
      <c r="AB906" s="97"/>
      <c r="AC906" s="97"/>
      <c r="AD906" s="97"/>
      <c r="AE906" s="97"/>
      <c r="AF906" s="97"/>
      <c r="AG906" s="97"/>
      <c r="AH906" s="97"/>
      <c r="AI906" s="97"/>
      <c r="AJ906" s="97"/>
      <c r="AK906" s="97"/>
      <c r="AL906" s="97"/>
      <c r="AM906" s="97"/>
      <c r="AN906" s="97"/>
      <c r="AO906" s="97"/>
      <c r="AP906" s="97"/>
      <c r="AQ906" s="99"/>
      <c r="AR906" s="99"/>
      <c r="AS906" s="99"/>
    </row>
    <row r="907">
      <c r="A907" s="97"/>
      <c r="B907" s="97"/>
      <c r="C907" s="97"/>
      <c r="D907" s="97"/>
      <c r="E907" s="97"/>
      <c r="F907" s="97"/>
      <c r="G907" s="98"/>
      <c r="H907" s="97"/>
      <c r="I907" s="97"/>
      <c r="J907" s="97"/>
      <c r="K907" s="97"/>
      <c r="L907" s="97"/>
      <c r="M907" s="97"/>
      <c r="N907" s="97"/>
      <c r="O907" s="97"/>
      <c r="P907" s="97"/>
      <c r="Q907" s="97"/>
      <c r="R907" s="97"/>
      <c r="S907" s="97"/>
      <c r="T907" s="97"/>
      <c r="U907" s="98"/>
      <c r="V907" s="97"/>
      <c r="W907" s="97"/>
      <c r="X907" s="97"/>
      <c r="Y907" s="97"/>
      <c r="Z907" s="97"/>
      <c r="AA907" s="97"/>
      <c r="AB907" s="97"/>
      <c r="AC907" s="97"/>
      <c r="AD907" s="97"/>
      <c r="AE907" s="97"/>
      <c r="AF907" s="97"/>
      <c r="AG907" s="97"/>
      <c r="AH907" s="97"/>
      <c r="AI907" s="97"/>
      <c r="AJ907" s="97"/>
      <c r="AK907" s="97"/>
      <c r="AL907" s="97"/>
      <c r="AM907" s="97"/>
      <c r="AN907" s="97"/>
      <c r="AO907" s="97"/>
      <c r="AP907" s="97"/>
      <c r="AQ907" s="99"/>
      <c r="AR907" s="99"/>
      <c r="AS907" s="99"/>
    </row>
    <row r="908">
      <c r="A908" s="97"/>
      <c r="B908" s="97"/>
      <c r="C908" s="97"/>
      <c r="D908" s="97"/>
      <c r="E908" s="97"/>
      <c r="F908" s="97"/>
      <c r="G908" s="98"/>
      <c r="H908" s="97"/>
      <c r="I908" s="97"/>
      <c r="J908" s="97"/>
      <c r="K908" s="97"/>
      <c r="L908" s="97"/>
      <c r="M908" s="97"/>
      <c r="N908" s="97"/>
      <c r="O908" s="97"/>
      <c r="P908" s="97"/>
      <c r="Q908" s="97"/>
      <c r="R908" s="97"/>
      <c r="S908" s="97"/>
      <c r="T908" s="97"/>
      <c r="U908" s="98"/>
      <c r="V908" s="97"/>
      <c r="W908" s="97"/>
      <c r="X908" s="97"/>
      <c r="Y908" s="97"/>
      <c r="Z908" s="97"/>
      <c r="AA908" s="97"/>
      <c r="AB908" s="97"/>
      <c r="AC908" s="97"/>
      <c r="AD908" s="97"/>
      <c r="AE908" s="97"/>
      <c r="AF908" s="97"/>
      <c r="AG908" s="97"/>
      <c r="AH908" s="97"/>
      <c r="AI908" s="97"/>
      <c r="AJ908" s="97"/>
      <c r="AK908" s="97"/>
      <c r="AL908" s="97"/>
      <c r="AM908" s="97"/>
      <c r="AN908" s="97"/>
      <c r="AO908" s="97"/>
      <c r="AP908" s="97"/>
      <c r="AQ908" s="99"/>
      <c r="AR908" s="99"/>
      <c r="AS908" s="99"/>
    </row>
    <row r="909">
      <c r="A909" s="97"/>
      <c r="B909" s="97"/>
      <c r="C909" s="97"/>
      <c r="D909" s="97"/>
      <c r="E909" s="97"/>
      <c r="F909" s="97"/>
      <c r="G909" s="98"/>
      <c r="H909" s="97"/>
      <c r="I909" s="97"/>
      <c r="J909" s="97"/>
      <c r="K909" s="97"/>
      <c r="L909" s="97"/>
      <c r="M909" s="97"/>
      <c r="N909" s="97"/>
      <c r="O909" s="97"/>
      <c r="P909" s="97"/>
      <c r="Q909" s="97"/>
      <c r="R909" s="97"/>
      <c r="S909" s="97"/>
      <c r="T909" s="97"/>
      <c r="U909" s="98"/>
      <c r="V909" s="97"/>
      <c r="W909" s="97"/>
      <c r="X909" s="97"/>
      <c r="Y909" s="97"/>
      <c r="Z909" s="97"/>
      <c r="AA909" s="97"/>
      <c r="AB909" s="97"/>
      <c r="AC909" s="97"/>
      <c r="AD909" s="97"/>
      <c r="AE909" s="97"/>
      <c r="AF909" s="97"/>
      <c r="AG909" s="97"/>
      <c r="AH909" s="97"/>
      <c r="AI909" s="97"/>
      <c r="AJ909" s="97"/>
      <c r="AK909" s="97"/>
      <c r="AL909" s="97"/>
      <c r="AM909" s="97"/>
      <c r="AN909" s="97"/>
      <c r="AO909" s="97"/>
      <c r="AP909" s="97"/>
      <c r="AQ909" s="99"/>
      <c r="AR909" s="99"/>
      <c r="AS909" s="99"/>
    </row>
    <row r="910">
      <c r="A910" s="97"/>
      <c r="B910" s="97"/>
      <c r="C910" s="97"/>
      <c r="D910" s="97"/>
      <c r="E910" s="97"/>
      <c r="F910" s="97"/>
      <c r="G910" s="98"/>
      <c r="H910" s="97"/>
      <c r="I910" s="97"/>
      <c r="J910" s="97"/>
      <c r="K910" s="97"/>
      <c r="L910" s="97"/>
      <c r="M910" s="97"/>
      <c r="N910" s="97"/>
      <c r="O910" s="97"/>
      <c r="P910" s="97"/>
      <c r="Q910" s="97"/>
      <c r="R910" s="97"/>
      <c r="S910" s="97"/>
      <c r="T910" s="97"/>
      <c r="U910" s="98"/>
      <c r="V910" s="97"/>
      <c r="W910" s="97"/>
      <c r="X910" s="97"/>
      <c r="Y910" s="97"/>
      <c r="Z910" s="97"/>
      <c r="AA910" s="97"/>
      <c r="AB910" s="97"/>
      <c r="AC910" s="97"/>
      <c r="AD910" s="97"/>
      <c r="AE910" s="97"/>
      <c r="AF910" s="97"/>
      <c r="AG910" s="97"/>
      <c r="AH910" s="97"/>
      <c r="AI910" s="97"/>
      <c r="AJ910" s="97"/>
      <c r="AK910" s="97"/>
      <c r="AL910" s="97"/>
      <c r="AM910" s="97"/>
      <c r="AN910" s="97"/>
      <c r="AO910" s="97"/>
      <c r="AP910" s="97"/>
      <c r="AQ910" s="99"/>
      <c r="AR910" s="99"/>
      <c r="AS910" s="99"/>
    </row>
    <row r="911">
      <c r="A911" s="97"/>
      <c r="B911" s="97"/>
      <c r="C911" s="97"/>
      <c r="D911" s="97"/>
      <c r="E911" s="97"/>
      <c r="F911" s="97"/>
      <c r="G911" s="98"/>
      <c r="H911" s="97"/>
      <c r="I911" s="97"/>
      <c r="J911" s="97"/>
      <c r="K911" s="97"/>
      <c r="L911" s="97"/>
      <c r="M911" s="97"/>
      <c r="N911" s="97"/>
      <c r="O911" s="97"/>
      <c r="P911" s="97"/>
      <c r="Q911" s="97"/>
      <c r="R911" s="97"/>
      <c r="S911" s="97"/>
      <c r="T911" s="97"/>
      <c r="U911" s="98"/>
      <c r="V911" s="97"/>
      <c r="W911" s="97"/>
      <c r="X911" s="97"/>
      <c r="Y911" s="97"/>
      <c r="Z911" s="97"/>
      <c r="AA911" s="97"/>
      <c r="AB911" s="97"/>
      <c r="AC911" s="97"/>
      <c r="AD911" s="97"/>
      <c r="AE911" s="97"/>
      <c r="AF911" s="97"/>
      <c r="AG911" s="97"/>
      <c r="AH911" s="97"/>
      <c r="AI911" s="97"/>
      <c r="AJ911" s="97"/>
      <c r="AK911" s="97"/>
      <c r="AL911" s="97"/>
      <c r="AM911" s="97"/>
      <c r="AN911" s="97"/>
      <c r="AO911" s="97"/>
      <c r="AP911" s="97"/>
      <c r="AQ911" s="99"/>
      <c r="AR911" s="99"/>
      <c r="AS911" s="99"/>
    </row>
    <row r="912">
      <c r="A912" s="97"/>
      <c r="B912" s="97"/>
      <c r="C912" s="97"/>
      <c r="D912" s="97"/>
      <c r="E912" s="97"/>
      <c r="F912" s="97"/>
      <c r="G912" s="98"/>
      <c r="H912" s="97"/>
      <c r="I912" s="97"/>
      <c r="J912" s="97"/>
      <c r="K912" s="97"/>
      <c r="L912" s="97"/>
      <c r="M912" s="97"/>
      <c r="N912" s="97"/>
      <c r="O912" s="97"/>
      <c r="P912" s="97"/>
      <c r="Q912" s="97"/>
      <c r="R912" s="97"/>
      <c r="S912" s="97"/>
      <c r="T912" s="97"/>
      <c r="U912" s="98"/>
      <c r="V912" s="97"/>
      <c r="W912" s="97"/>
      <c r="X912" s="97"/>
      <c r="Y912" s="97"/>
      <c r="Z912" s="97"/>
      <c r="AA912" s="97"/>
      <c r="AB912" s="97"/>
      <c r="AC912" s="97"/>
      <c r="AD912" s="97"/>
      <c r="AE912" s="97"/>
      <c r="AF912" s="97"/>
      <c r="AG912" s="97"/>
      <c r="AH912" s="97"/>
      <c r="AI912" s="97"/>
      <c r="AJ912" s="97"/>
      <c r="AK912" s="97"/>
      <c r="AL912" s="97"/>
      <c r="AM912" s="97"/>
      <c r="AN912" s="97"/>
      <c r="AO912" s="97"/>
      <c r="AP912" s="97"/>
      <c r="AQ912" s="99"/>
      <c r="AR912" s="99"/>
      <c r="AS912" s="99"/>
    </row>
    <row r="913">
      <c r="A913" s="97"/>
      <c r="B913" s="97"/>
      <c r="C913" s="97"/>
      <c r="D913" s="97"/>
      <c r="E913" s="97"/>
      <c r="F913" s="97"/>
      <c r="G913" s="98"/>
      <c r="H913" s="97"/>
      <c r="I913" s="97"/>
      <c r="J913" s="97"/>
      <c r="K913" s="97"/>
      <c r="L913" s="97"/>
      <c r="M913" s="97"/>
      <c r="N913" s="97"/>
      <c r="O913" s="97"/>
      <c r="P913" s="97"/>
      <c r="Q913" s="97"/>
      <c r="R913" s="97"/>
      <c r="S913" s="97"/>
      <c r="T913" s="97"/>
      <c r="U913" s="98"/>
      <c r="V913" s="97"/>
      <c r="W913" s="97"/>
      <c r="X913" s="97"/>
      <c r="Y913" s="97"/>
      <c r="Z913" s="97"/>
      <c r="AA913" s="97"/>
      <c r="AB913" s="97"/>
      <c r="AC913" s="97"/>
      <c r="AD913" s="97"/>
      <c r="AE913" s="97"/>
      <c r="AF913" s="97"/>
      <c r="AG913" s="97"/>
      <c r="AH913" s="97"/>
      <c r="AI913" s="97"/>
      <c r="AJ913" s="97"/>
      <c r="AK913" s="97"/>
      <c r="AL913" s="97"/>
      <c r="AM913" s="97"/>
      <c r="AN913" s="97"/>
      <c r="AO913" s="97"/>
      <c r="AP913" s="97"/>
      <c r="AQ913" s="99"/>
      <c r="AR913" s="99"/>
      <c r="AS913" s="99"/>
    </row>
    <row r="914">
      <c r="A914" s="97"/>
      <c r="B914" s="97"/>
      <c r="C914" s="97"/>
      <c r="D914" s="97"/>
      <c r="E914" s="97"/>
      <c r="F914" s="97"/>
      <c r="G914" s="98"/>
      <c r="H914" s="97"/>
      <c r="I914" s="97"/>
      <c r="J914" s="97"/>
      <c r="K914" s="97"/>
      <c r="L914" s="97"/>
      <c r="M914" s="97"/>
      <c r="N914" s="97"/>
      <c r="O914" s="97"/>
      <c r="P914" s="97"/>
      <c r="Q914" s="97"/>
      <c r="R914" s="97"/>
      <c r="S914" s="97"/>
      <c r="T914" s="97"/>
      <c r="U914" s="98"/>
      <c r="V914" s="97"/>
      <c r="W914" s="97"/>
      <c r="X914" s="97"/>
      <c r="Y914" s="97"/>
      <c r="Z914" s="97"/>
      <c r="AA914" s="97"/>
      <c r="AB914" s="97"/>
      <c r="AC914" s="97"/>
      <c r="AD914" s="97"/>
      <c r="AE914" s="97"/>
      <c r="AF914" s="97"/>
      <c r="AG914" s="97"/>
      <c r="AH914" s="97"/>
      <c r="AI914" s="97"/>
      <c r="AJ914" s="97"/>
      <c r="AK914" s="97"/>
      <c r="AL914" s="97"/>
      <c r="AM914" s="97"/>
      <c r="AN914" s="97"/>
      <c r="AO914" s="97"/>
      <c r="AP914" s="97"/>
      <c r="AQ914" s="99"/>
      <c r="AR914" s="99"/>
      <c r="AS914" s="99"/>
    </row>
    <row r="915">
      <c r="A915" s="97"/>
      <c r="B915" s="97"/>
      <c r="C915" s="97"/>
      <c r="D915" s="97"/>
      <c r="E915" s="97"/>
      <c r="F915" s="97"/>
      <c r="G915" s="98"/>
      <c r="H915" s="97"/>
      <c r="I915" s="97"/>
      <c r="J915" s="97"/>
      <c r="K915" s="97"/>
      <c r="L915" s="97"/>
      <c r="M915" s="97"/>
      <c r="N915" s="97"/>
      <c r="O915" s="97"/>
      <c r="P915" s="97"/>
      <c r="Q915" s="97"/>
      <c r="R915" s="97"/>
      <c r="S915" s="97"/>
      <c r="T915" s="97"/>
      <c r="U915" s="98"/>
      <c r="V915" s="97"/>
      <c r="W915" s="97"/>
      <c r="X915" s="97"/>
      <c r="Y915" s="97"/>
      <c r="Z915" s="97"/>
      <c r="AA915" s="97"/>
      <c r="AB915" s="97"/>
      <c r="AC915" s="97"/>
      <c r="AD915" s="97"/>
      <c r="AE915" s="97"/>
      <c r="AF915" s="97"/>
      <c r="AG915" s="97"/>
      <c r="AH915" s="97"/>
      <c r="AI915" s="97"/>
      <c r="AJ915" s="97"/>
      <c r="AK915" s="97"/>
      <c r="AL915" s="97"/>
      <c r="AM915" s="97"/>
      <c r="AN915" s="97"/>
      <c r="AO915" s="97"/>
      <c r="AP915" s="97"/>
      <c r="AQ915" s="99"/>
      <c r="AR915" s="99"/>
      <c r="AS915" s="99"/>
    </row>
    <row r="916">
      <c r="A916" s="97"/>
      <c r="B916" s="97"/>
      <c r="C916" s="97"/>
      <c r="D916" s="97"/>
      <c r="E916" s="97"/>
      <c r="F916" s="97"/>
      <c r="G916" s="98"/>
      <c r="H916" s="97"/>
      <c r="I916" s="97"/>
      <c r="J916" s="97"/>
      <c r="K916" s="97"/>
      <c r="L916" s="97"/>
      <c r="M916" s="97"/>
      <c r="N916" s="97"/>
      <c r="O916" s="97"/>
      <c r="P916" s="97"/>
      <c r="Q916" s="97"/>
      <c r="R916" s="97"/>
      <c r="S916" s="97"/>
      <c r="T916" s="97"/>
      <c r="U916" s="98"/>
      <c r="V916" s="97"/>
      <c r="W916" s="97"/>
      <c r="X916" s="97"/>
      <c r="Y916" s="97"/>
      <c r="Z916" s="97"/>
      <c r="AA916" s="97"/>
      <c r="AB916" s="97"/>
      <c r="AC916" s="97"/>
      <c r="AD916" s="97"/>
      <c r="AE916" s="97"/>
      <c r="AF916" s="97"/>
      <c r="AG916" s="97"/>
      <c r="AH916" s="97"/>
      <c r="AI916" s="97"/>
      <c r="AJ916" s="97"/>
      <c r="AK916" s="97"/>
      <c r="AL916" s="97"/>
      <c r="AM916" s="97"/>
      <c r="AN916" s="97"/>
      <c r="AO916" s="97"/>
      <c r="AP916" s="97"/>
      <c r="AQ916" s="99"/>
      <c r="AR916" s="99"/>
      <c r="AS916" s="99"/>
    </row>
    <row r="917">
      <c r="A917" s="97"/>
      <c r="B917" s="97"/>
      <c r="C917" s="97"/>
      <c r="D917" s="97"/>
      <c r="E917" s="97"/>
      <c r="F917" s="97"/>
      <c r="G917" s="98"/>
      <c r="H917" s="97"/>
      <c r="I917" s="97"/>
      <c r="J917" s="97"/>
      <c r="K917" s="97"/>
      <c r="L917" s="97"/>
      <c r="M917" s="97"/>
      <c r="N917" s="97"/>
      <c r="O917" s="97"/>
      <c r="P917" s="97"/>
      <c r="Q917" s="97"/>
      <c r="R917" s="97"/>
      <c r="S917" s="97"/>
      <c r="T917" s="97"/>
      <c r="U917" s="98"/>
      <c r="V917" s="97"/>
      <c r="W917" s="97"/>
      <c r="X917" s="97"/>
      <c r="Y917" s="97"/>
      <c r="Z917" s="97"/>
      <c r="AA917" s="97"/>
      <c r="AB917" s="97"/>
      <c r="AC917" s="97"/>
      <c r="AD917" s="97"/>
      <c r="AE917" s="97"/>
      <c r="AF917" s="97"/>
      <c r="AG917" s="97"/>
      <c r="AH917" s="97"/>
      <c r="AI917" s="97"/>
      <c r="AJ917" s="97"/>
      <c r="AK917" s="97"/>
      <c r="AL917" s="97"/>
      <c r="AM917" s="97"/>
      <c r="AN917" s="97"/>
      <c r="AO917" s="97"/>
      <c r="AP917" s="97"/>
      <c r="AQ917" s="99"/>
      <c r="AR917" s="99"/>
      <c r="AS917" s="99"/>
    </row>
    <row r="918">
      <c r="A918" s="97"/>
      <c r="B918" s="97"/>
      <c r="C918" s="97"/>
      <c r="D918" s="97"/>
      <c r="E918" s="97"/>
      <c r="F918" s="97"/>
      <c r="G918" s="98"/>
      <c r="H918" s="97"/>
      <c r="I918" s="97"/>
      <c r="J918" s="97"/>
      <c r="K918" s="97"/>
      <c r="L918" s="97"/>
      <c r="M918" s="97"/>
      <c r="N918" s="97"/>
      <c r="O918" s="97"/>
      <c r="P918" s="97"/>
      <c r="Q918" s="97"/>
      <c r="R918" s="97"/>
      <c r="S918" s="97"/>
      <c r="T918" s="97"/>
      <c r="U918" s="98"/>
      <c r="V918" s="97"/>
      <c r="W918" s="97"/>
      <c r="X918" s="97"/>
      <c r="Y918" s="97"/>
      <c r="Z918" s="97"/>
      <c r="AA918" s="97"/>
      <c r="AB918" s="97"/>
      <c r="AC918" s="97"/>
      <c r="AD918" s="97"/>
      <c r="AE918" s="97"/>
      <c r="AF918" s="97"/>
      <c r="AG918" s="97"/>
      <c r="AH918" s="97"/>
      <c r="AI918" s="97"/>
      <c r="AJ918" s="97"/>
      <c r="AK918" s="97"/>
      <c r="AL918" s="97"/>
      <c r="AM918" s="97"/>
      <c r="AN918" s="97"/>
      <c r="AO918" s="97"/>
      <c r="AP918" s="97"/>
      <c r="AQ918" s="99"/>
      <c r="AR918" s="99"/>
      <c r="AS918" s="99"/>
    </row>
    <row r="919">
      <c r="A919" s="97"/>
      <c r="B919" s="97"/>
      <c r="C919" s="97"/>
      <c r="D919" s="97"/>
      <c r="E919" s="97"/>
      <c r="F919" s="97"/>
      <c r="G919" s="98"/>
      <c r="H919" s="97"/>
      <c r="I919" s="97"/>
      <c r="J919" s="97"/>
      <c r="K919" s="97"/>
      <c r="L919" s="97"/>
      <c r="M919" s="97"/>
      <c r="N919" s="97"/>
      <c r="O919" s="97"/>
      <c r="P919" s="97"/>
      <c r="Q919" s="97"/>
      <c r="R919" s="97"/>
      <c r="S919" s="97"/>
      <c r="T919" s="97"/>
      <c r="U919" s="98"/>
      <c r="V919" s="97"/>
      <c r="W919" s="97"/>
      <c r="X919" s="97"/>
      <c r="Y919" s="97"/>
      <c r="Z919" s="97"/>
      <c r="AA919" s="97"/>
      <c r="AB919" s="97"/>
      <c r="AC919" s="97"/>
      <c r="AD919" s="97"/>
      <c r="AE919" s="97"/>
      <c r="AF919" s="97"/>
      <c r="AG919" s="97"/>
      <c r="AH919" s="97"/>
      <c r="AI919" s="97"/>
      <c r="AJ919" s="97"/>
      <c r="AK919" s="97"/>
      <c r="AL919" s="97"/>
      <c r="AM919" s="97"/>
      <c r="AN919" s="97"/>
      <c r="AO919" s="97"/>
      <c r="AP919" s="97"/>
      <c r="AQ919" s="99"/>
      <c r="AR919" s="99"/>
      <c r="AS919" s="99"/>
    </row>
    <row r="920">
      <c r="A920" s="97"/>
      <c r="B920" s="97"/>
      <c r="C920" s="97"/>
      <c r="D920" s="97"/>
      <c r="E920" s="97"/>
      <c r="F920" s="97"/>
      <c r="G920" s="98"/>
      <c r="H920" s="97"/>
      <c r="I920" s="97"/>
      <c r="J920" s="97"/>
      <c r="K920" s="97"/>
      <c r="L920" s="97"/>
      <c r="M920" s="97"/>
      <c r="N920" s="97"/>
      <c r="O920" s="97"/>
      <c r="P920" s="97"/>
      <c r="Q920" s="97"/>
      <c r="R920" s="97"/>
      <c r="S920" s="97"/>
      <c r="T920" s="97"/>
      <c r="U920" s="98"/>
      <c r="V920" s="97"/>
      <c r="W920" s="97"/>
      <c r="X920" s="97"/>
      <c r="Y920" s="97"/>
      <c r="Z920" s="97"/>
      <c r="AA920" s="97"/>
      <c r="AB920" s="97"/>
      <c r="AC920" s="97"/>
      <c r="AD920" s="97"/>
      <c r="AE920" s="97"/>
      <c r="AF920" s="97"/>
      <c r="AG920" s="97"/>
      <c r="AH920" s="97"/>
      <c r="AI920" s="97"/>
      <c r="AJ920" s="97"/>
      <c r="AK920" s="97"/>
      <c r="AL920" s="97"/>
      <c r="AM920" s="97"/>
      <c r="AN920" s="97"/>
      <c r="AO920" s="97"/>
      <c r="AP920" s="97"/>
      <c r="AQ920" s="99"/>
      <c r="AR920" s="99"/>
      <c r="AS920" s="99"/>
    </row>
    <row r="921">
      <c r="A921" s="97"/>
      <c r="B921" s="97"/>
      <c r="C921" s="97"/>
      <c r="D921" s="97"/>
      <c r="E921" s="97"/>
      <c r="F921" s="97"/>
      <c r="G921" s="98"/>
      <c r="H921" s="97"/>
      <c r="I921" s="97"/>
      <c r="J921" s="97"/>
      <c r="K921" s="97"/>
      <c r="L921" s="97"/>
      <c r="M921" s="97"/>
      <c r="N921" s="97"/>
      <c r="O921" s="97"/>
      <c r="P921" s="97"/>
      <c r="Q921" s="97"/>
      <c r="R921" s="97"/>
      <c r="S921" s="97"/>
      <c r="T921" s="97"/>
      <c r="U921" s="98"/>
      <c r="V921" s="97"/>
      <c r="W921" s="97"/>
      <c r="X921" s="97"/>
      <c r="Y921" s="97"/>
      <c r="Z921" s="97"/>
      <c r="AA921" s="97"/>
      <c r="AB921" s="97"/>
      <c r="AC921" s="97"/>
      <c r="AD921" s="97"/>
      <c r="AE921" s="97"/>
      <c r="AF921" s="97"/>
      <c r="AG921" s="97"/>
      <c r="AH921" s="97"/>
      <c r="AI921" s="97"/>
      <c r="AJ921" s="97"/>
      <c r="AK921" s="97"/>
      <c r="AL921" s="97"/>
      <c r="AM921" s="97"/>
      <c r="AN921" s="97"/>
      <c r="AO921" s="97"/>
      <c r="AP921" s="97"/>
      <c r="AQ921" s="99"/>
      <c r="AR921" s="99"/>
      <c r="AS921" s="99"/>
    </row>
    <row r="922">
      <c r="A922" s="97"/>
      <c r="B922" s="97"/>
      <c r="C922" s="97"/>
      <c r="D922" s="97"/>
      <c r="E922" s="97"/>
      <c r="F922" s="97"/>
      <c r="G922" s="98"/>
      <c r="H922" s="97"/>
      <c r="I922" s="97"/>
      <c r="J922" s="97"/>
      <c r="K922" s="97"/>
      <c r="L922" s="97"/>
      <c r="M922" s="97"/>
      <c r="N922" s="97"/>
      <c r="O922" s="97"/>
      <c r="P922" s="97"/>
      <c r="Q922" s="97"/>
      <c r="R922" s="97"/>
      <c r="S922" s="97"/>
      <c r="T922" s="97"/>
      <c r="U922" s="98"/>
      <c r="V922" s="97"/>
      <c r="W922" s="97"/>
      <c r="X922" s="97"/>
      <c r="Y922" s="97"/>
      <c r="Z922" s="97"/>
      <c r="AA922" s="97"/>
      <c r="AB922" s="97"/>
      <c r="AC922" s="97"/>
      <c r="AD922" s="97"/>
      <c r="AE922" s="97"/>
      <c r="AF922" s="97"/>
      <c r="AG922" s="97"/>
      <c r="AH922" s="97"/>
      <c r="AI922" s="97"/>
      <c r="AJ922" s="97"/>
      <c r="AK922" s="97"/>
      <c r="AL922" s="97"/>
      <c r="AM922" s="97"/>
      <c r="AN922" s="97"/>
      <c r="AO922" s="97"/>
      <c r="AP922" s="97"/>
      <c r="AQ922" s="99"/>
      <c r="AR922" s="99"/>
      <c r="AS922" s="99"/>
    </row>
    <row r="923">
      <c r="A923" s="97"/>
      <c r="B923" s="97"/>
      <c r="C923" s="97"/>
      <c r="D923" s="97"/>
      <c r="E923" s="97"/>
      <c r="F923" s="97"/>
      <c r="G923" s="98"/>
      <c r="H923" s="97"/>
      <c r="I923" s="97"/>
      <c r="J923" s="97"/>
      <c r="K923" s="97"/>
      <c r="L923" s="97"/>
      <c r="M923" s="97"/>
      <c r="N923" s="97"/>
      <c r="O923" s="97"/>
      <c r="P923" s="97"/>
      <c r="Q923" s="97"/>
      <c r="R923" s="97"/>
      <c r="S923" s="97"/>
      <c r="T923" s="97"/>
      <c r="U923" s="98"/>
      <c r="V923" s="97"/>
      <c r="W923" s="97"/>
      <c r="X923" s="97"/>
      <c r="Y923" s="97"/>
      <c r="Z923" s="97"/>
      <c r="AA923" s="97"/>
      <c r="AB923" s="97"/>
      <c r="AC923" s="97"/>
      <c r="AD923" s="97"/>
      <c r="AE923" s="97"/>
      <c r="AF923" s="97"/>
      <c r="AG923" s="97"/>
      <c r="AH923" s="97"/>
      <c r="AI923" s="97"/>
      <c r="AJ923" s="97"/>
      <c r="AK923" s="97"/>
      <c r="AL923" s="97"/>
      <c r="AM923" s="97"/>
      <c r="AN923" s="97"/>
      <c r="AO923" s="97"/>
      <c r="AP923" s="97"/>
      <c r="AQ923" s="99"/>
      <c r="AR923" s="99"/>
      <c r="AS923" s="99"/>
    </row>
    <row r="924">
      <c r="A924" s="97"/>
      <c r="B924" s="97"/>
      <c r="C924" s="97"/>
      <c r="D924" s="97"/>
      <c r="E924" s="97"/>
      <c r="F924" s="97"/>
      <c r="G924" s="98"/>
      <c r="H924" s="97"/>
      <c r="I924" s="97"/>
      <c r="J924" s="97"/>
      <c r="K924" s="97"/>
      <c r="L924" s="97"/>
      <c r="M924" s="97"/>
      <c r="N924" s="97"/>
      <c r="O924" s="97"/>
      <c r="P924" s="97"/>
      <c r="Q924" s="97"/>
      <c r="R924" s="97"/>
      <c r="S924" s="97"/>
      <c r="T924" s="97"/>
      <c r="U924" s="98"/>
      <c r="V924" s="97"/>
      <c r="W924" s="97"/>
      <c r="X924" s="97"/>
      <c r="Y924" s="97"/>
      <c r="Z924" s="97"/>
      <c r="AA924" s="97"/>
      <c r="AB924" s="97"/>
      <c r="AC924" s="97"/>
      <c r="AD924" s="97"/>
      <c r="AE924" s="97"/>
      <c r="AF924" s="97"/>
      <c r="AG924" s="97"/>
      <c r="AH924" s="97"/>
      <c r="AI924" s="97"/>
      <c r="AJ924" s="97"/>
      <c r="AK924" s="97"/>
      <c r="AL924" s="97"/>
      <c r="AM924" s="97"/>
      <c r="AN924" s="97"/>
      <c r="AO924" s="97"/>
      <c r="AP924" s="97"/>
      <c r="AQ924" s="99"/>
      <c r="AR924" s="99"/>
      <c r="AS924" s="99"/>
    </row>
    <row r="925">
      <c r="A925" s="97"/>
      <c r="B925" s="97"/>
      <c r="C925" s="97"/>
      <c r="D925" s="97"/>
      <c r="E925" s="97"/>
      <c r="F925" s="97"/>
      <c r="G925" s="98"/>
      <c r="H925" s="97"/>
      <c r="I925" s="97"/>
      <c r="J925" s="97"/>
      <c r="K925" s="97"/>
      <c r="L925" s="97"/>
      <c r="M925" s="97"/>
      <c r="N925" s="97"/>
      <c r="O925" s="97"/>
      <c r="P925" s="97"/>
      <c r="Q925" s="97"/>
      <c r="R925" s="97"/>
      <c r="S925" s="97"/>
      <c r="T925" s="97"/>
      <c r="U925" s="98"/>
      <c r="V925" s="97"/>
      <c r="W925" s="97"/>
      <c r="X925" s="97"/>
      <c r="Y925" s="97"/>
      <c r="Z925" s="97"/>
      <c r="AA925" s="97"/>
      <c r="AB925" s="97"/>
      <c r="AC925" s="97"/>
      <c r="AD925" s="97"/>
      <c r="AE925" s="97"/>
      <c r="AF925" s="97"/>
      <c r="AG925" s="97"/>
      <c r="AH925" s="97"/>
      <c r="AI925" s="97"/>
      <c r="AJ925" s="97"/>
      <c r="AK925" s="97"/>
      <c r="AL925" s="97"/>
      <c r="AM925" s="97"/>
      <c r="AN925" s="97"/>
      <c r="AO925" s="97"/>
      <c r="AP925" s="97"/>
      <c r="AQ925" s="99"/>
      <c r="AR925" s="99"/>
      <c r="AS925" s="99"/>
    </row>
    <row r="926">
      <c r="A926" s="97"/>
      <c r="B926" s="97"/>
      <c r="C926" s="97"/>
      <c r="D926" s="97"/>
      <c r="E926" s="97"/>
      <c r="F926" s="97"/>
      <c r="G926" s="98"/>
      <c r="H926" s="97"/>
      <c r="I926" s="97"/>
      <c r="J926" s="97"/>
      <c r="K926" s="97"/>
      <c r="L926" s="97"/>
      <c r="M926" s="97"/>
      <c r="N926" s="97"/>
      <c r="O926" s="97"/>
      <c r="P926" s="97"/>
      <c r="Q926" s="97"/>
      <c r="R926" s="97"/>
      <c r="S926" s="97"/>
      <c r="T926" s="97"/>
      <c r="U926" s="98"/>
      <c r="V926" s="97"/>
      <c r="W926" s="97"/>
      <c r="X926" s="97"/>
      <c r="Y926" s="97"/>
      <c r="Z926" s="97"/>
      <c r="AA926" s="97"/>
      <c r="AB926" s="97"/>
      <c r="AC926" s="97"/>
      <c r="AD926" s="97"/>
      <c r="AE926" s="97"/>
      <c r="AF926" s="97"/>
      <c r="AG926" s="97"/>
      <c r="AH926" s="97"/>
      <c r="AI926" s="97"/>
      <c r="AJ926" s="97"/>
      <c r="AK926" s="97"/>
      <c r="AL926" s="97"/>
      <c r="AM926" s="97"/>
      <c r="AN926" s="97"/>
      <c r="AO926" s="97"/>
      <c r="AP926" s="97"/>
      <c r="AQ926" s="99"/>
      <c r="AR926" s="99"/>
      <c r="AS926" s="99"/>
    </row>
    <row r="927">
      <c r="A927" s="97"/>
      <c r="B927" s="97"/>
      <c r="C927" s="97"/>
      <c r="D927" s="97"/>
      <c r="E927" s="97"/>
      <c r="F927" s="97"/>
      <c r="G927" s="98"/>
      <c r="H927" s="97"/>
      <c r="I927" s="97"/>
      <c r="J927" s="97"/>
      <c r="K927" s="97"/>
      <c r="L927" s="97"/>
      <c r="M927" s="97"/>
      <c r="N927" s="97"/>
      <c r="O927" s="97"/>
      <c r="P927" s="97"/>
      <c r="Q927" s="97"/>
      <c r="R927" s="97"/>
      <c r="S927" s="97"/>
      <c r="T927" s="97"/>
      <c r="U927" s="98"/>
      <c r="V927" s="97"/>
      <c r="W927" s="97"/>
      <c r="X927" s="97"/>
      <c r="Y927" s="97"/>
      <c r="Z927" s="97"/>
      <c r="AA927" s="97"/>
      <c r="AB927" s="97"/>
      <c r="AC927" s="97"/>
      <c r="AD927" s="97"/>
      <c r="AE927" s="97"/>
      <c r="AF927" s="97"/>
      <c r="AG927" s="97"/>
      <c r="AH927" s="97"/>
      <c r="AI927" s="97"/>
      <c r="AJ927" s="97"/>
      <c r="AK927" s="97"/>
      <c r="AL927" s="97"/>
      <c r="AM927" s="97"/>
      <c r="AN927" s="97"/>
      <c r="AO927" s="97"/>
      <c r="AP927" s="97"/>
      <c r="AQ927" s="99"/>
      <c r="AR927" s="99"/>
      <c r="AS927" s="99"/>
    </row>
    <row r="928">
      <c r="A928" s="97"/>
      <c r="B928" s="97"/>
      <c r="C928" s="97"/>
      <c r="D928" s="97"/>
      <c r="E928" s="97"/>
      <c r="F928" s="97"/>
      <c r="G928" s="98"/>
      <c r="H928" s="97"/>
      <c r="I928" s="97"/>
      <c r="J928" s="97"/>
      <c r="K928" s="97"/>
      <c r="L928" s="97"/>
      <c r="M928" s="97"/>
      <c r="N928" s="97"/>
      <c r="O928" s="97"/>
      <c r="P928" s="97"/>
      <c r="Q928" s="97"/>
      <c r="R928" s="97"/>
      <c r="S928" s="97"/>
      <c r="T928" s="97"/>
      <c r="U928" s="98"/>
      <c r="V928" s="97"/>
      <c r="W928" s="97"/>
      <c r="X928" s="97"/>
      <c r="Y928" s="97"/>
      <c r="Z928" s="97"/>
      <c r="AA928" s="97"/>
      <c r="AB928" s="97"/>
      <c r="AC928" s="97"/>
      <c r="AD928" s="97"/>
      <c r="AE928" s="97"/>
      <c r="AF928" s="97"/>
      <c r="AG928" s="97"/>
      <c r="AH928" s="97"/>
      <c r="AI928" s="97"/>
      <c r="AJ928" s="97"/>
      <c r="AK928" s="97"/>
      <c r="AL928" s="97"/>
      <c r="AM928" s="97"/>
      <c r="AN928" s="97"/>
      <c r="AO928" s="97"/>
      <c r="AP928" s="97"/>
      <c r="AQ928" s="99"/>
      <c r="AR928" s="99"/>
      <c r="AS928" s="99"/>
    </row>
    <row r="929">
      <c r="A929" s="97"/>
      <c r="B929" s="97"/>
      <c r="C929" s="97"/>
      <c r="D929" s="97"/>
      <c r="E929" s="97"/>
      <c r="F929" s="97"/>
      <c r="G929" s="98"/>
      <c r="H929" s="97"/>
      <c r="I929" s="97"/>
      <c r="J929" s="97"/>
      <c r="K929" s="97"/>
      <c r="L929" s="97"/>
      <c r="M929" s="97"/>
      <c r="N929" s="97"/>
      <c r="O929" s="97"/>
      <c r="P929" s="97"/>
      <c r="Q929" s="97"/>
      <c r="R929" s="97"/>
      <c r="S929" s="97"/>
      <c r="T929" s="97"/>
      <c r="U929" s="98"/>
      <c r="V929" s="97"/>
      <c r="W929" s="97"/>
      <c r="X929" s="97"/>
      <c r="Y929" s="97"/>
      <c r="Z929" s="97"/>
      <c r="AA929" s="97"/>
      <c r="AB929" s="97"/>
      <c r="AC929" s="97"/>
      <c r="AD929" s="97"/>
      <c r="AE929" s="97"/>
      <c r="AF929" s="97"/>
      <c r="AG929" s="97"/>
      <c r="AH929" s="97"/>
      <c r="AI929" s="97"/>
      <c r="AJ929" s="97"/>
      <c r="AK929" s="97"/>
      <c r="AL929" s="97"/>
      <c r="AM929" s="97"/>
      <c r="AN929" s="97"/>
      <c r="AO929" s="97"/>
      <c r="AP929" s="97"/>
      <c r="AQ929" s="99"/>
      <c r="AR929" s="99"/>
      <c r="AS929" s="99"/>
    </row>
    <row r="930">
      <c r="A930" s="97"/>
      <c r="B930" s="97"/>
      <c r="C930" s="97"/>
      <c r="D930" s="97"/>
      <c r="E930" s="97"/>
      <c r="F930" s="97"/>
      <c r="G930" s="98"/>
      <c r="H930" s="97"/>
      <c r="I930" s="97"/>
      <c r="J930" s="97"/>
      <c r="K930" s="97"/>
      <c r="L930" s="97"/>
      <c r="M930" s="97"/>
      <c r="N930" s="97"/>
      <c r="O930" s="97"/>
      <c r="P930" s="97"/>
      <c r="Q930" s="97"/>
      <c r="R930" s="97"/>
      <c r="S930" s="97"/>
      <c r="T930" s="97"/>
      <c r="U930" s="98"/>
      <c r="V930" s="97"/>
      <c r="W930" s="97"/>
      <c r="X930" s="97"/>
      <c r="Y930" s="97"/>
      <c r="Z930" s="97"/>
      <c r="AA930" s="97"/>
      <c r="AB930" s="97"/>
      <c r="AC930" s="97"/>
      <c r="AD930" s="97"/>
      <c r="AE930" s="97"/>
      <c r="AF930" s="97"/>
      <c r="AG930" s="97"/>
      <c r="AH930" s="97"/>
      <c r="AI930" s="97"/>
      <c r="AJ930" s="97"/>
      <c r="AK930" s="97"/>
      <c r="AL930" s="97"/>
      <c r="AM930" s="97"/>
      <c r="AN930" s="97"/>
      <c r="AO930" s="97"/>
      <c r="AP930" s="97"/>
      <c r="AQ930" s="99"/>
      <c r="AR930" s="99"/>
      <c r="AS930" s="99"/>
    </row>
    <row r="931">
      <c r="A931" s="97"/>
      <c r="B931" s="97"/>
      <c r="C931" s="97"/>
      <c r="D931" s="97"/>
      <c r="E931" s="97"/>
      <c r="F931" s="97"/>
      <c r="G931" s="98"/>
      <c r="H931" s="97"/>
      <c r="I931" s="97"/>
      <c r="J931" s="97"/>
      <c r="K931" s="97"/>
      <c r="L931" s="97"/>
      <c r="M931" s="97"/>
      <c r="N931" s="97"/>
      <c r="O931" s="97"/>
      <c r="P931" s="97"/>
      <c r="Q931" s="97"/>
      <c r="R931" s="97"/>
      <c r="S931" s="97"/>
      <c r="T931" s="97"/>
      <c r="U931" s="98"/>
      <c r="V931" s="97"/>
      <c r="W931" s="97"/>
      <c r="X931" s="97"/>
      <c r="Y931" s="97"/>
      <c r="Z931" s="97"/>
      <c r="AA931" s="97"/>
      <c r="AB931" s="97"/>
      <c r="AC931" s="97"/>
      <c r="AD931" s="97"/>
      <c r="AE931" s="97"/>
      <c r="AF931" s="97"/>
      <c r="AG931" s="97"/>
      <c r="AH931" s="97"/>
      <c r="AI931" s="97"/>
      <c r="AJ931" s="97"/>
      <c r="AK931" s="97"/>
      <c r="AL931" s="97"/>
      <c r="AM931" s="97"/>
      <c r="AN931" s="97"/>
      <c r="AO931" s="97"/>
      <c r="AP931" s="97"/>
      <c r="AQ931" s="99"/>
      <c r="AR931" s="99"/>
      <c r="AS931" s="99"/>
    </row>
    <row r="932">
      <c r="A932" s="97"/>
      <c r="B932" s="97"/>
      <c r="C932" s="97"/>
      <c r="D932" s="97"/>
      <c r="E932" s="97"/>
      <c r="F932" s="97"/>
      <c r="G932" s="98"/>
      <c r="H932" s="97"/>
      <c r="I932" s="97"/>
      <c r="J932" s="97"/>
      <c r="K932" s="97"/>
      <c r="L932" s="97"/>
      <c r="M932" s="97"/>
      <c r="N932" s="97"/>
      <c r="O932" s="97"/>
      <c r="P932" s="97"/>
      <c r="Q932" s="97"/>
      <c r="R932" s="97"/>
      <c r="S932" s="97"/>
      <c r="T932" s="97"/>
      <c r="U932" s="98"/>
      <c r="V932" s="97"/>
      <c r="W932" s="97"/>
      <c r="X932" s="97"/>
      <c r="Y932" s="97"/>
      <c r="Z932" s="97"/>
      <c r="AA932" s="97"/>
      <c r="AB932" s="97"/>
      <c r="AC932" s="97"/>
      <c r="AD932" s="97"/>
      <c r="AE932" s="97"/>
      <c r="AF932" s="97"/>
      <c r="AG932" s="97"/>
      <c r="AH932" s="97"/>
      <c r="AI932" s="97"/>
      <c r="AJ932" s="97"/>
      <c r="AK932" s="97"/>
      <c r="AL932" s="97"/>
      <c r="AM932" s="97"/>
      <c r="AN932" s="97"/>
      <c r="AO932" s="97"/>
      <c r="AP932" s="97"/>
      <c r="AQ932" s="99"/>
      <c r="AR932" s="99"/>
      <c r="AS932" s="99"/>
    </row>
    <row r="933">
      <c r="A933" s="97"/>
      <c r="B933" s="97"/>
      <c r="C933" s="97"/>
      <c r="D933" s="97"/>
      <c r="E933" s="97"/>
      <c r="F933" s="97"/>
      <c r="G933" s="98"/>
      <c r="H933" s="97"/>
      <c r="I933" s="97"/>
      <c r="J933" s="97"/>
      <c r="K933" s="97"/>
      <c r="L933" s="97"/>
      <c r="M933" s="97"/>
      <c r="N933" s="97"/>
      <c r="O933" s="97"/>
      <c r="P933" s="97"/>
      <c r="Q933" s="97"/>
      <c r="R933" s="97"/>
      <c r="S933" s="97"/>
      <c r="T933" s="97"/>
      <c r="U933" s="98"/>
      <c r="V933" s="97"/>
      <c r="W933" s="97"/>
      <c r="X933" s="97"/>
      <c r="Y933" s="97"/>
      <c r="Z933" s="97"/>
      <c r="AA933" s="97"/>
      <c r="AB933" s="97"/>
      <c r="AC933" s="97"/>
      <c r="AD933" s="97"/>
      <c r="AE933" s="97"/>
      <c r="AF933" s="97"/>
      <c r="AG933" s="97"/>
      <c r="AH933" s="97"/>
      <c r="AI933" s="97"/>
      <c r="AJ933" s="97"/>
      <c r="AK933" s="97"/>
      <c r="AL933" s="97"/>
      <c r="AM933" s="97"/>
      <c r="AN933" s="97"/>
      <c r="AO933" s="97"/>
      <c r="AP933" s="97"/>
      <c r="AQ933" s="99"/>
      <c r="AR933" s="99"/>
      <c r="AS933" s="99"/>
    </row>
    <row r="934">
      <c r="A934" s="97"/>
      <c r="B934" s="97"/>
      <c r="C934" s="97"/>
      <c r="D934" s="97"/>
      <c r="E934" s="97"/>
      <c r="F934" s="97"/>
      <c r="G934" s="98"/>
      <c r="H934" s="97"/>
      <c r="I934" s="97"/>
      <c r="J934" s="97"/>
      <c r="K934" s="97"/>
      <c r="L934" s="97"/>
      <c r="M934" s="97"/>
      <c r="N934" s="97"/>
      <c r="O934" s="97"/>
      <c r="P934" s="97"/>
      <c r="Q934" s="97"/>
      <c r="R934" s="97"/>
      <c r="S934" s="97"/>
      <c r="T934" s="97"/>
      <c r="U934" s="98"/>
      <c r="V934" s="97"/>
      <c r="W934" s="97"/>
      <c r="X934" s="97"/>
      <c r="Y934" s="97"/>
      <c r="Z934" s="97"/>
      <c r="AA934" s="97"/>
      <c r="AB934" s="97"/>
      <c r="AC934" s="97"/>
      <c r="AD934" s="97"/>
      <c r="AE934" s="97"/>
      <c r="AF934" s="97"/>
      <c r="AG934" s="97"/>
      <c r="AH934" s="97"/>
      <c r="AI934" s="97"/>
      <c r="AJ934" s="97"/>
      <c r="AK934" s="97"/>
      <c r="AL934" s="97"/>
      <c r="AM934" s="97"/>
      <c r="AN934" s="97"/>
      <c r="AO934" s="97"/>
      <c r="AP934" s="97"/>
      <c r="AQ934" s="99"/>
      <c r="AR934" s="99"/>
      <c r="AS934" s="99"/>
    </row>
    <row r="935">
      <c r="A935" s="97"/>
      <c r="B935" s="97"/>
      <c r="C935" s="97"/>
      <c r="D935" s="97"/>
      <c r="E935" s="97"/>
      <c r="F935" s="97"/>
      <c r="G935" s="98"/>
      <c r="H935" s="97"/>
      <c r="I935" s="97"/>
      <c r="J935" s="97"/>
      <c r="K935" s="97"/>
      <c r="L935" s="97"/>
      <c r="M935" s="97"/>
      <c r="N935" s="97"/>
      <c r="O935" s="97"/>
      <c r="P935" s="97"/>
      <c r="Q935" s="97"/>
      <c r="R935" s="97"/>
      <c r="S935" s="97"/>
      <c r="T935" s="97"/>
      <c r="U935" s="98"/>
      <c r="V935" s="97"/>
      <c r="W935" s="97"/>
      <c r="X935" s="97"/>
      <c r="Y935" s="97"/>
      <c r="Z935" s="97"/>
      <c r="AA935" s="97"/>
      <c r="AB935" s="97"/>
      <c r="AC935" s="97"/>
      <c r="AD935" s="97"/>
      <c r="AE935" s="97"/>
      <c r="AF935" s="97"/>
      <c r="AG935" s="97"/>
      <c r="AH935" s="97"/>
      <c r="AI935" s="97"/>
      <c r="AJ935" s="97"/>
      <c r="AK935" s="97"/>
      <c r="AL935" s="97"/>
      <c r="AM935" s="97"/>
      <c r="AN935" s="97"/>
      <c r="AO935" s="97"/>
      <c r="AP935" s="97"/>
      <c r="AQ935" s="99"/>
      <c r="AR935" s="99"/>
      <c r="AS935" s="99"/>
    </row>
    <row r="936">
      <c r="A936" s="97"/>
      <c r="B936" s="97"/>
      <c r="C936" s="97"/>
      <c r="D936" s="97"/>
      <c r="E936" s="97"/>
      <c r="F936" s="97"/>
      <c r="G936" s="98"/>
      <c r="H936" s="97"/>
      <c r="I936" s="97"/>
      <c r="J936" s="97"/>
      <c r="K936" s="97"/>
      <c r="L936" s="97"/>
      <c r="M936" s="97"/>
      <c r="N936" s="97"/>
      <c r="O936" s="97"/>
      <c r="P936" s="97"/>
      <c r="Q936" s="97"/>
      <c r="R936" s="97"/>
      <c r="S936" s="97"/>
      <c r="T936" s="97"/>
      <c r="U936" s="98"/>
      <c r="V936" s="97"/>
      <c r="W936" s="97"/>
      <c r="X936" s="97"/>
      <c r="Y936" s="97"/>
      <c r="Z936" s="97"/>
      <c r="AA936" s="97"/>
      <c r="AB936" s="97"/>
      <c r="AC936" s="97"/>
      <c r="AD936" s="97"/>
      <c r="AE936" s="97"/>
      <c r="AF936" s="97"/>
      <c r="AG936" s="97"/>
      <c r="AH936" s="97"/>
      <c r="AI936" s="97"/>
      <c r="AJ936" s="97"/>
      <c r="AK936" s="97"/>
      <c r="AL936" s="97"/>
      <c r="AM936" s="97"/>
      <c r="AN936" s="97"/>
      <c r="AO936" s="97"/>
      <c r="AP936" s="97"/>
      <c r="AQ936" s="99"/>
      <c r="AR936" s="99"/>
      <c r="AS936" s="99"/>
    </row>
    <row r="937">
      <c r="A937" s="97"/>
      <c r="B937" s="97"/>
      <c r="C937" s="97"/>
      <c r="D937" s="97"/>
      <c r="E937" s="97"/>
      <c r="F937" s="97"/>
      <c r="G937" s="98"/>
      <c r="H937" s="97"/>
      <c r="I937" s="97"/>
      <c r="J937" s="97"/>
      <c r="K937" s="97"/>
      <c r="L937" s="97"/>
      <c r="M937" s="97"/>
      <c r="N937" s="97"/>
      <c r="O937" s="97"/>
      <c r="P937" s="97"/>
      <c r="Q937" s="97"/>
      <c r="R937" s="97"/>
      <c r="S937" s="97"/>
      <c r="T937" s="97"/>
      <c r="U937" s="98"/>
      <c r="V937" s="97"/>
      <c r="W937" s="97"/>
      <c r="X937" s="97"/>
      <c r="Y937" s="97"/>
      <c r="Z937" s="97"/>
      <c r="AA937" s="97"/>
      <c r="AB937" s="97"/>
      <c r="AC937" s="97"/>
      <c r="AD937" s="97"/>
      <c r="AE937" s="97"/>
      <c r="AF937" s="97"/>
      <c r="AG937" s="97"/>
      <c r="AH937" s="97"/>
      <c r="AI937" s="97"/>
      <c r="AJ937" s="97"/>
      <c r="AK937" s="97"/>
      <c r="AL937" s="97"/>
      <c r="AM937" s="97"/>
      <c r="AN937" s="97"/>
      <c r="AO937" s="97"/>
      <c r="AP937" s="97"/>
      <c r="AQ937" s="99"/>
      <c r="AR937" s="99"/>
      <c r="AS937" s="99"/>
    </row>
    <row r="938">
      <c r="A938" s="97"/>
      <c r="B938" s="97"/>
      <c r="C938" s="97"/>
      <c r="D938" s="97"/>
      <c r="E938" s="97"/>
      <c r="F938" s="97"/>
      <c r="G938" s="98"/>
      <c r="H938" s="97"/>
      <c r="I938" s="97"/>
      <c r="J938" s="97"/>
      <c r="K938" s="97"/>
      <c r="L938" s="97"/>
      <c r="M938" s="97"/>
      <c r="N938" s="97"/>
      <c r="O938" s="97"/>
      <c r="P938" s="97"/>
      <c r="Q938" s="97"/>
      <c r="R938" s="97"/>
      <c r="S938" s="97"/>
      <c r="T938" s="97"/>
      <c r="U938" s="98"/>
      <c r="V938" s="97"/>
      <c r="W938" s="97"/>
      <c r="X938" s="97"/>
      <c r="Y938" s="97"/>
      <c r="Z938" s="97"/>
      <c r="AA938" s="97"/>
      <c r="AB938" s="97"/>
      <c r="AC938" s="97"/>
      <c r="AD938" s="97"/>
      <c r="AE938" s="97"/>
      <c r="AF938" s="97"/>
      <c r="AG938" s="97"/>
      <c r="AH938" s="97"/>
      <c r="AI938" s="97"/>
      <c r="AJ938" s="97"/>
      <c r="AK938" s="97"/>
      <c r="AL938" s="97"/>
      <c r="AM938" s="97"/>
      <c r="AN938" s="97"/>
      <c r="AO938" s="97"/>
      <c r="AP938" s="97"/>
      <c r="AQ938" s="99"/>
      <c r="AR938" s="99"/>
      <c r="AS938" s="99"/>
    </row>
    <row r="939">
      <c r="A939" s="97"/>
      <c r="B939" s="97"/>
      <c r="C939" s="97"/>
      <c r="D939" s="97"/>
      <c r="E939" s="97"/>
      <c r="F939" s="97"/>
      <c r="G939" s="98"/>
      <c r="H939" s="97"/>
      <c r="I939" s="97"/>
      <c r="J939" s="97"/>
      <c r="K939" s="97"/>
      <c r="L939" s="97"/>
      <c r="M939" s="97"/>
      <c r="N939" s="97"/>
      <c r="O939" s="97"/>
      <c r="P939" s="97"/>
      <c r="Q939" s="97"/>
      <c r="R939" s="97"/>
      <c r="S939" s="97"/>
      <c r="T939" s="97"/>
      <c r="U939" s="98"/>
      <c r="V939" s="97"/>
      <c r="W939" s="97"/>
      <c r="X939" s="97"/>
      <c r="Y939" s="97"/>
      <c r="Z939" s="97"/>
      <c r="AA939" s="97"/>
      <c r="AB939" s="97"/>
      <c r="AC939" s="97"/>
      <c r="AD939" s="97"/>
      <c r="AE939" s="97"/>
      <c r="AF939" s="97"/>
      <c r="AG939" s="97"/>
      <c r="AH939" s="97"/>
      <c r="AI939" s="97"/>
      <c r="AJ939" s="97"/>
      <c r="AK939" s="97"/>
      <c r="AL939" s="97"/>
      <c r="AM939" s="97"/>
      <c r="AN939" s="97"/>
      <c r="AO939" s="97"/>
      <c r="AP939" s="97"/>
      <c r="AQ939" s="99"/>
      <c r="AR939" s="99"/>
      <c r="AS939" s="99"/>
    </row>
    <row r="940">
      <c r="A940" s="97"/>
      <c r="B940" s="97"/>
      <c r="C940" s="97"/>
      <c r="D940" s="97"/>
      <c r="E940" s="97"/>
      <c r="F940" s="97"/>
      <c r="G940" s="98"/>
      <c r="H940" s="97"/>
      <c r="I940" s="97"/>
      <c r="J940" s="97"/>
      <c r="K940" s="97"/>
      <c r="L940" s="97"/>
      <c r="M940" s="97"/>
      <c r="N940" s="97"/>
      <c r="O940" s="97"/>
      <c r="P940" s="97"/>
      <c r="Q940" s="97"/>
      <c r="R940" s="97"/>
      <c r="S940" s="97"/>
      <c r="T940" s="97"/>
      <c r="U940" s="98"/>
      <c r="V940" s="97"/>
      <c r="W940" s="97"/>
      <c r="X940" s="97"/>
      <c r="Y940" s="97"/>
      <c r="Z940" s="97"/>
      <c r="AA940" s="97"/>
      <c r="AB940" s="97"/>
      <c r="AC940" s="97"/>
      <c r="AD940" s="97"/>
      <c r="AE940" s="97"/>
      <c r="AF940" s="97"/>
      <c r="AG940" s="97"/>
      <c r="AH940" s="97"/>
      <c r="AI940" s="97"/>
      <c r="AJ940" s="97"/>
      <c r="AK940" s="97"/>
      <c r="AL940" s="97"/>
      <c r="AM940" s="97"/>
      <c r="AN940" s="97"/>
      <c r="AO940" s="97"/>
      <c r="AP940" s="97"/>
      <c r="AQ940" s="99"/>
      <c r="AR940" s="99"/>
      <c r="AS940" s="99"/>
    </row>
    <row r="941">
      <c r="A941" s="97"/>
      <c r="B941" s="97"/>
      <c r="C941" s="97"/>
      <c r="D941" s="97"/>
      <c r="E941" s="97"/>
      <c r="F941" s="97"/>
      <c r="G941" s="98"/>
      <c r="H941" s="97"/>
      <c r="I941" s="97"/>
      <c r="J941" s="97"/>
      <c r="K941" s="97"/>
      <c r="L941" s="97"/>
      <c r="M941" s="97"/>
      <c r="N941" s="97"/>
      <c r="O941" s="97"/>
      <c r="P941" s="97"/>
      <c r="Q941" s="97"/>
      <c r="R941" s="97"/>
      <c r="S941" s="97"/>
      <c r="T941" s="97"/>
      <c r="U941" s="98"/>
      <c r="V941" s="97"/>
      <c r="W941" s="97"/>
      <c r="X941" s="97"/>
      <c r="Y941" s="97"/>
      <c r="Z941" s="97"/>
      <c r="AA941" s="97"/>
      <c r="AB941" s="97"/>
      <c r="AC941" s="97"/>
      <c r="AD941" s="97"/>
      <c r="AE941" s="97"/>
      <c r="AF941" s="97"/>
      <c r="AG941" s="97"/>
      <c r="AH941" s="97"/>
      <c r="AI941" s="97"/>
      <c r="AJ941" s="97"/>
      <c r="AK941" s="97"/>
      <c r="AL941" s="97"/>
      <c r="AM941" s="97"/>
      <c r="AN941" s="97"/>
      <c r="AO941" s="97"/>
      <c r="AP941" s="97"/>
      <c r="AQ941" s="99"/>
      <c r="AR941" s="99"/>
      <c r="AS941" s="99"/>
    </row>
    <row r="942">
      <c r="A942" s="97"/>
      <c r="B942" s="97"/>
      <c r="C942" s="97"/>
      <c r="D942" s="97"/>
      <c r="E942" s="97"/>
      <c r="F942" s="97"/>
      <c r="G942" s="98"/>
      <c r="H942" s="97"/>
      <c r="I942" s="97"/>
      <c r="J942" s="97"/>
      <c r="K942" s="97"/>
      <c r="L942" s="97"/>
      <c r="M942" s="97"/>
      <c r="N942" s="97"/>
      <c r="O942" s="97"/>
      <c r="P942" s="97"/>
      <c r="Q942" s="97"/>
      <c r="R942" s="97"/>
      <c r="S942" s="97"/>
      <c r="T942" s="97"/>
      <c r="U942" s="98"/>
      <c r="V942" s="97"/>
      <c r="W942" s="97"/>
      <c r="X942" s="97"/>
      <c r="Y942" s="97"/>
      <c r="Z942" s="97"/>
      <c r="AA942" s="97"/>
      <c r="AB942" s="97"/>
      <c r="AC942" s="97"/>
      <c r="AD942" s="97"/>
      <c r="AE942" s="97"/>
      <c r="AF942" s="97"/>
      <c r="AG942" s="97"/>
      <c r="AH942" s="97"/>
      <c r="AI942" s="97"/>
      <c r="AJ942" s="97"/>
      <c r="AK942" s="97"/>
      <c r="AL942" s="97"/>
      <c r="AM942" s="97"/>
      <c r="AN942" s="97"/>
      <c r="AO942" s="97"/>
      <c r="AP942" s="97"/>
      <c r="AQ942" s="99"/>
      <c r="AR942" s="99"/>
      <c r="AS942" s="99"/>
    </row>
    <row r="943">
      <c r="A943" s="97"/>
      <c r="B943" s="97"/>
      <c r="C943" s="97"/>
      <c r="D943" s="97"/>
      <c r="E943" s="97"/>
      <c r="F943" s="97"/>
      <c r="G943" s="98"/>
      <c r="H943" s="97"/>
      <c r="I943" s="97"/>
      <c r="J943" s="97"/>
      <c r="K943" s="97"/>
      <c r="L943" s="97"/>
      <c r="M943" s="97"/>
      <c r="N943" s="97"/>
      <c r="O943" s="97"/>
      <c r="P943" s="97"/>
      <c r="Q943" s="97"/>
      <c r="R943" s="97"/>
      <c r="S943" s="97"/>
      <c r="T943" s="97"/>
      <c r="U943" s="98"/>
      <c r="V943" s="97"/>
      <c r="W943" s="97"/>
      <c r="X943" s="97"/>
      <c r="Y943" s="97"/>
      <c r="Z943" s="97"/>
      <c r="AA943" s="97"/>
      <c r="AB943" s="97"/>
      <c r="AC943" s="97"/>
      <c r="AD943" s="97"/>
      <c r="AE943" s="97"/>
      <c r="AF943" s="97"/>
      <c r="AG943" s="97"/>
      <c r="AH943" s="97"/>
      <c r="AI943" s="97"/>
      <c r="AJ943" s="97"/>
      <c r="AK943" s="97"/>
      <c r="AL943" s="97"/>
      <c r="AM943" s="97"/>
      <c r="AN943" s="97"/>
      <c r="AO943" s="97"/>
      <c r="AP943" s="97"/>
      <c r="AQ943" s="99"/>
      <c r="AR943" s="99"/>
      <c r="AS943" s="99"/>
    </row>
    <row r="944">
      <c r="A944" s="97"/>
      <c r="B944" s="97"/>
      <c r="C944" s="97"/>
      <c r="D944" s="97"/>
      <c r="E944" s="97"/>
      <c r="F944" s="97"/>
      <c r="G944" s="98"/>
      <c r="H944" s="97"/>
      <c r="I944" s="97"/>
      <c r="J944" s="97"/>
      <c r="K944" s="97"/>
      <c r="L944" s="97"/>
      <c r="M944" s="97"/>
      <c r="N944" s="97"/>
      <c r="O944" s="97"/>
      <c r="P944" s="97"/>
      <c r="Q944" s="97"/>
      <c r="R944" s="97"/>
      <c r="S944" s="97"/>
      <c r="T944" s="97"/>
      <c r="U944" s="98"/>
      <c r="V944" s="97"/>
      <c r="W944" s="97"/>
      <c r="X944" s="97"/>
      <c r="Y944" s="97"/>
      <c r="Z944" s="97"/>
      <c r="AA944" s="97"/>
      <c r="AB944" s="97"/>
      <c r="AC944" s="97"/>
      <c r="AD944" s="97"/>
      <c r="AE944" s="97"/>
      <c r="AF944" s="97"/>
      <c r="AG944" s="97"/>
      <c r="AH944" s="97"/>
      <c r="AI944" s="97"/>
      <c r="AJ944" s="97"/>
      <c r="AK944" s="97"/>
      <c r="AL944" s="97"/>
      <c r="AM944" s="97"/>
      <c r="AN944" s="97"/>
      <c r="AO944" s="97"/>
      <c r="AP944" s="97"/>
      <c r="AQ944" s="99"/>
      <c r="AR944" s="99"/>
      <c r="AS944" s="99"/>
    </row>
    <row r="945">
      <c r="A945" s="97"/>
      <c r="B945" s="97"/>
      <c r="C945" s="97"/>
      <c r="D945" s="97"/>
      <c r="E945" s="97"/>
      <c r="F945" s="97"/>
      <c r="G945" s="98"/>
      <c r="H945" s="97"/>
      <c r="I945" s="97"/>
      <c r="J945" s="97"/>
      <c r="K945" s="97"/>
      <c r="L945" s="97"/>
      <c r="M945" s="97"/>
      <c r="N945" s="97"/>
      <c r="O945" s="97"/>
      <c r="P945" s="97"/>
      <c r="Q945" s="97"/>
      <c r="R945" s="97"/>
      <c r="S945" s="97"/>
      <c r="T945" s="97"/>
      <c r="U945" s="98"/>
      <c r="V945" s="97"/>
      <c r="W945" s="97"/>
      <c r="X945" s="97"/>
      <c r="Y945" s="97"/>
      <c r="Z945" s="97"/>
      <c r="AA945" s="97"/>
      <c r="AB945" s="97"/>
      <c r="AC945" s="97"/>
      <c r="AD945" s="97"/>
      <c r="AE945" s="97"/>
      <c r="AF945" s="97"/>
      <c r="AG945" s="97"/>
      <c r="AH945" s="97"/>
      <c r="AI945" s="97"/>
      <c r="AJ945" s="97"/>
      <c r="AK945" s="97"/>
      <c r="AL945" s="97"/>
      <c r="AM945" s="97"/>
      <c r="AN945" s="97"/>
      <c r="AO945" s="97"/>
      <c r="AP945" s="97"/>
      <c r="AQ945" s="99"/>
      <c r="AR945" s="99"/>
      <c r="AS945" s="99"/>
    </row>
    <row r="946">
      <c r="A946" s="97"/>
      <c r="B946" s="97"/>
      <c r="C946" s="97"/>
      <c r="D946" s="97"/>
      <c r="E946" s="97"/>
      <c r="F946" s="97"/>
      <c r="G946" s="98"/>
      <c r="H946" s="97"/>
      <c r="I946" s="97"/>
      <c r="J946" s="97"/>
      <c r="K946" s="97"/>
      <c r="L946" s="97"/>
      <c r="M946" s="97"/>
      <c r="N946" s="97"/>
      <c r="O946" s="97"/>
      <c r="P946" s="97"/>
      <c r="Q946" s="97"/>
      <c r="R946" s="97"/>
      <c r="S946" s="97"/>
      <c r="T946" s="97"/>
      <c r="U946" s="98"/>
      <c r="V946" s="97"/>
      <c r="W946" s="97"/>
      <c r="X946" s="97"/>
      <c r="Y946" s="97"/>
      <c r="Z946" s="97"/>
      <c r="AA946" s="97"/>
      <c r="AB946" s="97"/>
      <c r="AC946" s="97"/>
      <c r="AD946" s="97"/>
      <c r="AE946" s="97"/>
      <c r="AF946" s="97"/>
      <c r="AG946" s="97"/>
      <c r="AH946" s="97"/>
      <c r="AI946" s="97"/>
      <c r="AJ946" s="97"/>
      <c r="AK946" s="97"/>
      <c r="AL946" s="97"/>
      <c r="AM946" s="97"/>
      <c r="AN946" s="97"/>
      <c r="AO946" s="97"/>
      <c r="AP946" s="97"/>
      <c r="AQ946" s="99"/>
      <c r="AR946" s="99"/>
      <c r="AS946" s="99"/>
    </row>
    <row r="947">
      <c r="A947" s="97"/>
      <c r="B947" s="97"/>
      <c r="C947" s="97"/>
      <c r="D947" s="97"/>
      <c r="E947" s="97"/>
      <c r="F947" s="97"/>
      <c r="G947" s="98"/>
      <c r="H947" s="97"/>
      <c r="I947" s="97"/>
      <c r="J947" s="97"/>
      <c r="K947" s="97"/>
      <c r="L947" s="97"/>
      <c r="M947" s="97"/>
      <c r="N947" s="97"/>
      <c r="O947" s="97"/>
      <c r="P947" s="97"/>
      <c r="Q947" s="97"/>
      <c r="R947" s="97"/>
      <c r="S947" s="97"/>
      <c r="T947" s="97"/>
      <c r="U947" s="98"/>
      <c r="V947" s="97"/>
      <c r="W947" s="97"/>
      <c r="X947" s="97"/>
      <c r="Y947" s="97"/>
      <c r="Z947" s="97"/>
      <c r="AA947" s="97"/>
      <c r="AB947" s="97"/>
      <c r="AC947" s="97"/>
      <c r="AD947" s="97"/>
      <c r="AE947" s="97"/>
      <c r="AF947" s="97"/>
      <c r="AG947" s="97"/>
      <c r="AH947" s="97"/>
      <c r="AI947" s="97"/>
      <c r="AJ947" s="97"/>
      <c r="AK947" s="97"/>
      <c r="AL947" s="97"/>
      <c r="AM947" s="97"/>
      <c r="AN947" s="97"/>
      <c r="AO947" s="97"/>
      <c r="AP947" s="97"/>
      <c r="AQ947" s="99"/>
      <c r="AR947" s="99"/>
      <c r="AS947" s="99"/>
    </row>
    <row r="948">
      <c r="A948" s="97"/>
      <c r="B948" s="97"/>
      <c r="C948" s="97"/>
      <c r="D948" s="97"/>
      <c r="E948" s="97"/>
      <c r="F948" s="97"/>
      <c r="G948" s="98"/>
      <c r="H948" s="97"/>
      <c r="I948" s="97"/>
      <c r="J948" s="97"/>
      <c r="K948" s="97"/>
      <c r="L948" s="97"/>
      <c r="M948" s="97"/>
      <c r="N948" s="97"/>
      <c r="O948" s="97"/>
      <c r="P948" s="97"/>
      <c r="Q948" s="97"/>
      <c r="R948" s="97"/>
      <c r="S948" s="97"/>
      <c r="T948" s="97"/>
      <c r="U948" s="98"/>
      <c r="V948" s="97"/>
      <c r="W948" s="97"/>
      <c r="X948" s="97"/>
      <c r="Y948" s="97"/>
      <c r="Z948" s="97"/>
      <c r="AA948" s="97"/>
      <c r="AB948" s="97"/>
      <c r="AC948" s="97"/>
      <c r="AD948" s="97"/>
      <c r="AE948" s="97"/>
      <c r="AF948" s="97"/>
      <c r="AG948" s="97"/>
      <c r="AH948" s="97"/>
      <c r="AI948" s="97"/>
      <c r="AJ948" s="97"/>
      <c r="AK948" s="97"/>
      <c r="AL948" s="97"/>
      <c r="AM948" s="97"/>
      <c r="AN948" s="97"/>
      <c r="AO948" s="97"/>
      <c r="AP948" s="97"/>
      <c r="AQ948" s="99"/>
      <c r="AR948" s="99"/>
      <c r="AS948" s="99"/>
    </row>
    <row r="949">
      <c r="A949" s="97"/>
      <c r="B949" s="97"/>
      <c r="C949" s="97"/>
      <c r="D949" s="97"/>
      <c r="E949" s="97"/>
      <c r="F949" s="97"/>
      <c r="G949" s="98"/>
      <c r="H949" s="97"/>
      <c r="I949" s="97"/>
      <c r="J949" s="97"/>
      <c r="K949" s="97"/>
      <c r="L949" s="97"/>
      <c r="M949" s="97"/>
      <c r="N949" s="97"/>
      <c r="O949" s="97"/>
      <c r="P949" s="97"/>
      <c r="Q949" s="97"/>
      <c r="R949" s="97"/>
      <c r="S949" s="97"/>
      <c r="T949" s="97"/>
      <c r="U949" s="98"/>
      <c r="V949" s="97"/>
      <c r="W949" s="97"/>
      <c r="X949" s="97"/>
      <c r="Y949" s="97"/>
      <c r="Z949" s="97"/>
      <c r="AA949" s="97"/>
      <c r="AB949" s="97"/>
      <c r="AC949" s="97"/>
      <c r="AD949" s="97"/>
      <c r="AE949" s="97"/>
      <c r="AF949" s="97"/>
      <c r="AG949" s="97"/>
      <c r="AH949" s="97"/>
      <c r="AI949" s="97"/>
      <c r="AJ949" s="97"/>
      <c r="AK949" s="97"/>
      <c r="AL949" s="97"/>
      <c r="AM949" s="97"/>
      <c r="AN949" s="97"/>
      <c r="AO949" s="97"/>
      <c r="AP949" s="97"/>
      <c r="AQ949" s="99"/>
      <c r="AR949" s="99"/>
      <c r="AS949" s="99"/>
    </row>
    <row r="950">
      <c r="A950" s="97"/>
      <c r="B950" s="97"/>
      <c r="C950" s="97"/>
      <c r="D950" s="97"/>
      <c r="E950" s="97"/>
      <c r="F950" s="97"/>
      <c r="G950" s="98"/>
      <c r="H950" s="97"/>
      <c r="I950" s="97"/>
      <c r="J950" s="97"/>
      <c r="K950" s="97"/>
      <c r="L950" s="97"/>
      <c r="M950" s="97"/>
      <c r="N950" s="97"/>
      <c r="O950" s="97"/>
      <c r="P950" s="97"/>
      <c r="Q950" s="97"/>
      <c r="R950" s="97"/>
      <c r="S950" s="97"/>
      <c r="T950" s="97"/>
      <c r="U950" s="98"/>
      <c r="V950" s="97"/>
      <c r="W950" s="97"/>
      <c r="X950" s="97"/>
      <c r="Y950" s="97"/>
      <c r="Z950" s="97"/>
      <c r="AA950" s="97"/>
      <c r="AB950" s="97"/>
      <c r="AC950" s="97"/>
      <c r="AD950" s="97"/>
      <c r="AE950" s="97"/>
      <c r="AF950" s="97"/>
      <c r="AG950" s="97"/>
      <c r="AH950" s="97"/>
      <c r="AI950" s="97"/>
      <c r="AJ950" s="97"/>
      <c r="AK950" s="97"/>
      <c r="AL950" s="97"/>
      <c r="AM950" s="97"/>
      <c r="AN950" s="97"/>
      <c r="AO950" s="97"/>
      <c r="AP950" s="97"/>
      <c r="AQ950" s="99"/>
      <c r="AR950" s="99"/>
      <c r="AS950" s="99"/>
    </row>
    <row r="951">
      <c r="A951" s="97"/>
      <c r="B951" s="97"/>
      <c r="C951" s="97"/>
      <c r="D951" s="97"/>
      <c r="E951" s="97"/>
      <c r="F951" s="97"/>
      <c r="G951" s="98"/>
      <c r="H951" s="97"/>
      <c r="I951" s="97"/>
      <c r="J951" s="97"/>
      <c r="K951" s="97"/>
      <c r="L951" s="97"/>
      <c r="M951" s="97"/>
      <c r="N951" s="97"/>
      <c r="O951" s="97"/>
      <c r="P951" s="97"/>
      <c r="Q951" s="97"/>
      <c r="R951" s="97"/>
      <c r="S951" s="97"/>
      <c r="T951" s="97"/>
      <c r="U951" s="98"/>
      <c r="V951" s="97"/>
      <c r="W951" s="97"/>
      <c r="X951" s="97"/>
      <c r="Y951" s="97"/>
      <c r="Z951" s="97"/>
      <c r="AA951" s="97"/>
      <c r="AB951" s="97"/>
      <c r="AC951" s="97"/>
      <c r="AD951" s="97"/>
      <c r="AE951" s="97"/>
      <c r="AF951" s="97"/>
      <c r="AG951" s="97"/>
      <c r="AH951" s="97"/>
      <c r="AI951" s="97"/>
      <c r="AJ951" s="97"/>
      <c r="AK951" s="97"/>
      <c r="AL951" s="97"/>
      <c r="AM951" s="97"/>
      <c r="AN951" s="97"/>
      <c r="AO951" s="97"/>
      <c r="AP951" s="97"/>
      <c r="AQ951" s="99"/>
      <c r="AR951" s="99"/>
      <c r="AS951" s="99"/>
    </row>
    <row r="952">
      <c r="A952" s="97"/>
      <c r="B952" s="97"/>
      <c r="C952" s="97"/>
      <c r="D952" s="97"/>
      <c r="E952" s="97"/>
      <c r="F952" s="97"/>
      <c r="G952" s="98"/>
      <c r="H952" s="97"/>
      <c r="I952" s="97"/>
      <c r="J952" s="97"/>
      <c r="K952" s="97"/>
      <c r="L952" s="97"/>
      <c r="M952" s="97"/>
      <c r="N952" s="97"/>
      <c r="O952" s="97"/>
      <c r="P952" s="97"/>
      <c r="Q952" s="97"/>
      <c r="R952" s="97"/>
      <c r="S952" s="97"/>
      <c r="T952" s="97"/>
      <c r="U952" s="98"/>
      <c r="V952" s="97"/>
      <c r="W952" s="97"/>
      <c r="X952" s="97"/>
      <c r="Y952" s="97"/>
      <c r="Z952" s="97"/>
      <c r="AA952" s="97"/>
      <c r="AB952" s="97"/>
      <c r="AC952" s="97"/>
      <c r="AD952" s="97"/>
      <c r="AE952" s="97"/>
      <c r="AF952" s="97"/>
      <c r="AG952" s="97"/>
      <c r="AH952" s="97"/>
      <c r="AI952" s="97"/>
      <c r="AJ952" s="97"/>
      <c r="AK952" s="97"/>
      <c r="AL952" s="97"/>
      <c r="AM952" s="97"/>
      <c r="AN952" s="97"/>
      <c r="AO952" s="97"/>
      <c r="AP952" s="97"/>
      <c r="AQ952" s="99"/>
      <c r="AR952" s="99"/>
      <c r="AS952" s="99"/>
    </row>
    <row r="953">
      <c r="A953" s="97"/>
      <c r="B953" s="97"/>
      <c r="C953" s="97"/>
      <c r="D953" s="97"/>
      <c r="E953" s="97"/>
      <c r="F953" s="97"/>
      <c r="G953" s="98"/>
      <c r="H953" s="97"/>
      <c r="I953" s="97"/>
      <c r="J953" s="97"/>
      <c r="K953" s="97"/>
      <c r="L953" s="97"/>
      <c r="M953" s="97"/>
      <c r="N953" s="97"/>
      <c r="O953" s="97"/>
      <c r="P953" s="97"/>
      <c r="Q953" s="97"/>
      <c r="R953" s="97"/>
      <c r="S953" s="97"/>
      <c r="T953" s="97"/>
      <c r="U953" s="98"/>
      <c r="V953" s="97"/>
      <c r="W953" s="97"/>
      <c r="X953" s="97"/>
      <c r="Y953" s="97"/>
      <c r="Z953" s="97"/>
      <c r="AA953" s="97"/>
      <c r="AB953" s="97"/>
      <c r="AC953" s="97"/>
      <c r="AD953" s="97"/>
      <c r="AE953" s="97"/>
      <c r="AF953" s="97"/>
      <c r="AG953" s="97"/>
      <c r="AH953" s="97"/>
      <c r="AI953" s="97"/>
      <c r="AJ953" s="97"/>
      <c r="AK953" s="97"/>
      <c r="AL953" s="97"/>
      <c r="AM953" s="97"/>
      <c r="AN953" s="97"/>
      <c r="AO953" s="97"/>
      <c r="AP953" s="97"/>
      <c r="AQ953" s="99"/>
      <c r="AR953" s="99"/>
      <c r="AS953" s="99"/>
    </row>
    <row r="954">
      <c r="A954" s="97"/>
      <c r="B954" s="97"/>
      <c r="C954" s="97"/>
      <c r="D954" s="97"/>
      <c r="E954" s="97"/>
      <c r="F954" s="97"/>
      <c r="G954" s="98"/>
      <c r="H954" s="97"/>
      <c r="I954" s="97"/>
      <c r="J954" s="97"/>
      <c r="K954" s="97"/>
      <c r="L954" s="97"/>
      <c r="M954" s="97"/>
      <c r="N954" s="97"/>
      <c r="O954" s="97"/>
      <c r="P954" s="97"/>
      <c r="Q954" s="97"/>
      <c r="R954" s="97"/>
      <c r="S954" s="97"/>
      <c r="T954" s="97"/>
      <c r="U954" s="98"/>
      <c r="V954" s="97"/>
      <c r="W954" s="97"/>
      <c r="X954" s="97"/>
      <c r="Y954" s="97"/>
      <c r="Z954" s="97"/>
      <c r="AA954" s="97"/>
      <c r="AB954" s="97"/>
      <c r="AC954" s="97"/>
      <c r="AD954" s="97"/>
      <c r="AE954" s="97"/>
      <c r="AF954" s="97"/>
      <c r="AG954" s="97"/>
      <c r="AH954" s="97"/>
      <c r="AI954" s="97"/>
      <c r="AJ954" s="97"/>
      <c r="AK954" s="97"/>
      <c r="AL954" s="97"/>
      <c r="AM954" s="97"/>
      <c r="AN954" s="97"/>
      <c r="AO954" s="97"/>
      <c r="AP954" s="97"/>
      <c r="AQ954" s="99"/>
      <c r="AR954" s="99"/>
      <c r="AS954" s="99"/>
    </row>
    <row r="955">
      <c r="A955" s="97"/>
      <c r="B955" s="97"/>
      <c r="C955" s="97"/>
      <c r="D955" s="97"/>
      <c r="E955" s="97"/>
      <c r="F955" s="97"/>
      <c r="G955" s="98"/>
      <c r="H955" s="97"/>
      <c r="I955" s="97"/>
      <c r="J955" s="97"/>
      <c r="K955" s="97"/>
      <c r="L955" s="97"/>
      <c r="M955" s="97"/>
      <c r="N955" s="97"/>
      <c r="O955" s="97"/>
      <c r="P955" s="97"/>
      <c r="Q955" s="97"/>
      <c r="R955" s="97"/>
      <c r="S955" s="97"/>
      <c r="T955" s="97"/>
      <c r="U955" s="98"/>
      <c r="V955" s="97"/>
      <c r="W955" s="97"/>
      <c r="X955" s="97"/>
      <c r="Y955" s="97"/>
      <c r="Z955" s="97"/>
      <c r="AA955" s="97"/>
      <c r="AB955" s="97"/>
      <c r="AC955" s="97"/>
      <c r="AD955" s="97"/>
      <c r="AE955" s="97"/>
      <c r="AF955" s="97"/>
      <c r="AG955" s="97"/>
      <c r="AH955" s="97"/>
      <c r="AI955" s="97"/>
      <c r="AJ955" s="97"/>
      <c r="AK955" s="97"/>
      <c r="AL955" s="97"/>
      <c r="AM955" s="97"/>
      <c r="AN955" s="97"/>
      <c r="AO955" s="97"/>
      <c r="AP955" s="97"/>
      <c r="AQ955" s="99"/>
      <c r="AR955" s="99"/>
      <c r="AS955" s="99"/>
    </row>
    <row r="956">
      <c r="A956" s="97"/>
      <c r="B956" s="97"/>
      <c r="C956" s="97"/>
      <c r="D956" s="97"/>
      <c r="E956" s="97"/>
      <c r="F956" s="97"/>
      <c r="G956" s="98"/>
      <c r="H956" s="97"/>
      <c r="I956" s="97"/>
      <c r="J956" s="97"/>
      <c r="K956" s="97"/>
      <c r="L956" s="97"/>
      <c r="M956" s="97"/>
      <c r="N956" s="97"/>
      <c r="O956" s="97"/>
      <c r="P956" s="97"/>
      <c r="Q956" s="97"/>
      <c r="R956" s="97"/>
      <c r="S956" s="97"/>
      <c r="T956" s="97"/>
      <c r="U956" s="98"/>
      <c r="V956" s="97"/>
      <c r="W956" s="97"/>
      <c r="X956" s="97"/>
      <c r="Y956" s="97"/>
      <c r="Z956" s="97"/>
      <c r="AA956" s="97"/>
      <c r="AB956" s="97"/>
      <c r="AC956" s="97"/>
      <c r="AD956" s="97"/>
      <c r="AE956" s="97"/>
      <c r="AF956" s="97"/>
      <c r="AG956" s="97"/>
      <c r="AH956" s="97"/>
      <c r="AI956" s="97"/>
      <c r="AJ956" s="97"/>
      <c r="AK956" s="97"/>
      <c r="AL956" s="97"/>
      <c r="AM956" s="97"/>
      <c r="AN956" s="97"/>
      <c r="AO956" s="97"/>
      <c r="AP956" s="97"/>
      <c r="AQ956" s="99"/>
      <c r="AR956" s="99"/>
      <c r="AS956" s="99"/>
    </row>
    <row r="957">
      <c r="A957" s="97"/>
      <c r="B957" s="97"/>
      <c r="C957" s="97"/>
      <c r="D957" s="97"/>
      <c r="E957" s="97"/>
      <c r="F957" s="97"/>
      <c r="G957" s="98"/>
      <c r="H957" s="97"/>
      <c r="I957" s="97"/>
      <c r="J957" s="97"/>
      <c r="K957" s="97"/>
      <c r="L957" s="97"/>
      <c r="M957" s="97"/>
      <c r="N957" s="97"/>
      <c r="O957" s="97"/>
      <c r="P957" s="97"/>
      <c r="Q957" s="97"/>
      <c r="R957" s="97"/>
      <c r="S957" s="97"/>
      <c r="T957" s="97"/>
      <c r="U957" s="98"/>
      <c r="V957" s="97"/>
      <c r="W957" s="97"/>
      <c r="X957" s="97"/>
      <c r="Y957" s="97"/>
      <c r="Z957" s="97"/>
      <c r="AA957" s="97"/>
      <c r="AB957" s="97"/>
      <c r="AC957" s="97"/>
      <c r="AD957" s="97"/>
      <c r="AE957" s="97"/>
      <c r="AF957" s="97"/>
      <c r="AG957" s="97"/>
      <c r="AH957" s="97"/>
      <c r="AI957" s="97"/>
      <c r="AJ957" s="97"/>
      <c r="AK957" s="97"/>
      <c r="AL957" s="97"/>
      <c r="AM957" s="97"/>
      <c r="AN957" s="97"/>
      <c r="AO957" s="97"/>
      <c r="AP957" s="97"/>
      <c r="AQ957" s="99"/>
      <c r="AR957" s="99"/>
      <c r="AS957" s="99"/>
    </row>
    <row r="958">
      <c r="A958" s="97"/>
      <c r="B958" s="97"/>
      <c r="C958" s="97"/>
      <c r="D958" s="97"/>
      <c r="E958" s="97"/>
      <c r="F958" s="97"/>
      <c r="G958" s="98"/>
      <c r="H958" s="97"/>
      <c r="I958" s="97"/>
      <c r="J958" s="97"/>
      <c r="K958" s="97"/>
      <c r="L958" s="97"/>
      <c r="M958" s="97"/>
      <c r="N958" s="97"/>
      <c r="O958" s="97"/>
      <c r="P958" s="97"/>
      <c r="Q958" s="97"/>
      <c r="R958" s="97"/>
      <c r="S958" s="97"/>
      <c r="T958" s="97"/>
      <c r="U958" s="98"/>
      <c r="V958" s="97"/>
      <c r="W958" s="97"/>
      <c r="X958" s="97"/>
      <c r="Y958" s="97"/>
      <c r="Z958" s="97"/>
      <c r="AA958" s="97"/>
      <c r="AB958" s="97"/>
      <c r="AC958" s="97"/>
      <c r="AD958" s="97"/>
      <c r="AE958" s="97"/>
      <c r="AF958" s="97"/>
      <c r="AG958" s="97"/>
      <c r="AH958" s="97"/>
      <c r="AI958" s="97"/>
      <c r="AJ958" s="97"/>
      <c r="AK958" s="97"/>
      <c r="AL958" s="97"/>
      <c r="AM958" s="97"/>
      <c r="AN958" s="97"/>
      <c r="AO958" s="97"/>
      <c r="AP958" s="97"/>
      <c r="AQ958" s="99"/>
      <c r="AR958" s="99"/>
      <c r="AS958" s="99"/>
    </row>
    <row r="959">
      <c r="A959" s="97"/>
      <c r="B959" s="97"/>
      <c r="C959" s="97"/>
      <c r="D959" s="97"/>
      <c r="E959" s="97"/>
      <c r="F959" s="97"/>
      <c r="G959" s="98"/>
      <c r="H959" s="97"/>
      <c r="I959" s="97"/>
      <c r="J959" s="97"/>
      <c r="K959" s="97"/>
      <c r="L959" s="97"/>
      <c r="M959" s="97"/>
      <c r="N959" s="97"/>
      <c r="O959" s="97"/>
      <c r="P959" s="97"/>
      <c r="Q959" s="97"/>
      <c r="R959" s="97"/>
      <c r="S959" s="97"/>
      <c r="T959" s="97"/>
      <c r="U959" s="98"/>
      <c r="V959" s="97"/>
      <c r="W959" s="97"/>
      <c r="X959" s="97"/>
      <c r="Y959" s="97"/>
      <c r="Z959" s="97"/>
      <c r="AA959" s="97"/>
      <c r="AB959" s="97"/>
      <c r="AC959" s="97"/>
      <c r="AD959" s="97"/>
      <c r="AE959" s="97"/>
      <c r="AF959" s="97"/>
      <c r="AG959" s="97"/>
      <c r="AH959" s="97"/>
      <c r="AI959" s="97"/>
      <c r="AJ959" s="97"/>
      <c r="AK959" s="97"/>
      <c r="AL959" s="97"/>
      <c r="AM959" s="97"/>
      <c r="AN959" s="97"/>
      <c r="AO959" s="97"/>
      <c r="AP959" s="97"/>
      <c r="AQ959" s="99"/>
      <c r="AR959" s="99"/>
      <c r="AS959" s="99"/>
    </row>
    <row r="960">
      <c r="A960" s="97"/>
      <c r="B960" s="97"/>
      <c r="C960" s="97"/>
      <c r="D960" s="97"/>
      <c r="E960" s="97"/>
      <c r="F960" s="97"/>
      <c r="G960" s="98"/>
      <c r="H960" s="97"/>
      <c r="I960" s="97"/>
      <c r="J960" s="97"/>
      <c r="K960" s="97"/>
      <c r="L960" s="97"/>
      <c r="M960" s="97"/>
      <c r="N960" s="97"/>
      <c r="O960" s="97"/>
      <c r="P960" s="97"/>
      <c r="Q960" s="97"/>
      <c r="R960" s="97"/>
      <c r="S960" s="97"/>
      <c r="T960" s="97"/>
      <c r="U960" s="98"/>
      <c r="V960" s="97"/>
      <c r="W960" s="97"/>
      <c r="X960" s="97"/>
      <c r="Y960" s="97"/>
      <c r="Z960" s="97"/>
      <c r="AA960" s="97"/>
      <c r="AB960" s="97"/>
      <c r="AC960" s="97"/>
      <c r="AD960" s="97"/>
      <c r="AE960" s="97"/>
      <c r="AF960" s="97"/>
      <c r="AG960" s="97"/>
      <c r="AH960" s="97"/>
      <c r="AI960" s="97"/>
      <c r="AJ960" s="97"/>
      <c r="AK960" s="97"/>
      <c r="AL960" s="97"/>
      <c r="AM960" s="97"/>
      <c r="AN960" s="97"/>
      <c r="AO960" s="97"/>
      <c r="AP960" s="97"/>
      <c r="AQ960" s="99"/>
      <c r="AR960" s="99"/>
      <c r="AS960" s="99"/>
    </row>
    <row r="961">
      <c r="A961" s="97"/>
      <c r="B961" s="97"/>
      <c r="C961" s="97"/>
      <c r="D961" s="97"/>
      <c r="E961" s="97"/>
      <c r="F961" s="97"/>
      <c r="G961" s="98"/>
      <c r="H961" s="97"/>
      <c r="I961" s="97"/>
      <c r="J961" s="97"/>
      <c r="K961" s="97"/>
      <c r="L961" s="97"/>
      <c r="M961" s="97"/>
      <c r="N961" s="97"/>
      <c r="O961" s="97"/>
      <c r="P961" s="97"/>
      <c r="Q961" s="97"/>
      <c r="R961" s="97"/>
      <c r="S961" s="97"/>
      <c r="T961" s="97"/>
      <c r="U961" s="98"/>
      <c r="V961" s="97"/>
      <c r="W961" s="97"/>
      <c r="X961" s="97"/>
      <c r="Y961" s="97"/>
      <c r="Z961" s="97"/>
      <c r="AA961" s="97"/>
      <c r="AB961" s="97"/>
      <c r="AC961" s="97"/>
      <c r="AD961" s="97"/>
      <c r="AE961" s="97"/>
      <c r="AF961" s="97"/>
      <c r="AG961" s="97"/>
      <c r="AH961" s="97"/>
      <c r="AI961" s="97"/>
      <c r="AJ961" s="97"/>
      <c r="AK961" s="97"/>
      <c r="AL961" s="97"/>
      <c r="AM961" s="97"/>
      <c r="AN961" s="97"/>
      <c r="AO961" s="97"/>
      <c r="AP961" s="97"/>
      <c r="AQ961" s="99"/>
      <c r="AR961" s="99"/>
      <c r="AS961" s="99"/>
    </row>
    <row r="962">
      <c r="A962" s="97"/>
      <c r="B962" s="97"/>
      <c r="C962" s="97"/>
      <c r="D962" s="97"/>
      <c r="E962" s="97"/>
      <c r="F962" s="97"/>
      <c r="G962" s="98"/>
      <c r="H962" s="97"/>
      <c r="I962" s="97"/>
      <c r="J962" s="97"/>
      <c r="K962" s="97"/>
      <c r="L962" s="97"/>
      <c r="M962" s="97"/>
      <c r="N962" s="97"/>
      <c r="O962" s="97"/>
      <c r="P962" s="97"/>
      <c r="Q962" s="97"/>
      <c r="R962" s="97"/>
      <c r="S962" s="97"/>
      <c r="T962" s="97"/>
      <c r="U962" s="98"/>
      <c r="V962" s="97"/>
      <c r="W962" s="97"/>
      <c r="X962" s="97"/>
      <c r="Y962" s="97"/>
      <c r="Z962" s="97"/>
      <c r="AA962" s="97"/>
      <c r="AB962" s="97"/>
      <c r="AC962" s="97"/>
      <c r="AD962" s="97"/>
      <c r="AE962" s="97"/>
      <c r="AF962" s="97"/>
      <c r="AG962" s="97"/>
      <c r="AH962" s="97"/>
      <c r="AI962" s="97"/>
      <c r="AJ962" s="97"/>
      <c r="AK962" s="97"/>
      <c r="AL962" s="97"/>
      <c r="AM962" s="97"/>
      <c r="AN962" s="97"/>
      <c r="AO962" s="97"/>
      <c r="AP962" s="97"/>
      <c r="AQ962" s="99"/>
      <c r="AR962" s="99"/>
      <c r="AS962" s="99"/>
    </row>
    <row r="963">
      <c r="A963" s="97"/>
      <c r="B963" s="97"/>
      <c r="C963" s="97"/>
      <c r="D963" s="97"/>
      <c r="E963" s="97"/>
      <c r="F963" s="97"/>
      <c r="G963" s="98"/>
      <c r="H963" s="97"/>
      <c r="I963" s="97"/>
      <c r="J963" s="97"/>
      <c r="K963" s="97"/>
      <c r="L963" s="97"/>
      <c r="M963" s="97"/>
      <c r="N963" s="97"/>
      <c r="O963" s="97"/>
      <c r="P963" s="97"/>
      <c r="Q963" s="97"/>
      <c r="R963" s="97"/>
      <c r="S963" s="97"/>
      <c r="T963" s="97"/>
      <c r="U963" s="98"/>
      <c r="V963" s="97"/>
      <c r="W963" s="97"/>
      <c r="X963" s="97"/>
      <c r="Y963" s="97"/>
      <c r="Z963" s="97"/>
      <c r="AA963" s="97"/>
      <c r="AB963" s="97"/>
      <c r="AC963" s="97"/>
      <c r="AD963" s="97"/>
      <c r="AE963" s="97"/>
      <c r="AF963" s="97"/>
      <c r="AG963" s="97"/>
      <c r="AH963" s="97"/>
      <c r="AI963" s="97"/>
      <c r="AJ963" s="97"/>
      <c r="AK963" s="97"/>
      <c r="AL963" s="97"/>
      <c r="AM963" s="97"/>
      <c r="AN963" s="97"/>
      <c r="AO963" s="97"/>
      <c r="AP963" s="97"/>
      <c r="AQ963" s="99"/>
      <c r="AR963" s="99"/>
      <c r="AS963" s="99"/>
    </row>
    <row r="964">
      <c r="A964" s="97"/>
      <c r="B964" s="97"/>
      <c r="C964" s="97"/>
      <c r="D964" s="97"/>
      <c r="E964" s="97"/>
      <c r="F964" s="97"/>
      <c r="G964" s="98"/>
      <c r="H964" s="97"/>
      <c r="I964" s="97"/>
      <c r="J964" s="97"/>
      <c r="K964" s="97"/>
      <c r="L964" s="97"/>
      <c r="M964" s="97"/>
      <c r="N964" s="97"/>
      <c r="O964" s="97"/>
      <c r="P964" s="97"/>
      <c r="Q964" s="97"/>
      <c r="R964" s="97"/>
      <c r="S964" s="97"/>
      <c r="T964" s="97"/>
      <c r="U964" s="98"/>
      <c r="V964" s="97"/>
      <c r="W964" s="97"/>
      <c r="X964" s="97"/>
      <c r="Y964" s="97"/>
      <c r="Z964" s="97"/>
      <c r="AA964" s="97"/>
      <c r="AB964" s="97"/>
      <c r="AC964" s="97"/>
      <c r="AD964" s="97"/>
      <c r="AE964" s="97"/>
      <c r="AF964" s="97"/>
      <c r="AG964" s="97"/>
      <c r="AH964" s="97"/>
      <c r="AI964" s="97"/>
      <c r="AJ964" s="97"/>
      <c r="AK964" s="97"/>
      <c r="AL964" s="97"/>
      <c r="AM964" s="97"/>
      <c r="AN964" s="97"/>
      <c r="AO964" s="97"/>
      <c r="AP964" s="97"/>
      <c r="AQ964" s="99"/>
      <c r="AR964" s="99"/>
      <c r="AS964" s="99"/>
    </row>
    <row r="965">
      <c r="A965" s="97"/>
      <c r="B965" s="97"/>
      <c r="C965" s="97"/>
      <c r="D965" s="97"/>
      <c r="E965" s="97"/>
      <c r="F965" s="97"/>
      <c r="G965" s="98"/>
      <c r="H965" s="97"/>
      <c r="I965" s="97"/>
      <c r="J965" s="97"/>
      <c r="K965" s="97"/>
      <c r="L965" s="97"/>
      <c r="M965" s="97"/>
      <c r="N965" s="97"/>
      <c r="O965" s="97"/>
      <c r="P965" s="97"/>
      <c r="Q965" s="97"/>
      <c r="R965" s="97"/>
      <c r="S965" s="97"/>
      <c r="T965" s="97"/>
      <c r="U965" s="98"/>
      <c r="V965" s="97"/>
      <c r="W965" s="97"/>
      <c r="X965" s="97"/>
      <c r="Y965" s="97"/>
      <c r="Z965" s="97"/>
      <c r="AA965" s="97"/>
      <c r="AB965" s="97"/>
      <c r="AC965" s="97"/>
      <c r="AD965" s="97"/>
      <c r="AE965" s="97"/>
      <c r="AF965" s="97"/>
      <c r="AG965" s="97"/>
      <c r="AH965" s="97"/>
      <c r="AI965" s="97"/>
      <c r="AJ965" s="97"/>
      <c r="AK965" s="97"/>
      <c r="AL965" s="97"/>
      <c r="AM965" s="97"/>
      <c r="AN965" s="97"/>
      <c r="AO965" s="97"/>
      <c r="AP965" s="97"/>
      <c r="AQ965" s="99"/>
      <c r="AR965" s="99"/>
      <c r="AS965" s="99"/>
    </row>
    <row r="966">
      <c r="A966" s="97"/>
      <c r="B966" s="97"/>
      <c r="C966" s="97"/>
      <c r="D966" s="97"/>
      <c r="E966" s="97"/>
      <c r="F966" s="97"/>
      <c r="G966" s="98"/>
      <c r="H966" s="97"/>
      <c r="I966" s="97"/>
      <c r="J966" s="97"/>
      <c r="K966" s="97"/>
      <c r="L966" s="97"/>
      <c r="M966" s="97"/>
      <c r="N966" s="97"/>
      <c r="O966" s="97"/>
      <c r="P966" s="97"/>
      <c r="Q966" s="97"/>
      <c r="R966" s="97"/>
      <c r="S966" s="97"/>
      <c r="T966" s="97"/>
      <c r="U966" s="98"/>
      <c r="V966" s="97"/>
      <c r="W966" s="97"/>
      <c r="X966" s="97"/>
      <c r="Y966" s="97"/>
      <c r="Z966" s="97"/>
      <c r="AA966" s="97"/>
      <c r="AB966" s="97"/>
      <c r="AC966" s="97"/>
      <c r="AD966" s="97"/>
      <c r="AE966" s="97"/>
      <c r="AF966" s="97"/>
      <c r="AG966" s="97"/>
      <c r="AH966" s="97"/>
      <c r="AI966" s="97"/>
      <c r="AJ966" s="97"/>
      <c r="AK966" s="97"/>
      <c r="AL966" s="97"/>
      <c r="AM966" s="97"/>
      <c r="AN966" s="97"/>
      <c r="AO966" s="97"/>
      <c r="AP966" s="97"/>
      <c r="AQ966" s="99"/>
      <c r="AR966" s="99"/>
      <c r="AS966" s="99"/>
    </row>
    <row r="967">
      <c r="A967" s="97"/>
      <c r="B967" s="97"/>
      <c r="C967" s="97"/>
      <c r="D967" s="97"/>
      <c r="E967" s="97"/>
      <c r="F967" s="97"/>
      <c r="G967" s="98"/>
      <c r="H967" s="97"/>
      <c r="I967" s="97"/>
      <c r="J967" s="97"/>
      <c r="K967" s="97"/>
      <c r="L967" s="97"/>
      <c r="M967" s="97"/>
      <c r="N967" s="97"/>
      <c r="O967" s="97"/>
      <c r="P967" s="97"/>
      <c r="Q967" s="97"/>
      <c r="R967" s="97"/>
      <c r="S967" s="97"/>
      <c r="T967" s="97"/>
      <c r="U967" s="98"/>
      <c r="V967" s="97"/>
      <c r="W967" s="97"/>
      <c r="X967" s="97"/>
      <c r="Y967" s="97"/>
      <c r="Z967" s="97"/>
      <c r="AA967" s="97"/>
      <c r="AB967" s="97"/>
      <c r="AC967" s="97"/>
      <c r="AD967" s="97"/>
      <c r="AE967" s="97"/>
      <c r="AF967" s="97"/>
      <c r="AG967" s="97"/>
      <c r="AH967" s="97"/>
      <c r="AI967" s="97"/>
      <c r="AJ967" s="97"/>
      <c r="AK967" s="97"/>
      <c r="AL967" s="97"/>
      <c r="AM967" s="97"/>
      <c r="AN967" s="97"/>
      <c r="AO967" s="97"/>
      <c r="AP967" s="97"/>
      <c r="AQ967" s="99"/>
      <c r="AR967" s="99"/>
      <c r="AS967" s="99"/>
    </row>
    <row r="968">
      <c r="A968" s="97"/>
      <c r="B968" s="97"/>
      <c r="C968" s="97"/>
      <c r="D968" s="97"/>
      <c r="E968" s="97"/>
      <c r="F968" s="97"/>
      <c r="G968" s="98"/>
      <c r="H968" s="97"/>
      <c r="I968" s="97"/>
      <c r="J968" s="97"/>
      <c r="K968" s="97"/>
      <c r="L968" s="97"/>
      <c r="M968" s="97"/>
      <c r="N968" s="97"/>
      <c r="O968" s="97"/>
      <c r="P968" s="97"/>
      <c r="Q968" s="97"/>
      <c r="R968" s="97"/>
      <c r="S968" s="97"/>
      <c r="T968" s="97"/>
      <c r="U968" s="98"/>
      <c r="V968" s="97"/>
      <c r="W968" s="97"/>
      <c r="X968" s="97"/>
      <c r="Y968" s="97"/>
      <c r="Z968" s="97"/>
      <c r="AA968" s="97"/>
      <c r="AB968" s="97"/>
      <c r="AC968" s="97"/>
      <c r="AD968" s="97"/>
      <c r="AE968" s="97"/>
      <c r="AF968" s="97"/>
      <c r="AG968" s="97"/>
      <c r="AH968" s="97"/>
      <c r="AI968" s="97"/>
      <c r="AJ968" s="97"/>
      <c r="AK968" s="97"/>
      <c r="AL968" s="97"/>
      <c r="AM968" s="97"/>
      <c r="AN968" s="97"/>
      <c r="AO968" s="97"/>
      <c r="AP968" s="97"/>
      <c r="AQ968" s="99"/>
      <c r="AR968" s="99"/>
      <c r="AS968" s="99"/>
    </row>
    <row r="969">
      <c r="A969" s="97"/>
      <c r="B969" s="97"/>
      <c r="C969" s="97"/>
      <c r="D969" s="97"/>
      <c r="E969" s="97"/>
      <c r="F969" s="97"/>
      <c r="G969" s="98"/>
      <c r="H969" s="97"/>
      <c r="I969" s="97"/>
      <c r="J969" s="97"/>
      <c r="K969" s="97"/>
      <c r="L969" s="97"/>
      <c r="M969" s="97"/>
      <c r="N969" s="97"/>
      <c r="O969" s="97"/>
      <c r="P969" s="97"/>
      <c r="Q969" s="97"/>
      <c r="R969" s="97"/>
      <c r="S969" s="97"/>
      <c r="T969" s="97"/>
      <c r="U969" s="98"/>
      <c r="V969" s="97"/>
      <c r="W969" s="97"/>
      <c r="X969" s="97"/>
      <c r="Y969" s="97"/>
      <c r="Z969" s="97"/>
      <c r="AA969" s="97"/>
      <c r="AB969" s="97"/>
      <c r="AC969" s="97"/>
      <c r="AD969" s="97"/>
      <c r="AE969" s="97"/>
      <c r="AF969" s="97"/>
      <c r="AG969" s="97"/>
      <c r="AH969" s="97"/>
      <c r="AI969" s="97"/>
      <c r="AJ969" s="97"/>
      <c r="AK969" s="97"/>
      <c r="AL969" s="97"/>
      <c r="AM969" s="97"/>
      <c r="AN969" s="97"/>
      <c r="AO969" s="97"/>
      <c r="AP969" s="97"/>
      <c r="AQ969" s="99"/>
      <c r="AR969" s="99"/>
      <c r="AS969" s="99"/>
    </row>
    <row r="970">
      <c r="A970" s="97"/>
      <c r="B970" s="97"/>
      <c r="C970" s="97"/>
      <c r="D970" s="97"/>
      <c r="E970" s="97"/>
      <c r="F970" s="97"/>
      <c r="G970" s="98"/>
      <c r="H970" s="97"/>
      <c r="I970" s="97"/>
      <c r="J970" s="97"/>
      <c r="K970" s="97"/>
      <c r="L970" s="97"/>
      <c r="M970" s="97"/>
      <c r="N970" s="97"/>
      <c r="O970" s="97"/>
      <c r="P970" s="97"/>
      <c r="Q970" s="97"/>
      <c r="R970" s="97"/>
      <c r="S970" s="97"/>
      <c r="T970" s="97"/>
      <c r="U970" s="98"/>
      <c r="V970" s="97"/>
      <c r="W970" s="97"/>
      <c r="X970" s="97"/>
      <c r="Y970" s="97"/>
      <c r="Z970" s="97"/>
      <c r="AA970" s="97"/>
      <c r="AB970" s="97"/>
      <c r="AC970" s="97"/>
      <c r="AD970" s="97"/>
      <c r="AE970" s="97"/>
      <c r="AF970" s="97"/>
      <c r="AG970" s="97"/>
      <c r="AH970" s="97"/>
      <c r="AI970" s="97"/>
      <c r="AJ970" s="97"/>
      <c r="AK970" s="97"/>
      <c r="AL970" s="97"/>
      <c r="AM970" s="97"/>
      <c r="AN970" s="97"/>
      <c r="AO970" s="97"/>
      <c r="AP970" s="97"/>
      <c r="AQ970" s="99"/>
      <c r="AR970" s="99"/>
      <c r="AS970" s="99"/>
    </row>
    <row r="971">
      <c r="A971" s="97"/>
      <c r="B971" s="97"/>
      <c r="C971" s="97"/>
      <c r="D971" s="97"/>
      <c r="E971" s="97"/>
      <c r="F971" s="97"/>
      <c r="G971" s="98"/>
      <c r="H971" s="97"/>
      <c r="I971" s="97"/>
      <c r="J971" s="97"/>
      <c r="K971" s="97"/>
      <c r="L971" s="97"/>
      <c r="M971" s="97"/>
      <c r="N971" s="97"/>
      <c r="O971" s="97"/>
      <c r="P971" s="97"/>
      <c r="Q971" s="97"/>
      <c r="R971" s="97"/>
      <c r="S971" s="97"/>
      <c r="T971" s="97"/>
      <c r="U971" s="98"/>
      <c r="V971" s="97"/>
      <c r="W971" s="97"/>
      <c r="X971" s="97"/>
      <c r="Y971" s="97"/>
      <c r="Z971" s="97"/>
      <c r="AA971" s="97"/>
      <c r="AB971" s="97"/>
      <c r="AC971" s="97"/>
      <c r="AD971" s="97"/>
      <c r="AE971" s="97"/>
      <c r="AF971" s="97"/>
      <c r="AG971" s="97"/>
      <c r="AH971" s="97"/>
      <c r="AI971" s="97"/>
      <c r="AJ971" s="97"/>
      <c r="AK971" s="97"/>
      <c r="AL971" s="97"/>
      <c r="AM971" s="97"/>
      <c r="AN971" s="97"/>
      <c r="AO971" s="97"/>
      <c r="AP971" s="97"/>
      <c r="AQ971" s="99"/>
      <c r="AR971" s="99"/>
      <c r="AS971" s="99"/>
    </row>
    <row r="972">
      <c r="A972" s="97"/>
      <c r="B972" s="97"/>
      <c r="C972" s="97"/>
      <c r="D972" s="97"/>
      <c r="E972" s="97"/>
      <c r="F972" s="97"/>
      <c r="G972" s="98"/>
      <c r="H972" s="97"/>
      <c r="I972" s="97"/>
      <c r="J972" s="97"/>
      <c r="K972" s="97"/>
      <c r="L972" s="97"/>
      <c r="M972" s="97"/>
      <c r="N972" s="97"/>
      <c r="O972" s="97"/>
      <c r="P972" s="97"/>
      <c r="Q972" s="97"/>
      <c r="R972" s="97"/>
      <c r="S972" s="97"/>
      <c r="T972" s="97"/>
      <c r="U972" s="98"/>
      <c r="V972" s="97"/>
      <c r="W972" s="97"/>
      <c r="X972" s="97"/>
      <c r="Y972" s="97"/>
      <c r="Z972" s="97"/>
      <c r="AA972" s="97"/>
      <c r="AB972" s="97"/>
      <c r="AC972" s="97"/>
      <c r="AD972" s="97"/>
      <c r="AE972" s="97"/>
      <c r="AF972" s="97"/>
      <c r="AG972" s="97"/>
      <c r="AH972" s="97"/>
      <c r="AI972" s="97"/>
      <c r="AJ972" s="97"/>
      <c r="AK972" s="97"/>
      <c r="AL972" s="97"/>
      <c r="AM972" s="97"/>
      <c r="AN972" s="97"/>
      <c r="AO972" s="97"/>
      <c r="AP972" s="97"/>
      <c r="AQ972" s="99"/>
      <c r="AR972" s="99"/>
      <c r="AS972" s="99"/>
    </row>
    <row r="973">
      <c r="A973" s="97"/>
      <c r="B973" s="97"/>
      <c r="C973" s="97"/>
      <c r="D973" s="97"/>
      <c r="E973" s="97"/>
      <c r="F973" s="97"/>
      <c r="G973" s="98"/>
      <c r="H973" s="97"/>
      <c r="I973" s="97"/>
      <c r="J973" s="97"/>
      <c r="K973" s="97"/>
      <c r="L973" s="97"/>
      <c r="M973" s="97"/>
      <c r="N973" s="97"/>
      <c r="O973" s="97"/>
      <c r="P973" s="97"/>
      <c r="Q973" s="97"/>
      <c r="R973" s="97"/>
      <c r="S973" s="97"/>
      <c r="T973" s="97"/>
      <c r="U973" s="98"/>
      <c r="V973" s="97"/>
      <c r="W973" s="97"/>
      <c r="X973" s="97"/>
      <c r="Y973" s="97"/>
      <c r="Z973" s="97"/>
      <c r="AA973" s="97"/>
      <c r="AB973" s="97"/>
      <c r="AC973" s="97"/>
      <c r="AD973" s="97"/>
      <c r="AE973" s="97"/>
      <c r="AF973" s="97"/>
      <c r="AG973" s="97"/>
      <c r="AH973" s="97"/>
      <c r="AI973" s="97"/>
      <c r="AJ973" s="97"/>
      <c r="AK973" s="97"/>
      <c r="AL973" s="97"/>
      <c r="AM973" s="97"/>
      <c r="AN973" s="97"/>
      <c r="AO973" s="97"/>
      <c r="AP973" s="97"/>
      <c r="AQ973" s="99"/>
      <c r="AR973" s="99"/>
      <c r="AS973" s="99"/>
    </row>
    <row r="974">
      <c r="A974" s="97"/>
      <c r="B974" s="97"/>
      <c r="C974" s="97"/>
      <c r="D974" s="97"/>
      <c r="E974" s="97"/>
      <c r="F974" s="97"/>
      <c r="G974" s="98"/>
      <c r="H974" s="97"/>
      <c r="I974" s="97"/>
      <c r="J974" s="97"/>
      <c r="K974" s="97"/>
      <c r="L974" s="97"/>
      <c r="M974" s="97"/>
      <c r="N974" s="97"/>
      <c r="O974" s="97"/>
      <c r="P974" s="97"/>
      <c r="Q974" s="97"/>
      <c r="R974" s="97"/>
      <c r="S974" s="97"/>
      <c r="T974" s="97"/>
      <c r="U974" s="98"/>
      <c r="V974" s="97"/>
      <c r="W974" s="97"/>
      <c r="X974" s="97"/>
      <c r="Y974" s="97"/>
      <c r="Z974" s="97"/>
      <c r="AA974" s="97"/>
      <c r="AB974" s="97"/>
      <c r="AC974" s="97"/>
      <c r="AD974" s="97"/>
      <c r="AE974" s="97"/>
      <c r="AF974" s="97"/>
      <c r="AG974" s="97"/>
      <c r="AH974" s="97"/>
      <c r="AI974" s="97"/>
      <c r="AJ974" s="97"/>
      <c r="AK974" s="97"/>
      <c r="AL974" s="97"/>
      <c r="AM974" s="97"/>
      <c r="AN974" s="97"/>
      <c r="AO974" s="97"/>
      <c r="AP974" s="97"/>
      <c r="AQ974" s="99"/>
      <c r="AR974" s="99"/>
      <c r="AS974" s="99"/>
    </row>
    <row r="975">
      <c r="A975" s="97"/>
      <c r="B975" s="97"/>
      <c r="C975" s="97"/>
      <c r="D975" s="97"/>
      <c r="E975" s="97"/>
      <c r="F975" s="97"/>
      <c r="G975" s="98"/>
      <c r="H975" s="97"/>
      <c r="I975" s="97"/>
      <c r="J975" s="97"/>
      <c r="K975" s="97"/>
      <c r="L975" s="97"/>
      <c r="M975" s="97"/>
      <c r="N975" s="97"/>
      <c r="O975" s="97"/>
      <c r="P975" s="97"/>
      <c r="Q975" s="97"/>
      <c r="R975" s="97"/>
      <c r="S975" s="97"/>
      <c r="T975" s="97"/>
      <c r="U975" s="98"/>
      <c r="V975" s="97"/>
      <c r="W975" s="97"/>
      <c r="X975" s="97"/>
      <c r="Y975" s="97"/>
      <c r="Z975" s="97"/>
      <c r="AA975" s="97"/>
      <c r="AB975" s="97"/>
      <c r="AC975" s="97"/>
      <c r="AD975" s="97"/>
      <c r="AE975" s="97"/>
      <c r="AF975" s="97"/>
      <c r="AG975" s="97"/>
      <c r="AH975" s="97"/>
      <c r="AI975" s="97"/>
      <c r="AJ975" s="97"/>
      <c r="AK975" s="97"/>
      <c r="AL975" s="97"/>
      <c r="AM975" s="97"/>
      <c r="AN975" s="97"/>
      <c r="AO975" s="97"/>
      <c r="AP975" s="97"/>
      <c r="AQ975" s="99"/>
      <c r="AR975" s="99"/>
      <c r="AS975" s="99"/>
    </row>
    <row r="976">
      <c r="A976" s="97"/>
      <c r="B976" s="97"/>
      <c r="C976" s="97"/>
      <c r="D976" s="97"/>
      <c r="E976" s="97"/>
      <c r="F976" s="97"/>
      <c r="G976" s="98"/>
      <c r="H976" s="97"/>
      <c r="I976" s="97"/>
      <c r="J976" s="97"/>
      <c r="K976" s="97"/>
      <c r="L976" s="97"/>
      <c r="M976" s="97"/>
      <c r="N976" s="97"/>
      <c r="O976" s="97"/>
      <c r="P976" s="97"/>
      <c r="Q976" s="97"/>
      <c r="R976" s="97"/>
      <c r="S976" s="97"/>
      <c r="T976" s="97"/>
      <c r="U976" s="98"/>
      <c r="V976" s="97"/>
      <c r="W976" s="97"/>
      <c r="X976" s="97"/>
      <c r="Y976" s="97"/>
      <c r="Z976" s="97"/>
      <c r="AA976" s="97"/>
      <c r="AB976" s="97"/>
      <c r="AC976" s="97"/>
      <c r="AD976" s="97"/>
      <c r="AE976" s="97"/>
      <c r="AF976" s="97"/>
      <c r="AG976" s="97"/>
      <c r="AH976" s="97"/>
      <c r="AI976" s="97"/>
      <c r="AJ976" s="97"/>
      <c r="AK976" s="97"/>
      <c r="AL976" s="97"/>
      <c r="AM976" s="97"/>
      <c r="AN976" s="97"/>
      <c r="AO976" s="97"/>
      <c r="AP976" s="97"/>
      <c r="AQ976" s="99"/>
      <c r="AR976" s="99"/>
      <c r="AS976" s="99"/>
    </row>
    <row r="977">
      <c r="A977" s="97"/>
      <c r="B977" s="97"/>
      <c r="C977" s="97"/>
      <c r="D977" s="97"/>
      <c r="E977" s="97"/>
      <c r="F977" s="97"/>
      <c r="G977" s="98"/>
      <c r="H977" s="97"/>
      <c r="I977" s="97"/>
      <c r="J977" s="97"/>
      <c r="K977" s="97"/>
      <c r="L977" s="97"/>
      <c r="M977" s="97"/>
      <c r="N977" s="97"/>
      <c r="O977" s="97"/>
      <c r="P977" s="97"/>
      <c r="Q977" s="97"/>
      <c r="R977" s="97"/>
      <c r="S977" s="97"/>
      <c r="T977" s="97"/>
      <c r="U977" s="98"/>
      <c r="V977" s="97"/>
      <c r="W977" s="97"/>
      <c r="X977" s="97"/>
      <c r="Y977" s="97"/>
      <c r="Z977" s="97"/>
      <c r="AA977" s="97"/>
      <c r="AB977" s="97"/>
      <c r="AC977" s="97"/>
      <c r="AD977" s="97"/>
      <c r="AE977" s="97"/>
      <c r="AF977" s="97"/>
      <c r="AG977" s="97"/>
      <c r="AH977" s="97"/>
      <c r="AI977" s="97"/>
      <c r="AJ977" s="97"/>
      <c r="AK977" s="97"/>
      <c r="AL977" s="97"/>
      <c r="AM977" s="97"/>
      <c r="AN977" s="97"/>
      <c r="AO977" s="97"/>
      <c r="AP977" s="97"/>
      <c r="AQ977" s="99"/>
      <c r="AR977" s="99"/>
      <c r="AS977" s="99"/>
    </row>
    <row r="978">
      <c r="A978" s="97"/>
      <c r="B978" s="97"/>
      <c r="C978" s="97"/>
      <c r="D978" s="97"/>
      <c r="E978" s="97"/>
      <c r="F978" s="97"/>
      <c r="G978" s="98"/>
      <c r="H978" s="97"/>
      <c r="I978" s="97"/>
      <c r="J978" s="97"/>
      <c r="K978" s="97"/>
      <c r="L978" s="97"/>
      <c r="M978" s="97"/>
      <c r="N978" s="97"/>
      <c r="O978" s="97"/>
      <c r="P978" s="97"/>
      <c r="Q978" s="97"/>
      <c r="R978" s="97"/>
      <c r="S978" s="97"/>
      <c r="T978" s="97"/>
      <c r="U978" s="98"/>
      <c r="V978" s="97"/>
      <c r="W978" s="97"/>
      <c r="X978" s="97"/>
      <c r="Y978" s="97"/>
      <c r="Z978" s="97"/>
      <c r="AA978" s="97"/>
      <c r="AB978" s="97"/>
      <c r="AC978" s="97"/>
      <c r="AD978" s="97"/>
      <c r="AE978" s="97"/>
      <c r="AF978" s="97"/>
      <c r="AG978" s="97"/>
      <c r="AH978" s="97"/>
      <c r="AI978" s="97"/>
      <c r="AJ978" s="97"/>
      <c r="AK978" s="97"/>
      <c r="AL978" s="97"/>
      <c r="AM978" s="97"/>
      <c r="AN978" s="97"/>
      <c r="AO978" s="97"/>
      <c r="AP978" s="97"/>
      <c r="AQ978" s="99"/>
      <c r="AR978" s="99"/>
      <c r="AS978" s="99"/>
    </row>
    <row r="979">
      <c r="A979" s="97"/>
      <c r="B979" s="97"/>
      <c r="C979" s="97"/>
      <c r="D979" s="97"/>
      <c r="E979" s="97"/>
      <c r="F979" s="97"/>
      <c r="G979" s="98"/>
      <c r="H979" s="97"/>
      <c r="I979" s="97"/>
      <c r="J979" s="97"/>
      <c r="K979" s="97"/>
      <c r="L979" s="97"/>
      <c r="M979" s="97"/>
      <c r="N979" s="97"/>
      <c r="O979" s="97"/>
      <c r="P979" s="97"/>
      <c r="Q979" s="97"/>
      <c r="R979" s="97"/>
      <c r="S979" s="97"/>
      <c r="T979" s="97"/>
      <c r="U979" s="98"/>
      <c r="V979" s="97"/>
      <c r="W979" s="97"/>
      <c r="X979" s="97"/>
      <c r="Y979" s="97"/>
      <c r="Z979" s="97"/>
      <c r="AA979" s="97"/>
      <c r="AB979" s="97"/>
      <c r="AC979" s="97"/>
      <c r="AD979" s="97"/>
      <c r="AE979" s="97"/>
      <c r="AF979" s="97"/>
      <c r="AG979" s="97"/>
      <c r="AH979" s="97"/>
      <c r="AI979" s="97"/>
      <c r="AJ979" s="97"/>
      <c r="AK979" s="97"/>
      <c r="AL979" s="97"/>
      <c r="AM979" s="97"/>
      <c r="AN979" s="97"/>
      <c r="AO979" s="97"/>
      <c r="AP979" s="97"/>
      <c r="AQ979" s="99"/>
      <c r="AR979" s="99"/>
      <c r="AS979" s="99"/>
    </row>
    <row r="980">
      <c r="A980" s="97"/>
      <c r="B980" s="97"/>
      <c r="C980" s="97"/>
      <c r="D980" s="97"/>
      <c r="E980" s="97"/>
      <c r="F980" s="97"/>
      <c r="G980" s="98"/>
      <c r="H980" s="97"/>
      <c r="I980" s="97"/>
      <c r="J980" s="97"/>
      <c r="K980" s="97"/>
      <c r="L980" s="97"/>
      <c r="M980" s="97"/>
      <c r="N980" s="97"/>
      <c r="O980" s="97"/>
      <c r="P980" s="97"/>
      <c r="Q980" s="97"/>
      <c r="R980" s="97"/>
      <c r="S980" s="97"/>
      <c r="T980" s="97"/>
      <c r="U980" s="98"/>
      <c r="V980" s="97"/>
      <c r="W980" s="97"/>
      <c r="X980" s="97"/>
      <c r="Y980" s="97"/>
      <c r="Z980" s="97"/>
      <c r="AA980" s="97"/>
      <c r="AB980" s="97"/>
      <c r="AC980" s="97"/>
      <c r="AD980" s="97"/>
      <c r="AE980" s="97"/>
      <c r="AF980" s="97"/>
      <c r="AG980" s="97"/>
      <c r="AH980" s="97"/>
      <c r="AI980" s="97"/>
      <c r="AJ980" s="97"/>
      <c r="AK980" s="97"/>
      <c r="AL980" s="97"/>
      <c r="AM980" s="97"/>
      <c r="AN980" s="97"/>
      <c r="AO980" s="97"/>
      <c r="AP980" s="97"/>
      <c r="AQ980" s="99"/>
      <c r="AR980" s="99"/>
      <c r="AS980" s="99"/>
    </row>
    <row r="981">
      <c r="A981" s="97"/>
      <c r="B981" s="97"/>
      <c r="C981" s="97"/>
      <c r="D981" s="97"/>
      <c r="E981" s="97"/>
      <c r="F981" s="97"/>
      <c r="G981" s="98"/>
      <c r="H981" s="97"/>
      <c r="I981" s="97"/>
      <c r="J981" s="97"/>
      <c r="K981" s="97"/>
      <c r="L981" s="97"/>
      <c r="M981" s="97"/>
      <c r="N981" s="97"/>
      <c r="O981" s="97"/>
      <c r="P981" s="97"/>
      <c r="Q981" s="97"/>
      <c r="R981" s="97"/>
      <c r="S981" s="97"/>
      <c r="T981" s="97"/>
      <c r="U981" s="98"/>
      <c r="V981" s="97"/>
      <c r="W981" s="97"/>
      <c r="X981" s="97"/>
      <c r="Y981" s="97"/>
      <c r="Z981" s="97"/>
      <c r="AA981" s="97"/>
      <c r="AB981" s="97"/>
      <c r="AC981" s="97"/>
      <c r="AD981" s="97"/>
      <c r="AE981" s="97"/>
      <c r="AF981" s="97"/>
      <c r="AG981" s="97"/>
      <c r="AH981" s="97"/>
      <c r="AI981" s="97"/>
      <c r="AJ981" s="97"/>
      <c r="AK981" s="97"/>
      <c r="AL981" s="97"/>
      <c r="AM981" s="97"/>
      <c r="AN981" s="97"/>
      <c r="AO981" s="97"/>
      <c r="AP981" s="97"/>
      <c r="AQ981" s="99"/>
      <c r="AR981" s="99"/>
      <c r="AS981" s="99"/>
    </row>
    <row r="982">
      <c r="A982" s="97"/>
      <c r="B982" s="97"/>
      <c r="C982" s="97"/>
      <c r="D982" s="97"/>
      <c r="E982" s="97"/>
      <c r="F982" s="97"/>
      <c r="G982" s="98"/>
      <c r="H982" s="97"/>
      <c r="I982" s="97"/>
      <c r="J982" s="97"/>
      <c r="K982" s="97"/>
      <c r="L982" s="97"/>
      <c r="M982" s="97"/>
      <c r="N982" s="97"/>
      <c r="O982" s="97"/>
      <c r="P982" s="97"/>
      <c r="Q982" s="97"/>
      <c r="R982" s="97"/>
      <c r="S982" s="97"/>
      <c r="T982" s="97"/>
      <c r="U982" s="98"/>
      <c r="V982" s="97"/>
      <c r="W982" s="97"/>
      <c r="X982" s="97"/>
      <c r="Y982" s="97"/>
      <c r="Z982" s="97"/>
      <c r="AA982" s="97"/>
      <c r="AB982" s="97"/>
      <c r="AC982" s="97"/>
      <c r="AD982" s="97"/>
      <c r="AE982" s="97"/>
      <c r="AF982" s="97"/>
      <c r="AG982" s="97"/>
      <c r="AH982" s="97"/>
      <c r="AI982" s="97"/>
      <c r="AJ982" s="97"/>
      <c r="AK982" s="97"/>
      <c r="AL982" s="97"/>
      <c r="AM982" s="97"/>
      <c r="AN982" s="97"/>
      <c r="AO982" s="97"/>
      <c r="AP982" s="97"/>
      <c r="AQ982" s="99"/>
      <c r="AR982" s="99"/>
      <c r="AS982" s="99"/>
    </row>
    <row r="983">
      <c r="A983" s="97"/>
      <c r="B983" s="97"/>
      <c r="C983" s="97"/>
      <c r="D983" s="97"/>
      <c r="E983" s="97"/>
      <c r="F983" s="97"/>
      <c r="G983" s="98"/>
      <c r="H983" s="97"/>
      <c r="I983" s="97"/>
      <c r="J983" s="97"/>
      <c r="K983" s="97"/>
      <c r="L983" s="97"/>
      <c r="M983" s="97"/>
      <c r="N983" s="97"/>
      <c r="O983" s="97"/>
      <c r="P983" s="97"/>
      <c r="Q983" s="97"/>
      <c r="R983" s="97"/>
      <c r="S983" s="97"/>
      <c r="T983" s="97"/>
      <c r="U983" s="98"/>
      <c r="V983" s="97"/>
      <c r="W983" s="97"/>
      <c r="X983" s="97"/>
      <c r="Y983" s="97"/>
      <c r="Z983" s="97"/>
      <c r="AA983" s="97"/>
      <c r="AB983" s="97"/>
      <c r="AC983" s="97"/>
      <c r="AD983" s="97"/>
      <c r="AE983" s="97"/>
      <c r="AF983" s="97"/>
      <c r="AG983" s="97"/>
      <c r="AH983" s="97"/>
      <c r="AI983" s="97"/>
      <c r="AJ983" s="97"/>
      <c r="AK983" s="97"/>
      <c r="AL983" s="97"/>
      <c r="AM983" s="97"/>
      <c r="AN983" s="97"/>
      <c r="AO983" s="97"/>
      <c r="AP983" s="97"/>
      <c r="AQ983" s="99"/>
      <c r="AR983" s="99"/>
      <c r="AS983" s="99"/>
    </row>
    <row r="984">
      <c r="A984" s="97"/>
      <c r="B984" s="97"/>
      <c r="C984" s="97"/>
      <c r="D984" s="97"/>
      <c r="E984" s="97"/>
      <c r="F984" s="97"/>
      <c r="G984" s="98"/>
      <c r="H984" s="97"/>
      <c r="I984" s="97"/>
      <c r="J984" s="97"/>
      <c r="K984" s="97"/>
      <c r="L984" s="97"/>
      <c r="M984" s="97"/>
      <c r="N984" s="97"/>
      <c r="O984" s="97"/>
      <c r="P984" s="97"/>
      <c r="Q984" s="97"/>
      <c r="R984" s="97"/>
      <c r="S984" s="97"/>
      <c r="T984" s="97"/>
      <c r="U984" s="98"/>
      <c r="V984" s="97"/>
      <c r="W984" s="97"/>
      <c r="X984" s="97"/>
      <c r="Y984" s="97"/>
      <c r="Z984" s="97"/>
      <c r="AA984" s="97"/>
      <c r="AB984" s="97"/>
      <c r="AC984" s="97"/>
      <c r="AD984" s="97"/>
      <c r="AE984" s="97"/>
      <c r="AF984" s="97"/>
      <c r="AG984" s="97"/>
      <c r="AH984" s="97"/>
      <c r="AI984" s="97"/>
      <c r="AJ984" s="97"/>
      <c r="AK984" s="97"/>
      <c r="AL984" s="97"/>
      <c r="AM984" s="97"/>
      <c r="AN984" s="97"/>
      <c r="AO984" s="97"/>
      <c r="AP984" s="97"/>
      <c r="AQ984" s="99"/>
      <c r="AR984" s="99"/>
      <c r="AS984" s="99"/>
    </row>
    <row r="985">
      <c r="A985" s="97"/>
      <c r="B985" s="97"/>
      <c r="C985" s="97"/>
      <c r="D985" s="97"/>
      <c r="E985" s="97"/>
      <c r="F985" s="97"/>
      <c r="G985" s="98"/>
      <c r="H985" s="97"/>
      <c r="I985" s="97"/>
      <c r="J985" s="97"/>
      <c r="K985" s="97"/>
      <c r="L985" s="97"/>
      <c r="M985" s="97"/>
      <c r="N985" s="97"/>
      <c r="O985" s="97"/>
      <c r="P985" s="97"/>
      <c r="Q985" s="97"/>
      <c r="R985" s="97"/>
      <c r="S985" s="97"/>
      <c r="T985" s="97"/>
      <c r="U985" s="98"/>
      <c r="V985" s="97"/>
      <c r="W985" s="97"/>
      <c r="X985" s="97"/>
      <c r="Y985" s="97"/>
      <c r="Z985" s="97"/>
      <c r="AA985" s="97"/>
      <c r="AB985" s="97"/>
      <c r="AC985" s="97"/>
      <c r="AD985" s="97"/>
      <c r="AE985" s="97"/>
      <c r="AF985" s="97"/>
      <c r="AG985" s="97"/>
      <c r="AH985" s="97"/>
      <c r="AI985" s="97"/>
      <c r="AJ985" s="97"/>
      <c r="AK985" s="97"/>
      <c r="AL985" s="97"/>
      <c r="AM985" s="97"/>
      <c r="AN985" s="97"/>
      <c r="AO985" s="97"/>
      <c r="AP985" s="97"/>
      <c r="AQ985" s="99"/>
      <c r="AR985" s="99"/>
      <c r="AS985" s="99"/>
    </row>
    <row r="986">
      <c r="A986" s="97"/>
      <c r="B986" s="97"/>
      <c r="C986" s="97"/>
      <c r="D986" s="97"/>
      <c r="E986" s="97"/>
      <c r="F986" s="97"/>
      <c r="G986" s="98"/>
      <c r="H986" s="97"/>
      <c r="I986" s="97"/>
      <c r="J986" s="97"/>
      <c r="K986" s="97"/>
      <c r="L986" s="97"/>
      <c r="M986" s="97"/>
      <c r="N986" s="97"/>
      <c r="O986" s="97"/>
      <c r="P986" s="97"/>
      <c r="Q986" s="97"/>
      <c r="R986" s="97"/>
      <c r="S986" s="97"/>
      <c r="T986" s="97"/>
      <c r="U986" s="98"/>
      <c r="V986" s="97"/>
      <c r="W986" s="97"/>
      <c r="X986" s="97"/>
      <c r="Y986" s="97"/>
      <c r="Z986" s="97"/>
      <c r="AA986" s="97"/>
      <c r="AB986" s="97"/>
      <c r="AC986" s="97"/>
      <c r="AD986" s="97"/>
      <c r="AE986" s="97"/>
      <c r="AF986" s="97"/>
      <c r="AG986" s="97"/>
      <c r="AH986" s="97"/>
      <c r="AI986" s="97"/>
      <c r="AJ986" s="97"/>
      <c r="AK986" s="97"/>
      <c r="AL986" s="97"/>
      <c r="AM986" s="97"/>
      <c r="AN986" s="97"/>
      <c r="AO986" s="97"/>
      <c r="AP986" s="97"/>
      <c r="AQ986" s="99"/>
      <c r="AR986" s="99"/>
      <c r="AS986" s="99"/>
    </row>
    <row r="987">
      <c r="A987" s="97"/>
      <c r="B987" s="97"/>
      <c r="C987" s="97"/>
      <c r="D987" s="97"/>
      <c r="E987" s="97"/>
      <c r="F987" s="97"/>
      <c r="G987" s="98"/>
      <c r="H987" s="97"/>
      <c r="I987" s="97"/>
      <c r="J987" s="97"/>
      <c r="K987" s="97"/>
      <c r="L987" s="97"/>
      <c r="M987" s="97"/>
      <c r="N987" s="97"/>
      <c r="O987" s="97"/>
      <c r="P987" s="97"/>
      <c r="Q987" s="97"/>
      <c r="R987" s="97"/>
      <c r="S987" s="97"/>
      <c r="T987" s="97"/>
      <c r="U987" s="98"/>
      <c r="V987" s="97"/>
      <c r="W987" s="97"/>
      <c r="X987" s="97"/>
      <c r="Y987" s="97"/>
      <c r="Z987" s="97"/>
      <c r="AA987" s="97"/>
      <c r="AB987" s="97"/>
      <c r="AC987" s="97"/>
      <c r="AD987" s="97"/>
      <c r="AE987" s="97"/>
      <c r="AF987" s="97"/>
      <c r="AG987" s="97"/>
      <c r="AH987" s="97"/>
      <c r="AI987" s="97"/>
      <c r="AJ987" s="97"/>
      <c r="AK987" s="97"/>
      <c r="AL987" s="97"/>
      <c r="AM987" s="97"/>
      <c r="AN987" s="97"/>
      <c r="AO987" s="97"/>
      <c r="AP987" s="97"/>
      <c r="AQ987" s="99"/>
      <c r="AR987" s="99"/>
      <c r="AS987" s="99"/>
    </row>
    <row r="988">
      <c r="A988" s="97"/>
      <c r="B988" s="97"/>
      <c r="C988" s="97"/>
      <c r="D988" s="97"/>
      <c r="E988" s="97"/>
      <c r="F988" s="97"/>
      <c r="G988" s="98"/>
      <c r="H988" s="97"/>
      <c r="I988" s="97"/>
      <c r="J988" s="97"/>
      <c r="K988" s="97"/>
      <c r="L988" s="97"/>
      <c r="M988" s="97"/>
      <c r="N988" s="97"/>
      <c r="O988" s="97"/>
      <c r="P988" s="97"/>
      <c r="Q988" s="97"/>
      <c r="R988" s="97"/>
      <c r="S988" s="97"/>
      <c r="T988" s="97"/>
      <c r="U988" s="98"/>
      <c r="V988" s="97"/>
      <c r="W988" s="97"/>
      <c r="X988" s="97"/>
      <c r="Y988" s="97"/>
      <c r="Z988" s="97"/>
      <c r="AA988" s="97"/>
      <c r="AB988" s="97"/>
      <c r="AC988" s="97"/>
      <c r="AD988" s="97"/>
      <c r="AE988" s="97"/>
      <c r="AF988" s="97"/>
      <c r="AG988" s="97"/>
      <c r="AH988" s="97"/>
      <c r="AI988" s="97"/>
      <c r="AJ988" s="97"/>
      <c r="AK988" s="97"/>
      <c r="AL988" s="97"/>
      <c r="AM988" s="97"/>
      <c r="AN988" s="97"/>
      <c r="AO988" s="97"/>
      <c r="AP988" s="97"/>
      <c r="AQ988" s="99"/>
      <c r="AR988" s="99"/>
      <c r="AS988" s="99"/>
    </row>
    <row r="989">
      <c r="A989" s="97"/>
      <c r="B989" s="97"/>
      <c r="C989" s="97"/>
      <c r="D989" s="97"/>
      <c r="E989" s="97"/>
      <c r="F989" s="97"/>
      <c r="G989" s="98"/>
      <c r="H989" s="97"/>
      <c r="I989" s="97"/>
      <c r="J989" s="97"/>
      <c r="K989" s="97"/>
      <c r="L989" s="97"/>
      <c r="M989" s="97"/>
      <c r="N989" s="97"/>
      <c r="O989" s="97"/>
      <c r="P989" s="97"/>
      <c r="Q989" s="97"/>
      <c r="R989" s="97"/>
      <c r="S989" s="97"/>
      <c r="T989" s="97"/>
      <c r="U989" s="98"/>
      <c r="V989" s="97"/>
      <c r="W989" s="97"/>
      <c r="X989" s="97"/>
      <c r="Y989" s="97"/>
      <c r="Z989" s="97"/>
      <c r="AA989" s="97"/>
      <c r="AB989" s="97"/>
      <c r="AC989" s="97"/>
      <c r="AD989" s="97"/>
      <c r="AE989" s="97"/>
      <c r="AF989" s="97"/>
      <c r="AG989" s="97"/>
      <c r="AH989" s="97"/>
      <c r="AI989" s="97"/>
      <c r="AJ989" s="97"/>
      <c r="AK989" s="97"/>
      <c r="AL989" s="97"/>
      <c r="AM989" s="97"/>
      <c r="AN989" s="97"/>
      <c r="AO989" s="97"/>
      <c r="AP989" s="97"/>
      <c r="AQ989" s="99"/>
      <c r="AR989" s="99"/>
      <c r="AS989" s="99"/>
    </row>
    <row r="990">
      <c r="A990" s="97"/>
      <c r="B990" s="97"/>
      <c r="C990" s="97"/>
      <c r="D990" s="97"/>
      <c r="E990" s="97"/>
      <c r="F990" s="97"/>
      <c r="G990" s="98"/>
      <c r="H990" s="97"/>
      <c r="I990" s="97"/>
      <c r="J990" s="97"/>
      <c r="K990" s="97"/>
      <c r="L990" s="97"/>
      <c r="M990" s="97"/>
      <c r="N990" s="97"/>
      <c r="O990" s="97"/>
      <c r="P990" s="97"/>
      <c r="Q990" s="97"/>
      <c r="R990" s="97"/>
      <c r="S990" s="97"/>
      <c r="T990" s="97"/>
      <c r="U990" s="98"/>
      <c r="V990" s="97"/>
      <c r="W990" s="97"/>
      <c r="X990" s="97"/>
      <c r="Y990" s="97"/>
      <c r="Z990" s="97"/>
      <c r="AA990" s="97"/>
      <c r="AB990" s="97"/>
      <c r="AC990" s="97"/>
      <c r="AD990" s="97"/>
      <c r="AE990" s="97"/>
      <c r="AF990" s="97"/>
      <c r="AG990" s="97"/>
      <c r="AH990" s="97"/>
      <c r="AI990" s="97"/>
      <c r="AJ990" s="97"/>
      <c r="AK990" s="97"/>
      <c r="AL990" s="97"/>
      <c r="AM990" s="97"/>
      <c r="AN990" s="97"/>
      <c r="AO990" s="97"/>
      <c r="AP990" s="97"/>
      <c r="AQ990" s="99"/>
      <c r="AR990" s="99"/>
      <c r="AS990" s="99"/>
    </row>
    <row r="991">
      <c r="A991" s="97"/>
      <c r="B991" s="97"/>
      <c r="C991" s="97"/>
      <c r="D991" s="97"/>
      <c r="E991" s="97"/>
      <c r="F991" s="97"/>
      <c r="G991" s="98"/>
      <c r="H991" s="97"/>
      <c r="I991" s="97"/>
      <c r="J991" s="97"/>
      <c r="K991" s="97"/>
      <c r="L991" s="97"/>
      <c r="M991" s="97"/>
      <c r="N991" s="97"/>
      <c r="O991" s="97"/>
      <c r="P991" s="97"/>
      <c r="Q991" s="97"/>
      <c r="R991" s="97"/>
      <c r="S991" s="97"/>
      <c r="T991" s="97"/>
      <c r="U991" s="98"/>
      <c r="V991" s="97"/>
      <c r="W991" s="97"/>
      <c r="X991" s="97"/>
      <c r="Y991" s="97"/>
      <c r="Z991" s="97"/>
      <c r="AA991" s="97"/>
      <c r="AB991" s="97"/>
      <c r="AC991" s="97"/>
      <c r="AD991" s="97"/>
      <c r="AE991" s="97"/>
      <c r="AF991" s="97"/>
      <c r="AG991" s="97"/>
      <c r="AH991" s="97"/>
      <c r="AI991" s="97"/>
      <c r="AJ991" s="97"/>
      <c r="AK991" s="97"/>
      <c r="AL991" s="97"/>
      <c r="AM991" s="97"/>
      <c r="AN991" s="97"/>
      <c r="AO991" s="97"/>
      <c r="AP991" s="97"/>
      <c r="AQ991" s="99"/>
      <c r="AR991" s="99"/>
      <c r="AS991" s="99"/>
    </row>
    <row r="992">
      <c r="A992" s="97"/>
      <c r="B992" s="97"/>
      <c r="C992" s="97"/>
      <c r="D992" s="97"/>
      <c r="E992" s="97"/>
      <c r="F992" s="97"/>
      <c r="G992" s="98"/>
      <c r="H992" s="97"/>
      <c r="I992" s="97"/>
      <c r="J992" s="97"/>
      <c r="K992" s="97"/>
      <c r="L992" s="97"/>
      <c r="M992" s="97"/>
      <c r="N992" s="97"/>
      <c r="O992" s="97"/>
      <c r="P992" s="97"/>
      <c r="Q992" s="97"/>
      <c r="R992" s="97"/>
      <c r="S992" s="97"/>
      <c r="T992" s="97"/>
      <c r="U992" s="98"/>
      <c r="V992" s="97"/>
      <c r="W992" s="97"/>
      <c r="X992" s="97"/>
      <c r="Y992" s="97"/>
      <c r="Z992" s="97"/>
      <c r="AA992" s="97"/>
      <c r="AB992" s="97"/>
      <c r="AC992" s="97"/>
      <c r="AD992" s="97"/>
      <c r="AE992" s="97"/>
      <c r="AF992" s="97"/>
      <c r="AG992" s="97"/>
      <c r="AH992" s="97"/>
      <c r="AI992" s="97"/>
      <c r="AJ992" s="97"/>
      <c r="AK992" s="97"/>
      <c r="AL992" s="97"/>
      <c r="AM992" s="97"/>
      <c r="AN992" s="97"/>
      <c r="AO992" s="97"/>
      <c r="AP992" s="97"/>
      <c r="AQ992" s="99"/>
      <c r="AR992" s="99"/>
      <c r="AS992" s="99"/>
    </row>
    <row r="993">
      <c r="A993" s="97"/>
      <c r="B993" s="97"/>
      <c r="C993" s="97"/>
      <c r="D993" s="97"/>
      <c r="E993" s="97"/>
      <c r="F993" s="97"/>
      <c r="G993" s="98"/>
      <c r="H993" s="97"/>
      <c r="I993" s="97"/>
      <c r="J993" s="97"/>
      <c r="K993" s="97"/>
      <c r="L993" s="97"/>
      <c r="M993" s="97"/>
      <c r="N993" s="97"/>
      <c r="O993" s="97"/>
      <c r="P993" s="97"/>
      <c r="Q993" s="97"/>
      <c r="R993" s="97"/>
      <c r="S993" s="97"/>
      <c r="T993" s="97"/>
      <c r="U993" s="98"/>
      <c r="V993" s="97"/>
      <c r="W993" s="97"/>
      <c r="X993" s="97"/>
      <c r="Y993" s="97"/>
      <c r="Z993" s="97"/>
      <c r="AA993" s="97"/>
      <c r="AB993" s="97"/>
      <c r="AC993" s="97"/>
      <c r="AD993" s="97"/>
      <c r="AE993" s="97"/>
      <c r="AF993" s="97"/>
      <c r="AG993" s="97"/>
      <c r="AH993" s="97"/>
      <c r="AI993" s="97"/>
      <c r="AJ993" s="97"/>
      <c r="AK993" s="97"/>
      <c r="AL993" s="97"/>
      <c r="AM993" s="97"/>
      <c r="AN993" s="97"/>
      <c r="AO993" s="97"/>
      <c r="AP993" s="97"/>
      <c r="AQ993" s="99"/>
      <c r="AR993" s="99"/>
      <c r="AS993" s="99"/>
    </row>
    <row r="994">
      <c r="A994" s="97"/>
      <c r="B994" s="97"/>
      <c r="C994" s="97"/>
      <c r="D994" s="97"/>
      <c r="E994" s="97"/>
      <c r="F994" s="97"/>
      <c r="G994" s="98"/>
      <c r="H994" s="97"/>
      <c r="I994" s="97"/>
      <c r="J994" s="97"/>
      <c r="K994" s="97"/>
      <c r="L994" s="97"/>
      <c r="M994" s="97"/>
      <c r="N994" s="97"/>
      <c r="O994" s="97"/>
      <c r="P994" s="97"/>
      <c r="Q994" s="97"/>
      <c r="R994" s="97"/>
      <c r="S994" s="97"/>
      <c r="T994" s="97"/>
      <c r="U994" s="98"/>
      <c r="V994" s="97"/>
      <c r="W994" s="97"/>
      <c r="X994" s="97"/>
      <c r="Y994" s="97"/>
      <c r="Z994" s="97"/>
      <c r="AA994" s="97"/>
      <c r="AB994" s="97"/>
      <c r="AC994" s="97"/>
      <c r="AD994" s="97"/>
      <c r="AE994" s="97"/>
      <c r="AF994" s="97"/>
      <c r="AG994" s="97"/>
      <c r="AH994" s="97"/>
      <c r="AI994" s="97"/>
      <c r="AJ994" s="97"/>
      <c r="AK994" s="97"/>
      <c r="AL994" s="97"/>
      <c r="AM994" s="97"/>
      <c r="AN994" s="97"/>
      <c r="AO994" s="97"/>
      <c r="AP994" s="97"/>
      <c r="AQ994" s="99"/>
      <c r="AR994" s="99"/>
      <c r="AS994" s="99"/>
    </row>
    <row r="995">
      <c r="A995" s="97"/>
      <c r="B995" s="97"/>
      <c r="C995" s="97"/>
      <c r="D995" s="97"/>
      <c r="E995" s="97"/>
      <c r="F995" s="97"/>
      <c r="G995" s="98"/>
      <c r="H995" s="97"/>
      <c r="I995" s="97"/>
      <c r="J995" s="97"/>
      <c r="K995" s="97"/>
      <c r="L995" s="97"/>
      <c r="M995" s="97"/>
      <c r="N995" s="97"/>
      <c r="O995" s="97"/>
      <c r="P995" s="97"/>
      <c r="Q995" s="97"/>
      <c r="R995" s="97"/>
      <c r="S995" s="97"/>
      <c r="T995" s="97"/>
      <c r="U995" s="98"/>
      <c r="V995" s="97"/>
      <c r="W995" s="97"/>
      <c r="X995" s="97"/>
      <c r="Y995" s="97"/>
      <c r="Z995" s="97"/>
      <c r="AA995" s="97"/>
      <c r="AB995" s="97"/>
      <c r="AC995" s="97"/>
      <c r="AD995" s="97"/>
      <c r="AE995" s="97"/>
      <c r="AF995" s="97"/>
      <c r="AG995" s="97"/>
      <c r="AH995" s="97"/>
      <c r="AI995" s="97"/>
      <c r="AJ995" s="97"/>
      <c r="AK995" s="97"/>
      <c r="AL995" s="97"/>
      <c r="AM995" s="97"/>
      <c r="AN995" s="97"/>
      <c r="AO995" s="97"/>
      <c r="AP995" s="97"/>
      <c r="AQ995" s="99"/>
      <c r="AR995" s="99"/>
      <c r="AS995" s="99"/>
    </row>
    <row r="996">
      <c r="A996" s="97"/>
      <c r="B996" s="97"/>
      <c r="C996" s="97"/>
      <c r="D996" s="97"/>
      <c r="E996" s="97"/>
      <c r="F996" s="97"/>
      <c r="G996" s="98"/>
      <c r="H996" s="97"/>
      <c r="I996" s="97"/>
      <c r="J996" s="97"/>
      <c r="K996" s="97"/>
      <c r="L996" s="97"/>
      <c r="M996" s="97"/>
      <c r="N996" s="97"/>
      <c r="O996" s="97"/>
      <c r="P996" s="97"/>
      <c r="Q996" s="97"/>
      <c r="R996" s="97"/>
      <c r="S996" s="97"/>
      <c r="T996" s="97"/>
      <c r="U996" s="98"/>
      <c r="V996" s="97"/>
      <c r="W996" s="97"/>
      <c r="X996" s="97"/>
      <c r="Y996" s="97"/>
      <c r="Z996" s="97"/>
      <c r="AA996" s="97"/>
      <c r="AB996" s="97"/>
      <c r="AC996" s="97"/>
      <c r="AD996" s="97"/>
      <c r="AE996" s="97"/>
      <c r="AF996" s="97"/>
      <c r="AG996" s="97"/>
      <c r="AH996" s="97"/>
      <c r="AI996" s="97"/>
      <c r="AJ996" s="97"/>
      <c r="AK996" s="97"/>
      <c r="AL996" s="97"/>
      <c r="AM996" s="97"/>
      <c r="AN996" s="97"/>
      <c r="AO996" s="97"/>
      <c r="AP996" s="97"/>
      <c r="AQ996" s="99"/>
      <c r="AR996" s="99"/>
      <c r="AS996" s="99"/>
    </row>
    <row r="997">
      <c r="A997" s="97"/>
      <c r="B997" s="97"/>
      <c r="C997" s="97"/>
      <c r="D997" s="97"/>
      <c r="E997" s="97"/>
      <c r="F997" s="97"/>
      <c r="G997" s="98"/>
      <c r="H997" s="97"/>
      <c r="I997" s="97"/>
      <c r="J997" s="97"/>
      <c r="K997" s="97"/>
      <c r="L997" s="97"/>
      <c r="M997" s="97"/>
      <c r="N997" s="97"/>
      <c r="O997" s="97"/>
      <c r="P997" s="97"/>
      <c r="Q997" s="97"/>
      <c r="R997" s="97"/>
      <c r="S997" s="97"/>
      <c r="T997" s="97"/>
      <c r="U997" s="98"/>
      <c r="V997" s="97"/>
      <c r="W997" s="97"/>
      <c r="X997" s="97"/>
      <c r="Y997" s="97"/>
      <c r="Z997" s="97"/>
      <c r="AA997" s="97"/>
      <c r="AB997" s="97"/>
      <c r="AC997" s="97"/>
      <c r="AD997" s="97"/>
      <c r="AE997" s="97"/>
      <c r="AF997" s="97"/>
      <c r="AG997" s="97"/>
      <c r="AH997" s="97"/>
      <c r="AI997" s="97"/>
      <c r="AJ997" s="97"/>
      <c r="AK997" s="97"/>
      <c r="AL997" s="97"/>
      <c r="AM997" s="97"/>
      <c r="AN997" s="97"/>
      <c r="AO997" s="97"/>
      <c r="AP997" s="97"/>
      <c r="AQ997" s="99"/>
      <c r="AR997" s="99"/>
      <c r="AS997" s="99"/>
    </row>
    <row r="998">
      <c r="A998" s="97"/>
      <c r="B998" s="97"/>
      <c r="C998" s="97"/>
      <c r="D998" s="97"/>
      <c r="E998" s="97"/>
      <c r="F998" s="97"/>
      <c r="G998" s="98"/>
      <c r="H998" s="97"/>
      <c r="I998" s="97"/>
      <c r="J998" s="97"/>
      <c r="K998" s="97"/>
      <c r="L998" s="97"/>
      <c r="M998" s="97"/>
      <c r="N998" s="97"/>
      <c r="O998" s="97"/>
      <c r="P998" s="97"/>
      <c r="Q998" s="97"/>
      <c r="R998" s="97"/>
      <c r="S998" s="97"/>
      <c r="T998" s="97"/>
      <c r="U998" s="98"/>
      <c r="V998" s="97"/>
      <c r="W998" s="97"/>
      <c r="X998" s="97"/>
      <c r="Y998" s="97"/>
      <c r="Z998" s="97"/>
      <c r="AA998" s="97"/>
      <c r="AB998" s="97"/>
      <c r="AC998" s="97"/>
      <c r="AD998" s="97"/>
      <c r="AE998" s="97"/>
      <c r="AF998" s="97"/>
      <c r="AG998" s="97"/>
      <c r="AH998" s="97"/>
      <c r="AI998" s="97"/>
      <c r="AJ998" s="97"/>
      <c r="AK998" s="97"/>
      <c r="AL998" s="97"/>
      <c r="AM998" s="97"/>
      <c r="AN998" s="97"/>
      <c r="AO998" s="97"/>
      <c r="AP998" s="97"/>
      <c r="AQ998" s="99"/>
      <c r="AR998" s="99"/>
      <c r="AS998" s="99"/>
    </row>
    <row r="999">
      <c r="A999" s="97"/>
      <c r="B999" s="97"/>
      <c r="C999" s="97"/>
      <c r="D999" s="97"/>
      <c r="E999" s="97"/>
      <c r="F999" s="97"/>
      <c r="G999" s="98"/>
      <c r="H999" s="97"/>
      <c r="I999" s="97"/>
      <c r="J999" s="97"/>
      <c r="K999" s="97"/>
      <c r="L999" s="97"/>
      <c r="M999" s="97"/>
      <c r="N999" s="97"/>
      <c r="O999" s="97"/>
      <c r="P999" s="97"/>
      <c r="Q999" s="97"/>
      <c r="R999" s="97"/>
      <c r="S999" s="97"/>
      <c r="T999" s="97"/>
      <c r="U999" s="98"/>
      <c r="V999" s="97"/>
      <c r="W999" s="97"/>
      <c r="X999" s="97"/>
      <c r="Y999" s="97"/>
      <c r="Z999" s="97"/>
      <c r="AA999" s="97"/>
      <c r="AB999" s="97"/>
      <c r="AC999" s="97"/>
      <c r="AD999" s="97"/>
      <c r="AE999" s="97"/>
      <c r="AF999" s="97"/>
      <c r="AG999" s="97"/>
      <c r="AH999" s="97"/>
      <c r="AI999" s="97"/>
      <c r="AJ999" s="97"/>
      <c r="AK999" s="97"/>
      <c r="AL999" s="97"/>
      <c r="AM999" s="97"/>
      <c r="AN999" s="97"/>
      <c r="AO999" s="97"/>
      <c r="AP999" s="97"/>
      <c r="AQ999" s="99"/>
      <c r="AR999" s="99"/>
      <c r="AS999" s="99"/>
    </row>
    <row r="1000">
      <c r="A1000" s="97"/>
      <c r="B1000" s="97"/>
      <c r="C1000" s="97"/>
      <c r="D1000" s="97"/>
      <c r="E1000" s="97"/>
      <c r="F1000" s="97"/>
      <c r="G1000" s="98"/>
      <c r="H1000" s="97"/>
      <c r="I1000" s="97"/>
      <c r="J1000" s="97"/>
      <c r="K1000" s="97"/>
      <c r="L1000" s="97"/>
      <c r="M1000" s="97"/>
      <c r="N1000" s="97"/>
      <c r="O1000" s="97"/>
      <c r="P1000" s="97"/>
      <c r="Q1000" s="97"/>
      <c r="R1000" s="97"/>
      <c r="S1000" s="97"/>
      <c r="T1000" s="97"/>
      <c r="U1000" s="98"/>
      <c r="V1000" s="97"/>
      <c r="W1000" s="97"/>
      <c r="X1000" s="97"/>
      <c r="Y1000" s="97"/>
      <c r="Z1000" s="97"/>
      <c r="AA1000" s="97"/>
      <c r="AB1000" s="97"/>
      <c r="AC1000" s="97"/>
      <c r="AD1000" s="97"/>
      <c r="AE1000" s="97"/>
      <c r="AF1000" s="97"/>
      <c r="AG1000" s="97"/>
      <c r="AH1000" s="97"/>
      <c r="AI1000" s="97"/>
      <c r="AJ1000" s="97"/>
      <c r="AK1000" s="97"/>
      <c r="AL1000" s="97"/>
      <c r="AM1000" s="97"/>
      <c r="AN1000" s="97"/>
      <c r="AO1000" s="97"/>
      <c r="AP1000" s="97"/>
      <c r="AQ1000" s="99"/>
      <c r="AR1000" s="99"/>
      <c r="AS1000" s="99"/>
    </row>
  </sheetData>
  <dataValidations>
    <dataValidation type="list" allowBlank="1" showDropDown="1" sqref="AQ2:AQ1000">
      <formula1>'UF Comp Metrics List'!$B$2:$B$27</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3.25"/>
    <col customWidth="1" min="2" max="2" width="9.38"/>
    <col customWidth="1" min="3" max="3" width="4.0"/>
    <col customWidth="1" min="4" max="4" width="9.38"/>
    <col customWidth="1" min="5" max="5" width="28.0"/>
    <col customWidth="1" min="6" max="7" width="9.38"/>
    <col customWidth="1" min="8" max="8" width="44.88"/>
    <col customWidth="1" hidden="1" min="9" max="22" width="9.38"/>
    <col customWidth="1" min="23" max="23" width="9.38"/>
    <col customWidth="1" min="24" max="24" width="32.63"/>
    <col customWidth="1" hidden="1" min="25" max="39" width="9.38"/>
    <col customWidth="1" min="40" max="40" width="22.75"/>
    <col customWidth="1" min="41" max="41" width="8.38"/>
    <col customWidth="1" min="42" max="42" width="28.38"/>
  </cols>
  <sheetData>
    <row r="1" ht="77.25" customHeight="1">
      <c r="A1" s="6" t="s">
        <v>4</v>
      </c>
      <c r="B1" s="6" t="s">
        <v>2323</v>
      </c>
      <c r="C1" s="6" t="s">
        <v>2324</v>
      </c>
      <c r="D1" s="6" t="s">
        <v>2325</v>
      </c>
      <c r="E1" s="7" t="s">
        <v>2326</v>
      </c>
      <c r="F1" s="7" t="s">
        <v>2327</v>
      </c>
      <c r="G1" s="7" t="s">
        <v>2328</v>
      </c>
      <c r="H1" s="7" t="s">
        <v>10</v>
      </c>
      <c r="I1" s="7" t="s">
        <v>11</v>
      </c>
      <c r="J1" s="7" t="s">
        <v>12</v>
      </c>
      <c r="K1" s="7" t="s">
        <v>2329</v>
      </c>
      <c r="L1" s="7" t="s">
        <v>2330</v>
      </c>
      <c r="M1" s="7" t="s">
        <v>15</v>
      </c>
      <c r="N1" s="7" t="s">
        <v>2331</v>
      </c>
      <c r="O1" s="7" t="s">
        <v>17</v>
      </c>
      <c r="P1" s="7" t="s">
        <v>2332</v>
      </c>
      <c r="Q1" s="7" t="s">
        <v>2333</v>
      </c>
      <c r="R1" s="7" t="s">
        <v>2334</v>
      </c>
      <c r="S1" s="7" t="s">
        <v>2335</v>
      </c>
      <c r="T1" s="7" t="s">
        <v>2336</v>
      </c>
      <c r="U1" s="7" t="s">
        <v>2337</v>
      </c>
      <c r="V1" s="7" t="s">
        <v>22</v>
      </c>
      <c r="W1" s="7" t="s">
        <v>23</v>
      </c>
      <c r="X1" s="7" t="s">
        <v>2338</v>
      </c>
      <c r="Y1" s="7" t="s">
        <v>2339</v>
      </c>
      <c r="Z1" s="7" t="s">
        <v>2340</v>
      </c>
      <c r="AA1" s="7" t="s">
        <v>2341</v>
      </c>
      <c r="AB1" s="7" t="s">
        <v>2342</v>
      </c>
      <c r="AC1" s="7" t="s">
        <v>35</v>
      </c>
      <c r="AD1" s="7" t="s">
        <v>2343</v>
      </c>
      <c r="AE1" s="7" t="s">
        <v>2344</v>
      </c>
      <c r="AF1" s="7" t="s">
        <v>2345</v>
      </c>
      <c r="AG1" s="7" t="s">
        <v>43</v>
      </c>
      <c r="AH1" s="7" t="s">
        <v>2346</v>
      </c>
      <c r="AI1" s="7" t="s">
        <v>2347</v>
      </c>
      <c r="AJ1" s="7" t="s">
        <v>2348</v>
      </c>
      <c r="AK1" s="7" t="s">
        <v>2349</v>
      </c>
      <c r="AL1" s="6" t="s">
        <v>44</v>
      </c>
      <c r="AM1" s="6" t="s">
        <v>2350</v>
      </c>
      <c r="AN1" s="100" t="s">
        <v>2351</v>
      </c>
      <c r="AO1" s="101" t="s">
        <v>47</v>
      </c>
      <c r="AP1" s="101" t="s">
        <v>48</v>
      </c>
    </row>
    <row r="2">
      <c r="A2" s="102">
        <v>2.0</v>
      </c>
      <c r="B2" s="34">
        <v>8.79385439E8</v>
      </c>
      <c r="C2" s="34" t="s">
        <v>2352</v>
      </c>
      <c r="D2" s="34" t="s">
        <v>2353</v>
      </c>
      <c r="E2" s="35" t="s">
        <v>2354</v>
      </c>
      <c r="F2" s="35" t="s">
        <v>2355</v>
      </c>
      <c r="G2" s="35" t="s">
        <v>2356</v>
      </c>
      <c r="H2" s="35" t="s">
        <v>2357</v>
      </c>
      <c r="I2" s="35">
        <v>2017.0</v>
      </c>
      <c r="J2" s="35" t="s">
        <v>2358</v>
      </c>
      <c r="K2" s="35" t="s">
        <v>730</v>
      </c>
      <c r="L2" s="35" t="s">
        <v>2359</v>
      </c>
      <c r="M2" s="35" t="s">
        <v>57</v>
      </c>
      <c r="N2" s="35" t="s">
        <v>2356</v>
      </c>
      <c r="O2" s="35" t="s">
        <v>2360</v>
      </c>
      <c r="P2" s="35" t="s">
        <v>2361</v>
      </c>
      <c r="Q2" s="35" t="s">
        <v>93</v>
      </c>
      <c r="R2" s="35" t="s">
        <v>57</v>
      </c>
      <c r="S2" s="35" t="s">
        <v>57</v>
      </c>
      <c r="T2" s="35" t="s">
        <v>69</v>
      </c>
      <c r="U2" s="35" t="s">
        <v>2362</v>
      </c>
      <c r="V2" s="35" t="s">
        <v>96</v>
      </c>
      <c r="W2" s="35" t="s">
        <v>749</v>
      </c>
      <c r="X2" s="35" t="s">
        <v>2363</v>
      </c>
      <c r="Y2" s="35" t="s">
        <v>2364</v>
      </c>
      <c r="Z2" s="35" t="s">
        <v>2365</v>
      </c>
      <c r="AA2" s="35" t="s">
        <v>57</v>
      </c>
      <c r="AB2" s="35" t="s">
        <v>57</v>
      </c>
      <c r="AC2" s="35" t="s">
        <v>74</v>
      </c>
      <c r="AD2" s="35" t="s">
        <v>96</v>
      </c>
      <c r="AE2" s="35" t="s">
        <v>2366</v>
      </c>
      <c r="AF2" s="35" t="s">
        <v>69</v>
      </c>
      <c r="AG2" s="35" t="s">
        <v>129</v>
      </c>
      <c r="AH2" s="35" t="s">
        <v>129</v>
      </c>
      <c r="AI2" s="35" t="s">
        <v>57</v>
      </c>
      <c r="AJ2" s="35" t="s">
        <v>57</v>
      </c>
      <c r="AK2" s="35" t="s">
        <v>2367</v>
      </c>
      <c r="AL2" s="34"/>
      <c r="AM2" s="34" t="s">
        <v>109</v>
      </c>
      <c r="AN2" s="103" t="s">
        <v>2368</v>
      </c>
      <c r="AO2" s="103" t="s">
        <v>1955</v>
      </c>
      <c r="AP2" s="103"/>
    </row>
    <row r="3">
      <c r="A3" s="102">
        <v>4.0</v>
      </c>
      <c r="B3" s="34">
        <v>8.97599677E8</v>
      </c>
      <c r="C3" s="34" t="s">
        <v>2369</v>
      </c>
      <c r="D3" s="34" t="s">
        <v>2370</v>
      </c>
      <c r="E3" s="35" t="s">
        <v>2371</v>
      </c>
      <c r="F3" s="43" t="s">
        <v>2372</v>
      </c>
      <c r="G3" s="35" t="s">
        <v>172</v>
      </c>
      <c r="H3" s="43" t="s">
        <v>2373</v>
      </c>
      <c r="I3" s="35">
        <v>2017.0</v>
      </c>
      <c r="J3" s="35" t="s">
        <v>2374</v>
      </c>
      <c r="K3" s="35" t="s">
        <v>730</v>
      </c>
      <c r="L3" s="35" t="s">
        <v>2375</v>
      </c>
      <c r="M3" s="35" t="s">
        <v>57</v>
      </c>
      <c r="N3" s="35" t="s">
        <v>172</v>
      </c>
      <c r="O3" s="35" t="s">
        <v>2376</v>
      </c>
      <c r="P3" s="35" t="s">
        <v>2377</v>
      </c>
      <c r="Q3" s="35" t="s">
        <v>93</v>
      </c>
      <c r="R3" s="35" t="s">
        <v>57</v>
      </c>
      <c r="S3" s="35" t="s">
        <v>57</v>
      </c>
      <c r="T3" s="35" t="s">
        <v>69</v>
      </c>
      <c r="U3" s="35" t="s">
        <v>2378</v>
      </c>
      <c r="V3" s="35" t="s">
        <v>96</v>
      </c>
      <c r="W3" s="35" t="s">
        <v>1976</v>
      </c>
      <c r="X3" s="35" t="s">
        <v>2379</v>
      </c>
      <c r="Y3" s="35" t="s">
        <v>2380</v>
      </c>
      <c r="Z3" s="35" t="s">
        <v>2381</v>
      </c>
      <c r="AA3" s="35">
        <v>1997.0</v>
      </c>
      <c r="AB3" s="35">
        <v>2013.0</v>
      </c>
      <c r="AC3" s="35" t="s">
        <v>74</v>
      </c>
      <c r="AD3" s="35" t="s">
        <v>96</v>
      </c>
      <c r="AE3" s="35" t="s">
        <v>2382</v>
      </c>
      <c r="AF3" s="35" t="s">
        <v>69</v>
      </c>
      <c r="AG3" s="35" t="s">
        <v>307</v>
      </c>
      <c r="AH3" s="35" t="s">
        <v>2067</v>
      </c>
      <c r="AI3" s="35" t="s">
        <v>129</v>
      </c>
      <c r="AJ3" s="35" t="s">
        <v>57</v>
      </c>
      <c r="AK3" s="35" t="s">
        <v>2383</v>
      </c>
      <c r="AL3" s="34"/>
      <c r="AM3" s="34" t="s">
        <v>109</v>
      </c>
      <c r="AN3" s="103" t="s">
        <v>2384</v>
      </c>
      <c r="AO3" s="103" t="s">
        <v>1955</v>
      </c>
      <c r="AP3" s="103"/>
    </row>
    <row r="4">
      <c r="A4" s="102">
        <v>12.0</v>
      </c>
      <c r="B4" s="34">
        <v>8.79385457E8</v>
      </c>
      <c r="C4" s="34" t="s">
        <v>2385</v>
      </c>
      <c r="D4" s="34" t="s">
        <v>2386</v>
      </c>
      <c r="E4" s="35" t="s">
        <v>2387</v>
      </c>
      <c r="F4" s="35" t="s">
        <v>2388</v>
      </c>
      <c r="G4" s="35" t="s">
        <v>2389</v>
      </c>
      <c r="H4" s="43" t="s">
        <v>2390</v>
      </c>
      <c r="I4" s="35">
        <v>2018.0</v>
      </c>
      <c r="J4" s="35" t="s">
        <v>295</v>
      </c>
      <c r="K4" s="35" t="s">
        <v>730</v>
      </c>
      <c r="L4" s="35" t="s">
        <v>2391</v>
      </c>
      <c r="M4" s="35" t="s">
        <v>57</v>
      </c>
      <c r="N4" s="35" t="s">
        <v>2389</v>
      </c>
      <c r="O4" s="35" t="s">
        <v>2392</v>
      </c>
      <c r="P4" s="35" t="s">
        <v>2393</v>
      </c>
      <c r="Q4" s="35" t="s">
        <v>93</v>
      </c>
      <c r="R4" s="35" t="s">
        <v>57</v>
      </c>
      <c r="S4" s="35" t="s">
        <v>57</v>
      </c>
      <c r="T4" s="35" t="s">
        <v>74</v>
      </c>
      <c r="U4" s="35" t="s">
        <v>57</v>
      </c>
      <c r="V4" s="35" t="s">
        <v>2394</v>
      </c>
      <c r="W4" s="35" t="s">
        <v>2395</v>
      </c>
      <c r="X4" s="35" t="s">
        <v>2396</v>
      </c>
      <c r="Y4" s="35" t="s">
        <v>2397</v>
      </c>
      <c r="Z4" s="35" t="s">
        <v>2398</v>
      </c>
      <c r="AA4" s="35">
        <v>2013.0</v>
      </c>
      <c r="AB4" s="35">
        <v>2015.0</v>
      </c>
      <c r="AC4" s="35" t="s">
        <v>74</v>
      </c>
      <c r="AD4" s="35" t="s">
        <v>63</v>
      </c>
      <c r="AE4" s="35" t="s">
        <v>2399</v>
      </c>
      <c r="AF4" s="35" t="s">
        <v>69</v>
      </c>
      <c r="AG4" s="35" t="s">
        <v>129</v>
      </c>
      <c r="AH4" s="35" t="s">
        <v>129</v>
      </c>
      <c r="AI4" s="35" t="s">
        <v>57</v>
      </c>
      <c r="AJ4" s="35" t="s">
        <v>57</v>
      </c>
      <c r="AK4" s="35" t="s">
        <v>2400</v>
      </c>
      <c r="AL4" s="34"/>
      <c r="AM4" s="34" t="s">
        <v>2401</v>
      </c>
      <c r="AN4" s="103" t="s">
        <v>2402</v>
      </c>
      <c r="AO4" s="103" t="s">
        <v>1955</v>
      </c>
      <c r="AP4" s="104"/>
    </row>
    <row r="5">
      <c r="A5" s="102">
        <v>13.0</v>
      </c>
      <c r="B5" s="34">
        <v>8.7938549E8</v>
      </c>
      <c r="C5" s="34" t="s">
        <v>2403</v>
      </c>
      <c r="D5" s="34" t="s">
        <v>2404</v>
      </c>
      <c r="E5" s="35" t="s">
        <v>2405</v>
      </c>
      <c r="F5" s="43" t="s">
        <v>2406</v>
      </c>
      <c r="G5" s="35" t="s">
        <v>859</v>
      </c>
      <c r="H5" s="35" t="s">
        <v>2407</v>
      </c>
      <c r="I5" s="35">
        <v>2022.0</v>
      </c>
      <c r="J5" s="35" t="s">
        <v>2408</v>
      </c>
      <c r="K5" s="35" t="s">
        <v>730</v>
      </c>
      <c r="L5" s="35" t="s">
        <v>2409</v>
      </c>
      <c r="M5" s="35" t="s">
        <v>57</v>
      </c>
      <c r="N5" s="35" t="s">
        <v>859</v>
      </c>
      <c r="O5" s="35" t="s">
        <v>57</v>
      </c>
      <c r="P5" s="35" t="s">
        <v>2410</v>
      </c>
      <c r="Q5" s="35" t="s">
        <v>93</v>
      </c>
      <c r="R5" s="43" t="s">
        <v>2411</v>
      </c>
      <c r="S5" s="35" t="s">
        <v>2412</v>
      </c>
      <c r="T5" s="35" t="s">
        <v>69</v>
      </c>
      <c r="U5" s="35" t="s">
        <v>2413</v>
      </c>
      <c r="V5" s="35" t="s">
        <v>193</v>
      </c>
      <c r="W5" s="35" t="s">
        <v>2414</v>
      </c>
      <c r="X5" s="35" t="s">
        <v>2415</v>
      </c>
      <c r="Y5" s="35" t="s">
        <v>2397</v>
      </c>
      <c r="Z5" s="35" t="s">
        <v>2416</v>
      </c>
      <c r="AA5" s="35">
        <v>1989.0</v>
      </c>
      <c r="AB5" s="35">
        <v>2019.0</v>
      </c>
      <c r="AC5" s="35" t="s">
        <v>74</v>
      </c>
      <c r="AD5" s="35" t="s">
        <v>96</v>
      </c>
      <c r="AE5" s="35" t="s">
        <v>2417</v>
      </c>
      <c r="AF5" s="35" t="s">
        <v>69</v>
      </c>
      <c r="AG5" s="35" t="s">
        <v>129</v>
      </c>
      <c r="AH5" s="35" t="s">
        <v>129</v>
      </c>
      <c r="AI5" s="35" t="s">
        <v>57</v>
      </c>
      <c r="AJ5" s="35" t="s">
        <v>57</v>
      </c>
      <c r="AK5" s="35" t="s">
        <v>2418</v>
      </c>
      <c r="AL5" s="34"/>
      <c r="AM5" s="34" t="s">
        <v>2401</v>
      </c>
      <c r="AN5" s="103" t="s">
        <v>324</v>
      </c>
      <c r="AO5" s="103" t="s">
        <v>1955</v>
      </c>
      <c r="AP5" s="105" t="s">
        <v>2419</v>
      </c>
    </row>
    <row r="6">
      <c r="A6" s="106">
        <v>19.0</v>
      </c>
      <c r="B6" s="15">
        <v>8.79385565E8</v>
      </c>
      <c r="C6" s="15" t="s">
        <v>2420</v>
      </c>
      <c r="D6" s="15" t="s">
        <v>2421</v>
      </c>
      <c r="E6" s="16" t="s">
        <v>2422</v>
      </c>
      <c r="F6" s="16" t="s">
        <v>2423</v>
      </c>
      <c r="G6" s="16" t="s">
        <v>273</v>
      </c>
      <c r="H6" s="16" t="s">
        <v>2424</v>
      </c>
      <c r="I6" s="16">
        <v>2020.0</v>
      </c>
      <c r="J6" s="16" t="s">
        <v>2425</v>
      </c>
      <c r="K6" s="16" t="s">
        <v>730</v>
      </c>
      <c r="L6" s="16" t="s">
        <v>2426</v>
      </c>
      <c r="M6" s="16" t="s">
        <v>57</v>
      </c>
      <c r="N6" s="16" t="s">
        <v>2427</v>
      </c>
      <c r="O6" s="16" t="s">
        <v>2428</v>
      </c>
      <c r="P6" s="16" t="s">
        <v>2429</v>
      </c>
      <c r="Q6" s="16" t="s">
        <v>93</v>
      </c>
      <c r="R6" s="16" t="s">
        <v>57</v>
      </c>
      <c r="S6" s="16" t="s">
        <v>57</v>
      </c>
      <c r="T6" s="16" t="s">
        <v>74</v>
      </c>
      <c r="U6" s="16" t="s">
        <v>57</v>
      </c>
      <c r="V6" s="16" t="s">
        <v>2430</v>
      </c>
      <c r="W6" s="16" t="s">
        <v>161</v>
      </c>
      <c r="X6" s="16" t="s">
        <v>2431</v>
      </c>
      <c r="Y6" s="16" t="s">
        <v>2397</v>
      </c>
      <c r="Z6" s="16" t="s">
        <v>2432</v>
      </c>
      <c r="AA6" s="16" t="s">
        <v>57</v>
      </c>
      <c r="AB6" s="16" t="s">
        <v>57</v>
      </c>
      <c r="AC6" s="16" t="s">
        <v>69</v>
      </c>
      <c r="AD6" s="16" t="s">
        <v>96</v>
      </c>
      <c r="AE6" s="16" t="s">
        <v>2433</v>
      </c>
      <c r="AF6" s="16" t="s">
        <v>74</v>
      </c>
      <c r="AG6" s="16" t="s">
        <v>57</v>
      </c>
      <c r="AH6" s="16" t="s">
        <v>57</v>
      </c>
      <c r="AI6" s="16" t="s">
        <v>57</v>
      </c>
      <c r="AJ6" s="16" t="s">
        <v>57</v>
      </c>
      <c r="AK6" s="16" t="s">
        <v>57</v>
      </c>
      <c r="AL6" s="15"/>
      <c r="AM6" s="15" t="s">
        <v>109</v>
      </c>
      <c r="AN6" s="107" t="s">
        <v>2434</v>
      </c>
      <c r="AO6" s="107" t="s">
        <v>83</v>
      </c>
      <c r="AP6" s="107"/>
    </row>
    <row r="7">
      <c r="A7" s="106">
        <v>20.0</v>
      </c>
      <c r="B7" s="15">
        <v>8.7938557E8</v>
      </c>
      <c r="C7" s="15" t="s">
        <v>2435</v>
      </c>
      <c r="D7" s="15" t="s">
        <v>2436</v>
      </c>
      <c r="E7" s="16" t="s">
        <v>2437</v>
      </c>
      <c r="F7" s="16" t="s">
        <v>2438</v>
      </c>
      <c r="G7" s="16" t="s">
        <v>2439</v>
      </c>
      <c r="H7" s="16" t="s">
        <v>2440</v>
      </c>
      <c r="I7" s="16">
        <v>2011.0</v>
      </c>
      <c r="J7" s="16" t="s">
        <v>2441</v>
      </c>
      <c r="K7" s="16" t="s">
        <v>730</v>
      </c>
      <c r="L7" s="16" t="s">
        <v>2442</v>
      </c>
      <c r="M7" s="16" t="s">
        <v>57</v>
      </c>
      <c r="N7" s="16" t="s">
        <v>2389</v>
      </c>
      <c r="O7" s="16" t="s">
        <v>715</v>
      </c>
      <c r="P7" s="16" t="s">
        <v>2443</v>
      </c>
      <c r="Q7" s="16" t="s">
        <v>93</v>
      </c>
      <c r="R7" s="16" t="s">
        <v>57</v>
      </c>
      <c r="S7" s="16" t="s">
        <v>57</v>
      </c>
      <c r="T7" s="16" t="s">
        <v>74</v>
      </c>
      <c r="U7" s="16" t="s">
        <v>57</v>
      </c>
      <c r="V7" s="16" t="s">
        <v>2394</v>
      </c>
      <c r="W7" s="16" t="s">
        <v>161</v>
      </c>
      <c r="X7" s="16" t="s">
        <v>2444</v>
      </c>
      <c r="Y7" s="16" t="s">
        <v>2445</v>
      </c>
      <c r="Z7" s="16" t="s">
        <v>2446</v>
      </c>
      <c r="AA7" s="16">
        <v>2009.0</v>
      </c>
      <c r="AB7" s="16">
        <v>2009.0</v>
      </c>
      <c r="AC7" s="16" t="s">
        <v>74</v>
      </c>
      <c r="AD7" s="16" t="s">
        <v>63</v>
      </c>
      <c r="AE7" s="16" t="s">
        <v>2447</v>
      </c>
      <c r="AF7" s="16" t="s">
        <v>69</v>
      </c>
      <c r="AG7" s="16" t="s">
        <v>129</v>
      </c>
      <c r="AH7" s="16" t="s">
        <v>129</v>
      </c>
      <c r="AI7" s="16" t="s">
        <v>57</v>
      </c>
      <c r="AJ7" s="16" t="s">
        <v>57</v>
      </c>
      <c r="AK7" s="16" t="s">
        <v>2448</v>
      </c>
      <c r="AL7" s="15"/>
      <c r="AM7" s="15" t="s">
        <v>109</v>
      </c>
      <c r="AN7" s="107" t="s">
        <v>2449</v>
      </c>
      <c r="AO7" s="107" t="s">
        <v>83</v>
      </c>
      <c r="AP7" s="107"/>
    </row>
    <row r="8">
      <c r="A8" s="106">
        <v>21.0</v>
      </c>
      <c r="B8" s="15">
        <v>8.79385581E8</v>
      </c>
      <c r="C8" s="15" t="s">
        <v>2450</v>
      </c>
      <c r="D8" s="15" t="s">
        <v>2451</v>
      </c>
      <c r="E8" s="16" t="s">
        <v>2452</v>
      </c>
      <c r="F8" s="16" t="s">
        <v>2453</v>
      </c>
      <c r="G8" s="16" t="s">
        <v>859</v>
      </c>
      <c r="H8" s="16" t="s">
        <v>2454</v>
      </c>
      <c r="I8" s="16">
        <v>2012.0</v>
      </c>
      <c r="J8" s="16" t="s">
        <v>1362</v>
      </c>
      <c r="K8" s="16" t="s">
        <v>730</v>
      </c>
      <c r="L8" s="16" t="s">
        <v>2455</v>
      </c>
      <c r="M8" s="16" t="s">
        <v>57</v>
      </c>
      <c r="N8" s="16" t="s">
        <v>859</v>
      </c>
      <c r="O8" s="16" t="s">
        <v>2456</v>
      </c>
      <c r="P8" s="16" t="s">
        <v>2457</v>
      </c>
      <c r="Q8" s="16" t="s">
        <v>93</v>
      </c>
      <c r="R8" s="16" t="s">
        <v>2458</v>
      </c>
      <c r="S8" s="16" t="s">
        <v>2459</v>
      </c>
      <c r="T8" s="16" t="s">
        <v>69</v>
      </c>
      <c r="U8" s="16" t="s">
        <v>2460</v>
      </c>
      <c r="V8" s="16" t="s">
        <v>2394</v>
      </c>
      <c r="W8" s="16" t="s">
        <v>161</v>
      </c>
      <c r="X8" s="16" t="s">
        <v>2461</v>
      </c>
      <c r="Y8" s="16" t="s">
        <v>2397</v>
      </c>
      <c r="Z8" s="16" t="s">
        <v>2462</v>
      </c>
      <c r="AA8" s="16">
        <v>1972.0</v>
      </c>
      <c r="AB8" s="16">
        <v>2006.0</v>
      </c>
      <c r="AC8" s="16" t="s">
        <v>74</v>
      </c>
      <c r="AD8" s="16" t="s">
        <v>63</v>
      </c>
      <c r="AE8" s="16" t="s">
        <v>2463</v>
      </c>
      <c r="AF8" s="16" t="s">
        <v>69</v>
      </c>
      <c r="AG8" s="16" t="s">
        <v>198</v>
      </c>
      <c r="AH8" s="16" t="s">
        <v>374</v>
      </c>
      <c r="AI8" s="16" t="s">
        <v>129</v>
      </c>
      <c r="AJ8" s="16" t="s">
        <v>57</v>
      </c>
      <c r="AK8" s="16" t="s">
        <v>2464</v>
      </c>
      <c r="AL8" s="15" t="s">
        <v>1418</v>
      </c>
      <c r="AM8" s="15" t="s">
        <v>109</v>
      </c>
      <c r="AN8" s="107" t="s">
        <v>2465</v>
      </c>
      <c r="AO8" s="107" t="s">
        <v>83</v>
      </c>
      <c r="AP8" s="107"/>
    </row>
    <row r="9">
      <c r="A9" s="108">
        <v>23.0</v>
      </c>
      <c r="B9" s="24">
        <v>8.79385596E8</v>
      </c>
      <c r="C9" s="24" t="s">
        <v>2466</v>
      </c>
      <c r="D9" s="24" t="s">
        <v>2467</v>
      </c>
      <c r="E9" s="25" t="s">
        <v>2468</v>
      </c>
      <c r="F9" s="25" t="s">
        <v>2469</v>
      </c>
      <c r="G9" s="25" t="s">
        <v>443</v>
      </c>
      <c r="H9" s="25" t="s">
        <v>2470</v>
      </c>
      <c r="I9" s="25">
        <v>2018.0</v>
      </c>
      <c r="J9" s="25" t="s">
        <v>2471</v>
      </c>
      <c r="K9" s="25" t="s">
        <v>730</v>
      </c>
      <c r="L9" s="25" t="s">
        <v>2472</v>
      </c>
      <c r="M9" s="25" t="s">
        <v>57</v>
      </c>
      <c r="N9" s="25" t="s">
        <v>443</v>
      </c>
      <c r="O9" s="25" t="s">
        <v>2473</v>
      </c>
      <c r="P9" s="25" t="s">
        <v>2474</v>
      </c>
      <c r="Q9" s="25" t="s">
        <v>93</v>
      </c>
      <c r="R9" s="25" t="s">
        <v>2475</v>
      </c>
      <c r="S9" s="25" t="s">
        <v>2476</v>
      </c>
      <c r="T9" s="25" t="s">
        <v>74</v>
      </c>
      <c r="U9" s="25" t="s">
        <v>57</v>
      </c>
      <c r="V9" s="25" t="s">
        <v>96</v>
      </c>
      <c r="W9" s="25" t="s">
        <v>1389</v>
      </c>
      <c r="X9" s="25" t="s">
        <v>2477</v>
      </c>
      <c r="Y9" s="25" t="s">
        <v>2380</v>
      </c>
      <c r="Z9" s="25" t="s">
        <v>2478</v>
      </c>
      <c r="AA9" s="25" t="s">
        <v>57</v>
      </c>
      <c r="AB9" s="25" t="s">
        <v>57</v>
      </c>
      <c r="AC9" s="25" t="s">
        <v>74</v>
      </c>
      <c r="AD9" s="25" t="s">
        <v>215</v>
      </c>
      <c r="AE9" s="25" t="s">
        <v>2479</v>
      </c>
      <c r="AF9" s="25" t="s">
        <v>74</v>
      </c>
      <c r="AG9" s="25" t="s">
        <v>57</v>
      </c>
      <c r="AH9" s="25" t="s">
        <v>57</v>
      </c>
      <c r="AI9" s="25" t="s">
        <v>57</v>
      </c>
      <c r="AJ9" s="25" t="s">
        <v>57</v>
      </c>
      <c r="AK9" s="25" t="s">
        <v>57</v>
      </c>
      <c r="AL9" s="24"/>
      <c r="AM9" s="24" t="s">
        <v>109</v>
      </c>
      <c r="AN9" s="109" t="s">
        <v>2480</v>
      </c>
      <c r="AO9" s="109" t="s">
        <v>83</v>
      </c>
      <c r="AP9" s="109"/>
    </row>
    <row r="10">
      <c r="A10" s="108">
        <v>25.0</v>
      </c>
      <c r="B10" s="24">
        <v>8.79385586E8</v>
      </c>
      <c r="C10" s="24" t="s">
        <v>2481</v>
      </c>
      <c r="D10" s="24" t="s">
        <v>2482</v>
      </c>
      <c r="E10" s="25" t="s">
        <v>2483</v>
      </c>
      <c r="F10" s="25" t="s">
        <v>2484</v>
      </c>
      <c r="G10" s="25" t="s">
        <v>2389</v>
      </c>
      <c r="H10" s="25" t="s">
        <v>2485</v>
      </c>
      <c r="I10" s="25">
        <v>2017.0</v>
      </c>
      <c r="J10" s="25" t="s">
        <v>207</v>
      </c>
      <c r="K10" s="25" t="s">
        <v>730</v>
      </c>
      <c r="L10" s="25" t="s">
        <v>2486</v>
      </c>
      <c r="M10" s="25" t="s">
        <v>57</v>
      </c>
      <c r="N10" s="25" t="s">
        <v>2389</v>
      </c>
      <c r="O10" s="25" t="s">
        <v>2487</v>
      </c>
      <c r="P10" s="25" t="s">
        <v>2488</v>
      </c>
      <c r="Q10" s="25" t="s">
        <v>93</v>
      </c>
      <c r="R10" s="25" t="s">
        <v>57</v>
      </c>
      <c r="S10" s="25" t="s">
        <v>57</v>
      </c>
      <c r="T10" s="25" t="s">
        <v>74</v>
      </c>
      <c r="U10" s="25" t="s">
        <v>57</v>
      </c>
      <c r="V10" s="25" t="s">
        <v>96</v>
      </c>
      <c r="W10" s="25" t="s">
        <v>64</v>
      </c>
      <c r="X10" s="25" t="s">
        <v>2489</v>
      </c>
      <c r="Y10" s="25" t="s">
        <v>2397</v>
      </c>
      <c r="Z10" s="25" t="s">
        <v>2490</v>
      </c>
      <c r="AA10" s="25" t="s">
        <v>57</v>
      </c>
      <c r="AB10" s="25" t="s">
        <v>57</v>
      </c>
      <c r="AC10" s="25" t="s">
        <v>74</v>
      </c>
      <c r="AD10" s="25" t="s">
        <v>96</v>
      </c>
      <c r="AE10" s="25" t="s">
        <v>2491</v>
      </c>
      <c r="AF10" s="25" t="s">
        <v>69</v>
      </c>
      <c r="AG10" s="25" t="s">
        <v>129</v>
      </c>
      <c r="AH10" s="25" t="s">
        <v>129</v>
      </c>
      <c r="AI10" s="25" t="s">
        <v>57</v>
      </c>
      <c r="AJ10" s="25" t="s">
        <v>57</v>
      </c>
      <c r="AK10" s="25" t="s">
        <v>2492</v>
      </c>
      <c r="AL10" s="24"/>
      <c r="AM10" s="24" t="s">
        <v>109</v>
      </c>
      <c r="AN10" s="109" t="s">
        <v>2493</v>
      </c>
      <c r="AO10" s="109" t="s">
        <v>83</v>
      </c>
      <c r="AP10" s="109"/>
    </row>
    <row r="11">
      <c r="A11" s="108">
        <v>26.0</v>
      </c>
      <c r="B11" s="24">
        <v>8.79385627E8</v>
      </c>
      <c r="C11" s="24" t="s">
        <v>2494</v>
      </c>
      <c r="D11" s="24" t="s">
        <v>2495</v>
      </c>
      <c r="E11" s="25" t="s">
        <v>2496</v>
      </c>
      <c r="F11" s="25" t="s">
        <v>2497</v>
      </c>
      <c r="G11" s="25" t="s">
        <v>2389</v>
      </c>
      <c r="H11" s="25" t="s">
        <v>2498</v>
      </c>
      <c r="I11" s="25">
        <v>2014.0</v>
      </c>
      <c r="J11" s="25" t="s">
        <v>2499</v>
      </c>
      <c r="K11" s="25" t="s">
        <v>730</v>
      </c>
      <c r="L11" s="25" t="s">
        <v>2500</v>
      </c>
      <c r="M11" s="25" t="s">
        <v>57</v>
      </c>
      <c r="N11" s="25" t="s">
        <v>2389</v>
      </c>
      <c r="O11" s="25" t="s">
        <v>1974</v>
      </c>
      <c r="P11" s="25" t="s">
        <v>2501</v>
      </c>
      <c r="Q11" s="25" t="s">
        <v>93</v>
      </c>
      <c r="R11" s="25" t="s">
        <v>2502</v>
      </c>
      <c r="S11" s="25" t="s">
        <v>2503</v>
      </c>
      <c r="T11" s="25" t="s">
        <v>74</v>
      </c>
      <c r="U11" s="25" t="s">
        <v>57</v>
      </c>
      <c r="V11" s="25" t="s">
        <v>96</v>
      </c>
      <c r="W11" s="25" t="s">
        <v>161</v>
      </c>
      <c r="X11" s="25" t="s">
        <v>2504</v>
      </c>
      <c r="Y11" s="25" t="s">
        <v>2380</v>
      </c>
      <c r="Z11" s="25" t="s">
        <v>2505</v>
      </c>
      <c r="AA11" s="25" t="s">
        <v>57</v>
      </c>
      <c r="AB11" s="25" t="s">
        <v>57</v>
      </c>
      <c r="AC11" s="25" t="s">
        <v>74</v>
      </c>
      <c r="AD11" s="25" t="s">
        <v>215</v>
      </c>
      <c r="AE11" s="25" t="s">
        <v>2506</v>
      </c>
      <c r="AF11" s="25" t="s">
        <v>69</v>
      </c>
      <c r="AG11" s="25" t="s">
        <v>129</v>
      </c>
      <c r="AH11" s="25" t="s">
        <v>129</v>
      </c>
      <c r="AI11" s="25" t="s">
        <v>57</v>
      </c>
      <c r="AJ11" s="25" t="s">
        <v>57</v>
      </c>
      <c r="AK11" s="25" t="s">
        <v>2507</v>
      </c>
      <c r="AL11" s="24"/>
      <c r="AM11" s="24" t="s">
        <v>109</v>
      </c>
      <c r="AN11" s="109" t="s">
        <v>2508</v>
      </c>
      <c r="AO11" s="109" t="s">
        <v>83</v>
      </c>
      <c r="AP11" s="109"/>
    </row>
    <row r="12">
      <c r="A12" s="102">
        <v>27.0</v>
      </c>
      <c r="B12" s="34">
        <v>8.79385604E8</v>
      </c>
      <c r="C12" s="34" t="s">
        <v>2509</v>
      </c>
      <c r="D12" s="34" t="s">
        <v>2510</v>
      </c>
      <c r="E12" s="35" t="s">
        <v>2511</v>
      </c>
      <c r="F12" s="35" t="s">
        <v>2512</v>
      </c>
      <c r="G12" s="35" t="s">
        <v>2389</v>
      </c>
      <c r="H12" s="35" t="s">
        <v>2513</v>
      </c>
      <c r="I12" s="35">
        <v>2016.0</v>
      </c>
      <c r="J12" s="35" t="s">
        <v>207</v>
      </c>
      <c r="K12" s="35" t="s">
        <v>730</v>
      </c>
      <c r="L12" s="35" t="s">
        <v>2514</v>
      </c>
      <c r="M12" s="35" t="s">
        <v>57</v>
      </c>
      <c r="N12" s="35" t="s">
        <v>2389</v>
      </c>
      <c r="O12" s="35" t="s">
        <v>2515</v>
      </c>
      <c r="P12" s="35" t="s">
        <v>2516</v>
      </c>
      <c r="Q12" s="35" t="s">
        <v>93</v>
      </c>
      <c r="R12" s="35" t="s">
        <v>57</v>
      </c>
      <c r="S12" s="35" t="s">
        <v>57</v>
      </c>
      <c r="T12" s="35" t="s">
        <v>74</v>
      </c>
      <c r="U12" s="35" t="s">
        <v>57</v>
      </c>
      <c r="V12" s="35" t="s">
        <v>2394</v>
      </c>
      <c r="W12" s="35" t="s">
        <v>2517</v>
      </c>
      <c r="X12" s="35" t="s">
        <v>2518</v>
      </c>
      <c r="Y12" s="35" t="s">
        <v>2397</v>
      </c>
      <c r="Z12" s="35" t="s">
        <v>2519</v>
      </c>
      <c r="AA12" s="35">
        <v>1999.0</v>
      </c>
      <c r="AB12" s="35">
        <v>2009.0</v>
      </c>
      <c r="AC12" s="35" t="s">
        <v>74</v>
      </c>
      <c r="AD12" s="35" t="s">
        <v>215</v>
      </c>
      <c r="AE12" s="35" t="s">
        <v>2520</v>
      </c>
      <c r="AF12" s="35" t="s">
        <v>69</v>
      </c>
      <c r="AG12" s="35" t="s">
        <v>198</v>
      </c>
      <c r="AH12" s="35" t="s">
        <v>374</v>
      </c>
      <c r="AI12" s="35" t="s">
        <v>129</v>
      </c>
      <c r="AJ12" s="35" t="s">
        <v>57</v>
      </c>
      <c r="AK12" s="35" t="s">
        <v>2521</v>
      </c>
      <c r="AL12" s="34"/>
      <c r="AM12" s="34" t="s">
        <v>1522</v>
      </c>
      <c r="AN12" s="103" t="s">
        <v>2522</v>
      </c>
      <c r="AO12" s="103" t="s">
        <v>201</v>
      </c>
      <c r="AP12" s="103" t="s">
        <v>2523</v>
      </c>
    </row>
    <row r="13">
      <c r="A13" s="102">
        <v>28.0</v>
      </c>
      <c r="B13" s="34">
        <v>8.79385607E8</v>
      </c>
      <c r="C13" s="34" t="s">
        <v>2524</v>
      </c>
      <c r="D13" s="34" t="s">
        <v>2525</v>
      </c>
      <c r="E13" s="35" t="s">
        <v>2526</v>
      </c>
      <c r="F13" s="43" t="s">
        <v>2527</v>
      </c>
      <c r="G13" s="35" t="s">
        <v>859</v>
      </c>
      <c r="H13" s="35" t="s">
        <v>2528</v>
      </c>
      <c r="I13" s="35">
        <v>2018.0</v>
      </c>
      <c r="J13" s="35" t="s">
        <v>2529</v>
      </c>
      <c r="K13" s="35" t="s">
        <v>730</v>
      </c>
      <c r="L13" s="35" t="s">
        <v>2530</v>
      </c>
      <c r="M13" s="35" t="s">
        <v>57</v>
      </c>
      <c r="N13" s="35" t="s">
        <v>859</v>
      </c>
      <c r="O13" s="35" t="s">
        <v>2531</v>
      </c>
      <c r="P13" s="35" t="s">
        <v>2532</v>
      </c>
      <c r="Q13" s="35" t="s">
        <v>93</v>
      </c>
      <c r="R13" s="35" t="s">
        <v>2533</v>
      </c>
      <c r="S13" s="35" t="s">
        <v>2534</v>
      </c>
      <c r="T13" s="35" t="s">
        <v>74</v>
      </c>
      <c r="U13" s="35" t="s">
        <v>57</v>
      </c>
      <c r="V13" s="35" t="s">
        <v>96</v>
      </c>
      <c r="W13" s="35" t="s">
        <v>64</v>
      </c>
      <c r="X13" s="35" t="s">
        <v>2535</v>
      </c>
      <c r="Y13" s="35" t="s">
        <v>2397</v>
      </c>
      <c r="Z13" s="35" t="s">
        <v>2536</v>
      </c>
      <c r="AA13" s="35">
        <v>2016.0</v>
      </c>
      <c r="AB13" s="35">
        <v>2016.0</v>
      </c>
      <c r="AC13" s="35" t="s">
        <v>74</v>
      </c>
      <c r="AD13" s="35" t="s">
        <v>215</v>
      </c>
      <c r="AE13" s="35" t="s">
        <v>2537</v>
      </c>
      <c r="AF13" s="35" t="s">
        <v>69</v>
      </c>
      <c r="AG13" s="35" t="s">
        <v>129</v>
      </c>
      <c r="AH13" s="35" t="s">
        <v>129</v>
      </c>
      <c r="AI13" s="35" t="s">
        <v>57</v>
      </c>
      <c r="AJ13" s="35" t="s">
        <v>57</v>
      </c>
      <c r="AK13" s="35" t="s">
        <v>2538</v>
      </c>
      <c r="AL13" s="34"/>
      <c r="AM13" s="34" t="s">
        <v>1522</v>
      </c>
      <c r="AN13" s="103" t="s">
        <v>2539</v>
      </c>
      <c r="AO13" s="103" t="s">
        <v>201</v>
      </c>
      <c r="AP13" s="103" t="s">
        <v>2540</v>
      </c>
    </row>
    <row r="14">
      <c r="A14" s="102">
        <v>30.0</v>
      </c>
      <c r="B14" s="34">
        <v>8.79385618E8</v>
      </c>
      <c r="C14" s="34" t="s">
        <v>2541</v>
      </c>
      <c r="D14" s="34" t="s">
        <v>2542</v>
      </c>
      <c r="E14" s="35" t="s">
        <v>2543</v>
      </c>
      <c r="F14" s="43" t="s">
        <v>2544</v>
      </c>
      <c r="G14" s="35" t="s">
        <v>396</v>
      </c>
      <c r="H14" s="43" t="s">
        <v>2545</v>
      </c>
      <c r="I14" s="35">
        <v>2016.0</v>
      </c>
      <c r="J14" s="35" t="s">
        <v>2546</v>
      </c>
      <c r="K14" s="35" t="s">
        <v>730</v>
      </c>
      <c r="L14" s="35" t="s">
        <v>2547</v>
      </c>
      <c r="M14" s="35" t="s">
        <v>57</v>
      </c>
      <c r="N14" s="35" t="s">
        <v>396</v>
      </c>
      <c r="O14" s="35" t="s">
        <v>2548</v>
      </c>
      <c r="P14" s="35" t="s">
        <v>2549</v>
      </c>
      <c r="Q14" s="35" t="s">
        <v>93</v>
      </c>
      <c r="R14" s="35" t="s">
        <v>2550</v>
      </c>
      <c r="S14" s="35" t="s">
        <v>2551</v>
      </c>
      <c r="T14" s="35" t="s">
        <v>74</v>
      </c>
      <c r="U14" s="35" t="s">
        <v>57</v>
      </c>
      <c r="V14" s="35" t="s">
        <v>96</v>
      </c>
      <c r="W14" s="35" t="s">
        <v>64</v>
      </c>
      <c r="X14" s="35" t="s">
        <v>2552</v>
      </c>
      <c r="Y14" s="35" t="s">
        <v>2397</v>
      </c>
      <c r="Z14" s="35" t="s">
        <v>2553</v>
      </c>
      <c r="AA14" s="35" t="s">
        <v>57</v>
      </c>
      <c r="AB14" s="35" t="s">
        <v>57</v>
      </c>
      <c r="AC14" s="35" t="s">
        <v>74</v>
      </c>
      <c r="AD14" s="35" t="s">
        <v>215</v>
      </c>
      <c r="AE14" s="35" t="s">
        <v>2554</v>
      </c>
      <c r="AF14" s="35" t="s">
        <v>69</v>
      </c>
      <c r="AG14" s="35" t="s">
        <v>895</v>
      </c>
      <c r="AH14" s="35" t="s">
        <v>129</v>
      </c>
      <c r="AI14" s="35" t="s">
        <v>374</v>
      </c>
      <c r="AJ14" s="35" t="s">
        <v>57</v>
      </c>
      <c r="AK14" s="35" t="s">
        <v>2555</v>
      </c>
      <c r="AL14" s="34" t="s">
        <v>2556</v>
      </c>
      <c r="AM14" s="34" t="s">
        <v>1522</v>
      </c>
      <c r="AN14" s="103" t="s">
        <v>2557</v>
      </c>
      <c r="AO14" s="103" t="s">
        <v>201</v>
      </c>
      <c r="AP14" s="103"/>
    </row>
    <row r="15">
      <c r="A15" s="102">
        <v>31.0</v>
      </c>
      <c r="B15" s="34">
        <v>8.79385682E8</v>
      </c>
      <c r="C15" s="34" t="s">
        <v>2558</v>
      </c>
      <c r="D15" s="38" t="s">
        <v>2559</v>
      </c>
      <c r="E15" s="35" t="s">
        <v>2560</v>
      </c>
      <c r="F15" s="43" t="s">
        <v>2561</v>
      </c>
      <c r="G15" s="35" t="s">
        <v>1455</v>
      </c>
      <c r="H15" s="43" t="s">
        <v>2562</v>
      </c>
      <c r="I15" s="35">
        <v>2021.0</v>
      </c>
      <c r="J15" s="35" t="s">
        <v>2563</v>
      </c>
      <c r="K15" s="35" t="s">
        <v>730</v>
      </c>
      <c r="L15" s="35" t="s">
        <v>2564</v>
      </c>
      <c r="M15" s="35" t="s">
        <v>57</v>
      </c>
      <c r="N15" s="35" t="s">
        <v>1455</v>
      </c>
      <c r="O15" s="35" t="s">
        <v>2565</v>
      </c>
      <c r="P15" s="35" t="s">
        <v>2566</v>
      </c>
      <c r="Q15" s="35" t="s">
        <v>93</v>
      </c>
      <c r="R15" s="35" t="s">
        <v>57</v>
      </c>
      <c r="S15" s="35" t="s">
        <v>57</v>
      </c>
      <c r="T15" s="35" t="s">
        <v>74</v>
      </c>
      <c r="U15" s="35" t="s">
        <v>57</v>
      </c>
      <c r="V15" s="35" t="s">
        <v>2394</v>
      </c>
      <c r="W15" s="35" t="s">
        <v>1389</v>
      </c>
      <c r="X15" s="35" t="s">
        <v>2567</v>
      </c>
      <c r="Y15" s="35" t="s">
        <v>2380</v>
      </c>
      <c r="Z15" s="35" t="s">
        <v>2568</v>
      </c>
      <c r="AA15" s="35">
        <v>2018.0</v>
      </c>
      <c r="AB15" s="35">
        <v>2019.0</v>
      </c>
      <c r="AC15" s="35" t="s">
        <v>74</v>
      </c>
      <c r="AD15" s="35" t="s">
        <v>215</v>
      </c>
      <c r="AE15" s="35" t="s">
        <v>2569</v>
      </c>
      <c r="AF15" s="35" t="s">
        <v>69</v>
      </c>
      <c r="AG15" s="35" t="s">
        <v>129</v>
      </c>
      <c r="AH15" s="35" t="s">
        <v>129</v>
      </c>
      <c r="AI15" s="35" t="s">
        <v>57</v>
      </c>
      <c r="AJ15" s="35" t="s">
        <v>57</v>
      </c>
      <c r="AK15" s="35" t="s">
        <v>2570</v>
      </c>
      <c r="AL15" s="34"/>
      <c r="AM15" s="34" t="s">
        <v>109</v>
      </c>
      <c r="AN15" s="103" t="s">
        <v>2571</v>
      </c>
      <c r="AO15" s="103" t="s">
        <v>201</v>
      </c>
      <c r="AP15" s="103" t="s">
        <v>2572</v>
      </c>
    </row>
    <row r="16">
      <c r="A16" s="102">
        <v>32.0</v>
      </c>
      <c r="B16" s="34">
        <v>8.79385655E8</v>
      </c>
      <c r="C16" s="34" t="s">
        <v>2573</v>
      </c>
      <c r="D16" s="34" t="s">
        <v>2574</v>
      </c>
      <c r="E16" s="35" t="s">
        <v>2575</v>
      </c>
      <c r="F16" s="35" t="s">
        <v>2576</v>
      </c>
      <c r="G16" s="35" t="s">
        <v>2577</v>
      </c>
      <c r="H16" s="43" t="s">
        <v>2578</v>
      </c>
      <c r="I16" s="35">
        <v>2017.0</v>
      </c>
      <c r="J16" s="35" t="s">
        <v>796</v>
      </c>
      <c r="K16" s="35" t="s">
        <v>730</v>
      </c>
      <c r="L16" s="35" t="s">
        <v>2579</v>
      </c>
      <c r="M16" s="35" t="s">
        <v>57</v>
      </c>
      <c r="N16" s="35" t="s">
        <v>293</v>
      </c>
      <c r="O16" s="35" t="s">
        <v>2577</v>
      </c>
      <c r="P16" s="35" t="s">
        <v>2580</v>
      </c>
      <c r="Q16" s="35" t="s">
        <v>93</v>
      </c>
      <c r="R16" s="35" t="s">
        <v>2581</v>
      </c>
      <c r="S16" s="35" t="s">
        <v>2582</v>
      </c>
      <c r="T16" s="35" t="s">
        <v>74</v>
      </c>
      <c r="U16" s="35" t="s">
        <v>57</v>
      </c>
      <c r="V16" s="35" t="s">
        <v>96</v>
      </c>
      <c r="W16" s="35" t="s">
        <v>1389</v>
      </c>
      <c r="X16" s="35" t="s">
        <v>2583</v>
      </c>
      <c r="Y16" s="35" t="s">
        <v>2584</v>
      </c>
      <c r="Z16" s="35" t="s">
        <v>2585</v>
      </c>
      <c r="AA16" s="35">
        <v>2004.0</v>
      </c>
      <c r="AB16" s="35">
        <v>2011.0</v>
      </c>
      <c r="AC16" s="35" t="s">
        <v>74</v>
      </c>
      <c r="AD16" s="35" t="s">
        <v>215</v>
      </c>
      <c r="AE16" s="35" t="s">
        <v>2586</v>
      </c>
      <c r="AF16" s="35" t="s">
        <v>69</v>
      </c>
      <c r="AG16" s="35" t="s">
        <v>129</v>
      </c>
      <c r="AH16" s="35" t="s">
        <v>129</v>
      </c>
      <c r="AI16" s="35" t="s">
        <v>57</v>
      </c>
      <c r="AJ16" s="35" t="s">
        <v>57</v>
      </c>
      <c r="AK16" s="35" t="s">
        <v>2587</v>
      </c>
      <c r="AL16" s="34"/>
      <c r="AM16" s="34" t="s">
        <v>109</v>
      </c>
      <c r="AN16" s="103" t="s">
        <v>2588</v>
      </c>
      <c r="AO16" s="103" t="s">
        <v>201</v>
      </c>
      <c r="AP16" s="103" t="s">
        <v>2589</v>
      </c>
    </row>
    <row r="17">
      <c r="A17" s="102">
        <v>33.0</v>
      </c>
      <c r="B17" s="34">
        <v>8.79385658E8</v>
      </c>
      <c r="C17" s="34" t="s">
        <v>2590</v>
      </c>
      <c r="D17" s="34" t="s">
        <v>2591</v>
      </c>
      <c r="E17" s="35" t="s">
        <v>2592</v>
      </c>
      <c r="F17" s="35" t="s">
        <v>2593</v>
      </c>
      <c r="G17" s="35" t="s">
        <v>2389</v>
      </c>
      <c r="H17" s="35" t="s">
        <v>2594</v>
      </c>
      <c r="I17" s="35">
        <v>2014.0</v>
      </c>
      <c r="J17" s="35" t="s">
        <v>295</v>
      </c>
      <c r="K17" s="35" t="s">
        <v>730</v>
      </c>
      <c r="L17" s="35" t="s">
        <v>2595</v>
      </c>
      <c r="M17" s="35" t="s">
        <v>57</v>
      </c>
      <c r="N17" s="35" t="s">
        <v>2389</v>
      </c>
      <c r="O17" s="35" t="s">
        <v>2596</v>
      </c>
      <c r="P17" s="35" t="s">
        <v>2597</v>
      </c>
      <c r="Q17" s="35" t="s">
        <v>93</v>
      </c>
      <c r="R17" s="35" t="s">
        <v>2598</v>
      </c>
      <c r="S17" s="35" t="s">
        <v>2599</v>
      </c>
      <c r="T17" s="35" t="s">
        <v>69</v>
      </c>
      <c r="U17" s="35" t="s">
        <v>2600</v>
      </c>
      <c r="V17" s="35" t="s">
        <v>96</v>
      </c>
      <c r="W17" s="35" t="s">
        <v>302</v>
      </c>
      <c r="X17" s="35" t="s">
        <v>2601</v>
      </c>
      <c r="Y17" s="35" t="s">
        <v>2397</v>
      </c>
      <c r="Z17" s="35" t="s">
        <v>2602</v>
      </c>
      <c r="AA17" s="35" t="s">
        <v>57</v>
      </c>
      <c r="AB17" s="35" t="s">
        <v>57</v>
      </c>
      <c r="AC17" s="35" t="s">
        <v>74</v>
      </c>
      <c r="AD17" s="35" t="s">
        <v>215</v>
      </c>
      <c r="AE17" s="35" t="s">
        <v>2603</v>
      </c>
      <c r="AF17" s="35" t="s">
        <v>69</v>
      </c>
      <c r="AG17" s="35" t="s">
        <v>895</v>
      </c>
      <c r="AH17" s="35" t="s">
        <v>129</v>
      </c>
      <c r="AI17" s="35" t="s">
        <v>374</v>
      </c>
      <c r="AJ17" s="35" t="s">
        <v>57</v>
      </c>
      <c r="AK17" s="35" t="s">
        <v>2604</v>
      </c>
      <c r="AL17" s="34"/>
      <c r="AM17" s="34" t="s">
        <v>109</v>
      </c>
      <c r="AN17" s="103" t="s">
        <v>2605</v>
      </c>
      <c r="AO17" s="103" t="s">
        <v>201</v>
      </c>
      <c r="AP17" s="103" t="s">
        <v>2606</v>
      </c>
    </row>
    <row r="18">
      <c r="A18" s="102">
        <v>34.0</v>
      </c>
      <c r="B18" s="34">
        <v>8.79385611E8</v>
      </c>
      <c r="C18" s="34" t="s">
        <v>2607</v>
      </c>
      <c r="D18" s="34" t="s">
        <v>2608</v>
      </c>
      <c r="E18" s="35" t="s">
        <v>2609</v>
      </c>
      <c r="F18" s="43" t="s">
        <v>2610</v>
      </c>
      <c r="G18" s="35" t="s">
        <v>2389</v>
      </c>
      <c r="H18" s="43" t="s">
        <v>2611</v>
      </c>
      <c r="I18" s="35">
        <v>2012.0</v>
      </c>
      <c r="J18" s="35" t="s">
        <v>2612</v>
      </c>
      <c r="K18" s="35" t="s">
        <v>730</v>
      </c>
      <c r="L18" s="35" t="s">
        <v>2613</v>
      </c>
      <c r="M18" s="35" t="s">
        <v>57</v>
      </c>
      <c r="N18" s="35" t="s">
        <v>2389</v>
      </c>
      <c r="O18" s="35" t="s">
        <v>2614</v>
      </c>
      <c r="P18" s="35" t="s">
        <v>2615</v>
      </c>
      <c r="Q18" s="35" t="s">
        <v>93</v>
      </c>
      <c r="R18" s="35" t="s">
        <v>2616</v>
      </c>
      <c r="S18" s="35" t="s">
        <v>2617</v>
      </c>
      <c r="T18" s="35"/>
      <c r="U18" s="35" t="s">
        <v>57</v>
      </c>
      <c r="V18" s="35" t="s">
        <v>2394</v>
      </c>
      <c r="W18" s="35" t="s">
        <v>536</v>
      </c>
      <c r="X18" s="35" t="s">
        <v>2618</v>
      </c>
      <c r="Y18" s="35" t="s">
        <v>2619</v>
      </c>
      <c r="Z18" s="35" t="s">
        <v>2620</v>
      </c>
      <c r="AA18" s="35">
        <v>2007.0</v>
      </c>
      <c r="AB18" s="35">
        <v>2008.0</v>
      </c>
      <c r="AC18" s="35" t="s">
        <v>74</v>
      </c>
      <c r="AD18" s="35" t="s">
        <v>215</v>
      </c>
      <c r="AE18" s="35" t="s">
        <v>2621</v>
      </c>
      <c r="AF18" s="35" t="s">
        <v>69</v>
      </c>
      <c r="AG18" s="35" t="s">
        <v>129</v>
      </c>
      <c r="AH18" s="35" t="s">
        <v>129</v>
      </c>
      <c r="AI18" s="35" t="s">
        <v>57</v>
      </c>
      <c r="AJ18" s="35" t="s">
        <v>57</v>
      </c>
      <c r="AK18" s="35" t="s">
        <v>2622</v>
      </c>
      <c r="AL18" s="34"/>
      <c r="AM18" s="34" t="s">
        <v>1522</v>
      </c>
      <c r="AN18" s="103" t="s">
        <v>2623</v>
      </c>
      <c r="AO18" s="103" t="s">
        <v>201</v>
      </c>
      <c r="AP18" s="103" t="s">
        <v>2624</v>
      </c>
    </row>
    <row r="19">
      <c r="A19" s="102">
        <v>35.0</v>
      </c>
      <c r="B19" s="34">
        <v>8.79385645E8</v>
      </c>
      <c r="C19" s="34" t="s">
        <v>2625</v>
      </c>
      <c r="D19" s="34" t="s">
        <v>2626</v>
      </c>
      <c r="E19" s="35" t="s">
        <v>2627</v>
      </c>
      <c r="F19" s="43" t="s">
        <v>2628</v>
      </c>
      <c r="G19" s="35" t="s">
        <v>2389</v>
      </c>
      <c r="H19" s="43" t="s">
        <v>2629</v>
      </c>
      <c r="I19" s="35">
        <v>2013.0</v>
      </c>
      <c r="J19" s="35" t="s">
        <v>295</v>
      </c>
      <c r="K19" s="35" t="s">
        <v>730</v>
      </c>
      <c r="L19" s="35" t="s">
        <v>2500</v>
      </c>
      <c r="M19" s="35" t="s">
        <v>57</v>
      </c>
      <c r="N19" s="35" t="s">
        <v>2389</v>
      </c>
      <c r="O19" s="35" t="s">
        <v>2630</v>
      </c>
      <c r="P19" s="35" t="s">
        <v>2631</v>
      </c>
      <c r="Q19" s="35" t="s">
        <v>93</v>
      </c>
      <c r="R19" s="35" t="s">
        <v>2632</v>
      </c>
      <c r="S19" s="35" t="s">
        <v>2633</v>
      </c>
      <c r="T19" s="35" t="s">
        <v>74</v>
      </c>
      <c r="U19" s="35" t="s">
        <v>57</v>
      </c>
      <c r="V19" s="35" t="s">
        <v>2430</v>
      </c>
      <c r="W19" s="35" t="s">
        <v>2634</v>
      </c>
      <c r="X19" s="35" t="s">
        <v>2635</v>
      </c>
      <c r="Y19" s="35" t="s">
        <v>2380</v>
      </c>
      <c r="Z19" s="35" t="s">
        <v>2636</v>
      </c>
      <c r="AA19" s="35">
        <v>2007.0</v>
      </c>
      <c r="AB19" s="35">
        <v>2008.0</v>
      </c>
      <c r="AC19" s="35" t="s">
        <v>74</v>
      </c>
      <c r="AD19" s="35" t="s">
        <v>215</v>
      </c>
      <c r="AE19" s="35" t="s">
        <v>2637</v>
      </c>
      <c r="AF19" s="35" t="s">
        <v>69</v>
      </c>
      <c r="AG19" s="35" t="s">
        <v>129</v>
      </c>
      <c r="AH19" s="35" t="s">
        <v>129</v>
      </c>
      <c r="AI19" s="35" t="s">
        <v>57</v>
      </c>
      <c r="AJ19" s="35" t="s">
        <v>57</v>
      </c>
      <c r="AK19" s="35" t="s">
        <v>2638</v>
      </c>
      <c r="AL19" s="34" t="s">
        <v>2556</v>
      </c>
      <c r="AM19" s="34" t="s">
        <v>1522</v>
      </c>
      <c r="AN19" s="103" t="s">
        <v>2639</v>
      </c>
      <c r="AO19" s="103" t="s">
        <v>201</v>
      </c>
      <c r="AP19" s="104"/>
    </row>
    <row r="20">
      <c r="A20" s="102">
        <v>36.0</v>
      </c>
      <c r="B20" s="34">
        <v>8.79385662E8</v>
      </c>
      <c r="C20" s="34" t="s">
        <v>2640</v>
      </c>
      <c r="D20" s="34" t="s">
        <v>2641</v>
      </c>
      <c r="E20" s="35" t="s">
        <v>2642</v>
      </c>
      <c r="F20" s="35" t="s">
        <v>2643</v>
      </c>
      <c r="G20" s="35" t="s">
        <v>2389</v>
      </c>
      <c r="H20" s="43" t="s">
        <v>2644</v>
      </c>
      <c r="I20" s="35">
        <v>2001.0</v>
      </c>
      <c r="J20" s="35" t="s">
        <v>2546</v>
      </c>
      <c r="K20" s="35" t="s">
        <v>730</v>
      </c>
      <c r="L20" s="35" t="s">
        <v>2645</v>
      </c>
      <c r="M20" s="35" t="s">
        <v>2646</v>
      </c>
      <c r="N20" s="35" t="s">
        <v>2389</v>
      </c>
      <c r="O20" s="35" t="s">
        <v>2647</v>
      </c>
      <c r="P20" s="35" t="s">
        <v>57</v>
      </c>
      <c r="Q20" s="35" t="s">
        <v>93</v>
      </c>
      <c r="R20" s="35" t="s">
        <v>57</v>
      </c>
      <c r="S20" s="35" t="s">
        <v>57</v>
      </c>
      <c r="T20" s="35" t="s">
        <v>74</v>
      </c>
      <c r="U20" s="35" t="s">
        <v>57</v>
      </c>
      <c r="V20" s="35" t="s">
        <v>2394</v>
      </c>
      <c r="W20" s="35" t="s">
        <v>64</v>
      </c>
      <c r="X20" s="35" t="s">
        <v>2648</v>
      </c>
      <c r="Y20" s="35" t="s">
        <v>2397</v>
      </c>
      <c r="Z20" s="35" t="s">
        <v>2649</v>
      </c>
      <c r="AA20" s="35">
        <v>1992.0</v>
      </c>
      <c r="AB20" s="35">
        <v>1992.0</v>
      </c>
      <c r="AC20" s="35" t="s">
        <v>74</v>
      </c>
      <c r="AD20" s="35" t="s">
        <v>215</v>
      </c>
      <c r="AE20" s="35" t="s">
        <v>2650</v>
      </c>
      <c r="AF20" s="35" t="s">
        <v>74</v>
      </c>
      <c r="AG20" s="35" t="s">
        <v>57</v>
      </c>
      <c r="AH20" s="35" t="s">
        <v>57</v>
      </c>
      <c r="AI20" s="35" t="s">
        <v>57</v>
      </c>
      <c r="AJ20" s="35" t="s">
        <v>57</v>
      </c>
      <c r="AK20" s="35" t="s">
        <v>57</v>
      </c>
      <c r="AL20" s="34"/>
      <c r="AM20" s="34" t="s">
        <v>109</v>
      </c>
      <c r="AN20" s="103" t="s">
        <v>2651</v>
      </c>
      <c r="AO20" s="103" t="s">
        <v>201</v>
      </c>
      <c r="AP20" s="103"/>
    </row>
    <row r="21">
      <c r="A21" s="102">
        <v>37.0</v>
      </c>
      <c r="B21" s="34">
        <v>8.7938564E8</v>
      </c>
      <c r="C21" s="34" t="s">
        <v>2652</v>
      </c>
      <c r="D21" s="34" t="s">
        <v>2653</v>
      </c>
      <c r="E21" s="35" t="s">
        <v>2654</v>
      </c>
      <c r="F21" s="43" t="s">
        <v>2655</v>
      </c>
      <c r="G21" s="35" t="s">
        <v>2389</v>
      </c>
      <c r="H21" s="43" t="s">
        <v>2656</v>
      </c>
      <c r="I21" s="35">
        <v>2014.0</v>
      </c>
      <c r="J21" s="43" t="s">
        <v>295</v>
      </c>
      <c r="K21" s="35" t="s">
        <v>730</v>
      </c>
      <c r="L21" s="35" t="s">
        <v>2657</v>
      </c>
      <c r="M21" s="35" t="s">
        <v>57</v>
      </c>
      <c r="N21" s="35" t="s">
        <v>2389</v>
      </c>
      <c r="O21" s="35" t="s">
        <v>2596</v>
      </c>
      <c r="P21" s="35" t="s">
        <v>2658</v>
      </c>
      <c r="Q21" s="35" t="s">
        <v>93</v>
      </c>
      <c r="R21" s="35" t="s">
        <v>2659</v>
      </c>
      <c r="S21" s="35" t="s">
        <v>2660</v>
      </c>
      <c r="T21" s="35" t="s">
        <v>74</v>
      </c>
      <c r="U21" s="35" t="s">
        <v>57</v>
      </c>
      <c r="V21" s="35" t="s">
        <v>2394</v>
      </c>
      <c r="W21" s="35" t="s">
        <v>1308</v>
      </c>
      <c r="X21" s="35" t="s">
        <v>2661</v>
      </c>
      <c r="Y21" s="35" t="s">
        <v>2397</v>
      </c>
      <c r="Z21" s="35" t="s">
        <v>2662</v>
      </c>
      <c r="AA21" s="35">
        <v>2006.0</v>
      </c>
      <c r="AB21" s="35">
        <v>2009.0</v>
      </c>
      <c r="AC21" s="35" t="s">
        <v>74</v>
      </c>
      <c r="AD21" s="35" t="s">
        <v>215</v>
      </c>
      <c r="AE21" s="35" t="s">
        <v>2663</v>
      </c>
      <c r="AF21" s="35" t="s">
        <v>69</v>
      </c>
      <c r="AG21" s="35" t="s">
        <v>129</v>
      </c>
      <c r="AH21" s="35" t="s">
        <v>129</v>
      </c>
      <c r="AI21" s="35" t="s">
        <v>57</v>
      </c>
      <c r="AJ21" s="35" t="s">
        <v>57</v>
      </c>
      <c r="AK21" s="35" t="s">
        <v>2664</v>
      </c>
      <c r="AL21" s="34"/>
      <c r="AM21" s="34" t="s">
        <v>1522</v>
      </c>
      <c r="AN21" s="103" t="s">
        <v>2665</v>
      </c>
      <c r="AO21" s="103" t="s">
        <v>201</v>
      </c>
      <c r="AP21" s="104"/>
    </row>
    <row r="22">
      <c r="A22" s="102">
        <v>39.0</v>
      </c>
      <c r="B22" s="34">
        <v>8.79385703E8</v>
      </c>
      <c r="C22" s="34" t="s">
        <v>2666</v>
      </c>
      <c r="D22" s="34" t="s">
        <v>2667</v>
      </c>
      <c r="E22" s="35" t="s">
        <v>2668</v>
      </c>
      <c r="F22" s="43" t="s">
        <v>2669</v>
      </c>
      <c r="G22" s="35" t="s">
        <v>1455</v>
      </c>
      <c r="H22" s="43" t="s">
        <v>2670</v>
      </c>
      <c r="I22" s="35">
        <v>2015.0</v>
      </c>
      <c r="J22" s="35" t="s">
        <v>796</v>
      </c>
      <c r="K22" s="35" t="s">
        <v>730</v>
      </c>
      <c r="L22" s="35" t="s">
        <v>2671</v>
      </c>
      <c r="M22" s="35" t="s">
        <v>57</v>
      </c>
      <c r="N22" s="35" t="s">
        <v>1455</v>
      </c>
      <c r="O22" s="35" t="s">
        <v>2672</v>
      </c>
      <c r="P22" s="35" t="s">
        <v>2673</v>
      </c>
      <c r="Q22" s="35" t="s">
        <v>93</v>
      </c>
      <c r="R22" s="35" t="s">
        <v>2674</v>
      </c>
      <c r="S22" s="35" t="s">
        <v>2675</v>
      </c>
      <c r="T22" s="35" t="s">
        <v>74</v>
      </c>
      <c r="U22" s="35" t="s">
        <v>57</v>
      </c>
      <c r="V22" s="35" t="s">
        <v>2394</v>
      </c>
      <c r="W22" s="35" t="s">
        <v>302</v>
      </c>
      <c r="X22" s="35" t="s">
        <v>2676</v>
      </c>
      <c r="Y22" s="35" t="s">
        <v>2397</v>
      </c>
      <c r="Z22" s="35" t="s">
        <v>2677</v>
      </c>
      <c r="AA22" s="35" t="s">
        <v>57</v>
      </c>
      <c r="AB22" s="35" t="s">
        <v>57</v>
      </c>
      <c r="AC22" s="35" t="s">
        <v>74</v>
      </c>
      <c r="AD22" s="35" t="s">
        <v>215</v>
      </c>
      <c r="AE22" s="35" t="s">
        <v>2678</v>
      </c>
      <c r="AF22" s="35" t="s">
        <v>74</v>
      </c>
      <c r="AG22" s="35" t="s">
        <v>57</v>
      </c>
      <c r="AH22" s="35" t="s">
        <v>57</v>
      </c>
      <c r="AI22" s="35" t="s">
        <v>57</v>
      </c>
      <c r="AJ22" s="35" t="s">
        <v>57</v>
      </c>
      <c r="AK22" s="35" t="s">
        <v>57</v>
      </c>
      <c r="AL22" s="34"/>
      <c r="AM22" s="34" t="s">
        <v>109</v>
      </c>
      <c r="AN22" s="103" t="s">
        <v>2679</v>
      </c>
      <c r="AO22" s="103" t="s">
        <v>201</v>
      </c>
      <c r="AP22" s="103"/>
    </row>
    <row r="23">
      <c r="A23" s="102">
        <v>40.0</v>
      </c>
      <c r="B23" s="34">
        <v>8.79385695E8</v>
      </c>
      <c r="C23" s="34" t="s">
        <v>2680</v>
      </c>
      <c r="D23" s="34" t="s">
        <v>2681</v>
      </c>
      <c r="E23" s="35" t="s">
        <v>2682</v>
      </c>
      <c r="F23" s="43" t="s">
        <v>2683</v>
      </c>
      <c r="G23" s="35" t="s">
        <v>172</v>
      </c>
      <c r="H23" s="43" t="s">
        <v>2684</v>
      </c>
      <c r="I23" s="35">
        <v>2021.0</v>
      </c>
      <c r="J23" s="35" t="s">
        <v>796</v>
      </c>
      <c r="K23" s="35" t="s">
        <v>730</v>
      </c>
      <c r="L23" s="35" t="s">
        <v>2685</v>
      </c>
      <c r="M23" s="35" t="s">
        <v>57</v>
      </c>
      <c r="N23" s="35" t="s">
        <v>172</v>
      </c>
      <c r="O23" s="35" t="s">
        <v>347</v>
      </c>
      <c r="P23" s="35" t="s">
        <v>2686</v>
      </c>
      <c r="Q23" s="35" t="s">
        <v>93</v>
      </c>
      <c r="R23" s="35" t="s">
        <v>57</v>
      </c>
      <c r="S23" s="35" t="s">
        <v>57</v>
      </c>
      <c r="T23" s="35" t="s">
        <v>69</v>
      </c>
      <c r="U23" s="35" t="s">
        <v>2687</v>
      </c>
      <c r="V23" s="35" t="s">
        <v>96</v>
      </c>
      <c r="W23" s="35" t="s">
        <v>2688</v>
      </c>
      <c r="X23" s="35" t="s">
        <v>2689</v>
      </c>
      <c r="Y23" s="35" t="s">
        <v>2690</v>
      </c>
      <c r="Z23" s="35" t="s">
        <v>2691</v>
      </c>
      <c r="AA23" s="35" t="s">
        <v>57</v>
      </c>
      <c r="AB23" s="35" t="s">
        <v>57</v>
      </c>
      <c r="AC23" s="35" t="s">
        <v>74</v>
      </c>
      <c r="AD23" s="35" t="s">
        <v>215</v>
      </c>
      <c r="AE23" s="35" t="s">
        <v>2692</v>
      </c>
      <c r="AF23" s="35" t="s">
        <v>69</v>
      </c>
      <c r="AG23" s="35" t="s">
        <v>129</v>
      </c>
      <c r="AH23" s="35" t="s">
        <v>129</v>
      </c>
      <c r="AI23" s="35" t="s">
        <v>57</v>
      </c>
      <c r="AJ23" s="35" t="s">
        <v>57</v>
      </c>
      <c r="AK23" s="35" t="s">
        <v>2693</v>
      </c>
      <c r="AL23" s="34"/>
      <c r="AM23" s="34" t="s">
        <v>1522</v>
      </c>
      <c r="AN23" s="103" t="s">
        <v>2694</v>
      </c>
      <c r="AO23" s="103" t="s">
        <v>201</v>
      </c>
      <c r="AP23" s="103" t="s">
        <v>2695</v>
      </c>
    </row>
    <row r="24">
      <c r="A24" s="102">
        <v>42.0</v>
      </c>
      <c r="B24" s="34">
        <v>8.79385722E8</v>
      </c>
      <c r="C24" s="34" t="s">
        <v>2696</v>
      </c>
      <c r="D24" s="34" t="s">
        <v>2697</v>
      </c>
      <c r="E24" s="35" t="s">
        <v>2698</v>
      </c>
      <c r="F24" s="43" t="s">
        <v>2699</v>
      </c>
      <c r="G24" s="35" t="s">
        <v>2389</v>
      </c>
      <c r="H24" s="43" t="s">
        <v>2700</v>
      </c>
      <c r="I24" s="35">
        <v>2015.0</v>
      </c>
      <c r="J24" s="35" t="s">
        <v>2701</v>
      </c>
      <c r="K24" s="35" t="s">
        <v>730</v>
      </c>
      <c r="L24" s="35" t="s">
        <v>2702</v>
      </c>
      <c r="M24" s="35" t="s">
        <v>57</v>
      </c>
      <c r="N24" s="35" t="s">
        <v>2389</v>
      </c>
      <c r="O24" s="35" t="s">
        <v>2703</v>
      </c>
      <c r="P24" s="35" t="s">
        <v>2704</v>
      </c>
      <c r="Q24" s="35" t="s">
        <v>93</v>
      </c>
      <c r="R24" s="35" t="s">
        <v>2705</v>
      </c>
      <c r="S24" s="35" t="s">
        <v>2706</v>
      </c>
      <c r="T24" s="35" t="s">
        <v>74</v>
      </c>
      <c r="U24" s="35" t="s">
        <v>57</v>
      </c>
      <c r="V24" s="35" t="s">
        <v>2394</v>
      </c>
      <c r="W24" s="35" t="s">
        <v>2707</v>
      </c>
      <c r="X24" s="35" t="s">
        <v>2708</v>
      </c>
      <c r="Y24" s="35" t="s">
        <v>2397</v>
      </c>
      <c r="Z24" s="35" t="s">
        <v>2709</v>
      </c>
      <c r="AA24" s="35">
        <v>2009.0</v>
      </c>
      <c r="AB24" s="35">
        <v>2011.0</v>
      </c>
      <c r="AC24" s="35" t="s">
        <v>74</v>
      </c>
      <c r="AD24" s="35" t="s">
        <v>215</v>
      </c>
      <c r="AE24" s="35" t="s">
        <v>2710</v>
      </c>
      <c r="AF24" s="35" t="s">
        <v>74</v>
      </c>
      <c r="AG24" s="35" t="s">
        <v>57</v>
      </c>
      <c r="AH24" s="35" t="s">
        <v>57</v>
      </c>
      <c r="AI24" s="35" t="s">
        <v>57</v>
      </c>
      <c r="AJ24" s="35" t="s">
        <v>57</v>
      </c>
      <c r="AK24" s="35" t="s">
        <v>57</v>
      </c>
      <c r="AL24" s="34"/>
      <c r="AM24" s="34" t="s">
        <v>1522</v>
      </c>
      <c r="AN24" s="103" t="s">
        <v>2711</v>
      </c>
      <c r="AO24" s="103" t="s">
        <v>201</v>
      </c>
      <c r="AP24" s="103" t="s">
        <v>2712</v>
      </c>
    </row>
    <row r="25">
      <c r="A25" s="102">
        <v>43.0</v>
      </c>
      <c r="B25" s="34">
        <v>8.79385725E8</v>
      </c>
      <c r="C25" s="34" t="s">
        <v>2713</v>
      </c>
      <c r="D25" s="34" t="s">
        <v>2714</v>
      </c>
      <c r="E25" s="35" t="s">
        <v>2715</v>
      </c>
      <c r="F25" s="43" t="s">
        <v>2716</v>
      </c>
      <c r="G25" s="35" t="s">
        <v>1455</v>
      </c>
      <c r="H25" s="43" t="s">
        <v>2717</v>
      </c>
      <c r="I25" s="35">
        <v>2017.0</v>
      </c>
      <c r="J25" s="43" t="s">
        <v>796</v>
      </c>
      <c r="K25" s="35" t="s">
        <v>730</v>
      </c>
      <c r="L25" s="35" t="s">
        <v>2718</v>
      </c>
      <c r="M25" s="35" t="s">
        <v>57</v>
      </c>
      <c r="N25" s="35" t="s">
        <v>1455</v>
      </c>
      <c r="O25" s="35" t="s">
        <v>2719</v>
      </c>
      <c r="P25" s="35" t="s">
        <v>2720</v>
      </c>
      <c r="Q25" s="35" t="s">
        <v>93</v>
      </c>
      <c r="R25" s="35" t="s">
        <v>57</v>
      </c>
      <c r="S25" s="35" t="s">
        <v>57</v>
      </c>
      <c r="T25" s="35" t="s">
        <v>74</v>
      </c>
      <c r="U25" s="35" t="s">
        <v>57</v>
      </c>
      <c r="V25" s="35" t="s">
        <v>2394</v>
      </c>
      <c r="W25" s="35" t="s">
        <v>161</v>
      </c>
      <c r="X25" s="35" t="s">
        <v>2721</v>
      </c>
      <c r="Y25" s="35" t="s">
        <v>2397</v>
      </c>
      <c r="Z25" s="35" t="s">
        <v>2722</v>
      </c>
      <c r="AA25" s="35" t="s">
        <v>57</v>
      </c>
      <c r="AB25" s="35" t="s">
        <v>57</v>
      </c>
      <c r="AC25" s="35" t="s">
        <v>74</v>
      </c>
      <c r="AD25" s="35" t="s">
        <v>215</v>
      </c>
      <c r="AE25" s="35" t="s">
        <v>2723</v>
      </c>
      <c r="AF25" s="35" t="s">
        <v>69</v>
      </c>
      <c r="AG25" s="35" t="s">
        <v>129</v>
      </c>
      <c r="AH25" s="35" t="s">
        <v>129</v>
      </c>
      <c r="AI25" s="35" t="s">
        <v>57</v>
      </c>
      <c r="AJ25" s="35" t="s">
        <v>57</v>
      </c>
      <c r="AK25" s="35" t="s">
        <v>2724</v>
      </c>
      <c r="AL25" s="34"/>
      <c r="AM25" s="34" t="s">
        <v>1522</v>
      </c>
      <c r="AN25" s="103" t="s">
        <v>2725</v>
      </c>
      <c r="AO25" s="103" t="s">
        <v>201</v>
      </c>
      <c r="AP25" s="110" t="s">
        <v>2726</v>
      </c>
    </row>
    <row r="26">
      <c r="A26" s="102">
        <v>44.0</v>
      </c>
      <c r="B26" s="34">
        <v>8.79385732E8</v>
      </c>
      <c r="C26" s="34" t="s">
        <v>2727</v>
      </c>
      <c r="D26" s="34" t="s">
        <v>2728</v>
      </c>
      <c r="E26" s="35" t="s">
        <v>2729</v>
      </c>
      <c r="F26" s="43" t="s">
        <v>2730</v>
      </c>
      <c r="G26" s="35" t="s">
        <v>581</v>
      </c>
      <c r="H26" s="43" t="s">
        <v>2731</v>
      </c>
      <c r="I26" s="35">
        <v>2020.0</v>
      </c>
      <c r="J26" s="35" t="s">
        <v>796</v>
      </c>
      <c r="K26" s="35" t="s">
        <v>730</v>
      </c>
      <c r="L26" s="35" t="s">
        <v>2732</v>
      </c>
      <c r="M26" s="35" t="s">
        <v>57</v>
      </c>
      <c r="N26" s="35" t="s">
        <v>581</v>
      </c>
      <c r="O26" s="35" t="s">
        <v>585</v>
      </c>
      <c r="P26" s="35" t="s">
        <v>2733</v>
      </c>
      <c r="Q26" s="35" t="s">
        <v>554</v>
      </c>
      <c r="R26" s="35" t="s">
        <v>2734</v>
      </c>
      <c r="S26" s="35" t="s">
        <v>2735</v>
      </c>
      <c r="T26" s="35" t="s">
        <v>74</v>
      </c>
      <c r="U26" s="35" t="s">
        <v>57</v>
      </c>
      <c r="V26" s="35" t="s">
        <v>96</v>
      </c>
      <c r="W26" s="35" t="s">
        <v>2736</v>
      </c>
      <c r="X26" s="35" t="s">
        <v>2737</v>
      </c>
      <c r="Y26" s="35" t="s">
        <v>2397</v>
      </c>
      <c r="Z26" s="35" t="s">
        <v>2738</v>
      </c>
      <c r="AA26" s="35">
        <v>2014.0</v>
      </c>
      <c r="AB26" s="35">
        <v>2016.0</v>
      </c>
      <c r="AC26" s="35" t="s">
        <v>74</v>
      </c>
      <c r="AD26" s="35" t="s">
        <v>215</v>
      </c>
      <c r="AE26" s="35" t="s">
        <v>2739</v>
      </c>
      <c r="AF26" s="35" t="s">
        <v>69</v>
      </c>
      <c r="AG26" s="35" t="s">
        <v>129</v>
      </c>
      <c r="AH26" s="35" t="s">
        <v>129</v>
      </c>
      <c r="AI26" s="35" t="s">
        <v>57</v>
      </c>
      <c r="AJ26" s="35" t="s">
        <v>57</v>
      </c>
      <c r="AK26" s="35" t="s">
        <v>2740</v>
      </c>
      <c r="AL26" s="34"/>
      <c r="AM26" s="34" t="s">
        <v>1522</v>
      </c>
      <c r="AN26" s="103" t="s">
        <v>2741</v>
      </c>
      <c r="AO26" s="103" t="s">
        <v>201</v>
      </c>
      <c r="AP26" s="103" t="s">
        <v>2742</v>
      </c>
    </row>
    <row r="27">
      <c r="A27" s="102">
        <v>46.0</v>
      </c>
      <c r="B27" s="34">
        <v>8.79385758E8</v>
      </c>
      <c r="C27" s="34" t="s">
        <v>2743</v>
      </c>
      <c r="D27" s="34" t="s">
        <v>2744</v>
      </c>
      <c r="E27" s="35" t="s">
        <v>2745</v>
      </c>
      <c r="F27" s="43" t="s">
        <v>2746</v>
      </c>
      <c r="G27" s="35" t="s">
        <v>2389</v>
      </c>
      <c r="H27" s="43" t="s">
        <v>2747</v>
      </c>
      <c r="I27" s="35">
        <v>2022.0</v>
      </c>
      <c r="J27" s="35" t="s">
        <v>2117</v>
      </c>
      <c r="K27" s="35" t="s">
        <v>730</v>
      </c>
      <c r="L27" s="35" t="s">
        <v>2748</v>
      </c>
      <c r="M27" s="35" t="s">
        <v>57</v>
      </c>
      <c r="N27" s="35" t="s">
        <v>2389</v>
      </c>
      <c r="O27" s="35" t="s">
        <v>1775</v>
      </c>
      <c r="P27" s="35" t="s">
        <v>2749</v>
      </c>
      <c r="Q27" s="35" t="s">
        <v>93</v>
      </c>
      <c r="R27" s="43" t="s">
        <v>2750</v>
      </c>
      <c r="S27" s="43" t="s">
        <v>2751</v>
      </c>
      <c r="T27" s="35" t="s">
        <v>74</v>
      </c>
      <c r="U27" s="35" t="s">
        <v>57</v>
      </c>
      <c r="V27" s="35" t="s">
        <v>2394</v>
      </c>
      <c r="W27" s="35" t="s">
        <v>1308</v>
      </c>
      <c r="X27" s="35" t="s">
        <v>2752</v>
      </c>
      <c r="Y27" s="35" t="s">
        <v>2753</v>
      </c>
      <c r="Z27" s="35" t="s">
        <v>2754</v>
      </c>
      <c r="AA27" s="35">
        <v>2013.0</v>
      </c>
      <c r="AB27" s="35">
        <v>2014.0</v>
      </c>
      <c r="AC27" s="35" t="s">
        <v>74</v>
      </c>
      <c r="AD27" s="35" t="s">
        <v>96</v>
      </c>
      <c r="AE27" s="35" t="s">
        <v>2755</v>
      </c>
      <c r="AF27" s="35" t="s">
        <v>69</v>
      </c>
      <c r="AG27" s="35" t="s">
        <v>895</v>
      </c>
      <c r="AH27" s="35" t="s">
        <v>129</v>
      </c>
      <c r="AI27" s="35" t="s">
        <v>374</v>
      </c>
      <c r="AJ27" s="35" t="s">
        <v>57</v>
      </c>
      <c r="AK27" s="35" t="s">
        <v>2756</v>
      </c>
      <c r="AL27" s="34"/>
      <c r="AM27" s="34" t="s">
        <v>1522</v>
      </c>
      <c r="AN27" s="103" t="s">
        <v>2757</v>
      </c>
      <c r="AO27" s="103" t="s">
        <v>201</v>
      </c>
      <c r="AP27" s="103"/>
    </row>
    <row r="28">
      <c r="A28" s="102">
        <v>47.0</v>
      </c>
      <c r="B28" s="34">
        <v>8.79385775E8</v>
      </c>
      <c r="C28" s="34" t="s">
        <v>2758</v>
      </c>
      <c r="D28" s="34" t="s">
        <v>2759</v>
      </c>
      <c r="E28" s="35" t="s">
        <v>2760</v>
      </c>
      <c r="F28" s="43" t="s">
        <v>2761</v>
      </c>
      <c r="G28" s="35" t="s">
        <v>2389</v>
      </c>
      <c r="H28" s="43" t="s">
        <v>2762</v>
      </c>
      <c r="I28" s="35">
        <v>2021.0</v>
      </c>
      <c r="J28" s="35" t="s">
        <v>2763</v>
      </c>
      <c r="K28" s="35" t="s">
        <v>730</v>
      </c>
      <c r="L28" s="35" t="s">
        <v>2764</v>
      </c>
      <c r="M28" s="35" t="s">
        <v>57</v>
      </c>
      <c r="N28" s="35" t="s">
        <v>2389</v>
      </c>
      <c r="O28" s="35" t="s">
        <v>1484</v>
      </c>
      <c r="P28" s="35" t="s">
        <v>2765</v>
      </c>
      <c r="Q28" s="35" t="s">
        <v>93</v>
      </c>
      <c r="R28" s="35" t="s">
        <v>57</v>
      </c>
      <c r="S28" s="35" t="s">
        <v>57</v>
      </c>
      <c r="T28" s="35" t="s">
        <v>74</v>
      </c>
      <c r="U28" s="35" t="s">
        <v>57</v>
      </c>
      <c r="V28" s="35" t="s">
        <v>96</v>
      </c>
      <c r="W28" s="35" t="s">
        <v>2766</v>
      </c>
      <c r="X28" s="35" t="s">
        <v>2767</v>
      </c>
      <c r="Y28" s="35" t="s">
        <v>2397</v>
      </c>
      <c r="Z28" s="35" t="s">
        <v>2768</v>
      </c>
      <c r="AA28" s="35">
        <v>2017.0</v>
      </c>
      <c r="AB28" s="35">
        <v>2018.0</v>
      </c>
      <c r="AC28" s="35" t="s">
        <v>74</v>
      </c>
      <c r="AD28" s="35" t="s">
        <v>96</v>
      </c>
      <c r="AE28" s="35" t="s">
        <v>2769</v>
      </c>
      <c r="AF28" s="35" t="s">
        <v>69</v>
      </c>
      <c r="AG28" s="35" t="s">
        <v>129</v>
      </c>
      <c r="AH28" s="35" t="s">
        <v>129</v>
      </c>
      <c r="AI28" s="35" t="s">
        <v>57</v>
      </c>
      <c r="AJ28" s="35" t="s">
        <v>57</v>
      </c>
      <c r="AK28" s="35" t="s">
        <v>2770</v>
      </c>
      <c r="AL28" s="34"/>
      <c r="AM28" s="34" t="s">
        <v>109</v>
      </c>
      <c r="AN28" s="103" t="s">
        <v>2771</v>
      </c>
      <c r="AO28" s="103" t="s">
        <v>201</v>
      </c>
      <c r="AP28" s="103" t="s">
        <v>2772</v>
      </c>
    </row>
    <row r="29">
      <c r="A29" s="102">
        <v>48.0</v>
      </c>
      <c r="B29" s="34">
        <v>8.79385767E8</v>
      </c>
      <c r="C29" s="34" t="s">
        <v>2773</v>
      </c>
      <c r="D29" s="34" t="s">
        <v>2774</v>
      </c>
      <c r="E29" s="35" t="s">
        <v>2775</v>
      </c>
      <c r="F29" s="43" t="s">
        <v>2776</v>
      </c>
      <c r="G29" s="35" t="s">
        <v>293</v>
      </c>
      <c r="H29" s="43" t="s">
        <v>2777</v>
      </c>
      <c r="I29" s="35">
        <v>2021.0</v>
      </c>
      <c r="J29" s="35" t="s">
        <v>2778</v>
      </c>
      <c r="K29" s="35" t="s">
        <v>730</v>
      </c>
      <c r="L29" s="35" t="s">
        <v>2779</v>
      </c>
      <c r="M29" s="35" t="s">
        <v>57</v>
      </c>
      <c r="N29" s="35" t="s">
        <v>293</v>
      </c>
      <c r="O29" s="35" t="s">
        <v>2577</v>
      </c>
      <c r="P29" s="35" t="s">
        <v>2780</v>
      </c>
      <c r="Q29" s="35" t="s">
        <v>93</v>
      </c>
      <c r="R29" s="35" t="s">
        <v>57</v>
      </c>
      <c r="S29" s="35" t="s">
        <v>57</v>
      </c>
      <c r="T29" s="35" t="s">
        <v>74</v>
      </c>
      <c r="U29" s="35" t="s">
        <v>57</v>
      </c>
      <c r="V29" s="35" t="s">
        <v>96</v>
      </c>
      <c r="W29" s="35" t="s">
        <v>351</v>
      </c>
      <c r="X29" s="35" t="s">
        <v>2781</v>
      </c>
      <c r="Y29" s="35" t="s">
        <v>2690</v>
      </c>
      <c r="Z29" s="35" t="s">
        <v>2782</v>
      </c>
      <c r="AA29" s="35" t="s">
        <v>57</v>
      </c>
      <c r="AB29" s="35" t="s">
        <v>57</v>
      </c>
      <c r="AC29" s="35" t="s">
        <v>74</v>
      </c>
      <c r="AD29" s="35" t="s">
        <v>215</v>
      </c>
      <c r="AE29" s="35" t="s">
        <v>2783</v>
      </c>
      <c r="AF29" s="35" t="s">
        <v>69</v>
      </c>
      <c r="AG29" s="35" t="s">
        <v>129</v>
      </c>
      <c r="AH29" s="35" t="s">
        <v>129</v>
      </c>
      <c r="AI29" s="35" t="s">
        <v>57</v>
      </c>
      <c r="AJ29" s="35" t="s">
        <v>57</v>
      </c>
      <c r="AK29" s="35" t="s">
        <v>2784</v>
      </c>
      <c r="AL29" s="34"/>
      <c r="AM29" s="34" t="s">
        <v>1522</v>
      </c>
      <c r="AN29" s="103" t="s">
        <v>2785</v>
      </c>
      <c r="AO29" s="103" t="s">
        <v>201</v>
      </c>
      <c r="AP29" s="103" t="s">
        <v>2786</v>
      </c>
    </row>
    <row r="30">
      <c r="A30" s="102">
        <v>50.0</v>
      </c>
      <c r="B30" s="34">
        <v>8.79385776E8</v>
      </c>
      <c r="C30" s="34" t="s">
        <v>2787</v>
      </c>
      <c r="D30" s="34" t="s">
        <v>2788</v>
      </c>
      <c r="E30" s="35" t="s">
        <v>2789</v>
      </c>
      <c r="F30" s="43" t="s">
        <v>2790</v>
      </c>
      <c r="G30" s="35" t="s">
        <v>2389</v>
      </c>
      <c r="H30" s="43" t="s">
        <v>2791</v>
      </c>
      <c r="I30" s="35">
        <v>2015.0</v>
      </c>
      <c r="J30" s="35" t="s">
        <v>2792</v>
      </c>
      <c r="K30" s="35" t="s">
        <v>730</v>
      </c>
      <c r="L30" s="35" t="s">
        <v>2793</v>
      </c>
      <c r="M30" s="35" t="s">
        <v>57</v>
      </c>
      <c r="N30" s="35" t="s">
        <v>2389</v>
      </c>
      <c r="O30" s="35" t="s">
        <v>1775</v>
      </c>
      <c r="P30" s="35" t="s">
        <v>2794</v>
      </c>
      <c r="Q30" s="35" t="s">
        <v>93</v>
      </c>
      <c r="R30" s="35" t="s">
        <v>57</v>
      </c>
      <c r="S30" s="35" t="s">
        <v>57</v>
      </c>
      <c r="T30" s="35" t="s">
        <v>69</v>
      </c>
      <c r="U30" s="35" t="s">
        <v>2795</v>
      </c>
      <c r="V30" s="35" t="s">
        <v>96</v>
      </c>
      <c r="W30" s="35" t="s">
        <v>2796</v>
      </c>
      <c r="X30" s="35" t="s">
        <v>2797</v>
      </c>
      <c r="Y30" s="35" t="s">
        <v>2397</v>
      </c>
      <c r="Z30" s="35" t="s">
        <v>2798</v>
      </c>
      <c r="AA30" s="35" t="s">
        <v>57</v>
      </c>
      <c r="AB30" s="35" t="s">
        <v>57</v>
      </c>
      <c r="AC30" s="35" t="s">
        <v>74</v>
      </c>
      <c r="AD30" s="35" t="s">
        <v>215</v>
      </c>
      <c r="AE30" s="35" t="s">
        <v>2799</v>
      </c>
      <c r="AF30" s="35" t="s">
        <v>69</v>
      </c>
      <c r="AG30" s="35" t="s">
        <v>2800</v>
      </c>
      <c r="AH30" s="35" t="s">
        <v>374</v>
      </c>
      <c r="AI30" s="35" t="s">
        <v>2067</v>
      </c>
      <c r="AJ30" s="35" t="s">
        <v>129</v>
      </c>
      <c r="AK30" s="35" t="s">
        <v>2801</v>
      </c>
      <c r="AL30" s="34" t="s">
        <v>2802</v>
      </c>
      <c r="AM30" s="34" t="s">
        <v>1522</v>
      </c>
      <c r="AN30" s="103" t="s">
        <v>2803</v>
      </c>
      <c r="AO30" s="103" t="s">
        <v>201</v>
      </c>
      <c r="AP30" s="103" t="s">
        <v>2804</v>
      </c>
    </row>
    <row r="31">
      <c r="A31" s="102">
        <v>51.0</v>
      </c>
      <c r="B31" s="34">
        <v>8.79385785E8</v>
      </c>
      <c r="C31" s="34" t="s">
        <v>2805</v>
      </c>
      <c r="D31" s="34" t="s">
        <v>2806</v>
      </c>
      <c r="E31" s="35" t="s">
        <v>2807</v>
      </c>
      <c r="F31" s="43" t="s">
        <v>2808</v>
      </c>
      <c r="G31" s="35" t="s">
        <v>639</v>
      </c>
      <c r="H31" s="43" t="s">
        <v>2809</v>
      </c>
      <c r="I31" s="35">
        <v>2020.0</v>
      </c>
      <c r="J31" s="43" t="s">
        <v>2810</v>
      </c>
      <c r="K31" s="35" t="s">
        <v>730</v>
      </c>
      <c r="L31" s="35" t="s">
        <v>2811</v>
      </c>
      <c r="M31" s="35" t="s">
        <v>57</v>
      </c>
      <c r="N31" s="35" t="s">
        <v>639</v>
      </c>
      <c r="O31" s="35" t="s">
        <v>2812</v>
      </c>
      <c r="P31" s="35" t="s">
        <v>2813</v>
      </c>
      <c r="Q31" s="35" t="s">
        <v>93</v>
      </c>
      <c r="R31" s="35" t="s">
        <v>57</v>
      </c>
      <c r="S31" s="35" t="s">
        <v>57</v>
      </c>
      <c r="T31" s="35" t="s">
        <v>74</v>
      </c>
      <c r="U31" s="35" t="s">
        <v>57</v>
      </c>
      <c r="V31" s="35" t="s">
        <v>96</v>
      </c>
      <c r="W31" s="35" t="s">
        <v>302</v>
      </c>
      <c r="X31" s="35" t="s">
        <v>2814</v>
      </c>
      <c r="Y31" s="35" t="s">
        <v>2380</v>
      </c>
      <c r="Z31" s="35" t="s">
        <v>2815</v>
      </c>
      <c r="AA31" s="35">
        <v>1976.0</v>
      </c>
      <c r="AB31" s="35">
        <v>2017.0</v>
      </c>
      <c r="AC31" s="35" t="s">
        <v>74</v>
      </c>
      <c r="AD31" s="35" t="s">
        <v>215</v>
      </c>
      <c r="AE31" s="35" t="s">
        <v>2816</v>
      </c>
      <c r="AF31" s="35" t="s">
        <v>69</v>
      </c>
      <c r="AG31" s="35" t="s">
        <v>129</v>
      </c>
      <c r="AH31" s="35" t="s">
        <v>129</v>
      </c>
      <c r="AI31" s="35" t="s">
        <v>57</v>
      </c>
      <c r="AJ31" s="35" t="s">
        <v>57</v>
      </c>
      <c r="AK31" s="35" t="s">
        <v>2817</v>
      </c>
      <c r="AL31" s="34"/>
      <c r="AM31" s="34" t="s">
        <v>1522</v>
      </c>
      <c r="AN31" s="103" t="s">
        <v>2818</v>
      </c>
      <c r="AO31" s="103" t="s">
        <v>201</v>
      </c>
      <c r="AP31" s="103" t="s">
        <v>2819</v>
      </c>
    </row>
    <row r="32">
      <c r="A32" s="102">
        <v>52.0</v>
      </c>
      <c r="B32" s="34">
        <v>8.793858E8</v>
      </c>
      <c r="C32" s="34" t="s">
        <v>2820</v>
      </c>
      <c r="D32" s="34" t="s">
        <v>2821</v>
      </c>
      <c r="E32" s="35" t="s">
        <v>2822</v>
      </c>
      <c r="F32" s="43" t="s">
        <v>2823</v>
      </c>
      <c r="G32" s="35" t="s">
        <v>1224</v>
      </c>
      <c r="H32" s="35" t="s">
        <v>2824</v>
      </c>
      <c r="I32" s="35">
        <v>2019.0</v>
      </c>
      <c r="J32" s="35" t="s">
        <v>2825</v>
      </c>
      <c r="K32" s="35" t="s">
        <v>730</v>
      </c>
      <c r="L32" s="35" t="s">
        <v>2826</v>
      </c>
      <c r="M32" s="35" t="s">
        <v>57</v>
      </c>
      <c r="N32" s="35" t="s">
        <v>1224</v>
      </c>
      <c r="O32" s="35" t="s">
        <v>2827</v>
      </c>
      <c r="P32" s="35" t="s">
        <v>2828</v>
      </c>
      <c r="Q32" s="35" t="s">
        <v>93</v>
      </c>
      <c r="R32" s="35" t="s">
        <v>57</v>
      </c>
      <c r="S32" s="35" t="s">
        <v>57</v>
      </c>
      <c r="T32" s="35" t="s">
        <v>69</v>
      </c>
      <c r="U32" s="35" t="s">
        <v>2829</v>
      </c>
      <c r="V32" s="35" t="s">
        <v>2394</v>
      </c>
      <c r="W32" s="35" t="s">
        <v>161</v>
      </c>
      <c r="X32" s="35" t="s">
        <v>2830</v>
      </c>
      <c r="Y32" s="35" t="s">
        <v>2831</v>
      </c>
      <c r="Z32" s="35" t="s">
        <v>2832</v>
      </c>
      <c r="AA32" s="35">
        <v>2017.0</v>
      </c>
      <c r="AB32" s="35">
        <v>2017.0</v>
      </c>
      <c r="AC32" s="35" t="s">
        <v>74</v>
      </c>
      <c r="AD32" s="35" t="s">
        <v>215</v>
      </c>
      <c r="AE32" s="35" t="s">
        <v>2833</v>
      </c>
      <c r="AF32" s="35" t="s">
        <v>69</v>
      </c>
      <c r="AG32" s="35" t="s">
        <v>129</v>
      </c>
      <c r="AH32" s="35" t="s">
        <v>129</v>
      </c>
      <c r="AI32" s="35" t="s">
        <v>57</v>
      </c>
      <c r="AJ32" s="35" t="s">
        <v>57</v>
      </c>
      <c r="AK32" s="35" t="s">
        <v>2834</v>
      </c>
      <c r="AL32" s="34" t="s">
        <v>2556</v>
      </c>
      <c r="AM32" s="34" t="s">
        <v>109</v>
      </c>
      <c r="AN32" s="103" t="s">
        <v>2835</v>
      </c>
      <c r="AO32" s="103" t="s">
        <v>201</v>
      </c>
      <c r="AP32" s="103" t="s">
        <v>2836</v>
      </c>
    </row>
    <row r="33">
      <c r="A33" s="102">
        <v>53.0</v>
      </c>
      <c r="B33" s="34">
        <v>8.79385801E8</v>
      </c>
      <c r="C33" s="34" t="s">
        <v>2837</v>
      </c>
      <c r="D33" s="34" t="s">
        <v>2838</v>
      </c>
      <c r="E33" s="35" t="s">
        <v>2839</v>
      </c>
      <c r="F33" s="43" t="s">
        <v>2840</v>
      </c>
      <c r="G33" s="35" t="s">
        <v>2389</v>
      </c>
      <c r="H33" s="35" t="s">
        <v>2841</v>
      </c>
      <c r="I33" s="35">
        <v>2015.0</v>
      </c>
      <c r="J33" s="35" t="s">
        <v>295</v>
      </c>
      <c r="K33" s="35" t="s">
        <v>730</v>
      </c>
      <c r="L33" s="35" t="s">
        <v>2842</v>
      </c>
      <c r="M33" s="35" t="s">
        <v>57</v>
      </c>
      <c r="N33" s="35" t="s">
        <v>2389</v>
      </c>
      <c r="O33" s="35" t="s">
        <v>2843</v>
      </c>
      <c r="P33" s="35" t="s">
        <v>2844</v>
      </c>
      <c r="Q33" s="35" t="s">
        <v>93</v>
      </c>
      <c r="R33" s="35" t="s">
        <v>57</v>
      </c>
      <c r="S33" s="35" t="s">
        <v>57</v>
      </c>
      <c r="T33" s="35" t="s">
        <v>74</v>
      </c>
      <c r="U33" s="35" t="s">
        <v>57</v>
      </c>
      <c r="V33" s="35" t="s">
        <v>96</v>
      </c>
      <c r="W33" s="35" t="s">
        <v>1389</v>
      </c>
      <c r="X33" s="35" t="s">
        <v>2845</v>
      </c>
      <c r="Y33" s="35" t="s">
        <v>2397</v>
      </c>
      <c r="Z33" s="35" t="s">
        <v>2846</v>
      </c>
      <c r="AA33" s="35">
        <v>2011.0</v>
      </c>
      <c r="AB33" s="35">
        <v>2011.0</v>
      </c>
      <c r="AC33" s="35" t="s">
        <v>74</v>
      </c>
      <c r="AD33" s="35" t="s">
        <v>96</v>
      </c>
      <c r="AE33" s="35" t="s">
        <v>2847</v>
      </c>
      <c r="AF33" s="35" t="s">
        <v>69</v>
      </c>
      <c r="AG33" s="35" t="s">
        <v>198</v>
      </c>
      <c r="AH33" s="35" t="s">
        <v>374</v>
      </c>
      <c r="AI33" s="35" t="s">
        <v>129</v>
      </c>
      <c r="AJ33" s="35" t="s">
        <v>57</v>
      </c>
      <c r="AK33" s="35" t="s">
        <v>2848</v>
      </c>
      <c r="AL33" s="34"/>
      <c r="AM33" s="34" t="s">
        <v>109</v>
      </c>
      <c r="AN33" s="103" t="s">
        <v>2849</v>
      </c>
      <c r="AO33" s="103" t="s">
        <v>201</v>
      </c>
      <c r="AP33" s="111" t="s">
        <v>2850</v>
      </c>
    </row>
    <row r="34">
      <c r="A34" s="102">
        <v>54.0</v>
      </c>
      <c r="B34" s="34">
        <v>8.79385802E8</v>
      </c>
      <c r="C34" s="34" t="s">
        <v>2851</v>
      </c>
      <c r="D34" s="34" t="s">
        <v>2852</v>
      </c>
      <c r="E34" s="35" t="s">
        <v>2853</v>
      </c>
      <c r="F34" s="43" t="s">
        <v>2854</v>
      </c>
      <c r="G34" s="35" t="s">
        <v>1727</v>
      </c>
      <c r="H34" s="35" t="s">
        <v>2855</v>
      </c>
      <c r="I34" s="35">
        <v>2020.0</v>
      </c>
      <c r="J34" s="35" t="s">
        <v>2778</v>
      </c>
      <c r="K34" s="35" t="s">
        <v>730</v>
      </c>
      <c r="L34" s="35" t="s">
        <v>2856</v>
      </c>
      <c r="M34" s="35" t="s">
        <v>57</v>
      </c>
      <c r="N34" s="35" t="s">
        <v>1727</v>
      </c>
      <c r="O34" s="35" t="s">
        <v>2857</v>
      </c>
      <c r="P34" s="35" t="s">
        <v>2858</v>
      </c>
      <c r="Q34" s="35" t="s">
        <v>93</v>
      </c>
      <c r="R34" s="35" t="s">
        <v>57</v>
      </c>
      <c r="S34" s="35" t="s">
        <v>57</v>
      </c>
      <c r="T34" s="35" t="s">
        <v>74</v>
      </c>
      <c r="U34" s="35" t="s">
        <v>57</v>
      </c>
      <c r="V34" s="35" t="s">
        <v>2394</v>
      </c>
      <c r="W34" s="35" t="s">
        <v>2859</v>
      </c>
      <c r="X34" s="35" t="s">
        <v>2860</v>
      </c>
      <c r="Y34" s="35" t="s">
        <v>2831</v>
      </c>
      <c r="Z34" s="35" t="s">
        <v>2861</v>
      </c>
      <c r="AA34" s="35">
        <v>2018.0</v>
      </c>
      <c r="AB34" s="35">
        <v>2018.0</v>
      </c>
      <c r="AC34" s="35" t="s">
        <v>74</v>
      </c>
      <c r="AD34" s="35" t="s">
        <v>215</v>
      </c>
      <c r="AE34" s="35" t="s">
        <v>2862</v>
      </c>
      <c r="AF34" s="35" t="s">
        <v>74</v>
      </c>
      <c r="AG34" s="35" t="s">
        <v>57</v>
      </c>
      <c r="AH34" s="35" t="s">
        <v>57</v>
      </c>
      <c r="AI34" s="35" t="s">
        <v>57</v>
      </c>
      <c r="AJ34" s="35" t="s">
        <v>57</v>
      </c>
      <c r="AK34" s="35" t="s">
        <v>57</v>
      </c>
      <c r="AL34" s="34"/>
      <c r="AM34" s="34" t="s">
        <v>109</v>
      </c>
      <c r="AN34" s="103" t="s">
        <v>2863</v>
      </c>
      <c r="AO34" s="103" t="s">
        <v>201</v>
      </c>
      <c r="AP34" s="103" t="s">
        <v>2864</v>
      </c>
    </row>
    <row r="35">
      <c r="A35" s="102">
        <v>56.0</v>
      </c>
      <c r="B35" s="34">
        <v>8.79385783E8</v>
      </c>
      <c r="C35" s="34" t="s">
        <v>2865</v>
      </c>
      <c r="D35" s="34" t="s">
        <v>2866</v>
      </c>
      <c r="E35" s="35" t="s">
        <v>2867</v>
      </c>
      <c r="F35" s="43" t="s">
        <v>2868</v>
      </c>
      <c r="G35" s="35" t="s">
        <v>2389</v>
      </c>
      <c r="H35" s="35" t="s">
        <v>2869</v>
      </c>
      <c r="I35" s="35">
        <v>2002.0</v>
      </c>
      <c r="J35" s="43" t="s">
        <v>2546</v>
      </c>
      <c r="K35" s="35" t="s">
        <v>730</v>
      </c>
      <c r="L35" s="35" t="s">
        <v>2870</v>
      </c>
      <c r="M35" s="35" t="s">
        <v>57</v>
      </c>
      <c r="N35" s="35" t="s">
        <v>2389</v>
      </c>
      <c r="O35" s="35" t="s">
        <v>2871</v>
      </c>
      <c r="P35" s="35" t="s">
        <v>57</v>
      </c>
      <c r="Q35" s="35" t="s">
        <v>93</v>
      </c>
      <c r="R35" s="35" t="s">
        <v>57</v>
      </c>
      <c r="S35" s="35" t="s">
        <v>57</v>
      </c>
      <c r="T35" s="35" t="s">
        <v>74</v>
      </c>
      <c r="U35" s="35" t="s">
        <v>57</v>
      </c>
      <c r="V35" s="35" t="s">
        <v>2430</v>
      </c>
      <c r="W35" s="35" t="s">
        <v>866</v>
      </c>
      <c r="X35" s="35" t="s">
        <v>2872</v>
      </c>
      <c r="Y35" s="35" t="s">
        <v>2831</v>
      </c>
      <c r="Z35" s="35" t="s">
        <v>2873</v>
      </c>
      <c r="AA35" s="35">
        <v>1994.0</v>
      </c>
      <c r="AB35" s="35">
        <v>2000.0</v>
      </c>
      <c r="AC35" s="35" t="s">
        <v>69</v>
      </c>
      <c r="AD35" s="35" t="s">
        <v>215</v>
      </c>
      <c r="AE35" s="35" t="s">
        <v>2874</v>
      </c>
      <c r="AF35" s="35" t="s">
        <v>69</v>
      </c>
      <c r="AG35" s="35" t="s">
        <v>129</v>
      </c>
      <c r="AH35" s="35" t="s">
        <v>129</v>
      </c>
      <c r="AI35" s="35" t="s">
        <v>57</v>
      </c>
      <c r="AJ35" s="35" t="s">
        <v>57</v>
      </c>
      <c r="AK35" s="35" t="s">
        <v>2875</v>
      </c>
      <c r="AL35" s="34"/>
      <c r="AM35" s="34" t="s">
        <v>1522</v>
      </c>
      <c r="AN35" s="103" t="s">
        <v>2876</v>
      </c>
      <c r="AO35" s="103" t="s">
        <v>201</v>
      </c>
      <c r="AP35" s="103" t="s">
        <v>2877</v>
      </c>
    </row>
    <row r="36" ht="144.75" customHeight="1">
      <c r="A36" s="102">
        <v>59.0</v>
      </c>
      <c r="B36" s="34">
        <v>8.79385804E8</v>
      </c>
      <c r="C36" s="34" t="s">
        <v>2878</v>
      </c>
      <c r="D36" s="34" t="s">
        <v>2879</v>
      </c>
      <c r="E36" s="35" t="s">
        <v>2880</v>
      </c>
      <c r="F36" s="43" t="s">
        <v>2881</v>
      </c>
      <c r="G36" s="35" t="s">
        <v>443</v>
      </c>
      <c r="H36" s="43" t="s">
        <v>2882</v>
      </c>
      <c r="I36" s="35">
        <v>2002.0</v>
      </c>
      <c r="J36" s="35" t="s">
        <v>1362</v>
      </c>
      <c r="K36" s="35" t="s">
        <v>730</v>
      </c>
      <c r="L36" s="35" t="s">
        <v>2883</v>
      </c>
      <c r="M36" s="35" t="s">
        <v>57</v>
      </c>
      <c r="N36" s="35" t="s">
        <v>443</v>
      </c>
      <c r="O36" s="35" t="s">
        <v>2884</v>
      </c>
      <c r="P36" s="35" t="s">
        <v>2885</v>
      </c>
      <c r="Q36" s="35" t="s">
        <v>93</v>
      </c>
      <c r="R36" s="35" t="s">
        <v>57</v>
      </c>
      <c r="S36" s="35" t="s">
        <v>57</v>
      </c>
      <c r="T36" s="35" t="s">
        <v>74</v>
      </c>
      <c r="U36" s="35" t="s">
        <v>57</v>
      </c>
      <c r="V36" s="35" t="s">
        <v>193</v>
      </c>
      <c r="W36" s="35" t="s">
        <v>2886</v>
      </c>
      <c r="X36" s="35" t="s">
        <v>2887</v>
      </c>
      <c r="Y36" s="35" t="s">
        <v>2380</v>
      </c>
      <c r="Z36" s="35" t="s">
        <v>2888</v>
      </c>
      <c r="AA36" s="35">
        <v>1994.0</v>
      </c>
      <c r="AB36" s="35">
        <v>1996.0</v>
      </c>
      <c r="AC36" s="35" t="s">
        <v>69</v>
      </c>
      <c r="AD36" s="35" t="s">
        <v>215</v>
      </c>
      <c r="AE36" s="35" t="s">
        <v>2889</v>
      </c>
      <c r="AF36" s="35" t="s">
        <v>69</v>
      </c>
      <c r="AG36" s="35" t="s">
        <v>198</v>
      </c>
      <c r="AH36" s="35" t="s">
        <v>374</v>
      </c>
      <c r="AI36" s="35" t="s">
        <v>129</v>
      </c>
      <c r="AJ36" s="35" t="s">
        <v>57</v>
      </c>
      <c r="AK36" s="35" t="s">
        <v>2890</v>
      </c>
      <c r="AL36" s="34"/>
      <c r="AM36" s="34" t="s">
        <v>1522</v>
      </c>
      <c r="AN36" s="103" t="s">
        <v>2891</v>
      </c>
      <c r="AO36" s="103" t="s">
        <v>201</v>
      </c>
      <c r="AP36" s="103" t="s">
        <v>2892</v>
      </c>
    </row>
    <row r="37">
      <c r="A37" s="102">
        <v>60.0</v>
      </c>
      <c r="B37" s="34">
        <v>8.79385817E8</v>
      </c>
      <c r="C37" s="34" t="s">
        <v>2893</v>
      </c>
      <c r="D37" s="34" t="s">
        <v>2894</v>
      </c>
      <c r="E37" s="35" t="s">
        <v>2895</v>
      </c>
      <c r="F37" s="35" t="s">
        <v>2896</v>
      </c>
      <c r="G37" s="35" t="s">
        <v>760</v>
      </c>
      <c r="H37" s="35" t="s">
        <v>2897</v>
      </c>
      <c r="I37" s="35">
        <v>2011.0</v>
      </c>
      <c r="J37" s="35" t="s">
        <v>295</v>
      </c>
      <c r="K37" s="35" t="s">
        <v>730</v>
      </c>
      <c r="L37" s="35" t="s">
        <v>2898</v>
      </c>
      <c r="M37" s="35" t="s">
        <v>57</v>
      </c>
      <c r="N37" s="35" t="s">
        <v>760</v>
      </c>
      <c r="O37" s="35" t="s">
        <v>2899</v>
      </c>
      <c r="P37" s="35" t="s">
        <v>2900</v>
      </c>
      <c r="Q37" s="35" t="s">
        <v>93</v>
      </c>
      <c r="R37" s="35" t="s">
        <v>2901</v>
      </c>
      <c r="S37" s="35" t="s">
        <v>2902</v>
      </c>
      <c r="T37" s="35" t="s">
        <v>74</v>
      </c>
      <c r="U37" s="35" t="s">
        <v>57</v>
      </c>
      <c r="V37" s="35" t="s">
        <v>96</v>
      </c>
      <c r="W37" s="35" t="s">
        <v>64</v>
      </c>
      <c r="X37" s="35" t="s">
        <v>2903</v>
      </c>
      <c r="Y37" s="35" t="s">
        <v>2397</v>
      </c>
      <c r="Z37" s="35" t="s">
        <v>2904</v>
      </c>
      <c r="AA37" s="35">
        <v>2008.0</v>
      </c>
      <c r="AB37" s="35">
        <v>2008.0</v>
      </c>
      <c r="AC37" s="35" t="s">
        <v>74</v>
      </c>
      <c r="AD37" s="35" t="s">
        <v>215</v>
      </c>
      <c r="AE37" s="35" t="s">
        <v>2905</v>
      </c>
      <c r="AF37" s="35" t="s">
        <v>74</v>
      </c>
      <c r="AG37" s="35" t="s">
        <v>57</v>
      </c>
      <c r="AH37" s="35" t="s">
        <v>57</v>
      </c>
      <c r="AI37" s="35" t="s">
        <v>57</v>
      </c>
      <c r="AJ37" s="35" t="s">
        <v>57</v>
      </c>
      <c r="AK37" s="35" t="s">
        <v>57</v>
      </c>
      <c r="AL37" s="34"/>
      <c r="AM37" s="34" t="s">
        <v>109</v>
      </c>
      <c r="AN37" s="103" t="s">
        <v>2906</v>
      </c>
      <c r="AO37" s="103" t="s">
        <v>201</v>
      </c>
      <c r="AP37" s="103" t="s">
        <v>2907</v>
      </c>
    </row>
    <row r="38" ht="117.0" customHeight="1">
      <c r="A38" s="102">
        <v>61.0</v>
      </c>
      <c r="B38" s="34">
        <v>8.79385823E8</v>
      </c>
      <c r="C38" s="34" t="s">
        <v>2908</v>
      </c>
      <c r="D38" s="34" t="s">
        <v>2909</v>
      </c>
      <c r="E38" s="35" t="s">
        <v>2910</v>
      </c>
      <c r="F38" s="43" t="s">
        <v>2911</v>
      </c>
      <c r="G38" s="35" t="s">
        <v>2389</v>
      </c>
      <c r="H38" s="35" t="s">
        <v>2912</v>
      </c>
      <c r="I38" s="35">
        <v>2013.0</v>
      </c>
      <c r="J38" s="35" t="s">
        <v>2913</v>
      </c>
      <c r="K38" s="35" t="s">
        <v>730</v>
      </c>
      <c r="L38" s="35" t="s">
        <v>2914</v>
      </c>
      <c r="M38" s="35" t="s">
        <v>57</v>
      </c>
      <c r="N38" s="35" t="s">
        <v>2389</v>
      </c>
      <c r="O38" s="35" t="s">
        <v>1775</v>
      </c>
      <c r="P38" s="35" t="s">
        <v>2915</v>
      </c>
      <c r="Q38" s="35" t="s">
        <v>93</v>
      </c>
      <c r="R38" s="35" t="s">
        <v>57</v>
      </c>
      <c r="S38" s="35" t="s">
        <v>57</v>
      </c>
      <c r="T38" s="35" t="s">
        <v>74</v>
      </c>
      <c r="U38" s="35" t="s">
        <v>57</v>
      </c>
      <c r="V38" s="35" t="s">
        <v>2394</v>
      </c>
      <c r="W38" s="35" t="s">
        <v>2916</v>
      </c>
      <c r="X38" s="35" t="s">
        <v>2917</v>
      </c>
      <c r="Y38" s="35" t="s">
        <v>2380</v>
      </c>
      <c r="Z38" s="35" t="s">
        <v>2918</v>
      </c>
      <c r="AA38" s="35" t="s">
        <v>57</v>
      </c>
      <c r="AB38" s="35" t="s">
        <v>57</v>
      </c>
      <c r="AC38" s="35" t="s">
        <v>74</v>
      </c>
      <c r="AD38" s="35" t="s">
        <v>215</v>
      </c>
      <c r="AE38" s="35" t="s">
        <v>2919</v>
      </c>
      <c r="AF38" s="35" t="s">
        <v>74</v>
      </c>
      <c r="AG38" s="35" t="s">
        <v>57</v>
      </c>
      <c r="AH38" s="35" t="s">
        <v>57</v>
      </c>
      <c r="AI38" s="35" t="s">
        <v>57</v>
      </c>
      <c r="AJ38" s="35" t="s">
        <v>57</v>
      </c>
      <c r="AK38" s="35" t="s">
        <v>57</v>
      </c>
      <c r="AL38" s="34"/>
      <c r="AM38" s="34" t="s">
        <v>1522</v>
      </c>
      <c r="AN38" s="103" t="s">
        <v>2920</v>
      </c>
      <c r="AO38" s="103" t="s">
        <v>201</v>
      </c>
      <c r="AP38" s="103" t="s">
        <v>2921</v>
      </c>
    </row>
    <row r="39">
      <c r="A39" s="102">
        <v>62.0</v>
      </c>
      <c r="B39" s="34">
        <v>8.79385831E8</v>
      </c>
      <c r="C39" s="34" t="s">
        <v>2922</v>
      </c>
      <c r="D39" s="34" t="s">
        <v>2923</v>
      </c>
      <c r="E39" s="35" t="s">
        <v>2924</v>
      </c>
      <c r="F39" s="43" t="s">
        <v>2925</v>
      </c>
      <c r="G39" s="35" t="s">
        <v>2926</v>
      </c>
      <c r="H39" s="43" t="s">
        <v>2927</v>
      </c>
      <c r="I39" s="35">
        <v>2019.0</v>
      </c>
      <c r="J39" s="35" t="s">
        <v>2928</v>
      </c>
      <c r="K39" s="35" t="s">
        <v>730</v>
      </c>
      <c r="L39" s="35" t="s">
        <v>2929</v>
      </c>
      <c r="M39" s="35" t="s">
        <v>57</v>
      </c>
      <c r="N39" s="35" t="s">
        <v>2926</v>
      </c>
      <c r="O39" s="35" t="s">
        <v>2930</v>
      </c>
      <c r="P39" s="35" t="s">
        <v>2931</v>
      </c>
      <c r="Q39" s="35" t="s">
        <v>93</v>
      </c>
      <c r="R39" s="35" t="s">
        <v>2932</v>
      </c>
      <c r="S39" s="35" t="s">
        <v>2933</v>
      </c>
      <c r="T39" s="35" t="s">
        <v>74</v>
      </c>
      <c r="U39" s="35" t="s">
        <v>57</v>
      </c>
      <c r="V39" s="35" t="s">
        <v>2394</v>
      </c>
      <c r="W39" s="35" t="s">
        <v>161</v>
      </c>
      <c r="X39" s="35" t="s">
        <v>2934</v>
      </c>
      <c r="Y39" s="35" t="s">
        <v>2380</v>
      </c>
      <c r="Z39" s="35" t="s">
        <v>2935</v>
      </c>
      <c r="AA39" s="35" t="s">
        <v>57</v>
      </c>
      <c r="AB39" s="35" t="s">
        <v>57</v>
      </c>
      <c r="AC39" s="35" t="s">
        <v>74</v>
      </c>
      <c r="AD39" s="35" t="s">
        <v>215</v>
      </c>
      <c r="AE39" s="35" t="s">
        <v>2936</v>
      </c>
      <c r="AF39" s="35" t="s">
        <v>69</v>
      </c>
      <c r="AG39" s="35" t="s">
        <v>129</v>
      </c>
      <c r="AH39" s="35" t="s">
        <v>129</v>
      </c>
      <c r="AI39" s="35" t="s">
        <v>57</v>
      </c>
      <c r="AJ39" s="35" t="s">
        <v>57</v>
      </c>
      <c r="AK39" s="35" t="s">
        <v>2937</v>
      </c>
      <c r="AL39" s="34" t="s">
        <v>2556</v>
      </c>
      <c r="AM39" s="34" t="s">
        <v>1522</v>
      </c>
      <c r="AN39" s="103" t="s">
        <v>2938</v>
      </c>
      <c r="AO39" s="103" t="s">
        <v>201</v>
      </c>
      <c r="AP39" s="103"/>
    </row>
    <row r="40">
      <c r="A40" s="102">
        <v>63.0</v>
      </c>
      <c r="B40" s="34">
        <v>8.79385834E8</v>
      </c>
      <c r="C40" s="34" t="s">
        <v>2939</v>
      </c>
      <c r="D40" s="34" t="s">
        <v>2940</v>
      </c>
      <c r="E40" s="35" t="s">
        <v>2941</v>
      </c>
      <c r="F40" s="43" t="s">
        <v>2942</v>
      </c>
      <c r="G40" s="35" t="s">
        <v>443</v>
      </c>
      <c r="H40" s="43" t="s">
        <v>2943</v>
      </c>
      <c r="I40" s="35">
        <v>1995.0</v>
      </c>
      <c r="J40" s="43" t="s">
        <v>1362</v>
      </c>
      <c r="K40" s="35" t="s">
        <v>730</v>
      </c>
      <c r="L40" s="35" t="s">
        <v>57</v>
      </c>
      <c r="M40" s="35" t="s">
        <v>57</v>
      </c>
      <c r="N40" s="35" t="s">
        <v>2389</v>
      </c>
      <c r="O40" s="35" t="s">
        <v>258</v>
      </c>
      <c r="P40" s="35" t="s">
        <v>2944</v>
      </c>
      <c r="Q40" s="35" t="s">
        <v>93</v>
      </c>
      <c r="R40" s="35" t="s">
        <v>57</v>
      </c>
      <c r="S40" s="35" t="s">
        <v>57</v>
      </c>
      <c r="T40" s="35" t="s">
        <v>74</v>
      </c>
      <c r="U40" s="35" t="s">
        <v>57</v>
      </c>
      <c r="V40" s="35" t="s">
        <v>96</v>
      </c>
      <c r="W40" s="35" t="s">
        <v>2916</v>
      </c>
      <c r="X40" s="35" t="s">
        <v>2945</v>
      </c>
      <c r="Y40" s="35" t="s">
        <v>2380</v>
      </c>
      <c r="Z40" s="35" t="s">
        <v>2946</v>
      </c>
      <c r="AA40" s="35">
        <v>1987.0</v>
      </c>
      <c r="AB40" s="35">
        <v>1992.0</v>
      </c>
      <c r="AC40" s="35" t="s">
        <v>74</v>
      </c>
      <c r="AD40" s="35" t="s">
        <v>215</v>
      </c>
      <c r="AE40" s="35" t="s">
        <v>2947</v>
      </c>
      <c r="AF40" s="35" t="s">
        <v>69</v>
      </c>
      <c r="AG40" s="35" t="s">
        <v>129</v>
      </c>
      <c r="AH40" s="35" t="s">
        <v>129</v>
      </c>
      <c r="AI40" s="35" t="s">
        <v>57</v>
      </c>
      <c r="AJ40" s="35" t="s">
        <v>57</v>
      </c>
      <c r="AK40" s="35" t="s">
        <v>2948</v>
      </c>
      <c r="AL40" s="34"/>
      <c r="AM40" s="34" t="s">
        <v>1522</v>
      </c>
      <c r="AN40" s="103" t="s">
        <v>2949</v>
      </c>
      <c r="AO40" s="103" t="s">
        <v>201</v>
      </c>
      <c r="AP40" s="103" t="s">
        <v>2950</v>
      </c>
    </row>
    <row r="41">
      <c r="A41" s="102">
        <v>64.0</v>
      </c>
      <c r="B41" s="34">
        <v>8.79385835E8</v>
      </c>
      <c r="C41" s="34" t="s">
        <v>2951</v>
      </c>
      <c r="D41" s="34" t="s">
        <v>2952</v>
      </c>
      <c r="E41" s="35" t="s">
        <v>2953</v>
      </c>
      <c r="F41" s="43" t="s">
        <v>2954</v>
      </c>
      <c r="G41" s="35" t="s">
        <v>1452</v>
      </c>
      <c r="H41" s="43" t="s">
        <v>2955</v>
      </c>
      <c r="I41" s="35">
        <v>2015.0</v>
      </c>
      <c r="J41" s="43" t="s">
        <v>2956</v>
      </c>
      <c r="K41" s="35" t="s">
        <v>730</v>
      </c>
      <c r="L41" s="35" t="s">
        <v>2957</v>
      </c>
      <c r="M41" s="35" t="s">
        <v>57</v>
      </c>
      <c r="N41" s="35" t="s">
        <v>1452</v>
      </c>
      <c r="O41" s="35" t="s">
        <v>2958</v>
      </c>
      <c r="P41" s="35" t="s">
        <v>2959</v>
      </c>
      <c r="Q41" s="35" t="s">
        <v>93</v>
      </c>
      <c r="R41" s="35" t="s">
        <v>57</v>
      </c>
      <c r="S41" s="35" t="s">
        <v>57</v>
      </c>
      <c r="T41" s="35" t="s">
        <v>74</v>
      </c>
      <c r="U41" s="35" t="s">
        <v>57</v>
      </c>
      <c r="V41" s="35" t="s">
        <v>2394</v>
      </c>
      <c r="W41" s="35" t="s">
        <v>2766</v>
      </c>
      <c r="X41" s="35" t="s">
        <v>2960</v>
      </c>
      <c r="Y41" s="35" t="s">
        <v>2397</v>
      </c>
      <c r="Z41" s="35" t="s">
        <v>2961</v>
      </c>
      <c r="AA41" s="35">
        <v>2012.0</v>
      </c>
      <c r="AB41" s="35">
        <v>2013.0</v>
      </c>
      <c r="AC41" s="35" t="s">
        <v>74</v>
      </c>
      <c r="AD41" s="35" t="s">
        <v>215</v>
      </c>
      <c r="AE41" s="35" t="s">
        <v>2962</v>
      </c>
      <c r="AF41" s="35" t="s">
        <v>69</v>
      </c>
      <c r="AG41" s="35" t="s">
        <v>129</v>
      </c>
      <c r="AH41" s="35" t="s">
        <v>129</v>
      </c>
      <c r="AI41" s="35" t="s">
        <v>57</v>
      </c>
      <c r="AJ41" s="35" t="s">
        <v>57</v>
      </c>
      <c r="AK41" s="35" t="s">
        <v>2963</v>
      </c>
      <c r="AL41" s="34"/>
      <c r="AM41" s="34" t="s">
        <v>1522</v>
      </c>
      <c r="AN41" s="103" t="s">
        <v>2964</v>
      </c>
      <c r="AO41" s="103" t="s">
        <v>201</v>
      </c>
      <c r="AP41" s="104"/>
    </row>
    <row r="42">
      <c r="A42" s="102">
        <v>65.0</v>
      </c>
      <c r="B42" s="34">
        <v>8.7938585E8</v>
      </c>
      <c r="C42" s="34" t="s">
        <v>2965</v>
      </c>
      <c r="D42" s="34" t="s">
        <v>2966</v>
      </c>
      <c r="E42" s="35" t="s">
        <v>2967</v>
      </c>
      <c r="F42" s="43" t="s">
        <v>2968</v>
      </c>
      <c r="G42" s="35" t="s">
        <v>760</v>
      </c>
      <c r="H42" s="43" t="s">
        <v>2969</v>
      </c>
      <c r="I42" s="35">
        <v>2005.0</v>
      </c>
      <c r="J42" s="35" t="s">
        <v>295</v>
      </c>
      <c r="K42" s="35" t="s">
        <v>730</v>
      </c>
      <c r="L42" s="35" t="s">
        <v>2970</v>
      </c>
      <c r="M42" s="35" t="s">
        <v>57</v>
      </c>
      <c r="N42" s="35" t="s">
        <v>760</v>
      </c>
      <c r="O42" s="35" t="s">
        <v>2971</v>
      </c>
      <c r="P42" s="35" t="s">
        <v>2972</v>
      </c>
      <c r="Q42" s="35" t="s">
        <v>93</v>
      </c>
      <c r="R42" s="35" t="s">
        <v>57</v>
      </c>
      <c r="S42" s="35" t="s">
        <v>57</v>
      </c>
      <c r="T42" s="35" t="s">
        <v>74</v>
      </c>
      <c r="U42" s="35" t="s">
        <v>57</v>
      </c>
      <c r="V42" s="35" t="s">
        <v>2394</v>
      </c>
      <c r="W42" s="35" t="s">
        <v>64</v>
      </c>
      <c r="X42" s="35" t="s">
        <v>2973</v>
      </c>
      <c r="Y42" s="35" t="s">
        <v>2397</v>
      </c>
      <c r="Z42" s="35" t="s">
        <v>2974</v>
      </c>
      <c r="AA42" s="35">
        <v>2002.0</v>
      </c>
      <c r="AB42" s="35">
        <v>2002.0</v>
      </c>
      <c r="AC42" s="35" t="s">
        <v>69</v>
      </c>
      <c r="AD42" s="35" t="s">
        <v>96</v>
      </c>
      <c r="AE42" s="35" t="s">
        <v>2975</v>
      </c>
      <c r="AF42" s="35" t="s">
        <v>74</v>
      </c>
      <c r="AG42" s="35" t="s">
        <v>57</v>
      </c>
      <c r="AH42" s="35" t="s">
        <v>57</v>
      </c>
      <c r="AI42" s="35" t="s">
        <v>57</v>
      </c>
      <c r="AJ42" s="35" t="s">
        <v>57</v>
      </c>
      <c r="AK42" s="35" t="s">
        <v>57</v>
      </c>
      <c r="AL42" s="34" t="s">
        <v>2976</v>
      </c>
      <c r="AM42" s="34" t="s">
        <v>1522</v>
      </c>
      <c r="AN42" s="103" t="s">
        <v>2977</v>
      </c>
      <c r="AO42" s="103" t="s">
        <v>201</v>
      </c>
      <c r="AP42" s="104"/>
    </row>
    <row r="43">
      <c r="A43" s="102">
        <v>66.0</v>
      </c>
      <c r="B43" s="34">
        <v>8.79385852E8</v>
      </c>
      <c r="C43" s="34" t="s">
        <v>2978</v>
      </c>
      <c r="D43" s="34" t="s">
        <v>2979</v>
      </c>
      <c r="E43" s="35" t="s">
        <v>2980</v>
      </c>
      <c r="F43" s="43" t="s">
        <v>2981</v>
      </c>
      <c r="G43" s="35" t="s">
        <v>859</v>
      </c>
      <c r="H43" s="43" t="s">
        <v>2982</v>
      </c>
      <c r="I43" s="35">
        <v>2015.0</v>
      </c>
      <c r="J43" s="35" t="s">
        <v>2983</v>
      </c>
      <c r="K43" s="35" t="s">
        <v>730</v>
      </c>
      <c r="L43" s="35" t="s">
        <v>2984</v>
      </c>
      <c r="M43" s="35" t="s">
        <v>57</v>
      </c>
      <c r="N43" s="35" t="s">
        <v>859</v>
      </c>
      <c r="O43" s="35" t="s">
        <v>2985</v>
      </c>
      <c r="P43" s="35" t="s">
        <v>2986</v>
      </c>
      <c r="Q43" s="35" t="s">
        <v>93</v>
      </c>
      <c r="R43" s="35" t="s">
        <v>2987</v>
      </c>
      <c r="S43" s="35" t="s">
        <v>2988</v>
      </c>
      <c r="T43" s="35" t="s">
        <v>74</v>
      </c>
      <c r="U43" s="35" t="s">
        <v>57</v>
      </c>
      <c r="V43" s="35" t="s">
        <v>2394</v>
      </c>
      <c r="W43" s="35" t="s">
        <v>2989</v>
      </c>
      <c r="X43" s="35" t="s">
        <v>2990</v>
      </c>
      <c r="Y43" s="35" t="s">
        <v>2397</v>
      </c>
      <c r="Z43" s="35" t="s">
        <v>2991</v>
      </c>
      <c r="AA43" s="35">
        <v>2012.0</v>
      </c>
      <c r="AB43" s="35">
        <v>2012.0</v>
      </c>
      <c r="AC43" s="35" t="s">
        <v>74</v>
      </c>
      <c r="AD43" s="35" t="s">
        <v>96</v>
      </c>
      <c r="AE43" s="35" t="s">
        <v>2992</v>
      </c>
      <c r="AF43" s="35" t="s">
        <v>69</v>
      </c>
      <c r="AG43" s="35" t="s">
        <v>129</v>
      </c>
      <c r="AH43" s="35" t="s">
        <v>129</v>
      </c>
      <c r="AI43" s="35" t="s">
        <v>57</v>
      </c>
      <c r="AJ43" s="35" t="s">
        <v>57</v>
      </c>
      <c r="AK43" s="35" t="s">
        <v>2993</v>
      </c>
      <c r="AL43" s="34"/>
      <c r="AM43" s="34" t="s">
        <v>1522</v>
      </c>
      <c r="AN43" s="103" t="s">
        <v>2994</v>
      </c>
      <c r="AO43" s="103" t="s">
        <v>201</v>
      </c>
      <c r="AP43" s="103" t="s">
        <v>2995</v>
      </c>
    </row>
    <row r="44">
      <c r="A44" s="102">
        <v>67.0</v>
      </c>
      <c r="B44" s="34">
        <v>8.79385854E8</v>
      </c>
      <c r="C44" s="34" t="s">
        <v>2996</v>
      </c>
      <c r="D44" s="34" t="s">
        <v>2997</v>
      </c>
      <c r="E44" s="35" t="s">
        <v>2998</v>
      </c>
      <c r="F44" s="43" t="s">
        <v>2999</v>
      </c>
      <c r="G44" s="35" t="s">
        <v>172</v>
      </c>
      <c r="H44" s="43" t="s">
        <v>3000</v>
      </c>
      <c r="I44" s="35">
        <v>2015.0</v>
      </c>
      <c r="J44" s="43" t="s">
        <v>796</v>
      </c>
      <c r="K44" s="35" t="s">
        <v>730</v>
      </c>
      <c r="L44" s="35" t="s">
        <v>3001</v>
      </c>
      <c r="M44" s="35" t="s">
        <v>57</v>
      </c>
      <c r="N44" s="35" t="s">
        <v>172</v>
      </c>
      <c r="O44" s="35" t="s">
        <v>3002</v>
      </c>
      <c r="P44" s="35" t="s">
        <v>3003</v>
      </c>
      <c r="Q44" s="35" t="s">
        <v>93</v>
      </c>
      <c r="R44" s="35" t="s">
        <v>3004</v>
      </c>
      <c r="S44" s="35" t="s">
        <v>3005</v>
      </c>
      <c r="T44" s="35" t="s">
        <v>74</v>
      </c>
      <c r="U44" s="35" t="s">
        <v>57</v>
      </c>
      <c r="V44" s="35" t="s">
        <v>2394</v>
      </c>
      <c r="W44" s="35" t="s">
        <v>2634</v>
      </c>
      <c r="X44" s="35" t="s">
        <v>3006</v>
      </c>
      <c r="Y44" s="35" t="s">
        <v>2397</v>
      </c>
      <c r="Z44" s="35" t="s">
        <v>3007</v>
      </c>
      <c r="AA44" s="35" t="s">
        <v>57</v>
      </c>
      <c r="AB44" s="35">
        <v>2011.0</v>
      </c>
      <c r="AC44" s="35" t="s">
        <v>74</v>
      </c>
      <c r="AD44" s="35" t="s">
        <v>215</v>
      </c>
      <c r="AE44" s="35" t="s">
        <v>3008</v>
      </c>
      <c r="AF44" s="35" t="s">
        <v>69</v>
      </c>
      <c r="AG44" s="35" t="s">
        <v>129</v>
      </c>
      <c r="AH44" s="35" t="s">
        <v>129</v>
      </c>
      <c r="AI44" s="35" t="s">
        <v>57</v>
      </c>
      <c r="AJ44" s="35" t="s">
        <v>57</v>
      </c>
      <c r="AK44" s="35" t="s">
        <v>3009</v>
      </c>
      <c r="AL44" s="34"/>
      <c r="AM44" s="34" t="s">
        <v>1522</v>
      </c>
      <c r="AN44" s="103" t="s">
        <v>3010</v>
      </c>
      <c r="AO44" s="103" t="s">
        <v>201</v>
      </c>
      <c r="AP44" s="104"/>
    </row>
    <row r="45">
      <c r="A45" s="102">
        <v>68.0</v>
      </c>
      <c r="B45" s="34">
        <v>8.79385873E8</v>
      </c>
      <c r="C45" s="34" t="s">
        <v>3011</v>
      </c>
      <c r="D45" s="34" t="s">
        <v>3012</v>
      </c>
      <c r="E45" s="35" t="s">
        <v>3013</v>
      </c>
      <c r="F45" s="43" t="s">
        <v>3014</v>
      </c>
      <c r="G45" s="35" t="s">
        <v>273</v>
      </c>
      <c r="H45" s="35" t="s">
        <v>3015</v>
      </c>
      <c r="I45" s="35">
        <v>2019.0</v>
      </c>
      <c r="J45" s="35" t="s">
        <v>1798</v>
      </c>
      <c r="K45" s="35" t="s">
        <v>730</v>
      </c>
      <c r="L45" s="35" t="s">
        <v>3016</v>
      </c>
      <c r="M45" s="35" t="s">
        <v>57</v>
      </c>
      <c r="N45" s="35" t="s">
        <v>273</v>
      </c>
      <c r="O45" s="35" t="s">
        <v>1022</v>
      </c>
      <c r="P45" s="35" t="s">
        <v>3017</v>
      </c>
      <c r="Q45" s="35" t="s">
        <v>93</v>
      </c>
      <c r="R45" s="35" t="s">
        <v>57</v>
      </c>
      <c r="S45" s="35" t="s">
        <v>57</v>
      </c>
      <c r="T45" s="35" t="s">
        <v>74</v>
      </c>
      <c r="U45" s="35" t="s">
        <v>57</v>
      </c>
      <c r="V45" s="35" t="s">
        <v>2394</v>
      </c>
      <c r="W45" s="35" t="s">
        <v>161</v>
      </c>
      <c r="X45" s="35" t="s">
        <v>3018</v>
      </c>
      <c r="Y45" s="35" t="s">
        <v>2397</v>
      </c>
      <c r="Z45" s="35" t="s">
        <v>3019</v>
      </c>
      <c r="AA45" s="35">
        <v>2019.0</v>
      </c>
      <c r="AB45" s="35">
        <v>2019.0</v>
      </c>
      <c r="AC45" s="35" t="s">
        <v>74</v>
      </c>
      <c r="AD45" s="35" t="s">
        <v>215</v>
      </c>
      <c r="AE45" s="35" t="s">
        <v>3020</v>
      </c>
      <c r="AF45" s="35" t="s">
        <v>69</v>
      </c>
      <c r="AG45" s="35" t="s">
        <v>129</v>
      </c>
      <c r="AH45" s="35" t="s">
        <v>129</v>
      </c>
      <c r="AI45" s="35" t="s">
        <v>57</v>
      </c>
      <c r="AJ45" s="35" t="s">
        <v>57</v>
      </c>
      <c r="AK45" s="35" t="s">
        <v>3021</v>
      </c>
      <c r="AL45" s="34"/>
      <c r="AM45" s="34" t="s">
        <v>109</v>
      </c>
      <c r="AN45" s="103" t="s">
        <v>501</v>
      </c>
      <c r="AO45" s="103" t="s">
        <v>201</v>
      </c>
      <c r="AP45" s="103" t="s">
        <v>3022</v>
      </c>
    </row>
    <row r="46">
      <c r="A46" s="102">
        <v>69.0</v>
      </c>
      <c r="B46" s="34">
        <v>8.7938586E8</v>
      </c>
      <c r="C46" s="34" t="s">
        <v>3023</v>
      </c>
      <c r="D46" s="34" t="s">
        <v>3024</v>
      </c>
      <c r="E46" s="35" t="s">
        <v>3025</v>
      </c>
      <c r="F46" s="43" t="s">
        <v>3026</v>
      </c>
      <c r="G46" s="35" t="s">
        <v>2389</v>
      </c>
      <c r="H46" s="43" t="s">
        <v>3027</v>
      </c>
      <c r="I46" s="35">
        <v>2016.0</v>
      </c>
      <c r="J46" s="35" t="s">
        <v>3028</v>
      </c>
      <c r="K46" s="35" t="s">
        <v>730</v>
      </c>
      <c r="L46" s="35" t="s">
        <v>3029</v>
      </c>
      <c r="M46" s="35" t="s">
        <v>57</v>
      </c>
      <c r="N46" s="35" t="s">
        <v>2389</v>
      </c>
      <c r="O46" s="35" t="s">
        <v>3030</v>
      </c>
      <c r="P46" s="35" t="s">
        <v>3031</v>
      </c>
      <c r="Q46" s="35" t="s">
        <v>93</v>
      </c>
      <c r="R46" s="43" t="s">
        <v>3032</v>
      </c>
      <c r="S46" s="43" t="s">
        <v>3033</v>
      </c>
      <c r="T46" s="35" t="s">
        <v>74</v>
      </c>
      <c r="U46" s="35" t="s">
        <v>57</v>
      </c>
      <c r="V46" s="35" t="s">
        <v>2394</v>
      </c>
      <c r="W46" s="35" t="s">
        <v>3034</v>
      </c>
      <c r="X46" s="35" t="s">
        <v>3035</v>
      </c>
      <c r="Y46" s="35" t="s">
        <v>2397</v>
      </c>
      <c r="Z46" s="35" t="s">
        <v>3036</v>
      </c>
      <c r="AA46" s="35">
        <v>2014.0</v>
      </c>
      <c r="AB46" s="35">
        <v>2014.0</v>
      </c>
      <c r="AC46" s="35" t="s">
        <v>74</v>
      </c>
      <c r="AD46" s="35" t="s">
        <v>215</v>
      </c>
      <c r="AE46" s="35" t="s">
        <v>3037</v>
      </c>
      <c r="AF46" s="35" t="s">
        <v>69</v>
      </c>
      <c r="AG46" s="35" t="s">
        <v>129</v>
      </c>
      <c r="AH46" s="35" t="s">
        <v>129</v>
      </c>
      <c r="AI46" s="35" t="s">
        <v>57</v>
      </c>
      <c r="AJ46" s="35" t="s">
        <v>57</v>
      </c>
      <c r="AK46" s="35" t="s">
        <v>3038</v>
      </c>
      <c r="AL46" s="34"/>
      <c r="AM46" s="34" t="s">
        <v>1522</v>
      </c>
      <c r="AN46" s="103" t="s">
        <v>3039</v>
      </c>
      <c r="AO46" s="103" t="s">
        <v>201</v>
      </c>
      <c r="AP46" s="103" t="s">
        <v>3040</v>
      </c>
    </row>
    <row r="47">
      <c r="A47" s="102">
        <v>70.0</v>
      </c>
      <c r="B47" s="34">
        <v>8.79385871E8</v>
      </c>
      <c r="C47" s="34" t="s">
        <v>3041</v>
      </c>
      <c r="D47" s="34" t="s">
        <v>3042</v>
      </c>
      <c r="E47" s="35" t="s">
        <v>3043</v>
      </c>
      <c r="F47" s="43" t="s">
        <v>3044</v>
      </c>
      <c r="G47" s="35" t="s">
        <v>2389</v>
      </c>
      <c r="H47" s="43" t="s">
        <v>3045</v>
      </c>
      <c r="I47" s="35">
        <v>2019.0</v>
      </c>
      <c r="J47" s="35" t="s">
        <v>2825</v>
      </c>
      <c r="K47" s="35" t="s">
        <v>730</v>
      </c>
      <c r="L47" s="35" t="s">
        <v>3046</v>
      </c>
      <c r="M47" s="35" t="s">
        <v>57</v>
      </c>
      <c r="N47" s="35" t="s">
        <v>2389</v>
      </c>
      <c r="O47" s="35" t="s">
        <v>1484</v>
      </c>
      <c r="P47" s="35" t="s">
        <v>3047</v>
      </c>
      <c r="Q47" s="35" t="s">
        <v>93</v>
      </c>
      <c r="R47" s="35" t="s">
        <v>57</v>
      </c>
      <c r="S47" s="35" t="s">
        <v>57</v>
      </c>
      <c r="T47" s="35" t="s">
        <v>74</v>
      </c>
      <c r="U47" s="35" t="s">
        <v>57</v>
      </c>
      <c r="V47" s="35" t="s">
        <v>96</v>
      </c>
      <c r="W47" s="35" t="s">
        <v>161</v>
      </c>
      <c r="X47" s="35" t="s">
        <v>3048</v>
      </c>
      <c r="Y47" s="35" t="s">
        <v>2397</v>
      </c>
      <c r="Z47" s="35" t="s">
        <v>3049</v>
      </c>
      <c r="AA47" s="35">
        <v>2005.0</v>
      </c>
      <c r="AB47" s="35">
        <v>2006.0</v>
      </c>
      <c r="AC47" s="35" t="s">
        <v>69</v>
      </c>
      <c r="AD47" s="35" t="s">
        <v>215</v>
      </c>
      <c r="AE47" s="35" t="s">
        <v>3050</v>
      </c>
      <c r="AF47" s="35" t="s">
        <v>69</v>
      </c>
      <c r="AG47" s="35" t="s">
        <v>129</v>
      </c>
      <c r="AH47" s="35" t="s">
        <v>129</v>
      </c>
      <c r="AI47" s="35" t="s">
        <v>57</v>
      </c>
      <c r="AJ47" s="35" t="s">
        <v>57</v>
      </c>
      <c r="AK47" s="35" t="s">
        <v>3051</v>
      </c>
      <c r="AL47" s="34" t="s">
        <v>3052</v>
      </c>
      <c r="AM47" s="34" t="s">
        <v>109</v>
      </c>
      <c r="AN47" s="103" t="s">
        <v>3053</v>
      </c>
      <c r="AO47" s="103" t="s">
        <v>201</v>
      </c>
      <c r="AP47" s="103" t="s">
        <v>3054</v>
      </c>
    </row>
    <row r="48">
      <c r="A48" s="102">
        <v>71.0</v>
      </c>
      <c r="B48" s="34">
        <v>8.79385865E8</v>
      </c>
      <c r="C48" s="34" t="s">
        <v>3055</v>
      </c>
      <c r="D48" s="34" t="s">
        <v>3056</v>
      </c>
      <c r="E48" s="35" t="s">
        <v>3057</v>
      </c>
      <c r="F48" s="43" t="s">
        <v>3058</v>
      </c>
      <c r="G48" s="35" t="s">
        <v>396</v>
      </c>
      <c r="H48" s="35" t="s">
        <v>3059</v>
      </c>
      <c r="I48" s="35">
        <v>2015.0</v>
      </c>
      <c r="J48" s="43" t="s">
        <v>1798</v>
      </c>
      <c r="K48" s="35" t="s">
        <v>730</v>
      </c>
      <c r="L48" s="35" t="s">
        <v>3060</v>
      </c>
      <c r="M48" s="35" t="s">
        <v>57</v>
      </c>
      <c r="N48" s="35" t="s">
        <v>396</v>
      </c>
      <c r="O48" s="35" t="s">
        <v>3061</v>
      </c>
      <c r="P48" s="35" t="s">
        <v>3062</v>
      </c>
      <c r="Q48" s="35" t="s">
        <v>93</v>
      </c>
      <c r="R48" s="35" t="s">
        <v>3063</v>
      </c>
      <c r="S48" s="35" t="s">
        <v>3064</v>
      </c>
      <c r="T48" s="35" t="s">
        <v>74</v>
      </c>
      <c r="U48" s="35" t="s">
        <v>57</v>
      </c>
      <c r="V48" s="35" t="s">
        <v>2394</v>
      </c>
      <c r="W48" s="35" t="s">
        <v>2395</v>
      </c>
      <c r="X48" s="35" t="s">
        <v>3065</v>
      </c>
      <c r="Y48" s="35" t="s">
        <v>2397</v>
      </c>
      <c r="Z48" s="35" t="s">
        <v>3066</v>
      </c>
      <c r="AA48" s="35" t="s">
        <v>57</v>
      </c>
      <c r="AB48" s="35" t="s">
        <v>57</v>
      </c>
      <c r="AC48" s="35" t="s">
        <v>69</v>
      </c>
      <c r="AD48" s="35" t="s">
        <v>96</v>
      </c>
      <c r="AE48" s="35" t="s">
        <v>3067</v>
      </c>
      <c r="AF48" s="35" t="s">
        <v>69</v>
      </c>
      <c r="AG48" s="35" t="s">
        <v>129</v>
      </c>
      <c r="AH48" s="35" t="s">
        <v>129</v>
      </c>
      <c r="AI48" s="35" t="s">
        <v>57</v>
      </c>
      <c r="AJ48" s="35" t="s">
        <v>57</v>
      </c>
      <c r="AK48" s="35" t="s">
        <v>3068</v>
      </c>
      <c r="AL48" s="34"/>
      <c r="AM48" s="34" t="s">
        <v>1522</v>
      </c>
      <c r="AN48" s="103" t="s">
        <v>3069</v>
      </c>
      <c r="AO48" s="103" t="s">
        <v>201</v>
      </c>
      <c r="AP48" s="103" t="s">
        <v>3070</v>
      </c>
    </row>
    <row r="49">
      <c r="A49" s="102">
        <v>72.0</v>
      </c>
      <c r="B49" s="34">
        <v>8.79385875E8</v>
      </c>
      <c r="C49" s="34" t="s">
        <v>3071</v>
      </c>
      <c r="D49" s="34" t="s">
        <v>3072</v>
      </c>
      <c r="E49" s="35" t="s">
        <v>3073</v>
      </c>
      <c r="F49" s="43" t="s">
        <v>3074</v>
      </c>
      <c r="G49" s="35" t="s">
        <v>2389</v>
      </c>
      <c r="H49" s="43" t="s">
        <v>3075</v>
      </c>
      <c r="I49" s="35">
        <v>2017.0</v>
      </c>
      <c r="J49" s="35" t="s">
        <v>796</v>
      </c>
      <c r="K49" s="35" t="s">
        <v>730</v>
      </c>
      <c r="L49" s="35" t="s">
        <v>2500</v>
      </c>
      <c r="M49" s="35" t="s">
        <v>57</v>
      </c>
      <c r="N49" s="35" t="s">
        <v>2389</v>
      </c>
      <c r="O49" s="35" t="s">
        <v>400</v>
      </c>
      <c r="P49" s="35" t="s">
        <v>3076</v>
      </c>
      <c r="Q49" s="35" t="s">
        <v>93</v>
      </c>
      <c r="R49" s="35" t="s">
        <v>57</v>
      </c>
      <c r="S49" s="35" t="s">
        <v>57</v>
      </c>
      <c r="T49" s="35" t="s">
        <v>74</v>
      </c>
      <c r="U49" s="35" t="s">
        <v>57</v>
      </c>
      <c r="V49" s="35" t="s">
        <v>2430</v>
      </c>
      <c r="W49" s="35" t="s">
        <v>2989</v>
      </c>
      <c r="X49" s="35" t="s">
        <v>3077</v>
      </c>
      <c r="Y49" s="35" t="s">
        <v>2397</v>
      </c>
      <c r="Z49" s="35" t="s">
        <v>3078</v>
      </c>
      <c r="AA49" s="35" t="s">
        <v>57</v>
      </c>
      <c r="AB49" s="35" t="s">
        <v>57</v>
      </c>
      <c r="AC49" s="35" t="s">
        <v>74</v>
      </c>
      <c r="AD49" s="35" t="s">
        <v>215</v>
      </c>
      <c r="AE49" s="35" t="s">
        <v>3079</v>
      </c>
      <c r="AF49" s="35" t="s">
        <v>74</v>
      </c>
      <c r="AG49" s="35" t="s">
        <v>57</v>
      </c>
      <c r="AH49" s="35" t="s">
        <v>57</v>
      </c>
      <c r="AI49" s="35" t="s">
        <v>57</v>
      </c>
      <c r="AJ49" s="35" t="s">
        <v>57</v>
      </c>
      <c r="AK49" s="35" t="s">
        <v>57</v>
      </c>
      <c r="AL49" s="34"/>
      <c r="AM49" s="34" t="s">
        <v>109</v>
      </c>
      <c r="AN49" s="103" t="s">
        <v>3080</v>
      </c>
      <c r="AO49" s="103" t="s">
        <v>201</v>
      </c>
      <c r="AP49" s="103" t="s">
        <v>3081</v>
      </c>
    </row>
    <row r="50">
      <c r="A50" s="102">
        <v>73.0</v>
      </c>
      <c r="B50" s="34">
        <v>8.79385887E8</v>
      </c>
      <c r="C50" s="34" t="s">
        <v>3082</v>
      </c>
      <c r="D50" s="34" t="s">
        <v>3083</v>
      </c>
      <c r="E50" s="35" t="s">
        <v>3084</v>
      </c>
      <c r="F50" s="43" t="s">
        <v>3085</v>
      </c>
      <c r="G50" s="35" t="s">
        <v>443</v>
      </c>
      <c r="H50" s="43" t="s">
        <v>3086</v>
      </c>
      <c r="I50" s="35">
        <v>2019.0</v>
      </c>
      <c r="J50" s="35" t="s">
        <v>796</v>
      </c>
      <c r="K50" s="35" t="s">
        <v>730</v>
      </c>
      <c r="L50" s="35" t="s">
        <v>3087</v>
      </c>
      <c r="M50" s="35" t="s">
        <v>57</v>
      </c>
      <c r="N50" s="35" t="s">
        <v>443</v>
      </c>
      <c r="O50" s="35" t="s">
        <v>444</v>
      </c>
      <c r="P50" s="35" t="s">
        <v>3088</v>
      </c>
      <c r="Q50" s="35" t="s">
        <v>93</v>
      </c>
      <c r="R50" s="35" t="s">
        <v>57</v>
      </c>
      <c r="S50" s="35" t="s">
        <v>57</v>
      </c>
      <c r="T50" s="35" t="s">
        <v>74</v>
      </c>
      <c r="U50" s="35" t="s">
        <v>57</v>
      </c>
      <c r="V50" s="35" t="s">
        <v>96</v>
      </c>
      <c r="W50" s="35" t="s">
        <v>161</v>
      </c>
      <c r="X50" s="35" t="s">
        <v>3089</v>
      </c>
      <c r="Y50" s="35" t="s">
        <v>2397</v>
      </c>
      <c r="Z50" s="35" t="s">
        <v>3090</v>
      </c>
      <c r="AA50" s="35" t="s">
        <v>57</v>
      </c>
      <c r="AB50" s="35" t="s">
        <v>57</v>
      </c>
      <c r="AC50" s="35" t="s">
        <v>74</v>
      </c>
      <c r="AD50" s="35" t="s">
        <v>215</v>
      </c>
      <c r="AE50" s="35" t="s">
        <v>3091</v>
      </c>
      <c r="AF50" s="35" t="s">
        <v>69</v>
      </c>
      <c r="AG50" s="35" t="s">
        <v>198</v>
      </c>
      <c r="AH50" s="35" t="s">
        <v>374</v>
      </c>
      <c r="AI50" s="35" t="s">
        <v>129</v>
      </c>
      <c r="AJ50" s="35" t="s">
        <v>57</v>
      </c>
      <c r="AK50" s="35" t="s">
        <v>3092</v>
      </c>
      <c r="AL50" s="34"/>
      <c r="AM50" s="34" t="s">
        <v>109</v>
      </c>
      <c r="AN50" s="103" t="s">
        <v>3093</v>
      </c>
      <c r="AO50" s="103" t="s">
        <v>201</v>
      </c>
      <c r="AP50" s="41" t="s">
        <v>3094</v>
      </c>
    </row>
    <row r="51">
      <c r="A51" s="102">
        <v>74.0</v>
      </c>
      <c r="B51" s="34">
        <v>8.7938588E8</v>
      </c>
      <c r="C51" s="34" t="s">
        <v>3095</v>
      </c>
      <c r="D51" s="34" t="s">
        <v>3096</v>
      </c>
      <c r="E51" s="35" t="s">
        <v>3097</v>
      </c>
      <c r="F51" s="35" t="s">
        <v>3098</v>
      </c>
      <c r="G51" s="35" t="s">
        <v>172</v>
      </c>
      <c r="H51" s="43" t="s">
        <v>3099</v>
      </c>
      <c r="I51" s="35">
        <v>2021.0</v>
      </c>
      <c r="J51" s="43" t="s">
        <v>2117</v>
      </c>
      <c r="K51" s="35" t="s">
        <v>730</v>
      </c>
      <c r="L51" s="35" t="s">
        <v>3100</v>
      </c>
      <c r="M51" s="35" t="s">
        <v>57</v>
      </c>
      <c r="N51" s="35" t="s">
        <v>172</v>
      </c>
      <c r="O51" s="35" t="s">
        <v>347</v>
      </c>
      <c r="P51" s="35" t="s">
        <v>3101</v>
      </c>
      <c r="Q51" s="35" t="s">
        <v>93</v>
      </c>
      <c r="R51" s="35" t="s">
        <v>57</v>
      </c>
      <c r="S51" s="35" t="s">
        <v>57</v>
      </c>
      <c r="T51" s="35" t="s">
        <v>3102</v>
      </c>
      <c r="U51" s="35" t="s">
        <v>57</v>
      </c>
      <c r="V51" s="35" t="s">
        <v>96</v>
      </c>
      <c r="W51" s="35" t="s">
        <v>3103</v>
      </c>
      <c r="X51" s="35" t="s">
        <v>3104</v>
      </c>
      <c r="Y51" s="35" t="s">
        <v>2380</v>
      </c>
      <c r="Z51" s="35" t="s">
        <v>3105</v>
      </c>
      <c r="AA51" s="35" t="s">
        <v>57</v>
      </c>
      <c r="AB51" s="35" t="s">
        <v>57</v>
      </c>
      <c r="AC51" s="35" t="s">
        <v>69</v>
      </c>
      <c r="AD51" s="35" t="s">
        <v>96</v>
      </c>
      <c r="AE51" s="35" t="s">
        <v>3106</v>
      </c>
      <c r="AF51" s="35" t="s">
        <v>74</v>
      </c>
      <c r="AG51" s="35" t="s">
        <v>57</v>
      </c>
      <c r="AH51" s="35" t="s">
        <v>57</v>
      </c>
      <c r="AI51" s="35" t="s">
        <v>57</v>
      </c>
      <c r="AJ51" s="35" t="s">
        <v>57</v>
      </c>
      <c r="AK51" s="35" t="s">
        <v>57</v>
      </c>
      <c r="AL51" s="34" t="s">
        <v>3107</v>
      </c>
      <c r="AM51" s="34" t="s">
        <v>1522</v>
      </c>
      <c r="AN51" s="103" t="s">
        <v>3108</v>
      </c>
      <c r="AO51" s="103" t="s">
        <v>201</v>
      </c>
      <c r="AP51" s="103" t="s">
        <v>3109</v>
      </c>
    </row>
    <row r="52">
      <c r="A52" s="102">
        <v>75.0</v>
      </c>
      <c r="B52" s="34">
        <v>8.79385885E8</v>
      </c>
      <c r="C52" s="34" t="s">
        <v>3110</v>
      </c>
      <c r="D52" s="34" t="s">
        <v>3111</v>
      </c>
      <c r="E52" s="35" t="s">
        <v>3112</v>
      </c>
      <c r="F52" s="43" t="s">
        <v>3113</v>
      </c>
      <c r="G52" s="35" t="s">
        <v>87</v>
      </c>
      <c r="H52" s="43" t="s">
        <v>3114</v>
      </c>
      <c r="I52" s="35">
        <v>2021.0</v>
      </c>
      <c r="J52" s="43" t="s">
        <v>1347</v>
      </c>
      <c r="K52" s="35" t="s">
        <v>730</v>
      </c>
      <c r="L52" s="35" t="s">
        <v>3115</v>
      </c>
      <c r="M52" s="35" t="s">
        <v>57</v>
      </c>
      <c r="N52" s="35" t="s">
        <v>87</v>
      </c>
      <c r="O52" s="35" t="s">
        <v>91</v>
      </c>
      <c r="P52" s="35" t="s">
        <v>3116</v>
      </c>
      <c r="Q52" s="35" t="s">
        <v>93</v>
      </c>
      <c r="R52" s="35" t="s">
        <v>57</v>
      </c>
      <c r="S52" s="35" t="s">
        <v>57</v>
      </c>
      <c r="T52" s="35" t="s">
        <v>74</v>
      </c>
      <c r="U52" s="35" t="s">
        <v>57</v>
      </c>
      <c r="V52" s="35" t="s">
        <v>96</v>
      </c>
      <c r="W52" s="35" t="s">
        <v>2916</v>
      </c>
      <c r="X52" s="35" t="s">
        <v>3117</v>
      </c>
      <c r="Y52" s="35" t="s">
        <v>2380</v>
      </c>
      <c r="Z52" s="35" t="s">
        <v>3118</v>
      </c>
      <c r="AA52" s="35">
        <v>2018.0</v>
      </c>
      <c r="AB52" s="35">
        <v>2018.0</v>
      </c>
      <c r="AC52" s="35" t="s">
        <v>74</v>
      </c>
      <c r="AD52" s="35" t="s">
        <v>215</v>
      </c>
      <c r="AE52" s="35" t="s">
        <v>3119</v>
      </c>
      <c r="AF52" s="35" t="s">
        <v>69</v>
      </c>
      <c r="AG52" s="35" t="s">
        <v>198</v>
      </c>
      <c r="AH52" s="35" t="s">
        <v>374</v>
      </c>
      <c r="AI52" s="35" t="s">
        <v>129</v>
      </c>
      <c r="AJ52" s="35" t="s">
        <v>57</v>
      </c>
      <c r="AK52" s="35" t="s">
        <v>3120</v>
      </c>
      <c r="AL52" s="34"/>
      <c r="AM52" s="34" t="s">
        <v>1522</v>
      </c>
      <c r="AN52" s="103" t="s">
        <v>3121</v>
      </c>
      <c r="AO52" s="103" t="s">
        <v>201</v>
      </c>
      <c r="AP52" s="103" t="s">
        <v>3122</v>
      </c>
    </row>
    <row r="53">
      <c r="A53" s="102">
        <v>76.0</v>
      </c>
      <c r="B53" s="34">
        <v>8.79385888E8</v>
      </c>
      <c r="C53" s="34" t="s">
        <v>3123</v>
      </c>
      <c r="D53" s="34" t="s">
        <v>3124</v>
      </c>
      <c r="E53" s="35" t="s">
        <v>3125</v>
      </c>
      <c r="F53" s="43" t="s">
        <v>3126</v>
      </c>
      <c r="G53" s="35" t="s">
        <v>859</v>
      </c>
      <c r="H53" s="43" t="s">
        <v>3127</v>
      </c>
      <c r="I53" s="35">
        <v>2012.0</v>
      </c>
      <c r="J53" s="43" t="s">
        <v>796</v>
      </c>
      <c r="K53" s="35" t="s">
        <v>730</v>
      </c>
      <c r="L53" s="35" t="s">
        <v>3128</v>
      </c>
      <c r="M53" s="35" t="s">
        <v>57</v>
      </c>
      <c r="N53" s="35" t="s">
        <v>859</v>
      </c>
      <c r="O53" s="35" t="s">
        <v>3129</v>
      </c>
      <c r="P53" s="35" t="s">
        <v>3130</v>
      </c>
      <c r="Q53" s="35" t="s">
        <v>93</v>
      </c>
      <c r="R53" s="35" t="s">
        <v>3131</v>
      </c>
      <c r="S53" s="35" t="s">
        <v>3132</v>
      </c>
      <c r="T53" s="35" t="s">
        <v>74</v>
      </c>
      <c r="U53" s="35" t="s">
        <v>57</v>
      </c>
      <c r="V53" s="35" t="s">
        <v>2394</v>
      </c>
      <c r="W53" s="35" t="s">
        <v>749</v>
      </c>
      <c r="X53" s="35" t="s">
        <v>3133</v>
      </c>
      <c r="Y53" s="35" t="s">
        <v>2380</v>
      </c>
      <c r="Z53" s="35" t="s">
        <v>3134</v>
      </c>
      <c r="AA53" s="35">
        <v>2006.0</v>
      </c>
      <c r="AB53" s="35">
        <v>2006.0</v>
      </c>
      <c r="AC53" s="35" t="s">
        <v>74</v>
      </c>
      <c r="AD53" s="35" t="s">
        <v>215</v>
      </c>
      <c r="AE53" s="35" t="s">
        <v>3135</v>
      </c>
      <c r="AF53" s="35" t="s">
        <v>69</v>
      </c>
      <c r="AG53" s="35" t="s">
        <v>129</v>
      </c>
      <c r="AH53" s="35" t="s">
        <v>129</v>
      </c>
      <c r="AI53" s="35" t="s">
        <v>57</v>
      </c>
      <c r="AJ53" s="35" t="s">
        <v>57</v>
      </c>
      <c r="AK53" s="35" t="s">
        <v>3136</v>
      </c>
      <c r="AL53" s="34"/>
      <c r="AM53" s="34" t="s">
        <v>1522</v>
      </c>
      <c r="AN53" s="103" t="s">
        <v>3137</v>
      </c>
      <c r="AO53" s="103" t="s">
        <v>201</v>
      </c>
      <c r="AP53" s="103" t="s">
        <v>3138</v>
      </c>
    </row>
    <row r="54">
      <c r="A54" s="102">
        <v>77.0</v>
      </c>
      <c r="B54" s="34">
        <v>8.793857E7</v>
      </c>
      <c r="C54" s="34" t="s">
        <v>3139</v>
      </c>
      <c r="D54" s="34" t="s">
        <v>3140</v>
      </c>
      <c r="E54" s="35" t="s">
        <v>3141</v>
      </c>
      <c r="F54" s="43" t="s">
        <v>3142</v>
      </c>
      <c r="G54" s="35" t="s">
        <v>172</v>
      </c>
      <c r="H54" s="35" t="s">
        <v>3143</v>
      </c>
      <c r="I54" s="35">
        <v>2017.0</v>
      </c>
      <c r="J54" s="35" t="s">
        <v>2117</v>
      </c>
      <c r="K54" s="35" t="s">
        <v>730</v>
      </c>
      <c r="L54" s="35" t="s">
        <v>3144</v>
      </c>
      <c r="M54" s="35" t="s">
        <v>57</v>
      </c>
      <c r="N54" s="35" t="s">
        <v>172</v>
      </c>
      <c r="O54" s="35" t="s">
        <v>2376</v>
      </c>
      <c r="P54" s="35" t="s">
        <v>3145</v>
      </c>
      <c r="Q54" s="35" t="s">
        <v>93</v>
      </c>
      <c r="R54" s="35" t="s">
        <v>57</v>
      </c>
      <c r="S54" s="35" t="s">
        <v>57</v>
      </c>
      <c r="T54" s="35" t="s">
        <v>69</v>
      </c>
      <c r="U54" s="35" t="s">
        <v>3146</v>
      </c>
      <c r="V54" s="35" t="s">
        <v>2394</v>
      </c>
      <c r="W54" s="35" t="s">
        <v>3147</v>
      </c>
      <c r="X54" s="35" t="s">
        <v>3148</v>
      </c>
      <c r="Y54" s="35" t="s">
        <v>2397</v>
      </c>
      <c r="Z54" s="43" t="s">
        <v>3149</v>
      </c>
      <c r="AA54" s="35" t="s">
        <v>57</v>
      </c>
      <c r="AB54" s="35" t="s">
        <v>57</v>
      </c>
      <c r="AC54" s="35" t="s">
        <v>74</v>
      </c>
      <c r="AD54" s="35" t="s">
        <v>96</v>
      </c>
      <c r="AE54" s="35" t="s">
        <v>3150</v>
      </c>
      <c r="AF54" s="35" t="s">
        <v>69</v>
      </c>
      <c r="AG54" s="35" t="s">
        <v>2800</v>
      </c>
      <c r="AH54" s="35" t="s">
        <v>374</v>
      </c>
      <c r="AI54" s="35" t="s">
        <v>2067</v>
      </c>
      <c r="AJ54" s="35" t="s">
        <v>129</v>
      </c>
      <c r="AK54" s="35" t="s">
        <v>3151</v>
      </c>
      <c r="AL54" s="34" t="s">
        <v>3152</v>
      </c>
      <c r="AM54" s="34" t="s">
        <v>109</v>
      </c>
      <c r="AN54" s="103" t="s">
        <v>501</v>
      </c>
      <c r="AO54" s="103" t="s">
        <v>201</v>
      </c>
      <c r="AP54" s="112" t="s">
        <v>3153</v>
      </c>
    </row>
    <row r="55">
      <c r="A55" s="102">
        <v>78.0</v>
      </c>
      <c r="B55" s="34">
        <v>8.79385909E8</v>
      </c>
      <c r="C55" s="34" t="s">
        <v>3154</v>
      </c>
      <c r="D55" s="34" t="s">
        <v>3155</v>
      </c>
      <c r="E55" s="35" t="s">
        <v>3156</v>
      </c>
      <c r="F55" s="43" t="s">
        <v>3157</v>
      </c>
      <c r="G55" s="35" t="s">
        <v>2389</v>
      </c>
      <c r="H55" s="43" t="s">
        <v>3158</v>
      </c>
      <c r="I55" s="35">
        <v>2013.0</v>
      </c>
      <c r="J55" s="43" t="s">
        <v>796</v>
      </c>
      <c r="K55" s="35" t="s">
        <v>730</v>
      </c>
      <c r="L55" s="35" t="s">
        <v>3159</v>
      </c>
      <c r="M55" s="35" t="s">
        <v>57</v>
      </c>
      <c r="N55" s="35" t="s">
        <v>2389</v>
      </c>
      <c r="O55" s="35" t="s">
        <v>3160</v>
      </c>
      <c r="P55" s="35" t="s">
        <v>3161</v>
      </c>
      <c r="Q55" s="35" t="s">
        <v>93</v>
      </c>
      <c r="R55" s="35" t="s">
        <v>57</v>
      </c>
      <c r="S55" s="35" t="s">
        <v>57</v>
      </c>
      <c r="T55" s="35" t="s">
        <v>69</v>
      </c>
      <c r="U55" s="35" t="s">
        <v>3162</v>
      </c>
      <c r="V55" s="35" t="s">
        <v>2394</v>
      </c>
      <c r="W55" s="35" t="s">
        <v>3163</v>
      </c>
      <c r="X55" s="35" t="s">
        <v>3164</v>
      </c>
      <c r="Y55" s="35" t="s">
        <v>3165</v>
      </c>
      <c r="Z55" s="35" t="s">
        <v>3166</v>
      </c>
      <c r="AA55" s="35">
        <v>2011.0</v>
      </c>
      <c r="AB55" s="35">
        <v>2011.0</v>
      </c>
      <c r="AC55" s="35" t="s">
        <v>74</v>
      </c>
      <c r="AD55" s="35" t="s">
        <v>215</v>
      </c>
      <c r="AE55" s="35" t="s">
        <v>3167</v>
      </c>
      <c r="AF55" s="35" t="s">
        <v>69</v>
      </c>
      <c r="AG55" s="35" t="s">
        <v>129</v>
      </c>
      <c r="AH55" s="35" t="s">
        <v>129</v>
      </c>
      <c r="AI55" s="35" t="s">
        <v>57</v>
      </c>
      <c r="AJ55" s="35" t="s">
        <v>57</v>
      </c>
      <c r="AK55" s="35" t="s">
        <v>3168</v>
      </c>
      <c r="AL55" s="34"/>
      <c r="AM55" s="34" t="s">
        <v>1522</v>
      </c>
      <c r="AN55" s="103" t="s">
        <v>3169</v>
      </c>
      <c r="AO55" s="103" t="s">
        <v>201</v>
      </c>
      <c r="AP55" s="103" t="s">
        <v>3170</v>
      </c>
    </row>
    <row r="56">
      <c r="A56" s="102">
        <v>79.0</v>
      </c>
      <c r="B56" s="34">
        <v>8.79385907E8</v>
      </c>
      <c r="C56" s="34" t="s">
        <v>3171</v>
      </c>
      <c r="D56" s="34" t="s">
        <v>3172</v>
      </c>
      <c r="E56" s="35" t="s">
        <v>3173</v>
      </c>
      <c r="F56" s="43" t="s">
        <v>3174</v>
      </c>
      <c r="G56" s="35" t="s">
        <v>2389</v>
      </c>
      <c r="H56" s="43" t="s">
        <v>3175</v>
      </c>
      <c r="I56" s="35">
        <v>2014.0</v>
      </c>
      <c r="J56" s="35" t="s">
        <v>3176</v>
      </c>
      <c r="K56" s="35" t="s">
        <v>730</v>
      </c>
      <c r="L56" s="35" t="s">
        <v>3177</v>
      </c>
      <c r="M56" s="35" t="s">
        <v>57</v>
      </c>
      <c r="N56" s="35" t="s">
        <v>2389</v>
      </c>
      <c r="O56" s="35" t="s">
        <v>1484</v>
      </c>
      <c r="P56" s="35" t="s">
        <v>3178</v>
      </c>
      <c r="Q56" s="35" t="s">
        <v>93</v>
      </c>
      <c r="R56" s="35" t="s">
        <v>3179</v>
      </c>
      <c r="S56" s="35" t="s">
        <v>3180</v>
      </c>
      <c r="T56" s="35" t="s">
        <v>69</v>
      </c>
      <c r="U56" s="35" t="s">
        <v>3181</v>
      </c>
      <c r="V56" s="35" t="s">
        <v>2394</v>
      </c>
      <c r="W56" s="35" t="s">
        <v>3182</v>
      </c>
      <c r="X56" s="35" t="s">
        <v>3183</v>
      </c>
      <c r="Y56" s="35" t="s">
        <v>2397</v>
      </c>
      <c r="Z56" s="35" t="s">
        <v>3184</v>
      </c>
      <c r="AA56" s="35">
        <v>2006.0</v>
      </c>
      <c r="AB56" s="35">
        <v>2007.0</v>
      </c>
      <c r="AC56" s="35" t="s">
        <v>74</v>
      </c>
      <c r="AD56" s="35" t="s">
        <v>96</v>
      </c>
      <c r="AE56" s="35" t="s">
        <v>3185</v>
      </c>
      <c r="AF56" s="35" t="s">
        <v>74</v>
      </c>
      <c r="AG56" s="35" t="s">
        <v>57</v>
      </c>
      <c r="AH56" s="35" t="s">
        <v>57</v>
      </c>
      <c r="AI56" s="35" t="s">
        <v>57</v>
      </c>
      <c r="AJ56" s="35" t="s">
        <v>57</v>
      </c>
      <c r="AK56" s="35" t="s">
        <v>57</v>
      </c>
      <c r="AL56" s="34"/>
      <c r="AM56" s="34" t="s">
        <v>109</v>
      </c>
      <c r="AN56" s="103" t="s">
        <v>3186</v>
      </c>
      <c r="AO56" s="103" t="s">
        <v>201</v>
      </c>
      <c r="AP56" s="103" t="s">
        <v>3187</v>
      </c>
    </row>
    <row r="57">
      <c r="A57" s="102">
        <v>80.0</v>
      </c>
      <c r="B57" s="34">
        <v>8.7938591E8</v>
      </c>
      <c r="C57" s="34" t="s">
        <v>3188</v>
      </c>
      <c r="D57" s="34" t="s">
        <v>3189</v>
      </c>
      <c r="E57" s="35" t="s">
        <v>3190</v>
      </c>
      <c r="F57" s="35" t="s">
        <v>3191</v>
      </c>
      <c r="G57" s="35" t="s">
        <v>439</v>
      </c>
      <c r="H57" s="43" t="s">
        <v>3192</v>
      </c>
      <c r="I57" s="35">
        <v>2020.0</v>
      </c>
      <c r="J57" s="43" t="s">
        <v>2117</v>
      </c>
      <c r="K57" s="35" t="s">
        <v>730</v>
      </c>
      <c r="L57" s="35" t="s">
        <v>3087</v>
      </c>
      <c r="M57" s="35" t="s">
        <v>57</v>
      </c>
      <c r="N57" s="35" t="s">
        <v>439</v>
      </c>
      <c r="O57" s="35" t="s">
        <v>3193</v>
      </c>
      <c r="P57" s="35" t="s">
        <v>3194</v>
      </c>
      <c r="Q57" s="35" t="s">
        <v>93</v>
      </c>
      <c r="R57" s="35" t="s">
        <v>57</v>
      </c>
      <c r="S57" s="35" t="s">
        <v>57</v>
      </c>
      <c r="T57" s="35" t="s">
        <v>74</v>
      </c>
      <c r="U57" s="35" t="s">
        <v>57</v>
      </c>
      <c r="V57" s="35" t="s">
        <v>193</v>
      </c>
      <c r="W57" s="35" t="s">
        <v>536</v>
      </c>
      <c r="X57" s="35" t="s">
        <v>3195</v>
      </c>
      <c r="Y57" s="35" t="s">
        <v>2397</v>
      </c>
      <c r="Z57" s="35" t="s">
        <v>3196</v>
      </c>
      <c r="AA57" s="35" t="s">
        <v>57</v>
      </c>
      <c r="AB57" s="35" t="s">
        <v>57</v>
      </c>
      <c r="AC57" s="35" t="s">
        <v>74</v>
      </c>
      <c r="AD57" s="35" t="s">
        <v>96</v>
      </c>
      <c r="AE57" s="35" t="s">
        <v>3197</v>
      </c>
      <c r="AF57" s="35" t="s">
        <v>69</v>
      </c>
      <c r="AG57" s="35" t="s">
        <v>129</v>
      </c>
      <c r="AH57" s="35" t="s">
        <v>129</v>
      </c>
      <c r="AI57" s="35" t="s">
        <v>57</v>
      </c>
      <c r="AJ57" s="35" t="s">
        <v>57</v>
      </c>
      <c r="AK57" s="35" t="s">
        <v>3198</v>
      </c>
      <c r="AL57" s="34"/>
      <c r="AM57" s="34" t="s">
        <v>1522</v>
      </c>
      <c r="AN57" s="103" t="s">
        <v>3199</v>
      </c>
      <c r="AO57" s="103" t="s">
        <v>201</v>
      </c>
      <c r="AP57" s="103" t="s">
        <v>3200</v>
      </c>
    </row>
    <row r="58">
      <c r="A58" s="102">
        <v>81.0</v>
      </c>
      <c r="B58" s="34">
        <v>8.79385913E8</v>
      </c>
      <c r="C58" s="34" t="s">
        <v>3201</v>
      </c>
      <c r="D58" s="34" t="s">
        <v>873</v>
      </c>
      <c r="E58" s="35" t="s">
        <v>3202</v>
      </c>
      <c r="F58" s="43" t="s">
        <v>3203</v>
      </c>
      <c r="G58" s="35" t="s">
        <v>859</v>
      </c>
      <c r="H58" s="43" t="s">
        <v>3204</v>
      </c>
      <c r="I58" s="35">
        <v>2021.0</v>
      </c>
      <c r="J58" s="35" t="s">
        <v>3205</v>
      </c>
      <c r="K58" s="35" t="s">
        <v>730</v>
      </c>
      <c r="L58" s="35" t="s">
        <v>3206</v>
      </c>
      <c r="M58" s="35" t="s">
        <v>57</v>
      </c>
      <c r="N58" s="35" t="s">
        <v>859</v>
      </c>
      <c r="O58" s="35" t="s">
        <v>3207</v>
      </c>
      <c r="P58" s="35" t="s">
        <v>3208</v>
      </c>
      <c r="Q58" s="35" t="s">
        <v>93</v>
      </c>
      <c r="R58" s="35" t="s">
        <v>3209</v>
      </c>
      <c r="S58" s="35" t="s">
        <v>3210</v>
      </c>
      <c r="T58" s="35" t="s">
        <v>74</v>
      </c>
      <c r="U58" s="35" t="s">
        <v>57</v>
      </c>
      <c r="V58" s="35" t="s">
        <v>96</v>
      </c>
      <c r="W58" s="35" t="s">
        <v>536</v>
      </c>
      <c r="X58" s="35" t="s">
        <v>3211</v>
      </c>
      <c r="Y58" s="35" t="s">
        <v>2397</v>
      </c>
      <c r="Z58" s="35" t="s">
        <v>3212</v>
      </c>
      <c r="AA58" s="35">
        <v>2019.0</v>
      </c>
      <c r="AB58" s="35">
        <v>2019.0</v>
      </c>
      <c r="AC58" s="35" t="s">
        <v>74</v>
      </c>
      <c r="AD58" s="35" t="s">
        <v>215</v>
      </c>
      <c r="AE58" s="35" t="s">
        <v>3213</v>
      </c>
      <c r="AF58" s="35" t="s">
        <v>74</v>
      </c>
      <c r="AG58" s="35" t="s">
        <v>57</v>
      </c>
      <c r="AH58" s="35" t="s">
        <v>57</v>
      </c>
      <c r="AI58" s="35" t="s">
        <v>57</v>
      </c>
      <c r="AJ58" s="35" t="s">
        <v>57</v>
      </c>
      <c r="AK58" s="35" t="s">
        <v>57</v>
      </c>
      <c r="AL58" s="34"/>
      <c r="AM58" s="34" t="s">
        <v>109</v>
      </c>
      <c r="AN58" s="104"/>
      <c r="AO58" s="103" t="s">
        <v>1955</v>
      </c>
      <c r="AP58" s="104"/>
    </row>
    <row r="59">
      <c r="A59" s="102">
        <v>82.0</v>
      </c>
      <c r="B59" s="34">
        <v>8.79385934E8</v>
      </c>
      <c r="C59" s="34" t="s">
        <v>3214</v>
      </c>
      <c r="D59" s="34" t="s">
        <v>3215</v>
      </c>
      <c r="E59" s="35" t="s">
        <v>3216</v>
      </c>
      <c r="F59" s="43" t="s">
        <v>3217</v>
      </c>
      <c r="G59" s="35" t="s">
        <v>172</v>
      </c>
      <c r="H59" s="35" t="s">
        <v>3218</v>
      </c>
      <c r="I59" s="35">
        <v>2020.0</v>
      </c>
      <c r="J59" s="43" t="s">
        <v>3219</v>
      </c>
      <c r="K59" s="35" t="s">
        <v>730</v>
      </c>
      <c r="L59" s="35" t="s">
        <v>57</v>
      </c>
      <c r="M59" s="35" t="s">
        <v>3220</v>
      </c>
      <c r="N59" s="35" t="s">
        <v>172</v>
      </c>
      <c r="O59" s="35" t="s">
        <v>3221</v>
      </c>
      <c r="P59" s="35" t="s">
        <v>3222</v>
      </c>
      <c r="Q59" s="35" t="s">
        <v>93</v>
      </c>
      <c r="R59" s="35" t="s">
        <v>57</v>
      </c>
      <c r="S59" s="35" t="s">
        <v>57</v>
      </c>
      <c r="T59" s="35" t="s">
        <v>74</v>
      </c>
      <c r="U59" s="35" t="s">
        <v>57</v>
      </c>
      <c r="V59" s="35" t="s">
        <v>2394</v>
      </c>
      <c r="W59" s="35" t="s">
        <v>2886</v>
      </c>
      <c r="X59" s="35" t="s">
        <v>3223</v>
      </c>
      <c r="Y59" s="35" t="s">
        <v>2397</v>
      </c>
      <c r="Z59" s="35" t="s">
        <v>3224</v>
      </c>
      <c r="AA59" s="35">
        <v>2016.0</v>
      </c>
      <c r="AB59" s="35">
        <v>2016.0</v>
      </c>
      <c r="AC59" s="35" t="s">
        <v>74</v>
      </c>
      <c r="AD59" s="35" t="s">
        <v>96</v>
      </c>
      <c r="AE59" s="35" t="s">
        <v>3225</v>
      </c>
      <c r="AF59" s="35" t="s">
        <v>74</v>
      </c>
      <c r="AG59" s="35" t="s">
        <v>57</v>
      </c>
      <c r="AH59" s="35" t="s">
        <v>57</v>
      </c>
      <c r="AI59" s="35" t="s">
        <v>57</v>
      </c>
      <c r="AJ59" s="35" t="s">
        <v>57</v>
      </c>
      <c r="AK59" s="35" t="s">
        <v>57</v>
      </c>
      <c r="AL59" s="34"/>
      <c r="AM59" s="34" t="s">
        <v>1522</v>
      </c>
      <c r="AN59" s="103" t="s">
        <v>3226</v>
      </c>
      <c r="AO59" s="103" t="s">
        <v>201</v>
      </c>
      <c r="AP59" s="103" t="s">
        <v>3227</v>
      </c>
    </row>
    <row r="60">
      <c r="A60" s="102">
        <v>83.0</v>
      </c>
      <c r="B60" s="34">
        <v>8.79385935E8</v>
      </c>
      <c r="C60" s="34" t="s">
        <v>3228</v>
      </c>
      <c r="D60" s="34" t="s">
        <v>3229</v>
      </c>
      <c r="E60" s="35" t="s">
        <v>3230</v>
      </c>
      <c r="F60" s="43" t="s">
        <v>3231</v>
      </c>
      <c r="G60" s="35" t="s">
        <v>581</v>
      </c>
      <c r="H60" s="35" t="s">
        <v>3232</v>
      </c>
      <c r="I60" s="35">
        <v>2014.0</v>
      </c>
      <c r="J60" s="43" t="s">
        <v>3233</v>
      </c>
      <c r="K60" s="35" t="s">
        <v>730</v>
      </c>
      <c r="L60" s="35" t="s">
        <v>3234</v>
      </c>
      <c r="M60" s="35" t="s">
        <v>57</v>
      </c>
      <c r="N60" s="35" t="s">
        <v>581</v>
      </c>
      <c r="O60" s="35" t="s">
        <v>585</v>
      </c>
      <c r="P60" s="35" t="s">
        <v>3235</v>
      </c>
      <c r="Q60" s="35" t="s">
        <v>554</v>
      </c>
      <c r="R60" s="35" t="s">
        <v>3236</v>
      </c>
      <c r="S60" s="43" t="s">
        <v>3237</v>
      </c>
      <c r="T60" s="35" t="s">
        <v>69</v>
      </c>
      <c r="U60" s="35" t="s">
        <v>3238</v>
      </c>
      <c r="V60" s="35" t="s">
        <v>96</v>
      </c>
      <c r="W60" s="35" t="s">
        <v>1579</v>
      </c>
      <c r="X60" s="35" t="s">
        <v>3239</v>
      </c>
      <c r="Y60" s="35" t="s">
        <v>3165</v>
      </c>
      <c r="Z60" s="35" t="s">
        <v>3240</v>
      </c>
      <c r="AA60" s="35">
        <v>2010.0</v>
      </c>
      <c r="AB60" s="35">
        <v>2010.0</v>
      </c>
      <c r="AC60" s="35" t="s">
        <v>69</v>
      </c>
      <c r="AD60" s="35" t="s">
        <v>215</v>
      </c>
      <c r="AE60" s="35" t="s">
        <v>3241</v>
      </c>
      <c r="AF60" s="35" t="s">
        <v>69</v>
      </c>
      <c r="AG60" s="35" t="s">
        <v>129</v>
      </c>
      <c r="AH60" s="35" t="s">
        <v>129</v>
      </c>
      <c r="AI60" s="35" t="s">
        <v>57</v>
      </c>
      <c r="AJ60" s="35" t="s">
        <v>57</v>
      </c>
      <c r="AK60" s="35" t="s">
        <v>3242</v>
      </c>
      <c r="AL60" s="34" t="s">
        <v>3243</v>
      </c>
      <c r="AM60" s="34" t="s">
        <v>1522</v>
      </c>
      <c r="AN60" s="103" t="s">
        <v>3244</v>
      </c>
      <c r="AO60" s="103" t="s">
        <v>201</v>
      </c>
      <c r="AP60" s="103" t="s">
        <v>3245</v>
      </c>
    </row>
    <row r="61">
      <c r="A61" s="102">
        <v>84.0</v>
      </c>
      <c r="B61" s="34">
        <v>8.79385928E8</v>
      </c>
      <c r="C61" s="34" t="s">
        <v>3246</v>
      </c>
      <c r="D61" s="34" t="s">
        <v>3247</v>
      </c>
      <c r="E61" s="35" t="s">
        <v>3248</v>
      </c>
      <c r="F61" s="43" t="s">
        <v>3249</v>
      </c>
      <c r="G61" s="35" t="s">
        <v>172</v>
      </c>
      <c r="H61" s="43" t="s">
        <v>3250</v>
      </c>
      <c r="I61" s="35">
        <v>2020.0</v>
      </c>
      <c r="J61" s="43" t="s">
        <v>1347</v>
      </c>
      <c r="K61" s="35" t="s">
        <v>730</v>
      </c>
      <c r="L61" s="35" t="s">
        <v>3251</v>
      </c>
      <c r="M61" s="35" t="s">
        <v>57</v>
      </c>
      <c r="N61" s="35" t="s">
        <v>172</v>
      </c>
      <c r="O61" s="35" t="s">
        <v>3252</v>
      </c>
      <c r="P61" s="35" t="s">
        <v>3253</v>
      </c>
      <c r="Q61" s="35" t="s">
        <v>93</v>
      </c>
      <c r="R61" s="35" t="s">
        <v>57</v>
      </c>
      <c r="S61" s="35" t="s">
        <v>57</v>
      </c>
      <c r="T61" s="35" t="s">
        <v>74</v>
      </c>
      <c r="U61" s="35" t="s">
        <v>57</v>
      </c>
      <c r="V61" s="35" t="s">
        <v>2394</v>
      </c>
      <c r="W61" s="35" t="s">
        <v>161</v>
      </c>
      <c r="X61" s="35" t="s">
        <v>3254</v>
      </c>
      <c r="Y61" s="35" t="s">
        <v>2397</v>
      </c>
      <c r="Z61" s="35" t="s">
        <v>3255</v>
      </c>
      <c r="AA61" s="35">
        <v>2018.0</v>
      </c>
      <c r="AB61" s="35">
        <v>2018.0</v>
      </c>
      <c r="AC61" s="35" t="s">
        <v>69</v>
      </c>
      <c r="AD61" s="35" t="s">
        <v>215</v>
      </c>
      <c r="AE61" s="35" t="s">
        <v>3256</v>
      </c>
      <c r="AF61" s="35" t="s">
        <v>74</v>
      </c>
      <c r="AG61" s="35" t="s">
        <v>57</v>
      </c>
      <c r="AH61" s="35" t="s">
        <v>57</v>
      </c>
      <c r="AI61" s="35" t="s">
        <v>57</v>
      </c>
      <c r="AJ61" s="35" t="s">
        <v>57</v>
      </c>
      <c r="AK61" s="35" t="s">
        <v>57</v>
      </c>
      <c r="AL61" s="34"/>
      <c r="AM61" s="34" t="s">
        <v>1522</v>
      </c>
      <c r="AN61" s="103" t="s">
        <v>3257</v>
      </c>
      <c r="AO61" s="103" t="s">
        <v>201</v>
      </c>
      <c r="AP61" s="104"/>
    </row>
    <row r="62">
      <c r="A62" s="102">
        <v>86.0</v>
      </c>
      <c r="B62" s="34">
        <v>8.79385959E8</v>
      </c>
      <c r="C62" s="34" t="s">
        <v>3258</v>
      </c>
      <c r="D62" s="34" t="s">
        <v>3259</v>
      </c>
      <c r="E62" s="35" t="s">
        <v>3260</v>
      </c>
      <c r="F62" s="43" t="s">
        <v>3261</v>
      </c>
      <c r="G62" s="35" t="s">
        <v>172</v>
      </c>
      <c r="H62" s="43" t="s">
        <v>3262</v>
      </c>
      <c r="I62" s="35">
        <v>2013.0</v>
      </c>
      <c r="J62" s="43" t="s">
        <v>295</v>
      </c>
      <c r="K62" s="35" t="s">
        <v>730</v>
      </c>
      <c r="L62" s="35" t="s">
        <v>3263</v>
      </c>
      <c r="M62" s="35" t="s">
        <v>57</v>
      </c>
      <c r="N62" s="35" t="s">
        <v>172</v>
      </c>
      <c r="O62" s="35" t="s">
        <v>3264</v>
      </c>
      <c r="P62" s="35" t="s">
        <v>3265</v>
      </c>
      <c r="Q62" s="35" t="s">
        <v>93</v>
      </c>
      <c r="R62" s="35" t="s">
        <v>3266</v>
      </c>
      <c r="S62" s="35" t="s">
        <v>3267</v>
      </c>
      <c r="T62" s="35" t="s">
        <v>74</v>
      </c>
      <c r="U62" s="35" t="s">
        <v>57</v>
      </c>
      <c r="V62" s="35" t="s">
        <v>2394</v>
      </c>
      <c r="W62" s="35" t="s">
        <v>3268</v>
      </c>
      <c r="X62" s="35" t="s">
        <v>3269</v>
      </c>
      <c r="Y62" s="35" t="s">
        <v>2380</v>
      </c>
      <c r="Z62" s="35" t="s">
        <v>3270</v>
      </c>
      <c r="AA62" s="35">
        <v>2005.0</v>
      </c>
      <c r="AB62" s="35">
        <v>2005.0</v>
      </c>
      <c r="AC62" s="35" t="s">
        <v>74</v>
      </c>
      <c r="AD62" s="35" t="s">
        <v>96</v>
      </c>
      <c r="AE62" s="35" t="s">
        <v>3271</v>
      </c>
      <c r="AF62" s="35" t="s">
        <v>74</v>
      </c>
      <c r="AG62" s="35" t="s">
        <v>57</v>
      </c>
      <c r="AH62" s="35" t="s">
        <v>57</v>
      </c>
      <c r="AI62" s="35" t="s">
        <v>57</v>
      </c>
      <c r="AJ62" s="35" t="s">
        <v>57</v>
      </c>
      <c r="AK62" s="35" t="s">
        <v>57</v>
      </c>
      <c r="AL62" s="34"/>
      <c r="AM62" s="34" t="s">
        <v>1522</v>
      </c>
      <c r="AN62" s="103" t="s">
        <v>3272</v>
      </c>
      <c r="AO62" s="103" t="s">
        <v>201</v>
      </c>
      <c r="AP62" s="103" t="s">
        <v>3273</v>
      </c>
    </row>
    <row r="63">
      <c r="A63" s="102">
        <v>89.0</v>
      </c>
      <c r="B63" s="34">
        <v>8.79385998E8</v>
      </c>
      <c r="C63" s="34" t="s">
        <v>3274</v>
      </c>
      <c r="D63" s="34" t="s">
        <v>3275</v>
      </c>
      <c r="E63" s="35" t="s">
        <v>3276</v>
      </c>
      <c r="F63" s="35" t="s">
        <v>3277</v>
      </c>
      <c r="G63" s="35" t="s">
        <v>87</v>
      </c>
      <c r="H63" s="43" t="s">
        <v>3278</v>
      </c>
      <c r="I63" s="35">
        <v>2022.0</v>
      </c>
      <c r="J63" s="43" t="s">
        <v>1347</v>
      </c>
      <c r="K63" s="35" t="s">
        <v>730</v>
      </c>
      <c r="L63" s="35" t="s">
        <v>3279</v>
      </c>
      <c r="M63" s="35" t="s">
        <v>57</v>
      </c>
      <c r="N63" s="35" t="s">
        <v>87</v>
      </c>
      <c r="O63" s="35" t="s">
        <v>91</v>
      </c>
      <c r="P63" s="35" t="s">
        <v>3280</v>
      </c>
      <c r="Q63" s="35" t="s">
        <v>93</v>
      </c>
      <c r="R63" s="43" t="s">
        <v>3281</v>
      </c>
      <c r="S63" s="43" t="s">
        <v>3282</v>
      </c>
      <c r="T63" s="35" t="s">
        <v>74</v>
      </c>
      <c r="U63" s="35" t="s">
        <v>57</v>
      </c>
      <c r="V63" s="35" t="s">
        <v>2394</v>
      </c>
      <c r="W63" s="35" t="s">
        <v>2634</v>
      </c>
      <c r="X63" s="35" t="s">
        <v>3283</v>
      </c>
      <c r="Y63" s="35" t="s">
        <v>2397</v>
      </c>
      <c r="Z63" s="35" t="s">
        <v>3284</v>
      </c>
      <c r="AA63" s="35">
        <v>2019.0</v>
      </c>
      <c r="AB63" s="35">
        <v>2019.0</v>
      </c>
      <c r="AC63" s="35" t="s">
        <v>74</v>
      </c>
      <c r="AD63" s="35" t="s">
        <v>215</v>
      </c>
      <c r="AE63" s="35" t="s">
        <v>3285</v>
      </c>
      <c r="AF63" s="35" t="s">
        <v>69</v>
      </c>
      <c r="AG63" s="35" t="s">
        <v>129</v>
      </c>
      <c r="AH63" s="35" t="s">
        <v>129</v>
      </c>
      <c r="AI63" s="35" t="s">
        <v>57</v>
      </c>
      <c r="AJ63" s="35" t="s">
        <v>57</v>
      </c>
      <c r="AK63" s="35" t="s">
        <v>3286</v>
      </c>
      <c r="AL63" s="34"/>
      <c r="AM63" s="34" t="s">
        <v>1522</v>
      </c>
      <c r="AN63" s="113" t="s">
        <v>3287</v>
      </c>
      <c r="AO63" s="113" t="s">
        <v>201</v>
      </c>
      <c r="AP63" s="113" t="s">
        <v>3288</v>
      </c>
    </row>
    <row r="64">
      <c r="A64" s="102">
        <v>90.0</v>
      </c>
      <c r="B64" s="34">
        <v>8.79386019E8</v>
      </c>
      <c r="C64" s="34" t="s">
        <v>3289</v>
      </c>
      <c r="D64" s="34" t="s">
        <v>3290</v>
      </c>
      <c r="E64" s="35" t="s">
        <v>3291</v>
      </c>
      <c r="F64" s="43" t="s">
        <v>3292</v>
      </c>
      <c r="G64" s="35" t="s">
        <v>2389</v>
      </c>
      <c r="H64" s="43" t="s">
        <v>3293</v>
      </c>
      <c r="I64" s="35">
        <v>2016.0</v>
      </c>
      <c r="J64" s="43" t="s">
        <v>2117</v>
      </c>
      <c r="K64" s="35" t="s">
        <v>730</v>
      </c>
      <c r="L64" s="35" t="s">
        <v>3294</v>
      </c>
      <c r="M64" s="35" t="s">
        <v>57</v>
      </c>
      <c r="N64" s="35" t="s">
        <v>2389</v>
      </c>
      <c r="O64" s="35" t="s">
        <v>258</v>
      </c>
      <c r="P64" s="35" t="s">
        <v>3295</v>
      </c>
      <c r="Q64" s="35" t="s">
        <v>93</v>
      </c>
      <c r="R64" s="35" t="s">
        <v>3296</v>
      </c>
      <c r="S64" s="35" t="s">
        <v>3297</v>
      </c>
      <c r="T64" s="35" t="s">
        <v>69</v>
      </c>
      <c r="U64" s="35" t="s">
        <v>3298</v>
      </c>
      <c r="V64" s="35" t="s">
        <v>96</v>
      </c>
      <c r="W64" s="35" t="s">
        <v>3299</v>
      </c>
      <c r="X64" s="35" t="s">
        <v>3300</v>
      </c>
      <c r="Y64" s="35" t="s">
        <v>3301</v>
      </c>
      <c r="Z64" s="35" t="s">
        <v>3302</v>
      </c>
      <c r="AA64" s="35">
        <v>2014.0</v>
      </c>
      <c r="AB64" s="35">
        <v>2015.0</v>
      </c>
      <c r="AC64" s="35" t="s">
        <v>74</v>
      </c>
      <c r="AD64" s="35" t="s">
        <v>215</v>
      </c>
      <c r="AE64" s="35" t="s">
        <v>3303</v>
      </c>
      <c r="AF64" s="35" t="s">
        <v>69</v>
      </c>
      <c r="AG64" s="35" t="s">
        <v>129</v>
      </c>
      <c r="AH64" s="35" t="s">
        <v>129</v>
      </c>
      <c r="AI64" s="35" t="s">
        <v>57</v>
      </c>
      <c r="AJ64" s="35" t="s">
        <v>57</v>
      </c>
      <c r="AK64" s="35" t="s">
        <v>3304</v>
      </c>
      <c r="AL64" s="34" t="s">
        <v>2556</v>
      </c>
      <c r="AM64" s="34" t="s">
        <v>1522</v>
      </c>
      <c r="AN64" s="113" t="s">
        <v>3305</v>
      </c>
      <c r="AO64" s="113" t="s">
        <v>201</v>
      </c>
      <c r="AP64" s="113" t="s">
        <v>3306</v>
      </c>
    </row>
    <row r="65">
      <c r="A65" s="102">
        <v>91.0</v>
      </c>
      <c r="B65" s="34">
        <v>8.7938604E8</v>
      </c>
      <c r="C65" s="34" t="s">
        <v>3307</v>
      </c>
      <c r="D65" s="34" t="s">
        <v>3308</v>
      </c>
      <c r="E65" s="35" t="s">
        <v>3309</v>
      </c>
      <c r="F65" s="43" t="s">
        <v>3310</v>
      </c>
      <c r="G65" s="35" t="s">
        <v>3311</v>
      </c>
      <c r="H65" s="43" t="s">
        <v>3312</v>
      </c>
      <c r="I65" s="35">
        <v>2018.0</v>
      </c>
      <c r="J65" s="43" t="s">
        <v>3313</v>
      </c>
      <c r="K65" s="35" t="s">
        <v>730</v>
      </c>
      <c r="L65" s="35" t="s">
        <v>3314</v>
      </c>
      <c r="M65" s="35" t="s">
        <v>57</v>
      </c>
      <c r="N65" s="35" t="s">
        <v>3311</v>
      </c>
      <c r="O65" s="35" t="s">
        <v>3315</v>
      </c>
      <c r="P65" s="35" t="s">
        <v>3316</v>
      </c>
      <c r="Q65" s="35" t="s">
        <v>93</v>
      </c>
      <c r="R65" s="35" t="s">
        <v>57</v>
      </c>
      <c r="S65" s="43" t="s">
        <v>57</v>
      </c>
      <c r="T65" s="35" t="s">
        <v>74</v>
      </c>
      <c r="U65" s="35" t="s">
        <v>57</v>
      </c>
      <c r="V65" s="35" t="s">
        <v>2394</v>
      </c>
      <c r="W65" s="35" t="s">
        <v>161</v>
      </c>
      <c r="X65" s="35" t="s">
        <v>3317</v>
      </c>
      <c r="Y65" s="35" t="s">
        <v>2397</v>
      </c>
      <c r="Z65" s="35" t="s">
        <v>3318</v>
      </c>
      <c r="AA65" s="35">
        <v>2014.0</v>
      </c>
      <c r="AB65" s="35">
        <v>2017.0</v>
      </c>
      <c r="AC65" s="35" t="s">
        <v>74</v>
      </c>
      <c r="AD65" s="35" t="s">
        <v>96</v>
      </c>
      <c r="AE65" s="35" t="s">
        <v>3319</v>
      </c>
      <c r="AF65" s="35" t="s">
        <v>74</v>
      </c>
      <c r="AG65" s="35" t="s">
        <v>57</v>
      </c>
      <c r="AH65" s="35" t="s">
        <v>57</v>
      </c>
      <c r="AI65" s="35" t="s">
        <v>57</v>
      </c>
      <c r="AJ65" s="35" t="s">
        <v>57</v>
      </c>
      <c r="AK65" s="35" t="s">
        <v>57</v>
      </c>
      <c r="AL65" s="34"/>
      <c r="AM65" s="34" t="s">
        <v>1522</v>
      </c>
      <c r="AN65" s="113" t="s">
        <v>3320</v>
      </c>
      <c r="AO65" s="113" t="s">
        <v>201</v>
      </c>
      <c r="AP65" s="113" t="s">
        <v>3321</v>
      </c>
    </row>
    <row r="66">
      <c r="A66" s="102">
        <v>92.0</v>
      </c>
      <c r="B66" s="34">
        <v>8.79386074E8</v>
      </c>
      <c r="C66" s="34" t="s">
        <v>3322</v>
      </c>
      <c r="D66" s="34" t="s">
        <v>3323</v>
      </c>
      <c r="E66" s="35" t="s">
        <v>3324</v>
      </c>
      <c r="F66" s="43" t="s">
        <v>3325</v>
      </c>
      <c r="G66" s="35" t="s">
        <v>172</v>
      </c>
      <c r="H66" s="43" t="s">
        <v>3326</v>
      </c>
      <c r="I66" s="35">
        <v>2016.0</v>
      </c>
      <c r="J66" s="43" t="s">
        <v>796</v>
      </c>
      <c r="K66" s="35" t="s">
        <v>730</v>
      </c>
      <c r="L66" s="35" t="s">
        <v>3327</v>
      </c>
      <c r="M66" s="35" t="s">
        <v>57</v>
      </c>
      <c r="N66" s="35" t="s">
        <v>172</v>
      </c>
      <c r="O66" s="35" t="s">
        <v>2376</v>
      </c>
      <c r="P66" s="35" t="s">
        <v>3328</v>
      </c>
      <c r="Q66" s="35" t="s">
        <v>93</v>
      </c>
      <c r="R66" s="35" t="s">
        <v>3329</v>
      </c>
      <c r="S66" s="35" t="s">
        <v>3330</v>
      </c>
      <c r="T66" s="35" t="s">
        <v>74</v>
      </c>
      <c r="U66" s="35" t="s">
        <v>57</v>
      </c>
      <c r="V66" s="35" t="s">
        <v>96</v>
      </c>
      <c r="W66" s="35" t="s">
        <v>2989</v>
      </c>
      <c r="X66" s="35" t="s">
        <v>3331</v>
      </c>
      <c r="Y66" s="35" t="s">
        <v>2397</v>
      </c>
      <c r="Z66" s="35" t="s">
        <v>3332</v>
      </c>
      <c r="AA66" s="35">
        <v>1995.0</v>
      </c>
      <c r="AB66" s="35">
        <v>2014.0</v>
      </c>
      <c r="AC66" s="35" t="s">
        <v>74</v>
      </c>
      <c r="AD66" s="35" t="s">
        <v>96</v>
      </c>
      <c r="AE66" s="35" t="s">
        <v>3333</v>
      </c>
      <c r="AF66" s="35" t="s">
        <v>69</v>
      </c>
      <c r="AG66" s="35" t="s">
        <v>129</v>
      </c>
      <c r="AH66" s="35" t="s">
        <v>129</v>
      </c>
      <c r="AI66" s="35" t="s">
        <v>57</v>
      </c>
      <c r="AJ66" s="35" t="s">
        <v>57</v>
      </c>
      <c r="AK66" s="35" t="s">
        <v>3334</v>
      </c>
      <c r="AL66" s="34" t="s">
        <v>2556</v>
      </c>
      <c r="AM66" s="34" t="s">
        <v>1522</v>
      </c>
      <c r="AN66" s="113" t="s">
        <v>3335</v>
      </c>
      <c r="AO66" s="113" t="s">
        <v>201</v>
      </c>
      <c r="AP66" s="113" t="s">
        <v>3336</v>
      </c>
    </row>
    <row r="67">
      <c r="A67" s="102">
        <v>93.0</v>
      </c>
      <c r="B67" s="34">
        <v>8.79386077E8</v>
      </c>
      <c r="C67" s="34" t="s">
        <v>3337</v>
      </c>
      <c r="D67" s="34" t="s">
        <v>3338</v>
      </c>
      <c r="E67" s="35" t="s">
        <v>3339</v>
      </c>
      <c r="F67" s="43" t="s">
        <v>3340</v>
      </c>
      <c r="G67" s="35" t="s">
        <v>2389</v>
      </c>
      <c r="H67" s="43" t="s">
        <v>3341</v>
      </c>
      <c r="I67" s="35">
        <v>2018.0</v>
      </c>
      <c r="J67" s="43" t="s">
        <v>1347</v>
      </c>
      <c r="K67" s="35" t="s">
        <v>730</v>
      </c>
      <c r="L67" s="35" t="s">
        <v>3342</v>
      </c>
      <c r="M67" s="35" t="s">
        <v>57</v>
      </c>
      <c r="N67" s="35" t="s">
        <v>2389</v>
      </c>
      <c r="O67" s="35" t="s">
        <v>2010</v>
      </c>
      <c r="P67" s="35" t="s">
        <v>3343</v>
      </c>
      <c r="Q67" s="35" t="s">
        <v>93</v>
      </c>
      <c r="R67" s="35" t="s">
        <v>57</v>
      </c>
      <c r="S67" s="35" t="s">
        <v>57</v>
      </c>
      <c r="T67" s="35" t="s">
        <v>74</v>
      </c>
      <c r="U67" s="35" t="s">
        <v>57</v>
      </c>
      <c r="V67" s="35" t="s">
        <v>2394</v>
      </c>
      <c r="W67" s="35" t="s">
        <v>3344</v>
      </c>
      <c r="X67" s="35" t="s">
        <v>3345</v>
      </c>
      <c r="Y67" s="35" t="s">
        <v>2397</v>
      </c>
      <c r="Z67" s="35" t="s">
        <v>3346</v>
      </c>
      <c r="AA67" s="35">
        <v>2016.0</v>
      </c>
      <c r="AB67" s="35">
        <v>2016.0</v>
      </c>
      <c r="AC67" s="35" t="s">
        <v>74</v>
      </c>
      <c r="AD67" s="35" t="s">
        <v>96</v>
      </c>
      <c r="AE67" s="35" t="s">
        <v>3347</v>
      </c>
      <c r="AF67" s="35" t="s">
        <v>69</v>
      </c>
      <c r="AG67" s="35" t="s">
        <v>129</v>
      </c>
      <c r="AH67" s="35" t="s">
        <v>129</v>
      </c>
      <c r="AI67" s="35" t="s">
        <v>57</v>
      </c>
      <c r="AJ67" s="35" t="s">
        <v>57</v>
      </c>
      <c r="AK67" s="35" t="s">
        <v>3348</v>
      </c>
      <c r="AL67" s="34" t="s">
        <v>2556</v>
      </c>
      <c r="AM67" s="34" t="s">
        <v>1522</v>
      </c>
      <c r="AN67" s="113" t="s">
        <v>3349</v>
      </c>
      <c r="AO67" s="113" t="s">
        <v>201</v>
      </c>
      <c r="AP67" s="113" t="s">
        <v>3350</v>
      </c>
    </row>
    <row r="68">
      <c r="A68" s="102">
        <v>95.0</v>
      </c>
      <c r="B68" s="34">
        <v>8.79386082E8</v>
      </c>
      <c r="C68" s="34" t="s">
        <v>3351</v>
      </c>
      <c r="D68" s="34" t="s">
        <v>3352</v>
      </c>
      <c r="E68" s="35" t="s">
        <v>3353</v>
      </c>
      <c r="F68" s="43" t="s">
        <v>3354</v>
      </c>
      <c r="G68" s="35" t="s">
        <v>639</v>
      </c>
      <c r="H68" s="43" t="s">
        <v>3355</v>
      </c>
      <c r="I68" s="35">
        <v>2012.0</v>
      </c>
      <c r="J68" s="43" t="s">
        <v>3356</v>
      </c>
      <c r="K68" s="35" t="s">
        <v>730</v>
      </c>
      <c r="L68" s="35" t="s">
        <v>3357</v>
      </c>
      <c r="M68" s="35" t="s">
        <v>57</v>
      </c>
      <c r="N68" s="35" t="s">
        <v>639</v>
      </c>
      <c r="O68" s="35" t="s">
        <v>57</v>
      </c>
      <c r="P68" s="35" t="s">
        <v>3358</v>
      </c>
      <c r="Q68" s="35" t="s">
        <v>93</v>
      </c>
      <c r="R68" s="35" t="s">
        <v>57</v>
      </c>
      <c r="S68" s="35" t="s">
        <v>57</v>
      </c>
      <c r="T68" s="35" t="s">
        <v>69</v>
      </c>
      <c r="U68" s="35" t="s">
        <v>3359</v>
      </c>
      <c r="V68" s="35" t="s">
        <v>2394</v>
      </c>
      <c r="W68" s="35" t="s">
        <v>3360</v>
      </c>
      <c r="X68" s="35" t="s">
        <v>3361</v>
      </c>
      <c r="Y68" s="35" t="s">
        <v>2380</v>
      </c>
      <c r="Z68" s="35" t="s">
        <v>3362</v>
      </c>
      <c r="AA68" s="35" t="s">
        <v>57</v>
      </c>
      <c r="AB68" s="35" t="s">
        <v>57</v>
      </c>
      <c r="AC68" s="35" t="s">
        <v>74</v>
      </c>
      <c r="AD68" s="35" t="s">
        <v>215</v>
      </c>
      <c r="AE68" s="35" t="s">
        <v>3363</v>
      </c>
      <c r="AF68" s="35" t="s">
        <v>74</v>
      </c>
      <c r="AG68" s="35" t="s">
        <v>57</v>
      </c>
      <c r="AH68" s="35" t="s">
        <v>57</v>
      </c>
      <c r="AI68" s="35" t="s">
        <v>57</v>
      </c>
      <c r="AJ68" s="35" t="s">
        <v>57</v>
      </c>
      <c r="AK68" s="35" t="s">
        <v>57</v>
      </c>
      <c r="AL68" s="34"/>
      <c r="AM68" s="34" t="s">
        <v>1522</v>
      </c>
      <c r="AN68" s="113" t="s">
        <v>3364</v>
      </c>
      <c r="AO68" s="113" t="s">
        <v>201</v>
      </c>
      <c r="AP68" s="113" t="s">
        <v>3365</v>
      </c>
    </row>
    <row r="69">
      <c r="A69" s="106">
        <v>97.0</v>
      </c>
      <c r="B69" s="15">
        <v>8.79386134E8</v>
      </c>
      <c r="C69" s="15" t="s">
        <v>3366</v>
      </c>
      <c r="D69" s="15" t="s">
        <v>3367</v>
      </c>
      <c r="E69" s="16" t="s">
        <v>3368</v>
      </c>
      <c r="F69" s="16" t="s">
        <v>3369</v>
      </c>
      <c r="G69" s="16" t="s">
        <v>396</v>
      </c>
      <c r="H69" s="16" t="s">
        <v>3370</v>
      </c>
      <c r="I69" s="16">
        <v>2011.0</v>
      </c>
      <c r="J69" s="16" t="s">
        <v>1798</v>
      </c>
      <c r="K69" s="16" t="s">
        <v>730</v>
      </c>
      <c r="L69" s="16" t="s">
        <v>57</v>
      </c>
      <c r="M69" s="16" t="s">
        <v>57</v>
      </c>
      <c r="N69" s="16" t="s">
        <v>396</v>
      </c>
      <c r="O69" s="16" t="s">
        <v>3061</v>
      </c>
      <c r="P69" s="16" t="s">
        <v>3371</v>
      </c>
      <c r="Q69" s="16" t="s">
        <v>93</v>
      </c>
      <c r="R69" s="16" t="s">
        <v>3063</v>
      </c>
      <c r="S69" s="16" t="s">
        <v>3064</v>
      </c>
      <c r="T69" s="16" t="s">
        <v>74</v>
      </c>
      <c r="U69" s="16" t="s">
        <v>57</v>
      </c>
      <c r="V69" s="16" t="s">
        <v>2394</v>
      </c>
      <c r="W69" s="16" t="s">
        <v>3372</v>
      </c>
      <c r="X69" s="16" t="s">
        <v>3373</v>
      </c>
      <c r="Y69" s="16" t="s">
        <v>2397</v>
      </c>
      <c r="Z69" s="16" t="s">
        <v>3374</v>
      </c>
      <c r="AA69" s="16">
        <v>2009.0</v>
      </c>
      <c r="AB69" s="16">
        <v>2009.0</v>
      </c>
      <c r="AC69" s="16" t="s">
        <v>74</v>
      </c>
      <c r="AD69" s="16" t="s">
        <v>96</v>
      </c>
      <c r="AE69" s="16" t="s">
        <v>3375</v>
      </c>
      <c r="AF69" s="16" t="s">
        <v>69</v>
      </c>
      <c r="AG69" s="16" t="s">
        <v>1791</v>
      </c>
      <c r="AH69" s="16" t="s">
        <v>129</v>
      </c>
      <c r="AI69" s="16" t="s">
        <v>2067</v>
      </c>
      <c r="AJ69" s="16" t="s">
        <v>57</v>
      </c>
      <c r="AK69" s="16" t="s">
        <v>3376</v>
      </c>
      <c r="AL69" s="15"/>
      <c r="AM69" s="15" t="s">
        <v>1522</v>
      </c>
      <c r="AN69" s="107" t="s">
        <v>3377</v>
      </c>
      <c r="AO69" s="107" t="s">
        <v>1955</v>
      </c>
      <c r="AP69" s="107" t="s">
        <v>3378</v>
      </c>
    </row>
    <row r="70">
      <c r="A70" s="102">
        <v>98.0</v>
      </c>
      <c r="B70" s="34">
        <v>8.79386137E8</v>
      </c>
      <c r="C70" s="34" t="s">
        <v>3379</v>
      </c>
      <c r="D70" s="34" t="s">
        <v>3380</v>
      </c>
      <c r="E70" s="35" t="s">
        <v>3381</v>
      </c>
      <c r="F70" s="43" t="s">
        <v>3382</v>
      </c>
      <c r="G70" s="35" t="s">
        <v>1224</v>
      </c>
      <c r="H70" s="43" t="s">
        <v>3383</v>
      </c>
      <c r="I70" s="35">
        <v>2020.0</v>
      </c>
      <c r="J70" s="43" t="s">
        <v>3384</v>
      </c>
      <c r="K70" s="35" t="s">
        <v>730</v>
      </c>
      <c r="L70" s="35" t="s">
        <v>2826</v>
      </c>
      <c r="M70" s="35" t="s">
        <v>57</v>
      </c>
      <c r="N70" s="35" t="s">
        <v>1224</v>
      </c>
      <c r="O70" s="35" t="s">
        <v>2827</v>
      </c>
      <c r="P70" s="35" t="s">
        <v>3385</v>
      </c>
      <c r="Q70" s="35" t="s">
        <v>93</v>
      </c>
      <c r="R70" s="35" t="s">
        <v>3386</v>
      </c>
      <c r="S70" s="35" t="s">
        <v>3387</v>
      </c>
      <c r="T70" s="35" t="s">
        <v>74</v>
      </c>
      <c r="U70" s="35" t="s">
        <v>57</v>
      </c>
      <c r="V70" s="35" t="s">
        <v>2394</v>
      </c>
      <c r="W70" s="35" t="s">
        <v>3388</v>
      </c>
      <c r="X70" s="35" t="s">
        <v>3389</v>
      </c>
      <c r="Y70" s="35" t="s">
        <v>2397</v>
      </c>
      <c r="Z70" s="35" t="s">
        <v>3390</v>
      </c>
      <c r="AA70" s="35" t="s">
        <v>57</v>
      </c>
      <c r="AB70" s="35" t="s">
        <v>57</v>
      </c>
      <c r="AC70" s="35" t="s">
        <v>74</v>
      </c>
      <c r="AD70" s="35" t="s">
        <v>215</v>
      </c>
      <c r="AE70" s="35" t="s">
        <v>3391</v>
      </c>
      <c r="AF70" s="35" t="s">
        <v>69</v>
      </c>
      <c r="AG70" s="35" t="s">
        <v>129</v>
      </c>
      <c r="AH70" s="35" t="s">
        <v>129</v>
      </c>
      <c r="AI70" s="35" t="s">
        <v>57</v>
      </c>
      <c r="AJ70" s="35" t="s">
        <v>57</v>
      </c>
      <c r="AK70" s="35" t="s">
        <v>3392</v>
      </c>
      <c r="AL70" s="34"/>
      <c r="AM70" s="34" t="s">
        <v>1522</v>
      </c>
      <c r="AN70" s="113" t="s">
        <v>3393</v>
      </c>
      <c r="AO70" s="113" t="s">
        <v>201</v>
      </c>
      <c r="AP70" s="113" t="s">
        <v>3394</v>
      </c>
    </row>
    <row r="71">
      <c r="A71" s="102">
        <v>100.0</v>
      </c>
      <c r="B71" s="34">
        <v>8.79386168E8</v>
      </c>
      <c r="C71" s="34" t="s">
        <v>3395</v>
      </c>
      <c r="D71" s="34" t="s">
        <v>3396</v>
      </c>
      <c r="E71" s="35" t="s">
        <v>3397</v>
      </c>
      <c r="F71" s="35" t="s">
        <v>3398</v>
      </c>
      <c r="G71" s="35" t="s">
        <v>293</v>
      </c>
      <c r="H71" s="35" t="s">
        <v>3399</v>
      </c>
      <c r="I71" s="35">
        <v>2020.0</v>
      </c>
      <c r="J71" s="35" t="s">
        <v>796</v>
      </c>
      <c r="K71" s="35" t="s">
        <v>730</v>
      </c>
      <c r="L71" s="35" t="s">
        <v>3400</v>
      </c>
      <c r="M71" s="35" t="s">
        <v>57</v>
      </c>
      <c r="N71" s="35" t="s">
        <v>293</v>
      </c>
      <c r="O71" s="35" t="s">
        <v>2577</v>
      </c>
      <c r="P71" s="35" t="s">
        <v>3401</v>
      </c>
      <c r="Q71" s="35" t="s">
        <v>93</v>
      </c>
      <c r="R71" s="35" t="s">
        <v>3402</v>
      </c>
      <c r="S71" s="35" t="s">
        <v>3403</v>
      </c>
      <c r="T71" s="35" t="s">
        <v>74</v>
      </c>
      <c r="U71" s="35" t="s">
        <v>57</v>
      </c>
      <c r="V71" s="35" t="s">
        <v>2394</v>
      </c>
      <c r="W71" s="35" t="s">
        <v>536</v>
      </c>
      <c r="X71" s="35" t="s">
        <v>3404</v>
      </c>
      <c r="Y71" s="35" t="s">
        <v>3165</v>
      </c>
      <c r="Z71" s="35" t="s">
        <v>3405</v>
      </c>
      <c r="AA71" s="35">
        <v>2011.0</v>
      </c>
      <c r="AB71" s="35">
        <v>2013.0</v>
      </c>
      <c r="AC71" s="35" t="s">
        <v>74</v>
      </c>
      <c r="AD71" s="35" t="s">
        <v>215</v>
      </c>
      <c r="AE71" s="35" t="s">
        <v>3406</v>
      </c>
      <c r="AF71" s="35" t="s">
        <v>69</v>
      </c>
      <c r="AG71" s="35" t="s">
        <v>129</v>
      </c>
      <c r="AH71" s="35" t="s">
        <v>129</v>
      </c>
      <c r="AI71" s="35" t="s">
        <v>57</v>
      </c>
      <c r="AJ71" s="35" t="s">
        <v>57</v>
      </c>
      <c r="AK71" s="35" t="s">
        <v>3407</v>
      </c>
      <c r="AL71" s="34"/>
      <c r="AM71" s="34" t="s">
        <v>1522</v>
      </c>
      <c r="AN71" s="113" t="s">
        <v>3408</v>
      </c>
      <c r="AO71" s="113" t="s">
        <v>201</v>
      </c>
      <c r="AP71" s="113" t="s">
        <v>3409</v>
      </c>
    </row>
    <row r="72">
      <c r="A72" s="102">
        <v>101.0</v>
      </c>
      <c r="B72" s="34">
        <v>8.79386193E8</v>
      </c>
      <c r="C72" s="34" t="s">
        <v>3410</v>
      </c>
      <c r="D72" s="34" t="s">
        <v>3411</v>
      </c>
      <c r="E72" s="35" t="s">
        <v>3412</v>
      </c>
      <c r="F72" s="43" t="s">
        <v>3413</v>
      </c>
      <c r="G72" s="35" t="s">
        <v>3414</v>
      </c>
      <c r="H72" s="43" t="s">
        <v>3415</v>
      </c>
      <c r="I72" s="35">
        <v>2021.0</v>
      </c>
      <c r="J72" s="35" t="s">
        <v>3416</v>
      </c>
      <c r="K72" s="35" t="s">
        <v>730</v>
      </c>
      <c r="L72" s="35" t="s">
        <v>3417</v>
      </c>
      <c r="M72" s="35" t="s">
        <v>57</v>
      </c>
      <c r="N72" s="35" t="s">
        <v>3414</v>
      </c>
      <c r="O72" s="35" t="s">
        <v>3418</v>
      </c>
      <c r="P72" s="35" t="s">
        <v>3419</v>
      </c>
      <c r="Q72" s="35" t="s">
        <v>93</v>
      </c>
      <c r="R72" s="35" t="s">
        <v>57</v>
      </c>
      <c r="S72" s="35" t="s">
        <v>57</v>
      </c>
      <c r="T72" s="35" t="s">
        <v>74</v>
      </c>
      <c r="U72" s="35" t="s">
        <v>57</v>
      </c>
      <c r="V72" s="35" t="s">
        <v>96</v>
      </c>
      <c r="W72" s="35" t="s">
        <v>161</v>
      </c>
      <c r="X72" s="35" t="s">
        <v>3420</v>
      </c>
      <c r="Y72" s="35" t="s">
        <v>2397</v>
      </c>
      <c r="Z72" s="35" t="s">
        <v>3421</v>
      </c>
      <c r="AA72" s="35">
        <v>2019.0</v>
      </c>
      <c r="AB72" s="35">
        <v>2019.0</v>
      </c>
      <c r="AC72" s="35" t="s">
        <v>74</v>
      </c>
      <c r="AD72" s="35" t="s">
        <v>215</v>
      </c>
      <c r="AE72" s="35" t="s">
        <v>3422</v>
      </c>
      <c r="AF72" s="35" t="s">
        <v>74</v>
      </c>
      <c r="AG72" s="35" t="s">
        <v>57</v>
      </c>
      <c r="AH72" s="35" t="s">
        <v>57</v>
      </c>
      <c r="AI72" s="35" t="s">
        <v>57</v>
      </c>
      <c r="AJ72" s="35" t="s">
        <v>57</v>
      </c>
      <c r="AK72" s="35" t="s">
        <v>57</v>
      </c>
      <c r="AL72" s="34"/>
      <c r="AM72" s="34" t="s">
        <v>109</v>
      </c>
      <c r="AN72" s="113" t="s">
        <v>3423</v>
      </c>
      <c r="AO72" s="113" t="s">
        <v>201</v>
      </c>
      <c r="AP72" s="113" t="s">
        <v>3424</v>
      </c>
    </row>
    <row r="73">
      <c r="A73" s="102">
        <v>102.0</v>
      </c>
      <c r="B73" s="34">
        <v>8.79386176E8</v>
      </c>
      <c r="C73" s="34" t="s">
        <v>3425</v>
      </c>
      <c r="D73" s="34" t="s">
        <v>3426</v>
      </c>
      <c r="E73" s="35" t="s">
        <v>3427</v>
      </c>
      <c r="F73" s="43" t="s">
        <v>3428</v>
      </c>
      <c r="G73" s="35" t="s">
        <v>859</v>
      </c>
      <c r="H73" s="43" t="s">
        <v>3429</v>
      </c>
      <c r="I73" s="35">
        <v>2017.0</v>
      </c>
      <c r="J73" s="43" t="s">
        <v>2117</v>
      </c>
      <c r="K73" s="35" t="s">
        <v>730</v>
      </c>
      <c r="L73" s="35" t="s">
        <v>3430</v>
      </c>
      <c r="M73" s="35" t="s">
        <v>57</v>
      </c>
      <c r="N73" s="35" t="s">
        <v>859</v>
      </c>
      <c r="O73" s="35" t="s">
        <v>1824</v>
      </c>
      <c r="P73" s="35" t="s">
        <v>3431</v>
      </c>
      <c r="Q73" s="35" t="s">
        <v>93</v>
      </c>
      <c r="R73" s="35" t="s">
        <v>3432</v>
      </c>
      <c r="S73" s="35" t="s">
        <v>3433</v>
      </c>
      <c r="T73" s="35" t="s">
        <v>74</v>
      </c>
      <c r="U73" s="35" t="s">
        <v>57</v>
      </c>
      <c r="V73" s="35" t="s">
        <v>2394</v>
      </c>
      <c r="W73" s="35" t="s">
        <v>3434</v>
      </c>
      <c r="X73" s="35" t="s">
        <v>3435</v>
      </c>
      <c r="Y73" s="35" t="s">
        <v>2397</v>
      </c>
      <c r="Z73" s="35" t="s">
        <v>3436</v>
      </c>
      <c r="AA73" s="35">
        <v>2012.0</v>
      </c>
      <c r="AB73" s="35">
        <v>2012.0</v>
      </c>
      <c r="AC73" s="35" t="s">
        <v>74</v>
      </c>
      <c r="AD73" s="35" t="s">
        <v>96</v>
      </c>
      <c r="AE73" s="35" t="s">
        <v>3437</v>
      </c>
      <c r="AF73" s="35" t="s">
        <v>69</v>
      </c>
      <c r="AG73" s="35" t="s">
        <v>129</v>
      </c>
      <c r="AH73" s="35" t="s">
        <v>129</v>
      </c>
      <c r="AI73" s="35" t="s">
        <v>57</v>
      </c>
      <c r="AJ73" s="35" t="s">
        <v>57</v>
      </c>
      <c r="AK73" s="35" t="s">
        <v>3438</v>
      </c>
      <c r="AL73" s="34"/>
      <c r="AM73" s="34" t="s">
        <v>1522</v>
      </c>
      <c r="AN73" s="114" t="s">
        <v>3439</v>
      </c>
      <c r="AO73" s="114" t="s">
        <v>201</v>
      </c>
      <c r="AP73" s="115"/>
    </row>
    <row r="74">
      <c r="A74" s="102">
        <v>103.0</v>
      </c>
      <c r="B74" s="34">
        <v>8.79386196E8</v>
      </c>
      <c r="C74" s="34" t="s">
        <v>3440</v>
      </c>
      <c r="D74" s="34" t="s">
        <v>3441</v>
      </c>
      <c r="E74" s="35" t="s">
        <v>3442</v>
      </c>
      <c r="F74" s="43" t="s">
        <v>3443</v>
      </c>
      <c r="G74" s="35" t="s">
        <v>456</v>
      </c>
      <c r="H74" s="43" t="s">
        <v>3444</v>
      </c>
      <c r="I74" s="35">
        <v>2021.0</v>
      </c>
      <c r="J74" s="43" t="s">
        <v>3445</v>
      </c>
      <c r="K74" s="35" t="s">
        <v>730</v>
      </c>
      <c r="L74" s="35" t="s">
        <v>57</v>
      </c>
      <c r="M74" s="35" t="s">
        <v>57</v>
      </c>
      <c r="N74" s="35" t="s">
        <v>456</v>
      </c>
      <c r="O74" s="35" t="s">
        <v>3446</v>
      </c>
      <c r="P74" s="35" t="s">
        <v>3447</v>
      </c>
      <c r="Q74" s="35" t="s">
        <v>93</v>
      </c>
      <c r="R74" s="35" t="s">
        <v>3448</v>
      </c>
      <c r="S74" s="35" t="s">
        <v>3449</v>
      </c>
      <c r="T74" s="35" t="s">
        <v>74</v>
      </c>
      <c r="U74" s="35" t="s">
        <v>57</v>
      </c>
      <c r="V74" s="35" t="s">
        <v>96</v>
      </c>
      <c r="W74" s="35" t="s">
        <v>536</v>
      </c>
      <c r="X74" s="35" t="s">
        <v>3450</v>
      </c>
      <c r="Y74" s="35" t="s">
        <v>2831</v>
      </c>
      <c r="Z74" s="35" t="s">
        <v>3451</v>
      </c>
      <c r="AA74" s="35">
        <v>2020.0</v>
      </c>
      <c r="AB74" s="35">
        <v>2020.0</v>
      </c>
      <c r="AC74" s="35" t="s">
        <v>74</v>
      </c>
      <c r="AD74" s="35" t="s">
        <v>215</v>
      </c>
      <c r="AE74" s="35" t="s">
        <v>3452</v>
      </c>
      <c r="AF74" s="35" t="s">
        <v>69</v>
      </c>
      <c r="AG74" s="35" t="s">
        <v>129</v>
      </c>
      <c r="AH74" s="35" t="s">
        <v>129</v>
      </c>
      <c r="AI74" s="35" t="s">
        <v>57</v>
      </c>
      <c r="AJ74" s="35" t="s">
        <v>57</v>
      </c>
      <c r="AK74" s="35" t="s">
        <v>3453</v>
      </c>
      <c r="AL74" s="34"/>
      <c r="AM74" s="34" t="s">
        <v>1522</v>
      </c>
      <c r="AN74" s="114" t="s">
        <v>3454</v>
      </c>
      <c r="AO74" s="114" t="s">
        <v>201</v>
      </c>
      <c r="AP74" s="114" t="s">
        <v>3455</v>
      </c>
    </row>
    <row r="75">
      <c r="A75" s="102">
        <v>104.0</v>
      </c>
      <c r="B75" s="34">
        <v>8.7938624E8</v>
      </c>
      <c r="C75" s="34" t="s">
        <v>3456</v>
      </c>
      <c r="D75" s="34" t="s">
        <v>3457</v>
      </c>
      <c r="E75" s="35" t="s">
        <v>3458</v>
      </c>
      <c r="F75" s="43" t="s">
        <v>3459</v>
      </c>
      <c r="G75" s="35" t="s">
        <v>1224</v>
      </c>
      <c r="H75" s="43" t="s">
        <v>3460</v>
      </c>
      <c r="I75" s="35">
        <v>2019.0</v>
      </c>
      <c r="J75" s="43" t="s">
        <v>207</v>
      </c>
      <c r="K75" s="35" t="s">
        <v>730</v>
      </c>
      <c r="L75" s="35" t="s">
        <v>2826</v>
      </c>
      <c r="M75" s="35" t="s">
        <v>57</v>
      </c>
      <c r="N75" s="35" t="s">
        <v>1224</v>
      </c>
      <c r="O75" s="35" t="s">
        <v>2827</v>
      </c>
      <c r="P75" s="35" t="s">
        <v>3461</v>
      </c>
      <c r="Q75" s="35" t="s">
        <v>93</v>
      </c>
      <c r="R75" s="35" t="s">
        <v>57</v>
      </c>
      <c r="S75" s="35" t="s">
        <v>57</v>
      </c>
      <c r="T75" s="35" t="s">
        <v>74</v>
      </c>
      <c r="U75" s="35" t="s">
        <v>57</v>
      </c>
      <c r="V75" s="35" t="s">
        <v>2394</v>
      </c>
      <c r="W75" s="35" t="s">
        <v>3462</v>
      </c>
      <c r="X75" s="35" t="s">
        <v>3463</v>
      </c>
      <c r="Y75" s="35" t="s">
        <v>2380</v>
      </c>
      <c r="Z75" s="35" t="s">
        <v>3464</v>
      </c>
      <c r="AA75" s="35">
        <v>2017.0</v>
      </c>
      <c r="AB75" s="35">
        <v>2017.0</v>
      </c>
      <c r="AC75" s="35" t="s">
        <v>74</v>
      </c>
      <c r="AD75" s="35" t="s">
        <v>215</v>
      </c>
      <c r="AE75" s="35" t="s">
        <v>3465</v>
      </c>
      <c r="AF75" s="35" t="s">
        <v>69</v>
      </c>
      <c r="AG75" s="35" t="s">
        <v>129</v>
      </c>
      <c r="AH75" s="35" t="s">
        <v>129</v>
      </c>
      <c r="AI75" s="35" t="s">
        <v>57</v>
      </c>
      <c r="AJ75" s="35" t="s">
        <v>57</v>
      </c>
      <c r="AK75" s="35" t="s">
        <v>3466</v>
      </c>
      <c r="AL75" s="34"/>
      <c r="AM75" s="34" t="s">
        <v>1522</v>
      </c>
      <c r="AN75" s="114" t="s">
        <v>3467</v>
      </c>
      <c r="AO75" s="114" t="s">
        <v>201</v>
      </c>
      <c r="AP75" s="114" t="s">
        <v>3468</v>
      </c>
    </row>
    <row r="76">
      <c r="A76" s="102">
        <v>105.0</v>
      </c>
      <c r="B76" s="34">
        <v>8.79386241E8</v>
      </c>
      <c r="C76" s="34" t="s">
        <v>3469</v>
      </c>
      <c r="D76" s="34" t="s">
        <v>3470</v>
      </c>
      <c r="E76" s="35" t="s">
        <v>3471</v>
      </c>
      <c r="F76" s="43" t="s">
        <v>3472</v>
      </c>
      <c r="G76" s="35" t="s">
        <v>2389</v>
      </c>
      <c r="H76" s="43" t="s">
        <v>3473</v>
      </c>
      <c r="I76" s="35">
        <v>2010.0</v>
      </c>
      <c r="J76" s="43" t="s">
        <v>3474</v>
      </c>
      <c r="K76" s="35" t="s">
        <v>730</v>
      </c>
      <c r="L76" s="35" t="s">
        <v>2702</v>
      </c>
      <c r="M76" s="35" t="s">
        <v>57</v>
      </c>
      <c r="N76" s="35" t="s">
        <v>2389</v>
      </c>
      <c r="O76" s="35" t="s">
        <v>3475</v>
      </c>
      <c r="P76" s="35" t="s">
        <v>3476</v>
      </c>
      <c r="Q76" s="35" t="s">
        <v>93</v>
      </c>
      <c r="R76" s="35" t="s">
        <v>57</v>
      </c>
      <c r="S76" s="35" t="s">
        <v>57</v>
      </c>
      <c r="T76" s="35" t="s">
        <v>74</v>
      </c>
      <c r="U76" s="35" t="s">
        <v>57</v>
      </c>
      <c r="V76" s="35" t="s">
        <v>193</v>
      </c>
      <c r="W76" s="35" t="s">
        <v>536</v>
      </c>
      <c r="X76" s="35" t="s">
        <v>3477</v>
      </c>
      <c r="Y76" s="35" t="s">
        <v>2831</v>
      </c>
      <c r="Z76" s="35" t="s">
        <v>3478</v>
      </c>
      <c r="AA76" s="35">
        <v>2008.0</v>
      </c>
      <c r="AB76" s="35">
        <v>2008.0</v>
      </c>
      <c r="AC76" s="35" t="s">
        <v>69</v>
      </c>
      <c r="AD76" s="35" t="s">
        <v>215</v>
      </c>
      <c r="AE76" s="35" t="s">
        <v>3479</v>
      </c>
      <c r="AF76" s="35" t="s">
        <v>69</v>
      </c>
      <c r="AG76" s="35" t="s">
        <v>129</v>
      </c>
      <c r="AH76" s="35" t="s">
        <v>129</v>
      </c>
      <c r="AI76" s="35" t="s">
        <v>57</v>
      </c>
      <c r="AJ76" s="35" t="s">
        <v>57</v>
      </c>
      <c r="AK76" s="35" t="s">
        <v>3480</v>
      </c>
      <c r="AL76" s="34"/>
      <c r="AM76" s="34" t="s">
        <v>1522</v>
      </c>
      <c r="AN76" s="114" t="s">
        <v>3481</v>
      </c>
      <c r="AO76" s="114" t="s">
        <v>201</v>
      </c>
      <c r="AP76" s="115"/>
    </row>
    <row r="77">
      <c r="A77" s="102">
        <v>106.0</v>
      </c>
      <c r="B77" s="34">
        <v>8.79386261E8</v>
      </c>
      <c r="C77" s="34" t="s">
        <v>3482</v>
      </c>
      <c r="D77" s="34" t="s">
        <v>3483</v>
      </c>
      <c r="E77" s="35" t="s">
        <v>3484</v>
      </c>
      <c r="F77" s="43" t="s">
        <v>3485</v>
      </c>
      <c r="G77" s="35" t="s">
        <v>2128</v>
      </c>
      <c r="H77" s="43" t="s">
        <v>3486</v>
      </c>
      <c r="I77" s="35">
        <v>2017.0</v>
      </c>
      <c r="J77" s="43" t="s">
        <v>3487</v>
      </c>
      <c r="K77" s="35" t="s">
        <v>730</v>
      </c>
      <c r="L77" s="35" t="s">
        <v>3488</v>
      </c>
      <c r="M77" s="35" t="s">
        <v>57</v>
      </c>
      <c r="N77" s="35" t="s">
        <v>2128</v>
      </c>
      <c r="O77" s="35" t="s">
        <v>3489</v>
      </c>
      <c r="P77" s="35" t="s">
        <v>3490</v>
      </c>
      <c r="Q77" s="35" t="s">
        <v>93</v>
      </c>
      <c r="R77" s="35" t="s">
        <v>57</v>
      </c>
      <c r="S77" s="35" t="s">
        <v>57</v>
      </c>
      <c r="T77" s="35" t="s">
        <v>69</v>
      </c>
      <c r="U77" s="35" t="s">
        <v>3491</v>
      </c>
      <c r="V77" s="35" t="s">
        <v>96</v>
      </c>
      <c r="W77" s="35" t="s">
        <v>161</v>
      </c>
      <c r="X77" s="35" t="s">
        <v>3492</v>
      </c>
      <c r="Y77" s="35" t="s">
        <v>2831</v>
      </c>
      <c r="Z77" s="35" t="s">
        <v>3493</v>
      </c>
      <c r="AA77" s="35">
        <v>2015.0</v>
      </c>
      <c r="AB77" s="35">
        <v>2016.0</v>
      </c>
      <c r="AC77" s="35" t="s">
        <v>74</v>
      </c>
      <c r="AD77" s="35" t="s">
        <v>215</v>
      </c>
      <c r="AE77" s="35" t="s">
        <v>3494</v>
      </c>
      <c r="AF77" s="35" t="s">
        <v>74</v>
      </c>
      <c r="AG77" s="35" t="s">
        <v>57</v>
      </c>
      <c r="AH77" s="35" t="s">
        <v>57</v>
      </c>
      <c r="AI77" s="35" t="s">
        <v>57</v>
      </c>
      <c r="AJ77" s="35" t="s">
        <v>57</v>
      </c>
      <c r="AK77" s="35" t="s">
        <v>57</v>
      </c>
      <c r="AL77" s="34"/>
      <c r="AM77" s="34" t="s">
        <v>1522</v>
      </c>
      <c r="AN77" s="114" t="s">
        <v>3495</v>
      </c>
      <c r="AO77" s="114" t="s">
        <v>201</v>
      </c>
      <c r="AP77" s="114" t="s">
        <v>3496</v>
      </c>
    </row>
    <row r="78">
      <c r="A78" s="102">
        <v>107.0</v>
      </c>
      <c r="B78" s="34">
        <v>8.79386277E8</v>
      </c>
      <c r="C78" s="34" t="s">
        <v>3497</v>
      </c>
      <c r="D78" s="34" t="s">
        <v>3498</v>
      </c>
      <c r="E78" s="35" t="s">
        <v>3499</v>
      </c>
      <c r="F78" s="43" t="s">
        <v>3500</v>
      </c>
      <c r="G78" s="35" t="s">
        <v>172</v>
      </c>
      <c r="H78" s="43" t="s">
        <v>3501</v>
      </c>
      <c r="I78" s="35">
        <v>2022.0</v>
      </c>
      <c r="J78" s="43" t="s">
        <v>2117</v>
      </c>
      <c r="K78" s="35" t="s">
        <v>730</v>
      </c>
      <c r="L78" s="35" t="s">
        <v>3502</v>
      </c>
      <c r="M78" s="35" t="s">
        <v>57</v>
      </c>
      <c r="N78" s="35" t="s">
        <v>172</v>
      </c>
      <c r="O78" s="35" t="s">
        <v>3503</v>
      </c>
      <c r="P78" s="35" t="s">
        <v>3504</v>
      </c>
      <c r="Q78" s="35" t="s">
        <v>93</v>
      </c>
      <c r="R78" s="35" t="s">
        <v>57</v>
      </c>
      <c r="S78" s="35" t="s">
        <v>57</v>
      </c>
      <c r="T78" s="35" t="s">
        <v>74</v>
      </c>
      <c r="U78" s="35" t="s">
        <v>57</v>
      </c>
      <c r="V78" s="35" t="s">
        <v>2394</v>
      </c>
      <c r="W78" s="35" t="s">
        <v>3505</v>
      </c>
      <c r="X78" s="35" t="s">
        <v>3506</v>
      </c>
      <c r="Y78" s="35" t="s">
        <v>2397</v>
      </c>
      <c r="Z78" s="35" t="s">
        <v>3507</v>
      </c>
      <c r="AA78" s="35">
        <v>2019.0</v>
      </c>
      <c r="AB78" s="35">
        <v>2019.0</v>
      </c>
      <c r="AC78" s="35" t="s">
        <v>74</v>
      </c>
      <c r="AD78" s="35" t="s">
        <v>96</v>
      </c>
      <c r="AE78" s="35" t="s">
        <v>3508</v>
      </c>
      <c r="AF78" s="35" t="s">
        <v>74</v>
      </c>
      <c r="AG78" s="35" t="s">
        <v>57</v>
      </c>
      <c r="AH78" s="35" t="s">
        <v>57</v>
      </c>
      <c r="AI78" s="35" t="s">
        <v>57</v>
      </c>
      <c r="AJ78" s="35" t="s">
        <v>57</v>
      </c>
      <c r="AK78" s="35" t="s">
        <v>57</v>
      </c>
      <c r="AL78" s="34"/>
      <c r="AM78" s="34" t="s">
        <v>1522</v>
      </c>
      <c r="AN78" s="114" t="s">
        <v>3509</v>
      </c>
      <c r="AO78" s="114" t="s">
        <v>201</v>
      </c>
      <c r="AP78" s="115"/>
    </row>
    <row r="79">
      <c r="A79" s="102">
        <v>108.0</v>
      </c>
      <c r="B79" s="34">
        <v>8.79386278E8</v>
      </c>
      <c r="C79" s="34" t="s">
        <v>3510</v>
      </c>
      <c r="D79" s="34" t="s">
        <v>873</v>
      </c>
      <c r="E79" s="35" t="s">
        <v>3511</v>
      </c>
      <c r="F79" s="43" t="s">
        <v>3512</v>
      </c>
      <c r="G79" s="35" t="s">
        <v>859</v>
      </c>
      <c r="H79" s="43" t="s">
        <v>3513</v>
      </c>
      <c r="I79" s="35">
        <v>2021.0</v>
      </c>
      <c r="J79" s="43" t="s">
        <v>796</v>
      </c>
      <c r="K79" s="35" t="s">
        <v>730</v>
      </c>
      <c r="L79" s="35" t="s">
        <v>3514</v>
      </c>
      <c r="M79" s="35" t="s">
        <v>57</v>
      </c>
      <c r="N79" s="35" t="s">
        <v>859</v>
      </c>
      <c r="O79" s="35" t="s">
        <v>1764</v>
      </c>
      <c r="P79" s="35" t="s">
        <v>3515</v>
      </c>
      <c r="Q79" s="35" t="s">
        <v>93</v>
      </c>
      <c r="R79" s="35" t="s">
        <v>57</v>
      </c>
      <c r="S79" s="35" t="s">
        <v>57</v>
      </c>
      <c r="T79" s="35" t="s">
        <v>74</v>
      </c>
      <c r="U79" s="35" t="s">
        <v>57</v>
      </c>
      <c r="V79" s="35" t="s">
        <v>96</v>
      </c>
      <c r="W79" s="35" t="s">
        <v>2766</v>
      </c>
      <c r="X79" s="35" t="s">
        <v>3516</v>
      </c>
      <c r="Y79" s="35" t="s">
        <v>2831</v>
      </c>
      <c r="Z79" s="35" t="s">
        <v>3517</v>
      </c>
      <c r="AA79" s="35">
        <v>2017.0</v>
      </c>
      <c r="AB79" s="35">
        <v>2017.0</v>
      </c>
      <c r="AC79" s="35" t="s">
        <v>74</v>
      </c>
      <c r="AD79" s="35" t="s">
        <v>215</v>
      </c>
      <c r="AE79" s="35" t="s">
        <v>3518</v>
      </c>
      <c r="AF79" s="35" t="s">
        <v>69</v>
      </c>
      <c r="AG79" s="35" t="s">
        <v>129</v>
      </c>
      <c r="AH79" s="35" t="s">
        <v>129</v>
      </c>
      <c r="AI79" s="35" t="s">
        <v>57</v>
      </c>
      <c r="AJ79" s="35" t="s">
        <v>57</v>
      </c>
      <c r="AK79" s="35" t="s">
        <v>3519</v>
      </c>
      <c r="AL79" s="34"/>
      <c r="AM79" s="34" t="s">
        <v>1522</v>
      </c>
      <c r="AN79" s="114" t="s">
        <v>3520</v>
      </c>
      <c r="AO79" s="114" t="s">
        <v>201</v>
      </c>
      <c r="AP79" s="114" t="s">
        <v>3521</v>
      </c>
    </row>
    <row r="80">
      <c r="A80" s="102">
        <v>109.0</v>
      </c>
      <c r="B80" s="34">
        <v>8.79386283E8</v>
      </c>
      <c r="C80" s="34" t="s">
        <v>3522</v>
      </c>
      <c r="D80" s="34" t="s">
        <v>3523</v>
      </c>
      <c r="E80" s="35" t="s">
        <v>3524</v>
      </c>
      <c r="F80" s="43" t="s">
        <v>3525</v>
      </c>
      <c r="G80" s="35" t="s">
        <v>639</v>
      </c>
      <c r="H80" s="43" t="s">
        <v>3526</v>
      </c>
      <c r="I80" s="35">
        <v>2015.0</v>
      </c>
      <c r="J80" s="43" t="s">
        <v>3527</v>
      </c>
      <c r="K80" s="35" t="s">
        <v>730</v>
      </c>
      <c r="L80" s="35" t="s">
        <v>3357</v>
      </c>
      <c r="M80" s="35" t="s">
        <v>57</v>
      </c>
      <c r="N80" s="35" t="s">
        <v>639</v>
      </c>
      <c r="O80" s="35" t="s">
        <v>57</v>
      </c>
      <c r="P80" s="35" t="s">
        <v>3528</v>
      </c>
      <c r="Q80" s="35" t="s">
        <v>93</v>
      </c>
      <c r="R80" s="35" t="s">
        <v>57</v>
      </c>
      <c r="S80" s="35" t="s">
        <v>57</v>
      </c>
      <c r="T80" s="35" t="s">
        <v>74</v>
      </c>
      <c r="U80" s="35" t="s">
        <v>57</v>
      </c>
      <c r="V80" s="35" t="s">
        <v>193</v>
      </c>
      <c r="W80" s="35" t="s">
        <v>64</v>
      </c>
      <c r="X80" s="35" t="s">
        <v>3529</v>
      </c>
      <c r="Y80" s="35" t="s">
        <v>2380</v>
      </c>
      <c r="Z80" s="35" t="s">
        <v>3530</v>
      </c>
      <c r="AA80" s="35">
        <v>2010.0</v>
      </c>
      <c r="AB80" s="35">
        <v>2011.0</v>
      </c>
      <c r="AC80" s="35" t="s">
        <v>74</v>
      </c>
      <c r="AD80" s="35" t="s">
        <v>96</v>
      </c>
      <c r="AE80" s="35" t="s">
        <v>3531</v>
      </c>
      <c r="AF80" s="35" t="s">
        <v>74</v>
      </c>
      <c r="AG80" s="35" t="s">
        <v>57</v>
      </c>
      <c r="AH80" s="35" t="s">
        <v>57</v>
      </c>
      <c r="AI80" s="35" t="s">
        <v>57</v>
      </c>
      <c r="AJ80" s="35" t="s">
        <v>57</v>
      </c>
      <c r="AK80" s="35" t="s">
        <v>57</v>
      </c>
      <c r="AL80" s="34"/>
      <c r="AM80" s="34" t="s">
        <v>1522</v>
      </c>
      <c r="AN80" s="114" t="s">
        <v>3532</v>
      </c>
      <c r="AO80" s="114" t="s">
        <v>201</v>
      </c>
      <c r="AP80" s="114" t="s">
        <v>3533</v>
      </c>
    </row>
    <row r="81">
      <c r="A81" s="102">
        <v>110.0</v>
      </c>
      <c r="B81" s="34">
        <v>8.79386291E8</v>
      </c>
      <c r="C81" s="34" t="s">
        <v>3534</v>
      </c>
      <c r="D81" s="34" t="s">
        <v>3535</v>
      </c>
      <c r="E81" s="35" t="s">
        <v>3536</v>
      </c>
      <c r="F81" s="43" t="s">
        <v>3537</v>
      </c>
      <c r="G81" s="35" t="s">
        <v>3538</v>
      </c>
      <c r="H81" s="43" t="s">
        <v>3539</v>
      </c>
      <c r="I81" s="35">
        <v>2021.0</v>
      </c>
      <c r="J81" s="43" t="s">
        <v>1347</v>
      </c>
      <c r="K81" s="35" t="s">
        <v>730</v>
      </c>
      <c r="L81" s="35" t="s">
        <v>3540</v>
      </c>
      <c r="M81" s="35" t="s">
        <v>57</v>
      </c>
      <c r="N81" s="35" t="s">
        <v>3538</v>
      </c>
      <c r="O81" s="35" t="s">
        <v>400</v>
      </c>
      <c r="P81" s="35" t="s">
        <v>3541</v>
      </c>
      <c r="Q81" s="35" t="s">
        <v>93</v>
      </c>
      <c r="R81" s="35" t="s">
        <v>57</v>
      </c>
      <c r="S81" s="35" t="s">
        <v>57</v>
      </c>
      <c r="T81" s="35" t="s">
        <v>74</v>
      </c>
      <c r="U81" s="35" t="s">
        <v>57</v>
      </c>
      <c r="V81" s="35" t="s">
        <v>2430</v>
      </c>
      <c r="W81" s="35" t="s">
        <v>64</v>
      </c>
      <c r="X81" s="35" t="s">
        <v>3542</v>
      </c>
      <c r="Y81" s="35" t="s">
        <v>2397</v>
      </c>
      <c r="Z81" s="35" t="s">
        <v>3543</v>
      </c>
      <c r="AA81" s="35" t="s">
        <v>57</v>
      </c>
      <c r="AB81" s="35" t="s">
        <v>57</v>
      </c>
      <c r="AC81" s="35" t="s">
        <v>74</v>
      </c>
      <c r="AD81" s="35" t="s">
        <v>96</v>
      </c>
      <c r="AE81" s="35" t="s">
        <v>3544</v>
      </c>
      <c r="AF81" s="35" t="s">
        <v>69</v>
      </c>
      <c r="AG81" s="35" t="s">
        <v>129</v>
      </c>
      <c r="AH81" s="35" t="s">
        <v>129</v>
      </c>
      <c r="AI81" s="35" t="s">
        <v>57</v>
      </c>
      <c r="AJ81" s="35" t="s">
        <v>57</v>
      </c>
      <c r="AK81" s="35" t="s">
        <v>3545</v>
      </c>
      <c r="AL81" s="34"/>
      <c r="AM81" s="34" t="s">
        <v>109</v>
      </c>
      <c r="AN81" s="109" t="s">
        <v>3546</v>
      </c>
      <c r="AO81" s="109" t="s">
        <v>201</v>
      </c>
      <c r="AP81" s="109" t="s">
        <v>3547</v>
      </c>
    </row>
    <row r="82">
      <c r="A82" s="102">
        <v>111.0</v>
      </c>
      <c r="B82" s="34">
        <v>8.79386296E8</v>
      </c>
      <c r="C82" s="34" t="s">
        <v>3548</v>
      </c>
      <c r="D82" s="34" t="s">
        <v>3549</v>
      </c>
      <c r="E82" s="35" t="s">
        <v>3550</v>
      </c>
      <c r="F82" s="43" t="s">
        <v>3551</v>
      </c>
      <c r="G82" s="35" t="s">
        <v>760</v>
      </c>
      <c r="H82" s="43" t="s">
        <v>3552</v>
      </c>
      <c r="I82" s="35">
        <v>2021.0</v>
      </c>
      <c r="J82" s="35" t="s">
        <v>796</v>
      </c>
      <c r="K82" s="35" t="s">
        <v>730</v>
      </c>
      <c r="L82" s="35" t="s">
        <v>3553</v>
      </c>
      <c r="M82" s="35" t="s">
        <v>57</v>
      </c>
      <c r="N82" s="35" t="s">
        <v>760</v>
      </c>
      <c r="O82" s="35" t="s">
        <v>3554</v>
      </c>
      <c r="P82" s="35" t="s">
        <v>3555</v>
      </c>
      <c r="Q82" s="35" t="s">
        <v>93</v>
      </c>
      <c r="R82" s="35" t="s">
        <v>3556</v>
      </c>
      <c r="S82" s="35" t="s">
        <v>3557</v>
      </c>
      <c r="T82" s="35" t="s">
        <v>74</v>
      </c>
      <c r="U82" s="35" t="s">
        <v>57</v>
      </c>
      <c r="V82" s="35" t="s">
        <v>2394</v>
      </c>
      <c r="W82" s="35" t="s">
        <v>64</v>
      </c>
      <c r="X82" s="35" t="s">
        <v>3558</v>
      </c>
      <c r="Y82" s="35" t="s">
        <v>2397</v>
      </c>
      <c r="Z82" s="35" t="s">
        <v>3559</v>
      </c>
      <c r="AA82" s="35">
        <v>2018.0</v>
      </c>
      <c r="AB82" s="35">
        <v>2018.0</v>
      </c>
      <c r="AC82" s="35" t="s">
        <v>74</v>
      </c>
      <c r="AD82" s="35" t="s">
        <v>63</v>
      </c>
      <c r="AE82" s="35" t="s">
        <v>3560</v>
      </c>
      <c r="AF82" s="35" t="s">
        <v>69</v>
      </c>
      <c r="AG82" s="35" t="s">
        <v>129</v>
      </c>
      <c r="AH82" s="35" t="s">
        <v>129</v>
      </c>
      <c r="AI82" s="35" t="s">
        <v>57</v>
      </c>
      <c r="AJ82" s="35" t="s">
        <v>57</v>
      </c>
      <c r="AK82" s="35" t="s">
        <v>3561</v>
      </c>
      <c r="AL82" s="34"/>
      <c r="AM82" s="34" t="s">
        <v>109</v>
      </c>
      <c r="AN82" s="109" t="s">
        <v>3562</v>
      </c>
      <c r="AO82" s="109" t="s">
        <v>201</v>
      </c>
      <c r="AP82" s="109" t="s">
        <v>3563</v>
      </c>
    </row>
    <row r="83">
      <c r="A83" s="102">
        <v>112.0</v>
      </c>
      <c r="B83" s="34">
        <v>8.79386299E8</v>
      </c>
      <c r="C83" s="34" t="s">
        <v>3564</v>
      </c>
      <c r="D83" s="34" t="s">
        <v>3565</v>
      </c>
      <c r="E83" s="35" t="s">
        <v>3566</v>
      </c>
      <c r="F83" s="43" t="s">
        <v>3567</v>
      </c>
      <c r="G83" s="35" t="s">
        <v>2926</v>
      </c>
      <c r="H83" s="43" t="s">
        <v>3568</v>
      </c>
      <c r="I83" s="35">
        <v>2018.0</v>
      </c>
      <c r="J83" s="35" t="s">
        <v>3569</v>
      </c>
      <c r="K83" s="35" t="s">
        <v>730</v>
      </c>
      <c r="L83" s="35" t="s">
        <v>3570</v>
      </c>
      <c r="M83" s="35" t="s">
        <v>57</v>
      </c>
      <c r="N83" s="35" t="s">
        <v>3571</v>
      </c>
      <c r="O83" s="35" t="s">
        <v>2926</v>
      </c>
      <c r="P83" s="35" t="s">
        <v>3572</v>
      </c>
      <c r="Q83" s="35" t="s">
        <v>93</v>
      </c>
      <c r="R83" s="43" t="s">
        <v>3573</v>
      </c>
      <c r="S83" s="43" t="s">
        <v>3574</v>
      </c>
      <c r="T83" s="35" t="s">
        <v>74</v>
      </c>
      <c r="U83" s="35" t="s">
        <v>57</v>
      </c>
      <c r="V83" s="35" t="s">
        <v>96</v>
      </c>
      <c r="W83" s="35" t="s">
        <v>64</v>
      </c>
      <c r="X83" s="35" t="s">
        <v>3575</v>
      </c>
      <c r="Y83" s="35" t="s">
        <v>2831</v>
      </c>
      <c r="Z83" s="35" t="s">
        <v>3576</v>
      </c>
      <c r="AA83" s="35" t="s">
        <v>57</v>
      </c>
      <c r="AB83" s="35" t="s">
        <v>57</v>
      </c>
      <c r="AC83" s="35" t="s">
        <v>74</v>
      </c>
      <c r="AD83" s="35" t="s">
        <v>96</v>
      </c>
      <c r="AE83" s="35" t="s">
        <v>3577</v>
      </c>
      <c r="AF83" s="35" t="s">
        <v>74</v>
      </c>
      <c r="AG83" s="35" t="s">
        <v>57</v>
      </c>
      <c r="AH83" s="35" t="s">
        <v>57</v>
      </c>
      <c r="AI83" s="35" t="s">
        <v>57</v>
      </c>
      <c r="AJ83" s="35" t="s">
        <v>57</v>
      </c>
      <c r="AK83" s="35" t="s">
        <v>57</v>
      </c>
      <c r="AL83" s="34"/>
      <c r="AM83" s="34" t="s">
        <v>109</v>
      </c>
      <c r="AN83" s="109" t="s">
        <v>3578</v>
      </c>
      <c r="AO83" s="109" t="s">
        <v>201</v>
      </c>
      <c r="AP83" s="109" t="s">
        <v>3579</v>
      </c>
    </row>
    <row r="84">
      <c r="A84" s="102">
        <v>113.0</v>
      </c>
      <c r="B84" s="34">
        <v>8.79386275E8</v>
      </c>
      <c r="C84" s="34" t="s">
        <v>3580</v>
      </c>
      <c r="D84" s="34" t="s">
        <v>3581</v>
      </c>
      <c r="E84" s="35" t="s">
        <v>3582</v>
      </c>
      <c r="F84" s="43" t="s">
        <v>3583</v>
      </c>
      <c r="G84" s="35" t="s">
        <v>273</v>
      </c>
      <c r="H84" s="43" t="s">
        <v>3584</v>
      </c>
      <c r="I84" s="35">
        <v>2021.0</v>
      </c>
      <c r="J84" s="43" t="s">
        <v>3585</v>
      </c>
      <c r="K84" s="35" t="s">
        <v>730</v>
      </c>
      <c r="L84" s="35" t="s">
        <v>3586</v>
      </c>
      <c r="M84" s="35" t="s">
        <v>57</v>
      </c>
      <c r="N84" s="35" t="s">
        <v>273</v>
      </c>
      <c r="O84" s="35" t="s">
        <v>277</v>
      </c>
      <c r="P84" s="35" t="s">
        <v>3587</v>
      </c>
      <c r="Q84" s="35" t="s">
        <v>93</v>
      </c>
      <c r="R84" s="35" t="s">
        <v>57</v>
      </c>
      <c r="S84" s="35" t="s">
        <v>57</v>
      </c>
      <c r="T84" s="35" t="s">
        <v>74</v>
      </c>
      <c r="U84" s="35" t="s">
        <v>57</v>
      </c>
      <c r="V84" s="35" t="s">
        <v>2394</v>
      </c>
      <c r="W84" s="35" t="s">
        <v>3588</v>
      </c>
      <c r="X84" s="35" t="s">
        <v>3589</v>
      </c>
      <c r="Y84" s="35" t="s">
        <v>2397</v>
      </c>
      <c r="Z84" s="35" t="s">
        <v>3590</v>
      </c>
      <c r="AA84" s="35" t="s">
        <v>57</v>
      </c>
      <c r="AB84" s="35" t="s">
        <v>57</v>
      </c>
      <c r="AC84" s="35" t="s">
        <v>74</v>
      </c>
      <c r="AD84" s="35" t="s">
        <v>96</v>
      </c>
      <c r="AE84" s="35" t="s">
        <v>3591</v>
      </c>
      <c r="AF84" s="35" t="s">
        <v>69</v>
      </c>
      <c r="AG84" s="35" t="s">
        <v>307</v>
      </c>
      <c r="AH84" s="35" t="s">
        <v>2067</v>
      </c>
      <c r="AI84" s="35" t="s">
        <v>129</v>
      </c>
      <c r="AJ84" s="35" t="s">
        <v>57</v>
      </c>
      <c r="AK84" s="35" t="s">
        <v>3592</v>
      </c>
      <c r="AL84" s="34"/>
      <c r="AM84" s="34" t="s">
        <v>1522</v>
      </c>
      <c r="AN84" s="109" t="s">
        <v>3593</v>
      </c>
      <c r="AO84" s="109" t="s">
        <v>201</v>
      </c>
      <c r="AP84" s="109" t="s">
        <v>3594</v>
      </c>
    </row>
    <row r="85">
      <c r="A85" s="102">
        <v>114.0</v>
      </c>
      <c r="B85" s="34">
        <v>8.79386325E8</v>
      </c>
      <c r="C85" s="34" t="s">
        <v>3595</v>
      </c>
      <c r="D85" s="34" t="s">
        <v>3596</v>
      </c>
      <c r="E85" s="35" t="s">
        <v>3597</v>
      </c>
      <c r="F85" s="43" t="s">
        <v>3598</v>
      </c>
      <c r="G85" s="35" t="s">
        <v>172</v>
      </c>
      <c r="H85" s="43" t="s">
        <v>3599</v>
      </c>
      <c r="I85" s="35">
        <v>2013.0</v>
      </c>
      <c r="J85" s="43" t="s">
        <v>3600</v>
      </c>
      <c r="K85" s="35" t="s">
        <v>730</v>
      </c>
      <c r="L85" s="35" t="s">
        <v>3327</v>
      </c>
      <c r="M85" s="35" t="s">
        <v>57</v>
      </c>
      <c r="N85" s="35" t="s">
        <v>172</v>
      </c>
      <c r="O85" s="35" t="s">
        <v>2376</v>
      </c>
      <c r="P85" s="35" t="s">
        <v>3601</v>
      </c>
      <c r="Q85" s="35" t="s">
        <v>93</v>
      </c>
      <c r="R85" s="35" t="s">
        <v>57</v>
      </c>
      <c r="S85" s="35" t="s">
        <v>57</v>
      </c>
      <c r="T85" s="35" t="s">
        <v>74</v>
      </c>
      <c r="U85" s="35" t="s">
        <v>57</v>
      </c>
      <c r="V85" s="35" t="s">
        <v>96</v>
      </c>
      <c r="W85" s="35" t="s">
        <v>64</v>
      </c>
      <c r="X85" s="35" t="s">
        <v>3602</v>
      </c>
      <c r="Y85" s="35" t="s">
        <v>2397</v>
      </c>
      <c r="Z85" s="35" t="s">
        <v>3603</v>
      </c>
      <c r="AA85" s="35">
        <v>2011.0</v>
      </c>
      <c r="AB85" s="35">
        <v>2011.0</v>
      </c>
      <c r="AC85" s="35" t="s">
        <v>74</v>
      </c>
      <c r="AD85" s="35" t="s">
        <v>215</v>
      </c>
      <c r="AE85" s="35" t="s">
        <v>3604</v>
      </c>
      <c r="AF85" s="35" t="s">
        <v>69</v>
      </c>
      <c r="AG85" s="35" t="s">
        <v>129</v>
      </c>
      <c r="AH85" s="35" t="s">
        <v>129</v>
      </c>
      <c r="AI85" s="35" t="s">
        <v>57</v>
      </c>
      <c r="AJ85" s="35" t="s">
        <v>57</v>
      </c>
      <c r="AK85" s="35" t="s">
        <v>3605</v>
      </c>
      <c r="AL85" s="34"/>
      <c r="AM85" s="34" t="s">
        <v>1522</v>
      </c>
      <c r="AN85" s="116" t="s">
        <v>3606</v>
      </c>
      <c r="AO85" s="116" t="s">
        <v>201</v>
      </c>
      <c r="AP85" s="116" t="s">
        <v>3607</v>
      </c>
    </row>
    <row r="86">
      <c r="A86" s="102">
        <v>115.0</v>
      </c>
      <c r="B86" s="34">
        <v>8.79386332E8</v>
      </c>
      <c r="C86" s="34" t="s">
        <v>3608</v>
      </c>
      <c r="D86" s="34" t="s">
        <v>3609</v>
      </c>
      <c r="E86" s="35" t="s">
        <v>3610</v>
      </c>
      <c r="F86" s="43" t="s">
        <v>3611</v>
      </c>
      <c r="G86" s="35" t="s">
        <v>859</v>
      </c>
      <c r="H86" s="43" t="s">
        <v>3612</v>
      </c>
      <c r="I86" s="35">
        <v>2010.0</v>
      </c>
      <c r="J86" s="43" t="s">
        <v>1362</v>
      </c>
      <c r="K86" s="35" t="s">
        <v>730</v>
      </c>
      <c r="L86" s="35" t="s">
        <v>3430</v>
      </c>
      <c r="M86" s="35" t="s">
        <v>57</v>
      </c>
      <c r="N86" s="35" t="s">
        <v>859</v>
      </c>
      <c r="O86" s="35" t="s">
        <v>2231</v>
      </c>
      <c r="P86" s="35" t="s">
        <v>3613</v>
      </c>
      <c r="Q86" s="35" t="s">
        <v>93</v>
      </c>
      <c r="R86" s="35" t="s">
        <v>57</v>
      </c>
      <c r="S86" s="35" t="s">
        <v>57</v>
      </c>
      <c r="T86" s="35" t="s">
        <v>74</v>
      </c>
      <c r="U86" s="35" t="s">
        <v>57</v>
      </c>
      <c r="V86" s="35" t="s">
        <v>2394</v>
      </c>
      <c r="W86" s="35" t="s">
        <v>64</v>
      </c>
      <c r="X86" s="35" t="s">
        <v>3614</v>
      </c>
      <c r="Y86" s="35" t="s">
        <v>2397</v>
      </c>
      <c r="Z86" s="35" t="s">
        <v>3615</v>
      </c>
      <c r="AA86" s="35">
        <v>1991.0</v>
      </c>
      <c r="AB86" s="35">
        <v>1996.0</v>
      </c>
      <c r="AC86" s="35" t="s">
        <v>74</v>
      </c>
      <c r="AD86" s="35" t="s">
        <v>96</v>
      </c>
      <c r="AE86" s="35" t="s">
        <v>3616</v>
      </c>
      <c r="AF86" s="35" t="s">
        <v>69</v>
      </c>
      <c r="AG86" s="35" t="s">
        <v>129</v>
      </c>
      <c r="AH86" s="35" t="s">
        <v>129</v>
      </c>
      <c r="AI86" s="35" t="s">
        <v>57</v>
      </c>
      <c r="AJ86" s="35" t="s">
        <v>57</v>
      </c>
      <c r="AK86" s="35" t="s">
        <v>3617</v>
      </c>
      <c r="AL86" s="34"/>
      <c r="AM86" s="34" t="s">
        <v>1522</v>
      </c>
      <c r="AN86" s="116" t="s">
        <v>3618</v>
      </c>
      <c r="AO86" s="116" t="s">
        <v>201</v>
      </c>
      <c r="AP86" s="116" t="s">
        <v>3619</v>
      </c>
    </row>
    <row r="87">
      <c r="A87" s="102">
        <v>117.0</v>
      </c>
      <c r="B87" s="34">
        <v>8.79386355E8</v>
      </c>
      <c r="C87" s="34" t="s">
        <v>3620</v>
      </c>
      <c r="D87" s="34" t="s">
        <v>3621</v>
      </c>
      <c r="E87" s="35" t="s">
        <v>3622</v>
      </c>
      <c r="F87" s="43" t="s">
        <v>3623</v>
      </c>
      <c r="G87" s="35" t="s">
        <v>859</v>
      </c>
      <c r="H87" s="43" t="s">
        <v>3624</v>
      </c>
      <c r="I87" s="35">
        <v>2019.0</v>
      </c>
      <c r="J87" s="35" t="s">
        <v>1362</v>
      </c>
      <c r="K87" s="35" t="s">
        <v>730</v>
      </c>
      <c r="L87" s="35" t="s">
        <v>3625</v>
      </c>
      <c r="M87" s="35" t="s">
        <v>57</v>
      </c>
      <c r="N87" s="35" t="s">
        <v>859</v>
      </c>
      <c r="O87" s="35" t="s">
        <v>3626</v>
      </c>
      <c r="P87" s="35" t="s">
        <v>3627</v>
      </c>
      <c r="Q87" s="35" t="s">
        <v>93</v>
      </c>
      <c r="R87" s="35" t="s">
        <v>57</v>
      </c>
      <c r="S87" s="35" t="s">
        <v>57</v>
      </c>
      <c r="T87" s="35" t="s">
        <v>74</v>
      </c>
      <c r="U87" s="35" t="s">
        <v>57</v>
      </c>
      <c r="V87" s="35" t="s">
        <v>193</v>
      </c>
      <c r="W87" s="35" t="s">
        <v>64</v>
      </c>
      <c r="X87" s="35" t="s">
        <v>3628</v>
      </c>
      <c r="Y87" s="35" t="s">
        <v>2397</v>
      </c>
      <c r="Z87" s="35" t="s">
        <v>3629</v>
      </c>
      <c r="AA87" s="35" t="s">
        <v>57</v>
      </c>
      <c r="AB87" s="35" t="s">
        <v>57</v>
      </c>
      <c r="AC87" s="35" t="s">
        <v>74</v>
      </c>
      <c r="AD87" s="35" t="s">
        <v>215</v>
      </c>
      <c r="AE87" s="35" t="s">
        <v>3630</v>
      </c>
      <c r="AF87" s="35" t="s">
        <v>69</v>
      </c>
      <c r="AG87" s="35" t="s">
        <v>129</v>
      </c>
      <c r="AH87" s="35" t="s">
        <v>129</v>
      </c>
      <c r="AI87" s="35" t="s">
        <v>57</v>
      </c>
      <c r="AJ87" s="35" t="s">
        <v>57</v>
      </c>
      <c r="AK87" s="35" t="s">
        <v>3631</v>
      </c>
      <c r="AL87" s="34" t="s">
        <v>1418</v>
      </c>
      <c r="AM87" s="34" t="s">
        <v>109</v>
      </c>
      <c r="AN87" s="116" t="s">
        <v>3632</v>
      </c>
      <c r="AO87" s="116" t="s">
        <v>201</v>
      </c>
      <c r="AP87" s="116" t="s">
        <v>3633</v>
      </c>
    </row>
    <row r="88">
      <c r="A88" s="102">
        <v>118.0</v>
      </c>
      <c r="B88" s="34">
        <v>8.79386363E8</v>
      </c>
      <c r="C88" s="34" t="s">
        <v>3634</v>
      </c>
      <c r="D88" s="34" t="s">
        <v>3635</v>
      </c>
      <c r="E88" s="35" t="s">
        <v>3636</v>
      </c>
      <c r="F88" s="35" t="s">
        <v>3637</v>
      </c>
      <c r="G88" s="35" t="s">
        <v>2389</v>
      </c>
      <c r="H88" s="43" t="s">
        <v>3638</v>
      </c>
      <c r="I88" s="35">
        <v>2017.0</v>
      </c>
      <c r="J88" s="43" t="s">
        <v>3639</v>
      </c>
      <c r="K88" s="35" t="s">
        <v>730</v>
      </c>
      <c r="L88" s="35" t="s">
        <v>3640</v>
      </c>
      <c r="M88" s="35" t="s">
        <v>57</v>
      </c>
      <c r="N88" s="35" t="s">
        <v>2389</v>
      </c>
      <c r="O88" s="35" t="s">
        <v>57</v>
      </c>
      <c r="P88" s="35" t="s">
        <v>3641</v>
      </c>
      <c r="Q88" s="35" t="s">
        <v>93</v>
      </c>
      <c r="R88" s="35" t="s">
        <v>57</v>
      </c>
      <c r="S88" s="35" t="s">
        <v>57</v>
      </c>
      <c r="T88" s="35" t="s">
        <v>74</v>
      </c>
      <c r="U88" s="35" t="s">
        <v>57</v>
      </c>
      <c r="V88" s="35" t="s">
        <v>193</v>
      </c>
      <c r="W88" s="35" t="s">
        <v>1579</v>
      </c>
      <c r="X88" s="35" t="s">
        <v>3642</v>
      </c>
      <c r="Y88" s="35" t="s">
        <v>2397</v>
      </c>
      <c r="Z88" s="35" t="s">
        <v>3643</v>
      </c>
      <c r="AA88" s="35" t="s">
        <v>57</v>
      </c>
      <c r="AB88" s="35" t="s">
        <v>57</v>
      </c>
      <c r="AC88" s="35" t="s">
        <v>74</v>
      </c>
      <c r="AD88" s="35" t="s">
        <v>215</v>
      </c>
      <c r="AE88" s="35" t="s">
        <v>3644</v>
      </c>
      <c r="AF88" s="35" t="s">
        <v>69</v>
      </c>
      <c r="AG88" s="35" t="s">
        <v>1791</v>
      </c>
      <c r="AH88" s="35" t="s">
        <v>129</v>
      </c>
      <c r="AI88" s="35" t="s">
        <v>2067</v>
      </c>
      <c r="AJ88" s="35" t="s">
        <v>57</v>
      </c>
      <c r="AK88" s="35" t="s">
        <v>3645</v>
      </c>
      <c r="AL88" s="34"/>
      <c r="AM88" s="34" t="s">
        <v>1522</v>
      </c>
      <c r="AN88" s="116" t="s">
        <v>3646</v>
      </c>
      <c r="AO88" s="116" t="s">
        <v>201</v>
      </c>
      <c r="AP88" s="116" t="s">
        <v>3647</v>
      </c>
    </row>
    <row r="89">
      <c r="A89" s="102">
        <v>119.0</v>
      </c>
      <c r="B89" s="34">
        <v>8.79386365E8</v>
      </c>
      <c r="C89" s="34" t="s">
        <v>3648</v>
      </c>
      <c r="D89" s="34" t="s">
        <v>3649</v>
      </c>
      <c r="E89" s="35" t="s">
        <v>3650</v>
      </c>
      <c r="F89" s="43" t="s">
        <v>3651</v>
      </c>
      <c r="G89" s="35" t="s">
        <v>2389</v>
      </c>
      <c r="H89" s="43" t="s">
        <v>3652</v>
      </c>
      <c r="I89" s="35">
        <v>2014.0</v>
      </c>
      <c r="J89" s="35" t="s">
        <v>295</v>
      </c>
      <c r="K89" s="35" t="s">
        <v>730</v>
      </c>
      <c r="L89" s="35" t="s">
        <v>3653</v>
      </c>
      <c r="M89" s="35" t="s">
        <v>57</v>
      </c>
      <c r="N89" s="35" t="s">
        <v>2389</v>
      </c>
      <c r="O89" s="35" t="s">
        <v>3654</v>
      </c>
      <c r="P89" s="35" t="s">
        <v>3655</v>
      </c>
      <c r="Q89" s="35" t="s">
        <v>93</v>
      </c>
      <c r="R89" s="35" t="s">
        <v>57</v>
      </c>
      <c r="S89" s="35" t="s">
        <v>57</v>
      </c>
      <c r="T89" s="35" t="s">
        <v>74</v>
      </c>
      <c r="U89" s="35" t="s">
        <v>57</v>
      </c>
      <c r="V89" s="35" t="s">
        <v>96</v>
      </c>
      <c r="W89" s="35" t="s">
        <v>64</v>
      </c>
      <c r="X89" s="35" t="s">
        <v>3656</v>
      </c>
      <c r="Y89" s="35" t="s">
        <v>3657</v>
      </c>
      <c r="Z89" s="35" t="s">
        <v>3658</v>
      </c>
      <c r="AA89" s="35">
        <v>2010.0</v>
      </c>
      <c r="AB89" s="35">
        <v>2011.0</v>
      </c>
      <c r="AC89" s="35" t="s">
        <v>74</v>
      </c>
      <c r="AD89" s="35" t="s">
        <v>215</v>
      </c>
      <c r="AE89" s="35" t="s">
        <v>3659</v>
      </c>
      <c r="AF89" s="35" t="s">
        <v>74</v>
      </c>
      <c r="AG89" s="35" t="s">
        <v>57</v>
      </c>
      <c r="AH89" s="35" t="s">
        <v>57</v>
      </c>
      <c r="AI89" s="35" t="s">
        <v>57</v>
      </c>
      <c r="AJ89" s="35" t="s">
        <v>57</v>
      </c>
      <c r="AK89" s="35" t="s">
        <v>57</v>
      </c>
      <c r="AL89" s="34"/>
      <c r="AM89" s="34" t="s">
        <v>109</v>
      </c>
      <c r="AN89" s="117" t="s">
        <v>3660</v>
      </c>
      <c r="AO89" s="117" t="s">
        <v>201</v>
      </c>
      <c r="AP89" s="118"/>
    </row>
    <row r="90">
      <c r="A90" s="102">
        <v>120.0</v>
      </c>
      <c r="B90" s="34">
        <v>8.79386385E8</v>
      </c>
      <c r="C90" s="34" t="s">
        <v>3661</v>
      </c>
      <c r="D90" s="34" t="s">
        <v>3083</v>
      </c>
      <c r="E90" s="35" t="s">
        <v>3662</v>
      </c>
      <c r="F90" s="43" t="s">
        <v>3663</v>
      </c>
      <c r="G90" s="35" t="s">
        <v>3538</v>
      </c>
      <c r="H90" s="43" t="s">
        <v>3664</v>
      </c>
      <c r="I90" s="35">
        <v>2019.0</v>
      </c>
      <c r="J90" s="35" t="s">
        <v>2117</v>
      </c>
      <c r="K90" s="35" t="s">
        <v>730</v>
      </c>
      <c r="L90" s="35" t="s">
        <v>3540</v>
      </c>
      <c r="M90" s="35" t="s">
        <v>57</v>
      </c>
      <c r="N90" s="35" t="s">
        <v>3538</v>
      </c>
      <c r="O90" s="35" t="s">
        <v>3665</v>
      </c>
      <c r="P90" s="35" t="s">
        <v>3666</v>
      </c>
      <c r="Q90" s="35" t="s">
        <v>93</v>
      </c>
      <c r="R90" s="35" t="s">
        <v>57</v>
      </c>
      <c r="S90" s="35" t="s">
        <v>57</v>
      </c>
      <c r="T90" s="35" t="s">
        <v>74</v>
      </c>
      <c r="U90" s="35" t="s">
        <v>57</v>
      </c>
      <c r="V90" s="35" t="s">
        <v>2394</v>
      </c>
      <c r="W90" s="35" t="s">
        <v>161</v>
      </c>
      <c r="X90" s="35" t="s">
        <v>3667</v>
      </c>
      <c r="Y90" s="35" t="s">
        <v>2397</v>
      </c>
      <c r="Z90" s="35" t="s">
        <v>3668</v>
      </c>
      <c r="AA90" s="35" t="s">
        <v>57</v>
      </c>
      <c r="AB90" s="35" t="s">
        <v>57</v>
      </c>
      <c r="AC90" s="35" t="s">
        <v>74</v>
      </c>
      <c r="AD90" s="35" t="s">
        <v>215</v>
      </c>
      <c r="AE90" s="35" t="s">
        <v>3669</v>
      </c>
      <c r="AF90" s="35" t="s">
        <v>69</v>
      </c>
      <c r="AG90" s="35" t="s">
        <v>129</v>
      </c>
      <c r="AH90" s="35" t="s">
        <v>129</v>
      </c>
      <c r="AI90" s="35" t="s">
        <v>57</v>
      </c>
      <c r="AJ90" s="35" t="s">
        <v>57</v>
      </c>
      <c r="AK90" s="35" t="s">
        <v>3670</v>
      </c>
      <c r="AL90" s="34"/>
      <c r="AM90" s="34" t="s">
        <v>109</v>
      </c>
      <c r="AN90" s="117" t="s">
        <v>3671</v>
      </c>
      <c r="AO90" s="117" t="s">
        <v>201</v>
      </c>
      <c r="AP90" s="117" t="s">
        <v>3672</v>
      </c>
    </row>
    <row r="91">
      <c r="A91" s="102">
        <v>121.0</v>
      </c>
      <c r="B91" s="34">
        <v>8.7938639E8</v>
      </c>
      <c r="C91" s="34" t="s">
        <v>3673</v>
      </c>
      <c r="D91" s="34" t="s">
        <v>3674</v>
      </c>
      <c r="E91" s="35" t="s">
        <v>3675</v>
      </c>
      <c r="F91" s="43" t="s">
        <v>3676</v>
      </c>
      <c r="G91" s="35" t="s">
        <v>859</v>
      </c>
      <c r="H91" s="43" t="s">
        <v>3677</v>
      </c>
      <c r="I91" s="35">
        <v>2019.0</v>
      </c>
      <c r="J91" s="35" t="s">
        <v>3678</v>
      </c>
      <c r="K91" s="35" t="s">
        <v>730</v>
      </c>
      <c r="L91" s="35" t="s">
        <v>3679</v>
      </c>
      <c r="M91" s="35" t="s">
        <v>57</v>
      </c>
      <c r="N91" s="35" t="s">
        <v>859</v>
      </c>
      <c r="O91" s="35" t="s">
        <v>862</v>
      </c>
      <c r="P91" s="35" t="s">
        <v>3680</v>
      </c>
      <c r="Q91" s="35" t="s">
        <v>93</v>
      </c>
      <c r="R91" s="43" t="s">
        <v>3681</v>
      </c>
      <c r="S91" s="43" t="s">
        <v>3682</v>
      </c>
      <c r="T91" s="35" t="s">
        <v>74</v>
      </c>
      <c r="U91" s="35" t="s">
        <v>57</v>
      </c>
      <c r="V91" s="35" t="s">
        <v>96</v>
      </c>
      <c r="W91" s="35" t="s">
        <v>64</v>
      </c>
      <c r="X91" s="35" t="s">
        <v>3683</v>
      </c>
      <c r="Y91" s="35" t="s">
        <v>2397</v>
      </c>
      <c r="Z91" s="35" t="s">
        <v>3684</v>
      </c>
      <c r="AA91" s="35" t="s">
        <v>57</v>
      </c>
      <c r="AB91" s="35" t="s">
        <v>57</v>
      </c>
      <c r="AC91" s="35" t="s">
        <v>74</v>
      </c>
      <c r="AD91" s="35" t="s">
        <v>215</v>
      </c>
      <c r="AE91" s="35" t="s">
        <v>3685</v>
      </c>
      <c r="AF91" s="35" t="s">
        <v>69</v>
      </c>
      <c r="AG91" s="35" t="s">
        <v>129</v>
      </c>
      <c r="AH91" s="35" t="s">
        <v>129</v>
      </c>
      <c r="AI91" s="35" t="s">
        <v>57</v>
      </c>
      <c r="AJ91" s="35" t="s">
        <v>57</v>
      </c>
      <c r="AK91" s="35" t="s">
        <v>3686</v>
      </c>
      <c r="AL91" s="34" t="s">
        <v>2556</v>
      </c>
      <c r="AM91" s="34" t="s">
        <v>109</v>
      </c>
      <c r="AN91" s="117" t="s">
        <v>3687</v>
      </c>
      <c r="AO91" s="117" t="s">
        <v>201</v>
      </c>
      <c r="AP91" s="117" t="s">
        <v>3688</v>
      </c>
    </row>
    <row r="92">
      <c r="A92" s="102">
        <v>122.0</v>
      </c>
      <c r="B92" s="34">
        <v>8.79386384E8</v>
      </c>
      <c r="C92" s="34" t="s">
        <v>3689</v>
      </c>
      <c r="D92" s="34" t="s">
        <v>3690</v>
      </c>
      <c r="E92" s="35" t="s">
        <v>3691</v>
      </c>
      <c r="F92" s="43" t="s">
        <v>3692</v>
      </c>
      <c r="G92" s="35" t="s">
        <v>684</v>
      </c>
      <c r="H92" s="43" t="s">
        <v>3693</v>
      </c>
      <c r="I92" s="35">
        <v>2022.0</v>
      </c>
      <c r="J92" s="43" t="s">
        <v>3176</v>
      </c>
      <c r="K92" s="35" t="s">
        <v>730</v>
      </c>
      <c r="L92" s="35" t="s">
        <v>3694</v>
      </c>
      <c r="M92" s="35" t="s">
        <v>57</v>
      </c>
      <c r="N92" s="35" t="s">
        <v>684</v>
      </c>
      <c r="O92" s="35" t="s">
        <v>3695</v>
      </c>
      <c r="P92" s="35" t="s">
        <v>3696</v>
      </c>
      <c r="Q92" s="35" t="s">
        <v>3697</v>
      </c>
      <c r="R92" s="35" t="s">
        <v>57</v>
      </c>
      <c r="S92" s="35" t="s">
        <v>57</v>
      </c>
      <c r="T92" s="35" t="s">
        <v>69</v>
      </c>
      <c r="U92" s="35" t="s">
        <v>3698</v>
      </c>
      <c r="V92" s="35" t="s">
        <v>96</v>
      </c>
      <c r="W92" s="35" t="s">
        <v>1579</v>
      </c>
      <c r="X92" s="35" t="s">
        <v>3699</v>
      </c>
      <c r="Y92" s="35" t="s">
        <v>2397</v>
      </c>
      <c r="Z92" s="35" t="s">
        <v>3700</v>
      </c>
      <c r="AA92" s="35">
        <v>2020.0</v>
      </c>
      <c r="AB92" s="35">
        <v>2020.0</v>
      </c>
      <c r="AC92" s="35" t="s">
        <v>74</v>
      </c>
      <c r="AD92" s="35" t="s">
        <v>215</v>
      </c>
      <c r="AE92" s="35" t="s">
        <v>3701</v>
      </c>
      <c r="AF92" s="35" t="s">
        <v>69</v>
      </c>
      <c r="AG92" s="35" t="s">
        <v>129</v>
      </c>
      <c r="AH92" s="35" t="s">
        <v>129</v>
      </c>
      <c r="AI92" s="35" t="s">
        <v>57</v>
      </c>
      <c r="AJ92" s="35" t="s">
        <v>57</v>
      </c>
      <c r="AK92" s="35" t="s">
        <v>3702</v>
      </c>
      <c r="AL92" s="34" t="s">
        <v>2556</v>
      </c>
      <c r="AM92" s="34" t="s">
        <v>1522</v>
      </c>
      <c r="AN92" s="117" t="s">
        <v>324</v>
      </c>
      <c r="AO92" s="117" t="s">
        <v>201</v>
      </c>
      <c r="AP92" s="117" t="s">
        <v>3703</v>
      </c>
    </row>
    <row r="93">
      <c r="A93" s="102">
        <v>124.0</v>
      </c>
      <c r="B93" s="47">
        <v>8.79386429E8</v>
      </c>
      <c r="C93" s="34" t="s">
        <v>3704</v>
      </c>
      <c r="D93" s="34" t="s">
        <v>3705</v>
      </c>
      <c r="E93" s="35" t="s">
        <v>3706</v>
      </c>
      <c r="F93" s="43" t="s">
        <v>3707</v>
      </c>
      <c r="G93" s="35" t="s">
        <v>859</v>
      </c>
      <c r="H93" s="43" t="s">
        <v>3708</v>
      </c>
      <c r="I93" s="35">
        <v>2013.0</v>
      </c>
      <c r="J93" s="43" t="s">
        <v>3709</v>
      </c>
      <c r="K93" s="35" t="s">
        <v>3710</v>
      </c>
      <c r="L93" s="35" t="s">
        <v>57</v>
      </c>
      <c r="M93" s="35" t="s">
        <v>57</v>
      </c>
      <c r="N93" s="35" t="s">
        <v>859</v>
      </c>
      <c r="O93" s="35" t="s">
        <v>3711</v>
      </c>
      <c r="P93" s="35" t="s">
        <v>3712</v>
      </c>
      <c r="Q93" s="35" t="s">
        <v>93</v>
      </c>
      <c r="R93" s="43" t="s">
        <v>3713</v>
      </c>
      <c r="S93" s="43" t="s">
        <v>3714</v>
      </c>
      <c r="T93" s="35" t="s">
        <v>74</v>
      </c>
      <c r="U93" s="35" t="s">
        <v>57</v>
      </c>
      <c r="V93" s="35" t="s">
        <v>96</v>
      </c>
      <c r="W93" s="35" t="s">
        <v>64</v>
      </c>
      <c r="X93" s="35" t="s">
        <v>3715</v>
      </c>
      <c r="Y93" s="35" t="s">
        <v>2831</v>
      </c>
      <c r="Z93" s="35" t="s">
        <v>3716</v>
      </c>
      <c r="AA93" s="35" t="s">
        <v>57</v>
      </c>
      <c r="AB93" s="35" t="s">
        <v>57</v>
      </c>
      <c r="AC93" s="35" t="s">
        <v>74</v>
      </c>
      <c r="AD93" s="35" t="s">
        <v>215</v>
      </c>
      <c r="AE93" s="35" t="s">
        <v>3717</v>
      </c>
      <c r="AF93" s="35" t="s">
        <v>69</v>
      </c>
      <c r="AG93" s="35" t="s">
        <v>129</v>
      </c>
      <c r="AH93" s="35" t="s">
        <v>129</v>
      </c>
      <c r="AI93" s="35" t="s">
        <v>57</v>
      </c>
      <c r="AJ93" s="35" t="s">
        <v>57</v>
      </c>
      <c r="AK93" s="35" t="s">
        <v>3718</v>
      </c>
      <c r="AL93" s="34"/>
      <c r="AM93" s="34" t="s">
        <v>1522</v>
      </c>
      <c r="AN93" s="107" t="s">
        <v>3719</v>
      </c>
      <c r="AO93" s="107" t="s">
        <v>201</v>
      </c>
      <c r="AP93" s="107" t="s">
        <v>3720</v>
      </c>
    </row>
    <row r="94">
      <c r="A94" s="102">
        <v>126.0</v>
      </c>
      <c r="B94" s="34">
        <v>8.79386493E8</v>
      </c>
      <c r="C94" s="34" t="s">
        <v>3721</v>
      </c>
      <c r="D94" s="34" t="s">
        <v>3722</v>
      </c>
      <c r="E94" s="35" t="s">
        <v>3723</v>
      </c>
      <c r="F94" s="43" t="s">
        <v>3724</v>
      </c>
      <c r="G94" s="35" t="s">
        <v>859</v>
      </c>
      <c r="H94" s="43" t="s">
        <v>3725</v>
      </c>
      <c r="I94" s="35">
        <v>2021.0</v>
      </c>
      <c r="J94" s="35" t="s">
        <v>3726</v>
      </c>
      <c r="K94" s="35" t="s">
        <v>730</v>
      </c>
      <c r="L94" s="35" t="s">
        <v>3727</v>
      </c>
      <c r="M94" s="35" t="s">
        <v>57</v>
      </c>
      <c r="N94" s="35" t="s">
        <v>859</v>
      </c>
      <c r="O94" s="35" t="s">
        <v>3728</v>
      </c>
      <c r="P94" s="35" t="s">
        <v>3729</v>
      </c>
      <c r="Q94" s="35" t="s">
        <v>93</v>
      </c>
      <c r="R94" s="35" t="s">
        <v>57</v>
      </c>
      <c r="S94" s="35" t="s">
        <v>57</v>
      </c>
      <c r="T94" s="35" t="s">
        <v>74</v>
      </c>
      <c r="U94" s="35" t="s">
        <v>57</v>
      </c>
      <c r="V94" s="35" t="s">
        <v>96</v>
      </c>
      <c r="W94" s="35" t="s">
        <v>1389</v>
      </c>
      <c r="X94" s="35" t="s">
        <v>3730</v>
      </c>
      <c r="Y94" s="35" t="s">
        <v>2397</v>
      </c>
      <c r="Z94" s="35" t="s">
        <v>3731</v>
      </c>
      <c r="AA94" s="35" t="s">
        <v>57</v>
      </c>
      <c r="AB94" s="35" t="s">
        <v>57</v>
      </c>
      <c r="AC94" s="35" t="s">
        <v>74</v>
      </c>
      <c r="AD94" s="35" t="s">
        <v>96</v>
      </c>
      <c r="AE94" s="35" t="s">
        <v>3732</v>
      </c>
      <c r="AF94" s="35" t="s">
        <v>69</v>
      </c>
      <c r="AG94" s="35" t="s">
        <v>129</v>
      </c>
      <c r="AH94" s="35" t="s">
        <v>129</v>
      </c>
      <c r="AI94" s="35" t="s">
        <v>57</v>
      </c>
      <c r="AJ94" s="35" t="s">
        <v>57</v>
      </c>
      <c r="AK94" s="35" t="s">
        <v>3733</v>
      </c>
      <c r="AL94" s="34"/>
      <c r="AM94" s="34" t="s">
        <v>109</v>
      </c>
      <c r="AN94" s="107" t="s">
        <v>3734</v>
      </c>
      <c r="AO94" s="107" t="s">
        <v>201</v>
      </c>
      <c r="AP94" s="107" t="s">
        <v>3735</v>
      </c>
    </row>
    <row r="95">
      <c r="A95" s="102">
        <v>127.0</v>
      </c>
      <c r="B95" s="34">
        <v>8.7938646E8</v>
      </c>
      <c r="C95" s="34" t="s">
        <v>3736</v>
      </c>
      <c r="D95" s="34" t="s">
        <v>3737</v>
      </c>
      <c r="E95" s="35" t="s">
        <v>3738</v>
      </c>
      <c r="F95" s="43" t="s">
        <v>3739</v>
      </c>
      <c r="G95" s="35" t="s">
        <v>992</v>
      </c>
      <c r="H95" s="43" t="s">
        <v>3740</v>
      </c>
      <c r="I95" s="35">
        <v>2017.0</v>
      </c>
      <c r="J95" s="35" t="s">
        <v>3741</v>
      </c>
      <c r="K95" s="35" t="s">
        <v>730</v>
      </c>
      <c r="L95" s="35" t="s">
        <v>3742</v>
      </c>
      <c r="M95" s="35" t="s">
        <v>57</v>
      </c>
      <c r="N95" s="35" t="s">
        <v>992</v>
      </c>
      <c r="O95" s="35" t="s">
        <v>1364</v>
      </c>
      <c r="P95" s="35" t="s">
        <v>3743</v>
      </c>
      <c r="Q95" s="35" t="s">
        <v>554</v>
      </c>
      <c r="R95" s="35" t="s">
        <v>57</v>
      </c>
      <c r="S95" s="35" t="s">
        <v>57</v>
      </c>
      <c r="T95" s="35" t="s">
        <v>74</v>
      </c>
      <c r="U95" s="35" t="s">
        <v>57</v>
      </c>
      <c r="V95" s="35" t="s">
        <v>96</v>
      </c>
      <c r="W95" s="35" t="s">
        <v>351</v>
      </c>
      <c r="X95" s="35" t="s">
        <v>3744</v>
      </c>
      <c r="Y95" s="35" t="s">
        <v>3745</v>
      </c>
      <c r="Z95" s="35" t="s">
        <v>3746</v>
      </c>
      <c r="AA95" s="35" t="s">
        <v>57</v>
      </c>
      <c r="AB95" s="35" t="s">
        <v>57</v>
      </c>
      <c r="AC95" s="35" t="s">
        <v>74</v>
      </c>
      <c r="AD95" s="35" t="s">
        <v>215</v>
      </c>
      <c r="AE95" s="35" t="s">
        <v>3747</v>
      </c>
      <c r="AF95" s="35" t="s">
        <v>74</v>
      </c>
      <c r="AG95" s="35" t="s">
        <v>57</v>
      </c>
      <c r="AH95" s="35" t="s">
        <v>57</v>
      </c>
      <c r="AI95" s="35" t="s">
        <v>57</v>
      </c>
      <c r="AJ95" s="35" t="s">
        <v>57</v>
      </c>
      <c r="AK95" s="35" t="s">
        <v>57</v>
      </c>
      <c r="AL95" s="34"/>
      <c r="AM95" s="34" t="s">
        <v>109</v>
      </c>
      <c r="AN95" s="107" t="s">
        <v>3748</v>
      </c>
      <c r="AO95" s="107" t="s">
        <v>201</v>
      </c>
      <c r="AP95" s="107" t="s">
        <v>3749</v>
      </c>
    </row>
    <row r="96">
      <c r="A96" s="102">
        <v>128.0</v>
      </c>
      <c r="B96" s="34">
        <v>8.79386497E8</v>
      </c>
      <c r="C96" s="34" t="s">
        <v>3750</v>
      </c>
      <c r="D96" s="34" t="s">
        <v>3751</v>
      </c>
      <c r="E96" s="35" t="s">
        <v>3752</v>
      </c>
      <c r="F96" s="43" t="s">
        <v>3753</v>
      </c>
      <c r="G96" s="35" t="s">
        <v>859</v>
      </c>
      <c r="H96" s="43" t="s">
        <v>3754</v>
      </c>
      <c r="I96" s="35">
        <v>2017.0</v>
      </c>
      <c r="J96" s="43" t="s">
        <v>3755</v>
      </c>
      <c r="K96" s="35" t="s">
        <v>730</v>
      </c>
      <c r="L96" s="35" t="s">
        <v>57</v>
      </c>
      <c r="M96" s="35" t="s">
        <v>57</v>
      </c>
      <c r="N96" s="35" t="s">
        <v>859</v>
      </c>
      <c r="O96" s="35" t="s">
        <v>3756</v>
      </c>
      <c r="P96" s="35" t="s">
        <v>3757</v>
      </c>
      <c r="Q96" s="35" t="s">
        <v>93</v>
      </c>
      <c r="R96" s="35" t="s">
        <v>57</v>
      </c>
      <c r="S96" s="35" t="s">
        <v>57</v>
      </c>
      <c r="T96" s="35" t="s">
        <v>74</v>
      </c>
      <c r="U96" s="35" t="s">
        <v>57</v>
      </c>
      <c r="V96" s="35" t="s">
        <v>2394</v>
      </c>
      <c r="W96" s="35" t="s">
        <v>749</v>
      </c>
      <c r="X96" s="35" t="s">
        <v>3758</v>
      </c>
      <c r="Y96" s="35" t="s">
        <v>2397</v>
      </c>
      <c r="Z96" s="35" t="s">
        <v>3759</v>
      </c>
      <c r="AA96" s="35" t="s">
        <v>57</v>
      </c>
      <c r="AB96" s="35" t="s">
        <v>57</v>
      </c>
      <c r="AC96" s="35" t="s">
        <v>74</v>
      </c>
      <c r="AD96" s="35" t="s">
        <v>96</v>
      </c>
      <c r="AE96" s="35" t="s">
        <v>3760</v>
      </c>
      <c r="AF96" s="35" t="s">
        <v>69</v>
      </c>
      <c r="AG96" s="35" t="s">
        <v>1791</v>
      </c>
      <c r="AH96" s="35" t="s">
        <v>129</v>
      </c>
      <c r="AI96" s="35" t="s">
        <v>2067</v>
      </c>
      <c r="AJ96" s="35" t="s">
        <v>57</v>
      </c>
      <c r="AK96" s="35" t="s">
        <v>3761</v>
      </c>
      <c r="AL96" s="34"/>
      <c r="AM96" s="34" t="s">
        <v>1522</v>
      </c>
      <c r="AN96" s="107" t="s">
        <v>1848</v>
      </c>
      <c r="AO96" s="107" t="s">
        <v>201</v>
      </c>
      <c r="AP96" s="107" t="s">
        <v>3762</v>
      </c>
    </row>
    <row r="97">
      <c r="A97" s="102">
        <v>129.0</v>
      </c>
      <c r="B97" s="34">
        <v>8.79386525E8</v>
      </c>
      <c r="C97" s="34" t="s">
        <v>3763</v>
      </c>
      <c r="D97" s="34" t="s">
        <v>3764</v>
      </c>
      <c r="E97" s="35" t="s">
        <v>3765</v>
      </c>
      <c r="F97" s="43" t="s">
        <v>3766</v>
      </c>
      <c r="G97" s="35" t="s">
        <v>2315</v>
      </c>
      <c r="H97" s="43" t="s">
        <v>3767</v>
      </c>
      <c r="I97" s="35">
        <v>2004.0</v>
      </c>
      <c r="J97" s="35" t="s">
        <v>3768</v>
      </c>
      <c r="K97" s="35" t="s">
        <v>730</v>
      </c>
      <c r="L97" s="35" t="s">
        <v>57</v>
      </c>
      <c r="M97" s="35" t="s">
        <v>57</v>
      </c>
      <c r="N97" s="35" t="s">
        <v>2315</v>
      </c>
      <c r="O97" s="35" t="s">
        <v>400</v>
      </c>
      <c r="P97" s="35" t="s">
        <v>3769</v>
      </c>
      <c r="Q97" s="35" t="s">
        <v>93</v>
      </c>
      <c r="R97" s="35" t="s">
        <v>57</v>
      </c>
      <c r="S97" s="35" t="s">
        <v>57</v>
      </c>
      <c r="T97" s="35" t="s">
        <v>74</v>
      </c>
      <c r="U97" s="35" t="s">
        <v>57</v>
      </c>
      <c r="V97" s="35" t="s">
        <v>193</v>
      </c>
      <c r="W97" s="35" t="s">
        <v>64</v>
      </c>
      <c r="X97" s="35" t="s">
        <v>3770</v>
      </c>
      <c r="Y97" s="35" t="s">
        <v>2397</v>
      </c>
      <c r="Z97" s="35" t="s">
        <v>3771</v>
      </c>
      <c r="AA97" s="35">
        <v>1997.0</v>
      </c>
      <c r="AB97" s="35">
        <v>2000.0</v>
      </c>
      <c r="AC97" s="35" t="s">
        <v>74</v>
      </c>
      <c r="AD97" s="35" t="s">
        <v>215</v>
      </c>
      <c r="AE97" s="35" t="s">
        <v>3772</v>
      </c>
      <c r="AF97" s="35" t="s">
        <v>74</v>
      </c>
      <c r="AG97" s="35" t="s">
        <v>57</v>
      </c>
      <c r="AH97" s="35" t="s">
        <v>57</v>
      </c>
      <c r="AI97" s="35" t="s">
        <v>57</v>
      </c>
      <c r="AJ97" s="35" t="s">
        <v>57</v>
      </c>
      <c r="AK97" s="35" t="s">
        <v>57</v>
      </c>
      <c r="AL97" s="34"/>
      <c r="AM97" s="34" t="s">
        <v>109</v>
      </c>
      <c r="AN97" s="103" t="s">
        <v>3773</v>
      </c>
      <c r="AO97" s="103" t="s">
        <v>1955</v>
      </c>
      <c r="AP97" s="104"/>
    </row>
    <row r="98">
      <c r="A98" s="102">
        <v>131.0</v>
      </c>
      <c r="B98" s="34">
        <v>8.79386538E8</v>
      </c>
      <c r="C98" s="34" t="s">
        <v>3774</v>
      </c>
      <c r="D98" s="38" t="s">
        <v>3775</v>
      </c>
      <c r="E98" s="35" t="s">
        <v>3776</v>
      </c>
      <c r="F98" s="43" t="s">
        <v>3777</v>
      </c>
      <c r="G98" s="35" t="s">
        <v>1455</v>
      </c>
      <c r="H98" s="43" t="s">
        <v>3778</v>
      </c>
      <c r="I98" s="35">
        <v>2021.0</v>
      </c>
      <c r="J98" s="43" t="s">
        <v>3779</v>
      </c>
      <c r="K98" s="35" t="s">
        <v>730</v>
      </c>
      <c r="L98" s="35" t="s">
        <v>3780</v>
      </c>
      <c r="M98" s="35" t="s">
        <v>57</v>
      </c>
      <c r="N98" s="35" t="s">
        <v>1455</v>
      </c>
      <c r="O98" s="35" t="s">
        <v>3781</v>
      </c>
      <c r="P98" s="35" t="s">
        <v>3782</v>
      </c>
      <c r="Q98" s="35" t="s">
        <v>93</v>
      </c>
      <c r="R98" s="35" t="s">
        <v>57</v>
      </c>
      <c r="S98" s="35" t="s">
        <v>57</v>
      </c>
      <c r="T98" s="35" t="s">
        <v>74</v>
      </c>
      <c r="U98" s="35" t="s">
        <v>57</v>
      </c>
      <c r="V98" s="35" t="s">
        <v>96</v>
      </c>
      <c r="W98" s="35" t="s">
        <v>64</v>
      </c>
      <c r="X98" s="35" t="s">
        <v>3783</v>
      </c>
      <c r="Y98" s="35" t="s">
        <v>2397</v>
      </c>
      <c r="Z98" s="35" t="s">
        <v>3784</v>
      </c>
      <c r="AA98" s="35">
        <v>2020.0</v>
      </c>
      <c r="AB98" s="35">
        <v>2020.0</v>
      </c>
      <c r="AC98" s="35" t="s">
        <v>74</v>
      </c>
      <c r="AD98" s="35" t="s">
        <v>215</v>
      </c>
      <c r="AE98" s="35" t="s">
        <v>3785</v>
      </c>
      <c r="AF98" s="35" t="s">
        <v>69</v>
      </c>
      <c r="AG98" s="35" t="s">
        <v>129</v>
      </c>
      <c r="AH98" s="35" t="s">
        <v>129</v>
      </c>
      <c r="AI98" s="35" t="s">
        <v>57</v>
      </c>
      <c r="AJ98" s="35" t="s">
        <v>57</v>
      </c>
      <c r="AK98" s="35" t="s">
        <v>3786</v>
      </c>
      <c r="AL98" s="34"/>
      <c r="AM98" s="34" t="s">
        <v>1522</v>
      </c>
      <c r="AN98" s="103" t="s">
        <v>3787</v>
      </c>
      <c r="AO98" s="103" t="s">
        <v>1955</v>
      </c>
      <c r="AP98" s="104"/>
    </row>
    <row r="99">
      <c r="A99" s="102">
        <v>132.0</v>
      </c>
      <c r="B99" s="34">
        <v>8.79386551E8</v>
      </c>
      <c r="C99" s="34" t="s">
        <v>3788</v>
      </c>
      <c r="D99" s="38" t="s">
        <v>3789</v>
      </c>
      <c r="E99" s="35" t="s">
        <v>3790</v>
      </c>
      <c r="F99" s="43" t="s">
        <v>3791</v>
      </c>
      <c r="G99" s="35" t="s">
        <v>1744</v>
      </c>
      <c r="H99" s="43" t="s">
        <v>3792</v>
      </c>
      <c r="I99" s="35">
        <v>2019.0</v>
      </c>
      <c r="J99" s="43" t="s">
        <v>3793</v>
      </c>
      <c r="K99" s="35" t="s">
        <v>730</v>
      </c>
      <c r="L99" s="35" t="s">
        <v>57</v>
      </c>
      <c r="M99" s="35" t="s">
        <v>57</v>
      </c>
      <c r="N99" s="35" t="s">
        <v>1744</v>
      </c>
      <c r="O99" s="43" t="s">
        <v>3794</v>
      </c>
      <c r="P99" s="43" t="s">
        <v>3795</v>
      </c>
      <c r="Q99" s="35" t="s">
        <v>93</v>
      </c>
      <c r="R99" s="35" t="s">
        <v>57</v>
      </c>
      <c r="S99" s="35" t="s">
        <v>57</v>
      </c>
      <c r="T99" s="35" t="s">
        <v>74</v>
      </c>
      <c r="U99" s="35" t="s">
        <v>57</v>
      </c>
      <c r="V99" s="35" t="s">
        <v>96</v>
      </c>
      <c r="W99" s="35" t="s">
        <v>3796</v>
      </c>
      <c r="X99" s="35" t="s">
        <v>3797</v>
      </c>
      <c r="Y99" s="35" t="s">
        <v>2397</v>
      </c>
      <c r="Z99" s="35" t="s">
        <v>3798</v>
      </c>
      <c r="AA99" s="35" t="s">
        <v>57</v>
      </c>
      <c r="AB99" s="35" t="s">
        <v>57</v>
      </c>
      <c r="AC99" s="35" t="s">
        <v>74</v>
      </c>
      <c r="AD99" s="35" t="s">
        <v>215</v>
      </c>
      <c r="AE99" s="35" t="s">
        <v>3799</v>
      </c>
      <c r="AF99" s="35" t="s">
        <v>69</v>
      </c>
      <c r="AG99" s="35" t="s">
        <v>129</v>
      </c>
      <c r="AH99" s="35" t="s">
        <v>129</v>
      </c>
      <c r="AI99" s="35" t="s">
        <v>57</v>
      </c>
      <c r="AJ99" s="35" t="s">
        <v>57</v>
      </c>
      <c r="AK99" s="35" t="s">
        <v>3800</v>
      </c>
      <c r="AL99" s="34"/>
      <c r="AM99" s="34" t="s">
        <v>1522</v>
      </c>
      <c r="AN99" s="103" t="s">
        <v>3801</v>
      </c>
      <c r="AO99" s="103" t="s">
        <v>1955</v>
      </c>
      <c r="AP99" s="104"/>
    </row>
    <row r="100">
      <c r="A100" s="102">
        <v>133.0</v>
      </c>
      <c r="B100" s="34">
        <v>8.79386556E8</v>
      </c>
      <c r="C100" s="34" t="s">
        <v>3802</v>
      </c>
      <c r="D100" s="34" t="s">
        <v>3803</v>
      </c>
      <c r="E100" s="35" t="s">
        <v>3804</v>
      </c>
      <c r="F100" s="43" t="s">
        <v>3805</v>
      </c>
      <c r="G100" s="35" t="s">
        <v>154</v>
      </c>
      <c r="H100" s="43" t="s">
        <v>3806</v>
      </c>
      <c r="I100" s="35">
        <v>2010.0</v>
      </c>
      <c r="J100" s="35" t="s">
        <v>3807</v>
      </c>
      <c r="K100" s="35" t="s">
        <v>730</v>
      </c>
      <c r="L100" s="35" t="s">
        <v>3808</v>
      </c>
      <c r="M100" s="35" t="s">
        <v>57</v>
      </c>
      <c r="N100" s="35" t="s">
        <v>154</v>
      </c>
      <c r="O100" s="35" t="s">
        <v>3809</v>
      </c>
      <c r="P100" s="35" t="s">
        <v>3810</v>
      </c>
      <c r="Q100" s="35" t="s">
        <v>93</v>
      </c>
      <c r="R100" s="35" t="s">
        <v>57</v>
      </c>
      <c r="S100" s="35" t="s">
        <v>57</v>
      </c>
      <c r="T100" s="35" t="s">
        <v>74</v>
      </c>
      <c r="U100" s="35" t="s">
        <v>57</v>
      </c>
      <c r="V100" s="35" t="s">
        <v>2394</v>
      </c>
      <c r="W100" s="35" t="s">
        <v>64</v>
      </c>
      <c r="X100" s="35" t="s">
        <v>3811</v>
      </c>
      <c r="Y100" s="35" t="s">
        <v>2397</v>
      </c>
      <c r="Z100" s="35" t="s">
        <v>3812</v>
      </c>
      <c r="AA100" s="35">
        <v>2009.0</v>
      </c>
      <c r="AB100" s="35">
        <v>2009.0</v>
      </c>
      <c r="AC100" s="35" t="s">
        <v>74</v>
      </c>
      <c r="AD100" s="35" t="s">
        <v>215</v>
      </c>
      <c r="AE100" s="35" t="s">
        <v>3813</v>
      </c>
      <c r="AF100" s="35" t="s">
        <v>74</v>
      </c>
      <c r="AG100" s="35" t="s">
        <v>57</v>
      </c>
      <c r="AH100" s="35" t="s">
        <v>57</v>
      </c>
      <c r="AI100" s="35" t="s">
        <v>57</v>
      </c>
      <c r="AJ100" s="35" t="s">
        <v>57</v>
      </c>
      <c r="AK100" s="35" t="s">
        <v>57</v>
      </c>
      <c r="AL100" s="34"/>
      <c r="AM100" s="34" t="s">
        <v>109</v>
      </c>
      <c r="AN100" s="103" t="s">
        <v>3814</v>
      </c>
      <c r="AO100" s="103" t="s">
        <v>1955</v>
      </c>
      <c r="AP100" s="104"/>
    </row>
    <row r="101">
      <c r="A101" s="102">
        <v>135.0</v>
      </c>
      <c r="B101" s="34">
        <v>8.79386575E8</v>
      </c>
      <c r="C101" s="34" t="s">
        <v>3815</v>
      </c>
      <c r="D101" s="34" t="s">
        <v>3816</v>
      </c>
      <c r="E101" s="35" t="s">
        <v>3817</v>
      </c>
      <c r="F101" s="43" t="s">
        <v>3818</v>
      </c>
      <c r="G101" s="35" t="s">
        <v>859</v>
      </c>
      <c r="H101" s="43" t="s">
        <v>3819</v>
      </c>
      <c r="I101" s="35">
        <v>2011.0</v>
      </c>
      <c r="J101" s="35" t="s">
        <v>3820</v>
      </c>
      <c r="K101" s="35" t="s">
        <v>730</v>
      </c>
      <c r="L101" s="35" t="s">
        <v>3821</v>
      </c>
      <c r="M101" s="35" t="s">
        <v>57</v>
      </c>
      <c r="N101" s="35" t="s">
        <v>859</v>
      </c>
      <c r="O101" s="35" t="s">
        <v>3129</v>
      </c>
      <c r="P101" s="35" t="s">
        <v>3822</v>
      </c>
      <c r="Q101" s="35" t="s">
        <v>93</v>
      </c>
      <c r="R101" s="35" t="s">
        <v>3823</v>
      </c>
      <c r="S101" s="35" t="s">
        <v>3824</v>
      </c>
      <c r="T101" s="35" t="s">
        <v>74</v>
      </c>
      <c r="U101" s="35" t="s">
        <v>57</v>
      </c>
      <c r="V101" s="35" t="s">
        <v>96</v>
      </c>
      <c r="W101" s="35" t="s">
        <v>64</v>
      </c>
      <c r="X101" s="35" t="s">
        <v>3825</v>
      </c>
      <c r="Y101" s="35" t="s">
        <v>2397</v>
      </c>
      <c r="Z101" s="35" t="s">
        <v>3826</v>
      </c>
      <c r="AA101" s="35">
        <v>2010.0</v>
      </c>
      <c r="AB101" s="35">
        <v>2010.0</v>
      </c>
      <c r="AC101" s="35" t="s">
        <v>74</v>
      </c>
      <c r="AD101" s="35" t="s">
        <v>215</v>
      </c>
      <c r="AE101" s="35" t="s">
        <v>3827</v>
      </c>
      <c r="AF101" s="35" t="s">
        <v>69</v>
      </c>
      <c r="AG101" s="35" t="s">
        <v>129</v>
      </c>
      <c r="AH101" s="35" t="s">
        <v>129</v>
      </c>
      <c r="AI101" s="35" t="s">
        <v>57</v>
      </c>
      <c r="AJ101" s="35" t="s">
        <v>57</v>
      </c>
      <c r="AK101" s="35" t="s">
        <v>3828</v>
      </c>
      <c r="AL101" s="34"/>
      <c r="AM101" s="34" t="s">
        <v>109</v>
      </c>
      <c r="AN101" s="103" t="s">
        <v>3829</v>
      </c>
      <c r="AO101" s="103" t="s">
        <v>1955</v>
      </c>
      <c r="AP101" s="104"/>
    </row>
    <row r="102">
      <c r="A102" s="102">
        <v>136.0</v>
      </c>
      <c r="B102" s="34">
        <v>8.79386595E8</v>
      </c>
      <c r="C102" s="34" t="s">
        <v>3830</v>
      </c>
      <c r="D102" s="34" t="s">
        <v>3831</v>
      </c>
      <c r="E102" s="35" t="s">
        <v>3832</v>
      </c>
      <c r="F102" s="43" t="s">
        <v>3833</v>
      </c>
      <c r="G102" s="35" t="s">
        <v>3538</v>
      </c>
      <c r="H102" s="43" t="s">
        <v>3834</v>
      </c>
      <c r="I102" s="35">
        <v>2021.0</v>
      </c>
      <c r="J102" s="35" t="s">
        <v>3835</v>
      </c>
      <c r="K102" s="35" t="s">
        <v>730</v>
      </c>
      <c r="L102" s="35" t="s">
        <v>3836</v>
      </c>
      <c r="M102" s="35" t="s">
        <v>57</v>
      </c>
      <c r="N102" s="35" t="s">
        <v>3538</v>
      </c>
      <c r="O102" s="35" t="s">
        <v>400</v>
      </c>
      <c r="P102" s="35" t="s">
        <v>3837</v>
      </c>
      <c r="Q102" s="35" t="s">
        <v>93</v>
      </c>
      <c r="R102" s="35" t="s">
        <v>57</v>
      </c>
      <c r="S102" s="35" t="s">
        <v>57</v>
      </c>
      <c r="T102" s="35" t="s">
        <v>74</v>
      </c>
      <c r="U102" s="35" t="s">
        <v>57</v>
      </c>
      <c r="V102" s="35" t="s">
        <v>96</v>
      </c>
      <c r="W102" s="35" t="s">
        <v>64</v>
      </c>
      <c r="X102" s="35" t="s">
        <v>3838</v>
      </c>
      <c r="Y102" s="35" t="s">
        <v>2397</v>
      </c>
      <c r="Z102" s="35" t="s">
        <v>3839</v>
      </c>
      <c r="AA102" s="35">
        <v>2019.0</v>
      </c>
      <c r="AB102" s="35">
        <v>2020.0</v>
      </c>
      <c r="AC102" s="35" t="s">
        <v>74</v>
      </c>
      <c r="AD102" s="35" t="s">
        <v>96</v>
      </c>
      <c r="AE102" s="35" t="s">
        <v>3840</v>
      </c>
      <c r="AF102" s="35" t="s">
        <v>69</v>
      </c>
      <c r="AG102" s="35" t="s">
        <v>129</v>
      </c>
      <c r="AH102" s="35" t="s">
        <v>129</v>
      </c>
      <c r="AI102" s="35" t="s">
        <v>57</v>
      </c>
      <c r="AJ102" s="35" t="s">
        <v>57</v>
      </c>
      <c r="AK102" s="35" t="s">
        <v>3841</v>
      </c>
      <c r="AL102" s="34" t="s">
        <v>2556</v>
      </c>
      <c r="AM102" s="34" t="s">
        <v>109</v>
      </c>
      <c r="AN102" s="103" t="s">
        <v>3842</v>
      </c>
      <c r="AO102" s="103" t="s">
        <v>1955</v>
      </c>
      <c r="AP102" s="104"/>
    </row>
    <row r="103">
      <c r="A103" s="102">
        <v>137.0</v>
      </c>
      <c r="B103" s="34">
        <v>8.79386608E8</v>
      </c>
      <c r="C103" s="34" t="s">
        <v>3843</v>
      </c>
      <c r="D103" s="34" t="s">
        <v>3844</v>
      </c>
      <c r="E103" s="35" t="s">
        <v>3845</v>
      </c>
      <c r="F103" s="43" t="s">
        <v>3846</v>
      </c>
      <c r="G103" s="35" t="s">
        <v>3847</v>
      </c>
      <c r="H103" s="43" t="s">
        <v>3848</v>
      </c>
      <c r="I103" s="35">
        <v>2020.0</v>
      </c>
      <c r="J103" s="35" t="s">
        <v>3849</v>
      </c>
      <c r="K103" s="35" t="s">
        <v>730</v>
      </c>
      <c r="L103" s="35" t="s">
        <v>3850</v>
      </c>
      <c r="M103" s="35" t="s">
        <v>57</v>
      </c>
      <c r="N103" s="35" t="s">
        <v>3847</v>
      </c>
      <c r="O103" s="35" t="s">
        <v>3851</v>
      </c>
      <c r="P103" s="35" t="s">
        <v>3852</v>
      </c>
      <c r="Q103" s="35" t="s">
        <v>93</v>
      </c>
      <c r="R103" s="35" t="s">
        <v>57</v>
      </c>
      <c r="S103" s="35" t="s">
        <v>57</v>
      </c>
      <c r="T103" s="35" t="s">
        <v>74</v>
      </c>
      <c r="U103" s="35" t="s">
        <v>57</v>
      </c>
      <c r="V103" s="35" t="s">
        <v>96</v>
      </c>
      <c r="W103" s="35" t="s">
        <v>64</v>
      </c>
      <c r="X103" s="35" t="s">
        <v>3853</v>
      </c>
      <c r="Y103" s="35" t="s">
        <v>2397</v>
      </c>
      <c r="Z103" s="35" t="s">
        <v>3854</v>
      </c>
      <c r="AA103" s="35" t="s">
        <v>57</v>
      </c>
      <c r="AB103" s="35" t="s">
        <v>57</v>
      </c>
      <c r="AC103" s="35" t="s">
        <v>74</v>
      </c>
      <c r="AD103" s="35" t="s">
        <v>215</v>
      </c>
      <c r="AE103" s="35" t="s">
        <v>3855</v>
      </c>
      <c r="AF103" s="35" t="s">
        <v>74</v>
      </c>
      <c r="AG103" s="35" t="s">
        <v>57</v>
      </c>
      <c r="AH103" s="35" t="s">
        <v>57</v>
      </c>
      <c r="AI103" s="35" t="s">
        <v>57</v>
      </c>
      <c r="AJ103" s="35" t="s">
        <v>57</v>
      </c>
      <c r="AK103" s="35" t="s">
        <v>57</v>
      </c>
      <c r="AL103" s="34"/>
      <c r="AM103" s="34" t="s">
        <v>109</v>
      </c>
      <c r="AN103" s="103" t="s">
        <v>3856</v>
      </c>
      <c r="AO103" s="103" t="s">
        <v>1955</v>
      </c>
      <c r="AP103" s="104"/>
    </row>
    <row r="104">
      <c r="A104" s="102">
        <v>139.0</v>
      </c>
      <c r="B104" s="34">
        <v>8.79386448E8</v>
      </c>
      <c r="C104" s="34" t="s">
        <v>3857</v>
      </c>
      <c r="D104" s="34" t="s">
        <v>3858</v>
      </c>
      <c r="E104" s="35" t="s">
        <v>3859</v>
      </c>
      <c r="F104" s="43" t="s">
        <v>3860</v>
      </c>
      <c r="G104" s="35" t="s">
        <v>2389</v>
      </c>
      <c r="H104" s="43" t="s">
        <v>3861</v>
      </c>
      <c r="I104" s="35">
        <v>2012.0</v>
      </c>
      <c r="J104" s="43" t="s">
        <v>1085</v>
      </c>
      <c r="K104" s="35" t="s">
        <v>730</v>
      </c>
      <c r="L104" s="35" t="s">
        <v>3862</v>
      </c>
      <c r="M104" s="35" t="s">
        <v>57</v>
      </c>
      <c r="N104" s="35" t="s">
        <v>2389</v>
      </c>
      <c r="O104" s="35" t="s">
        <v>1484</v>
      </c>
      <c r="P104" s="35" t="s">
        <v>3863</v>
      </c>
      <c r="Q104" s="35" t="s">
        <v>93</v>
      </c>
      <c r="R104" s="35" t="s">
        <v>57</v>
      </c>
      <c r="S104" s="35" t="s">
        <v>57</v>
      </c>
      <c r="T104" s="35" t="s">
        <v>69</v>
      </c>
      <c r="U104" s="35" t="s">
        <v>3864</v>
      </c>
      <c r="V104" s="35" t="s">
        <v>2394</v>
      </c>
      <c r="W104" s="35" t="s">
        <v>1265</v>
      </c>
      <c r="X104" s="35" t="s">
        <v>3865</v>
      </c>
      <c r="Y104" s="35" t="s">
        <v>3866</v>
      </c>
      <c r="Z104" s="35" t="s">
        <v>3867</v>
      </c>
      <c r="AA104" s="35">
        <v>2010.0</v>
      </c>
      <c r="AB104" s="35">
        <v>2010.0</v>
      </c>
      <c r="AC104" s="35" t="s">
        <v>74</v>
      </c>
      <c r="AD104" s="35" t="s">
        <v>96</v>
      </c>
      <c r="AE104" s="35" t="s">
        <v>3868</v>
      </c>
      <c r="AF104" s="35" t="s">
        <v>74</v>
      </c>
      <c r="AG104" s="35" t="s">
        <v>57</v>
      </c>
      <c r="AH104" s="35" t="s">
        <v>57</v>
      </c>
      <c r="AI104" s="35" t="s">
        <v>57</v>
      </c>
      <c r="AJ104" s="35" t="s">
        <v>57</v>
      </c>
      <c r="AK104" s="35" t="s">
        <v>57</v>
      </c>
      <c r="AL104" s="34"/>
      <c r="AM104" s="34" t="s">
        <v>1522</v>
      </c>
      <c r="AN104" s="103" t="s">
        <v>3869</v>
      </c>
      <c r="AO104" s="103" t="s">
        <v>1955</v>
      </c>
      <c r="AP104" s="104"/>
    </row>
    <row r="105">
      <c r="A105" s="102">
        <v>140.0</v>
      </c>
      <c r="B105" s="34">
        <v>8.79386564E8</v>
      </c>
      <c r="C105" s="34" t="s">
        <v>3870</v>
      </c>
      <c r="D105" s="34" t="s">
        <v>3871</v>
      </c>
      <c r="E105" s="35" t="s">
        <v>3872</v>
      </c>
      <c r="F105" s="43" t="s">
        <v>3873</v>
      </c>
      <c r="G105" s="35" t="s">
        <v>2389</v>
      </c>
      <c r="H105" s="43" t="s">
        <v>3874</v>
      </c>
      <c r="I105" s="35">
        <v>2016.0</v>
      </c>
      <c r="J105" s="43" t="s">
        <v>796</v>
      </c>
      <c r="K105" s="35" t="s">
        <v>730</v>
      </c>
      <c r="L105" s="119" t="s">
        <v>2500</v>
      </c>
      <c r="M105" s="35" t="s">
        <v>3875</v>
      </c>
      <c r="N105" s="35" t="s">
        <v>2389</v>
      </c>
      <c r="O105" s="35" t="s">
        <v>400</v>
      </c>
      <c r="P105" s="35" t="s">
        <v>3876</v>
      </c>
      <c r="Q105" s="35" t="s">
        <v>93</v>
      </c>
      <c r="R105" s="35" t="s">
        <v>57</v>
      </c>
      <c r="S105" s="35" t="s">
        <v>57</v>
      </c>
      <c r="T105" s="35" t="s">
        <v>74</v>
      </c>
      <c r="U105" s="35" t="s">
        <v>57</v>
      </c>
      <c r="V105" s="35" t="s">
        <v>193</v>
      </c>
      <c r="W105" s="35" t="s">
        <v>161</v>
      </c>
      <c r="X105" s="35" t="s">
        <v>3877</v>
      </c>
      <c r="Y105" s="35" t="s">
        <v>3878</v>
      </c>
      <c r="Z105" s="35" t="s">
        <v>3879</v>
      </c>
      <c r="AA105" s="35">
        <v>2005.0</v>
      </c>
      <c r="AB105" s="35" t="s">
        <v>57</v>
      </c>
      <c r="AC105" s="35" t="s">
        <v>69</v>
      </c>
      <c r="AD105" s="35" t="s">
        <v>215</v>
      </c>
      <c r="AE105" s="35" t="s">
        <v>3880</v>
      </c>
      <c r="AF105" s="35" t="s">
        <v>69</v>
      </c>
      <c r="AG105" s="35" t="s">
        <v>129</v>
      </c>
      <c r="AH105" s="35" t="s">
        <v>129</v>
      </c>
      <c r="AI105" s="35" t="s">
        <v>57</v>
      </c>
      <c r="AJ105" s="35" t="s">
        <v>57</v>
      </c>
      <c r="AK105" s="35" t="s">
        <v>3881</v>
      </c>
      <c r="AL105" s="34"/>
      <c r="AM105" s="34" t="s">
        <v>1522</v>
      </c>
      <c r="AN105" s="103" t="s">
        <v>3882</v>
      </c>
      <c r="AO105" s="103" t="s">
        <v>1955</v>
      </c>
      <c r="AP105" s="104"/>
    </row>
    <row r="106">
      <c r="A106" s="120">
        <v>141.0</v>
      </c>
      <c r="B106" s="121">
        <v>8.79386565E8</v>
      </c>
      <c r="C106" s="121" t="s">
        <v>3883</v>
      </c>
      <c r="D106" s="121" t="s">
        <v>3884</v>
      </c>
      <c r="E106" s="122" t="s">
        <v>3885</v>
      </c>
      <c r="F106" s="123" t="s">
        <v>3886</v>
      </c>
      <c r="G106" s="122" t="s">
        <v>2389</v>
      </c>
      <c r="H106" s="123" t="s">
        <v>3887</v>
      </c>
      <c r="I106" s="122">
        <v>2014.0</v>
      </c>
      <c r="J106" s="123" t="s">
        <v>3888</v>
      </c>
      <c r="K106" s="122" t="s">
        <v>730</v>
      </c>
      <c r="L106" s="124" t="s">
        <v>2500</v>
      </c>
      <c r="M106" s="122" t="s">
        <v>57</v>
      </c>
      <c r="N106" s="122" t="s">
        <v>2389</v>
      </c>
      <c r="O106" s="122" t="s">
        <v>1974</v>
      </c>
      <c r="P106" s="122" t="s">
        <v>3889</v>
      </c>
      <c r="Q106" s="122" t="s">
        <v>93</v>
      </c>
      <c r="R106" s="122" t="s">
        <v>3890</v>
      </c>
      <c r="S106" s="122" t="s">
        <v>3891</v>
      </c>
      <c r="T106" s="122" t="s">
        <v>74</v>
      </c>
      <c r="U106" s="122" t="s">
        <v>57</v>
      </c>
      <c r="V106" s="122" t="s">
        <v>2394</v>
      </c>
      <c r="W106" s="122" t="s">
        <v>161</v>
      </c>
      <c r="X106" s="122" t="s">
        <v>3892</v>
      </c>
      <c r="Y106" s="122" t="s">
        <v>2397</v>
      </c>
      <c r="Z106" s="122" t="s">
        <v>3893</v>
      </c>
      <c r="AA106" s="122">
        <v>2006.0</v>
      </c>
      <c r="AB106" s="122">
        <v>2011.0</v>
      </c>
      <c r="AC106" s="122" t="s">
        <v>74</v>
      </c>
      <c r="AD106" s="122" t="s">
        <v>215</v>
      </c>
      <c r="AE106" s="122" t="s">
        <v>3894</v>
      </c>
      <c r="AF106" s="122" t="s">
        <v>69</v>
      </c>
      <c r="AG106" s="122" t="s">
        <v>129</v>
      </c>
      <c r="AH106" s="35" t="s">
        <v>129</v>
      </c>
      <c r="AI106" s="122" t="s">
        <v>57</v>
      </c>
      <c r="AJ106" s="122" t="s">
        <v>57</v>
      </c>
      <c r="AK106" s="122" t="s">
        <v>3895</v>
      </c>
      <c r="AL106" s="121"/>
      <c r="AM106" s="121" t="s">
        <v>1522</v>
      </c>
      <c r="AN106" s="103" t="s">
        <v>3896</v>
      </c>
      <c r="AO106" s="103" t="s">
        <v>1955</v>
      </c>
      <c r="AP106" s="104"/>
    </row>
    <row r="107">
      <c r="A107" s="125">
        <v>159.0</v>
      </c>
      <c r="B107" s="126">
        <v>8.79385757E8</v>
      </c>
      <c r="C107" s="126" t="s">
        <v>3897</v>
      </c>
      <c r="D107" s="126" t="s">
        <v>3898</v>
      </c>
      <c r="E107" s="127" t="s">
        <v>3899</v>
      </c>
      <c r="F107" s="127" t="s">
        <v>3900</v>
      </c>
      <c r="G107" s="127" t="s">
        <v>273</v>
      </c>
      <c r="H107" s="127" t="s">
        <v>3901</v>
      </c>
      <c r="I107" s="127">
        <v>2014.0</v>
      </c>
      <c r="J107" s="127" t="s">
        <v>3902</v>
      </c>
      <c r="K107" s="127" t="s">
        <v>3903</v>
      </c>
      <c r="L107" s="127" t="s">
        <v>57</v>
      </c>
      <c r="M107" s="127" t="s">
        <v>3904</v>
      </c>
      <c r="N107" s="127" t="s">
        <v>273</v>
      </c>
      <c r="O107" s="127" t="s">
        <v>701</v>
      </c>
      <c r="P107" s="127" t="s">
        <v>3905</v>
      </c>
      <c r="Q107" s="127" t="s">
        <v>93</v>
      </c>
      <c r="R107" s="127" t="s">
        <v>57</v>
      </c>
      <c r="S107" s="127" t="s">
        <v>57</v>
      </c>
      <c r="T107" s="127" t="s">
        <v>74</v>
      </c>
      <c r="U107" s="127" t="s">
        <v>57</v>
      </c>
      <c r="V107" s="127" t="s">
        <v>2394</v>
      </c>
      <c r="W107" s="127" t="s">
        <v>749</v>
      </c>
      <c r="X107" s="127" t="s">
        <v>3906</v>
      </c>
      <c r="Y107" s="127" t="s">
        <v>2397</v>
      </c>
      <c r="Z107" s="127" t="s">
        <v>3907</v>
      </c>
      <c r="AA107" s="127">
        <v>2009.0</v>
      </c>
      <c r="AB107" s="127">
        <v>2009.0</v>
      </c>
      <c r="AC107" s="127" t="s">
        <v>74</v>
      </c>
      <c r="AD107" s="127" t="s">
        <v>96</v>
      </c>
      <c r="AE107" s="127" t="s">
        <v>3908</v>
      </c>
      <c r="AF107" s="127" t="s">
        <v>69</v>
      </c>
      <c r="AG107" s="127" t="s">
        <v>129</v>
      </c>
      <c r="AH107" s="127" t="s">
        <v>129</v>
      </c>
      <c r="AI107" s="127" t="s">
        <v>57</v>
      </c>
      <c r="AJ107" s="127" t="s">
        <v>57</v>
      </c>
      <c r="AK107" s="127" t="s">
        <v>3909</v>
      </c>
      <c r="AL107" s="126" t="s">
        <v>3910</v>
      </c>
      <c r="AM107" s="126" t="s">
        <v>1522</v>
      </c>
      <c r="AN107" s="41" t="s">
        <v>3911</v>
      </c>
      <c r="AO107" s="41" t="s">
        <v>1955</v>
      </c>
      <c r="AP107" s="44"/>
    </row>
    <row r="108">
      <c r="A108" s="125">
        <v>160.0</v>
      </c>
      <c r="B108" s="126">
        <v>5.23992296E8</v>
      </c>
      <c r="C108" s="126" t="s">
        <v>3912</v>
      </c>
      <c r="D108" s="128" t="s">
        <v>3913</v>
      </c>
      <c r="E108" s="127" t="s">
        <v>3914</v>
      </c>
      <c r="F108" s="127" t="s">
        <v>3915</v>
      </c>
      <c r="G108" s="127" t="s">
        <v>2315</v>
      </c>
      <c r="H108" s="127" t="s">
        <v>3916</v>
      </c>
      <c r="I108" s="127">
        <v>2005.0</v>
      </c>
      <c r="J108" s="127" t="s">
        <v>3917</v>
      </c>
      <c r="K108" s="127" t="s">
        <v>730</v>
      </c>
      <c r="L108" s="127" t="s">
        <v>57</v>
      </c>
      <c r="M108" s="127" t="s">
        <v>57</v>
      </c>
      <c r="N108" s="127" t="s">
        <v>2389</v>
      </c>
      <c r="O108" s="127" t="s">
        <v>400</v>
      </c>
      <c r="P108" s="127" t="s">
        <v>3918</v>
      </c>
      <c r="Q108" s="127" t="s">
        <v>93</v>
      </c>
      <c r="R108" s="127" t="s">
        <v>57</v>
      </c>
      <c r="S108" s="127" t="s">
        <v>57</v>
      </c>
      <c r="T108" s="127" t="s">
        <v>74</v>
      </c>
      <c r="U108" s="127" t="s">
        <v>57</v>
      </c>
      <c r="V108" s="127" t="s">
        <v>2430</v>
      </c>
      <c r="W108" s="127" t="s">
        <v>302</v>
      </c>
      <c r="X108" s="127" t="s">
        <v>3919</v>
      </c>
      <c r="Y108" s="127" t="s">
        <v>2380</v>
      </c>
      <c r="Z108" s="127" t="s">
        <v>3920</v>
      </c>
      <c r="AA108" s="127">
        <v>2003.0</v>
      </c>
      <c r="AB108" s="127">
        <v>2005.0</v>
      </c>
      <c r="AC108" s="127" t="s">
        <v>74</v>
      </c>
      <c r="AD108" s="127" t="s">
        <v>215</v>
      </c>
      <c r="AE108" s="127" t="s">
        <v>3921</v>
      </c>
      <c r="AF108" s="127" t="s">
        <v>74</v>
      </c>
      <c r="AG108" s="127" t="s">
        <v>57</v>
      </c>
      <c r="AH108" s="127" t="s">
        <v>57</v>
      </c>
      <c r="AI108" s="127" t="s">
        <v>57</v>
      </c>
      <c r="AJ108" s="127" t="s">
        <v>57</v>
      </c>
      <c r="AK108" s="127" t="s">
        <v>57</v>
      </c>
      <c r="AL108" s="126"/>
      <c r="AM108" s="126" t="s">
        <v>109</v>
      </c>
      <c r="AN108" s="103" t="s">
        <v>3922</v>
      </c>
      <c r="AO108" s="103" t="s">
        <v>1955</v>
      </c>
      <c r="AP108" s="104"/>
    </row>
    <row r="109">
      <c r="A109" s="129">
        <v>161.0</v>
      </c>
      <c r="B109" s="130">
        <v>5.23992297E8</v>
      </c>
      <c r="C109" s="130" t="s">
        <v>3923</v>
      </c>
      <c r="D109" s="130" t="s">
        <v>3924</v>
      </c>
      <c r="E109" s="131" t="s">
        <v>3925</v>
      </c>
      <c r="F109" s="131" t="s">
        <v>3926</v>
      </c>
      <c r="G109" s="131" t="s">
        <v>273</v>
      </c>
      <c r="H109" s="131" t="s">
        <v>3927</v>
      </c>
      <c r="I109" s="131">
        <v>2011.0</v>
      </c>
      <c r="J109" s="131" t="s">
        <v>796</v>
      </c>
      <c r="K109" s="131" t="s">
        <v>730</v>
      </c>
      <c r="L109" s="131" t="s">
        <v>3928</v>
      </c>
      <c r="M109" s="131" t="s">
        <v>57</v>
      </c>
      <c r="N109" s="131" t="s">
        <v>2926</v>
      </c>
      <c r="O109" s="131" t="s">
        <v>2930</v>
      </c>
      <c r="P109" s="131" t="s">
        <v>3929</v>
      </c>
      <c r="Q109" s="131" t="s">
        <v>93</v>
      </c>
      <c r="R109" s="131" t="s">
        <v>57</v>
      </c>
      <c r="S109" s="131" t="s">
        <v>57</v>
      </c>
      <c r="T109" s="131" t="s">
        <v>74</v>
      </c>
      <c r="U109" s="131" t="s">
        <v>57</v>
      </c>
      <c r="V109" s="131" t="s">
        <v>96</v>
      </c>
      <c r="W109" s="131" t="s">
        <v>302</v>
      </c>
      <c r="X109" s="131" t="s">
        <v>3930</v>
      </c>
      <c r="Y109" s="131" t="s">
        <v>2380</v>
      </c>
      <c r="Z109" s="131" t="s">
        <v>3931</v>
      </c>
      <c r="AA109" s="131">
        <v>2003.0</v>
      </c>
      <c r="AB109" s="131">
        <v>2003.0</v>
      </c>
      <c r="AC109" s="131" t="s">
        <v>74</v>
      </c>
      <c r="AD109" s="131" t="s">
        <v>215</v>
      </c>
      <c r="AE109" s="131" t="s">
        <v>3932</v>
      </c>
      <c r="AF109" s="131" t="s">
        <v>69</v>
      </c>
      <c r="AG109" s="131" t="s">
        <v>129</v>
      </c>
      <c r="AH109" s="131" t="s">
        <v>129</v>
      </c>
      <c r="AI109" s="131" t="s">
        <v>57</v>
      </c>
      <c r="AJ109" s="131" t="s">
        <v>57</v>
      </c>
      <c r="AK109" s="131" t="s">
        <v>3933</v>
      </c>
      <c r="AL109" s="130"/>
      <c r="AM109" s="130" t="s">
        <v>109</v>
      </c>
      <c r="AN109" s="103" t="s">
        <v>3934</v>
      </c>
      <c r="AO109" s="103" t="s">
        <v>1955</v>
      </c>
      <c r="AP109" s="103"/>
    </row>
    <row r="110">
      <c r="A110" s="102">
        <v>163.0</v>
      </c>
      <c r="B110" s="34">
        <v>5.23992333E8</v>
      </c>
      <c r="C110" s="34" t="s">
        <v>3935</v>
      </c>
      <c r="D110" s="34" t="s">
        <v>3936</v>
      </c>
      <c r="E110" s="35" t="s">
        <v>3937</v>
      </c>
      <c r="F110" s="35" t="s">
        <v>3938</v>
      </c>
      <c r="G110" s="35" t="s">
        <v>293</v>
      </c>
      <c r="H110" s="35" t="s">
        <v>3939</v>
      </c>
      <c r="I110" s="35">
        <v>2016.0</v>
      </c>
      <c r="J110" s="35" t="s">
        <v>3176</v>
      </c>
      <c r="K110" s="35" t="s">
        <v>730</v>
      </c>
      <c r="L110" s="35" t="s">
        <v>3940</v>
      </c>
      <c r="M110" s="35" t="s">
        <v>57</v>
      </c>
      <c r="N110" s="35" t="s">
        <v>293</v>
      </c>
      <c r="O110" s="35" t="s">
        <v>3941</v>
      </c>
      <c r="P110" s="35" t="s">
        <v>3942</v>
      </c>
      <c r="Q110" s="35" t="s">
        <v>93</v>
      </c>
      <c r="R110" s="35" t="s">
        <v>57</v>
      </c>
      <c r="S110" s="35" t="s">
        <v>57</v>
      </c>
      <c r="T110" s="35" t="s">
        <v>74</v>
      </c>
      <c r="U110" s="35" t="s">
        <v>57</v>
      </c>
      <c r="V110" s="35" t="s">
        <v>2394</v>
      </c>
      <c r="W110" s="35" t="s">
        <v>64</v>
      </c>
      <c r="X110" s="35" t="s">
        <v>3943</v>
      </c>
      <c r="Y110" s="35" t="s">
        <v>3944</v>
      </c>
      <c r="Z110" s="35" t="s">
        <v>3945</v>
      </c>
      <c r="AA110" s="35" t="s">
        <v>57</v>
      </c>
      <c r="AB110" s="35" t="s">
        <v>57</v>
      </c>
      <c r="AC110" s="35" t="s">
        <v>74</v>
      </c>
      <c r="AD110" s="35" t="s">
        <v>63</v>
      </c>
      <c r="AE110" s="35" t="s">
        <v>3946</v>
      </c>
      <c r="AF110" s="35" t="s">
        <v>69</v>
      </c>
      <c r="AG110" s="35" t="s">
        <v>129</v>
      </c>
      <c r="AH110" s="35" t="s">
        <v>129</v>
      </c>
      <c r="AI110" s="35" t="s">
        <v>57</v>
      </c>
      <c r="AJ110" s="35" t="s">
        <v>57</v>
      </c>
      <c r="AK110" s="35" t="s">
        <v>3947</v>
      </c>
      <c r="AL110" s="34"/>
      <c r="AM110" s="34" t="s">
        <v>109</v>
      </c>
      <c r="AN110" s="103" t="s">
        <v>3948</v>
      </c>
      <c r="AO110" s="103" t="s">
        <v>1955</v>
      </c>
      <c r="AP110" s="103"/>
    </row>
    <row r="111">
      <c r="A111" s="102">
        <v>168.0</v>
      </c>
      <c r="B111" s="34">
        <v>5.23992399E8</v>
      </c>
      <c r="C111" s="34" t="s">
        <v>3949</v>
      </c>
      <c r="D111" s="34" t="s">
        <v>3950</v>
      </c>
      <c r="E111" s="35" t="s">
        <v>3951</v>
      </c>
      <c r="F111" s="35" t="s">
        <v>3952</v>
      </c>
      <c r="G111" s="35" t="s">
        <v>859</v>
      </c>
      <c r="H111" s="35" t="s">
        <v>3953</v>
      </c>
      <c r="I111" s="35">
        <v>2016.0</v>
      </c>
      <c r="J111" s="43" t="s">
        <v>361</v>
      </c>
      <c r="K111" s="35" t="s">
        <v>730</v>
      </c>
      <c r="L111" s="35" t="s">
        <v>3954</v>
      </c>
      <c r="M111" s="35" t="s">
        <v>57</v>
      </c>
      <c r="N111" s="35" t="s">
        <v>859</v>
      </c>
      <c r="O111" s="35" t="s">
        <v>862</v>
      </c>
      <c r="P111" s="35" t="s">
        <v>3955</v>
      </c>
      <c r="Q111" s="35" t="s">
        <v>93</v>
      </c>
      <c r="R111" s="35" t="s">
        <v>3956</v>
      </c>
      <c r="S111" s="35" t="s">
        <v>3957</v>
      </c>
      <c r="T111" s="35" t="s">
        <v>74</v>
      </c>
      <c r="U111" s="35" t="s">
        <v>57</v>
      </c>
      <c r="V111" s="35" t="s">
        <v>96</v>
      </c>
      <c r="W111" s="35" t="s">
        <v>1389</v>
      </c>
      <c r="X111" s="35" t="s">
        <v>3958</v>
      </c>
      <c r="Y111" s="35" t="s">
        <v>2397</v>
      </c>
      <c r="Z111" s="35" t="s">
        <v>3959</v>
      </c>
      <c r="AA111" s="35" t="s">
        <v>57</v>
      </c>
      <c r="AB111" s="35" t="s">
        <v>57</v>
      </c>
      <c r="AC111" s="35" t="s">
        <v>74</v>
      </c>
      <c r="AD111" s="35" t="s">
        <v>96</v>
      </c>
      <c r="AE111" s="35" t="s">
        <v>3960</v>
      </c>
      <c r="AF111" s="35" t="s">
        <v>74</v>
      </c>
      <c r="AG111" s="35" t="s">
        <v>57</v>
      </c>
      <c r="AH111" s="35" t="s">
        <v>57</v>
      </c>
      <c r="AI111" s="35" t="s">
        <v>57</v>
      </c>
      <c r="AJ111" s="35" t="s">
        <v>57</v>
      </c>
      <c r="AK111" s="35" t="s">
        <v>57</v>
      </c>
      <c r="AL111" s="34"/>
      <c r="AM111" s="34" t="s">
        <v>109</v>
      </c>
      <c r="AN111" s="103" t="s">
        <v>3961</v>
      </c>
      <c r="AO111" s="103" t="s">
        <v>1955</v>
      </c>
      <c r="AP111" s="104"/>
    </row>
    <row r="112">
      <c r="A112" s="102">
        <v>169.0</v>
      </c>
      <c r="B112" s="34">
        <v>5.23992376E8</v>
      </c>
      <c r="C112" s="34" t="s">
        <v>3962</v>
      </c>
      <c r="D112" s="34" t="s">
        <v>3963</v>
      </c>
      <c r="E112" s="35" t="s">
        <v>3964</v>
      </c>
      <c r="F112" s="35" t="s">
        <v>3965</v>
      </c>
      <c r="G112" s="35" t="s">
        <v>114</v>
      </c>
      <c r="H112" s="35" t="s">
        <v>3966</v>
      </c>
      <c r="I112" s="35">
        <v>2018.0</v>
      </c>
      <c r="J112" s="35" t="s">
        <v>796</v>
      </c>
      <c r="K112" s="35" t="s">
        <v>730</v>
      </c>
      <c r="L112" s="35" t="s">
        <v>3967</v>
      </c>
      <c r="M112" s="35" t="s">
        <v>57</v>
      </c>
      <c r="N112" s="35" t="s">
        <v>114</v>
      </c>
      <c r="O112" s="35" t="s">
        <v>1999</v>
      </c>
      <c r="P112" s="35" t="s">
        <v>3968</v>
      </c>
      <c r="Q112" s="35" t="s">
        <v>93</v>
      </c>
      <c r="R112" s="43" t="s">
        <v>3969</v>
      </c>
      <c r="S112" s="43" t="s">
        <v>3970</v>
      </c>
      <c r="T112" s="35" t="s">
        <v>74</v>
      </c>
      <c r="U112" s="35" t="s">
        <v>57</v>
      </c>
      <c r="V112" s="35" t="s">
        <v>2394</v>
      </c>
      <c r="W112" s="35" t="s">
        <v>3971</v>
      </c>
      <c r="X112" s="35" t="s">
        <v>3972</v>
      </c>
      <c r="Y112" s="35" t="s">
        <v>2397</v>
      </c>
      <c r="Z112" s="35" t="s">
        <v>3973</v>
      </c>
      <c r="AA112" s="35">
        <v>2015.0</v>
      </c>
      <c r="AB112" s="35">
        <v>2015.0</v>
      </c>
      <c r="AC112" s="35" t="s">
        <v>74</v>
      </c>
      <c r="AD112" s="35" t="s">
        <v>96</v>
      </c>
      <c r="AE112" s="35" t="s">
        <v>3974</v>
      </c>
      <c r="AF112" s="35" t="s">
        <v>74</v>
      </c>
      <c r="AG112" s="35" t="s">
        <v>57</v>
      </c>
      <c r="AH112" s="35" t="s">
        <v>57</v>
      </c>
      <c r="AI112" s="35" t="s">
        <v>57</v>
      </c>
      <c r="AJ112" s="35" t="s">
        <v>57</v>
      </c>
      <c r="AK112" s="35" t="s">
        <v>57</v>
      </c>
      <c r="AL112" s="34"/>
      <c r="AM112" s="34" t="s">
        <v>109</v>
      </c>
      <c r="AN112" s="103" t="s">
        <v>3975</v>
      </c>
      <c r="AO112" s="103" t="s">
        <v>1955</v>
      </c>
      <c r="AP112" s="103"/>
    </row>
    <row r="113">
      <c r="A113" s="34"/>
      <c r="B113" s="34"/>
      <c r="C113" s="34"/>
      <c r="D113" s="34"/>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4"/>
      <c r="AM113" s="34"/>
      <c r="AN113" s="104"/>
      <c r="AO113" s="104"/>
      <c r="AP113" s="104"/>
    </row>
    <row r="114">
      <c r="A114" s="34"/>
      <c r="B114" s="34"/>
      <c r="C114" s="34"/>
      <c r="D114" s="34"/>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4"/>
      <c r="AM114" s="34"/>
      <c r="AN114" s="104"/>
      <c r="AO114" s="104"/>
      <c r="AP114" s="104"/>
    </row>
    <row r="115">
      <c r="A115" s="34"/>
      <c r="B115" s="34"/>
      <c r="C115" s="34"/>
      <c r="D115" s="34"/>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c r="AD115" s="35"/>
      <c r="AE115" s="35"/>
      <c r="AF115" s="35"/>
      <c r="AG115" s="35"/>
      <c r="AH115" s="35"/>
      <c r="AI115" s="35"/>
      <c r="AJ115" s="35"/>
      <c r="AK115" s="35"/>
      <c r="AL115" s="34"/>
      <c r="AM115" s="34"/>
      <c r="AN115" s="104"/>
      <c r="AO115" s="104"/>
      <c r="AP115" s="104"/>
    </row>
    <row r="116">
      <c r="A116" s="34"/>
      <c r="B116" s="34"/>
      <c r="C116" s="34"/>
      <c r="D116" s="34"/>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4"/>
      <c r="AM116" s="34"/>
      <c r="AN116" s="104"/>
      <c r="AO116" s="104"/>
      <c r="AP116" s="104"/>
    </row>
    <row r="117">
      <c r="A117" s="34"/>
      <c r="B117" s="34"/>
      <c r="C117" s="34"/>
      <c r="D117" s="34"/>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c r="AG117" s="35"/>
      <c r="AH117" s="35"/>
      <c r="AI117" s="35"/>
      <c r="AJ117" s="35"/>
      <c r="AK117" s="35"/>
      <c r="AL117" s="34"/>
      <c r="AM117" s="34"/>
      <c r="AN117" s="104"/>
      <c r="AO117" s="104"/>
      <c r="AP117" s="104"/>
    </row>
    <row r="118">
      <c r="A118" s="34"/>
      <c r="B118" s="34"/>
      <c r="C118" s="34"/>
      <c r="D118" s="34"/>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c r="AD118" s="35"/>
      <c r="AE118" s="35"/>
      <c r="AF118" s="35"/>
      <c r="AG118" s="35"/>
      <c r="AH118" s="35"/>
      <c r="AI118" s="35"/>
      <c r="AJ118" s="35"/>
      <c r="AK118" s="35"/>
      <c r="AL118" s="34"/>
      <c r="AM118" s="34"/>
      <c r="AN118" s="104"/>
      <c r="AO118" s="104"/>
      <c r="AP118" s="104"/>
    </row>
    <row r="119">
      <c r="A119" s="34"/>
      <c r="B119" s="34"/>
      <c r="C119" s="34"/>
      <c r="D119" s="34"/>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4"/>
      <c r="AM119" s="34"/>
      <c r="AN119" s="104"/>
      <c r="AO119" s="104"/>
      <c r="AP119" s="104"/>
    </row>
    <row r="120">
      <c r="A120" s="34"/>
      <c r="B120" s="34"/>
      <c r="C120" s="34"/>
      <c r="D120" s="34"/>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c r="AG120" s="35"/>
      <c r="AH120" s="35"/>
      <c r="AI120" s="35"/>
      <c r="AJ120" s="35"/>
      <c r="AK120" s="35"/>
      <c r="AL120" s="34"/>
      <c r="AM120" s="34"/>
      <c r="AN120" s="104"/>
      <c r="AO120" s="104"/>
      <c r="AP120" s="104"/>
    </row>
    <row r="121">
      <c r="A121" s="34"/>
      <c r="B121" s="34"/>
      <c r="C121" s="34"/>
      <c r="D121" s="34"/>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c r="AG121" s="35"/>
      <c r="AH121" s="35"/>
      <c r="AI121" s="35"/>
      <c r="AJ121" s="35"/>
      <c r="AK121" s="35"/>
      <c r="AL121" s="34"/>
      <c r="AM121" s="34"/>
      <c r="AN121" s="104"/>
      <c r="AO121" s="104"/>
      <c r="AP121" s="104"/>
    </row>
    <row r="122">
      <c r="A122" s="34"/>
      <c r="B122" s="34"/>
      <c r="C122" s="34"/>
      <c r="D122" s="34"/>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4"/>
      <c r="AM122" s="34"/>
      <c r="AN122" s="104"/>
      <c r="AO122" s="104"/>
      <c r="AP122" s="104"/>
    </row>
    <row r="123">
      <c r="A123" s="34"/>
      <c r="B123" s="34"/>
      <c r="C123" s="34"/>
      <c r="D123" s="34"/>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4"/>
      <c r="AM123" s="34"/>
      <c r="AN123" s="104"/>
      <c r="AO123" s="104"/>
      <c r="AP123" s="104"/>
    </row>
    <row r="124">
      <c r="A124" s="34"/>
      <c r="B124" s="34"/>
      <c r="C124" s="34"/>
      <c r="D124" s="34"/>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4"/>
      <c r="AM124" s="34"/>
      <c r="AN124" s="104"/>
      <c r="AO124" s="104"/>
      <c r="AP124" s="104"/>
    </row>
    <row r="125">
      <c r="A125" s="34"/>
      <c r="B125" s="34"/>
      <c r="C125" s="34"/>
      <c r="D125" s="34"/>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4"/>
      <c r="AM125" s="34"/>
      <c r="AN125" s="104"/>
      <c r="AO125" s="104"/>
      <c r="AP125" s="104"/>
    </row>
    <row r="126">
      <c r="A126" s="34"/>
      <c r="B126" s="34"/>
      <c r="C126" s="34"/>
      <c r="D126" s="34"/>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4"/>
      <c r="AM126" s="34"/>
      <c r="AN126" s="104"/>
      <c r="AO126" s="104"/>
      <c r="AP126" s="104"/>
    </row>
    <row r="127">
      <c r="A127" s="34"/>
      <c r="B127" s="34"/>
      <c r="C127" s="34"/>
      <c r="D127" s="34"/>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4"/>
      <c r="AM127" s="34"/>
      <c r="AN127" s="104"/>
      <c r="AO127" s="104"/>
      <c r="AP127" s="104"/>
    </row>
    <row r="128">
      <c r="A128" s="34"/>
      <c r="B128" s="34"/>
      <c r="C128" s="34"/>
      <c r="D128" s="34"/>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4"/>
      <c r="AM128" s="34"/>
      <c r="AN128" s="104"/>
      <c r="AO128" s="104"/>
      <c r="AP128" s="104"/>
    </row>
    <row r="129">
      <c r="A129" s="34"/>
      <c r="B129" s="34"/>
      <c r="C129" s="34"/>
      <c r="D129" s="34"/>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4"/>
      <c r="AM129" s="34"/>
      <c r="AN129" s="104"/>
      <c r="AO129" s="104"/>
      <c r="AP129" s="104"/>
    </row>
    <row r="130">
      <c r="A130" s="34"/>
      <c r="B130" s="34"/>
      <c r="C130" s="34"/>
      <c r="D130" s="34"/>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4"/>
      <c r="AM130" s="34"/>
      <c r="AN130" s="104"/>
      <c r="AO130" s="104"/>
      <c r="AP130" s="104"/>
    </row>
    <row r="131">
      <c r="A131" s="34"/>
      <c r="B131" s="34"/>
      <c r="C131" s="34"/>
      <c r="D131" s="34"/>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4"/>
      <c r="AM131" s="34"/>
      <c r="AN131" s="104"/>
      <c r="AO131" s="104"/>
      <c r="AP131" s="104"/>
    </row>
    <row r="132">
      <c r="A132" s="34"/>
      <c r="B132" s="34"/>
      <c r="C132" s="34"/>
      <c r="D132" s="34"/>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4"/>
      <c r="AM132" s="34"/>
      <c r="AN132" s="104"/>
      <c r="AO132" s="104"/>
      <c r="AP132" s="104"/>
    </row>
    <row r="133">
      <c r="A133" s="34"/>
      <c r="B133" s="34"/>
      <c r="C133" s="34"/>
      <c r="D133" s="34"/>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4"/>
      <c r="AM133" s="34"/>
      <c r="AN133" s="104"/>
      <c r="AO133" s="104"/>
      <c r="AP133" s="104"/>
    </row>
    <row r="134">
      <c r="A134" s="34"/>
      <c r="B134" s="34"/>
      <c r="C134" s="34"/>
      <c r="D134" s="34"/>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4"/>
      <c r="AM134" s="34"/>
      <c r="AN134" s="104"/>
      <c r="AO134" s="104"/>
      <c r="AP134" s="104"/>
    </row>
    <row r="135">
      <c r="A135" s="34"/>
      <c r="B135" s="34"/>
      <c r="C135" s="34"/>
      <c r="D135" s="34"/>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4"/>
      <c r="AM135" s="34"/>
      <c r="AN135" s="104"/>
      <c r="AO135" s="104"/>
      <c r="AP135" s="104"/>
    </row>
    <row r="136">
      <c r="A136" s="34"/>
      <c r="B136" s="34"/>
      <c r="C136" s="34"/>
      <c r="D136" s="34"/>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4"/>
      <c r="AM136" s="34"/>
      <c r="AN136" s="104"/>
      <c r="AO136" s="104"/>
      <c r="AP136" s="104"/>
    </row>
    <row r="137">
      <c r="A137" s="34"/>
      <c r="B137" s="34"/>
      <c r="C137" s="34"/>
      <c r="D137" s="34"/>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4"/>
      <c r="AM137" s="34"/>
      <c r="AN137" s="104"/>
      <c r="AO137" s="104"/>
      <c r="AP137" s="104"/>
    </row>
    <row r="138">
      <c r="A138" s="34"/>
      <c r="B138" s="34"/>
      <c r="C138" s="34"/>
      <c r="D138" s="34"/>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4"/>
      <c r="AM138" s="34"/>
      <c r="AN138" s="104"/>
      <c r="AO138" s="104"/>
      <c r="AP138" s="104"/>
    </row>
    <row r="139">
      <c r="A139" s="34"/>
      <c r="B139" s="34"/>
      <c r="C139" s="34"/>
      <c r="D139" s="34"/>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4"/>
      <c r="AM139" s="34"/>
      <c r="AN139" s="104"/>
      <c r="AO139" s="104"/>
      <c r="AP139" s="104"/>
    </row>
    <row r="140">
      <c r="A140" s="34"/>
      <c r="B140" s="34"/>
      <c r="C140" s="34"/>
      <c r="D140" s="34"/>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4"/>
      <c r="AM140" s="34"/>
      <c r="AN140" s="104"/>
      <c r="AO140" s="104"/>
      <c r="AP140" s="104"/>
    </row>
    <row r="141">
      <c r="A141" s="34"/>
      <c r="B141" s="34"/>
      <c r="C141" s="34"/>
      <c r="D141" s="34"/>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4"/>
      <c r="AM141" s="34"/>
      <c r="AN141" s="104"/>
      <c r="AO141" s="104"/>
      <c r="AP141" s="104"/>
    </row>
    <row r="142">
      <c r="A142" s="34"/>
      <c r="B142" s="34"/>
      <c r="C142" s="34"/>
      <c r="D142" s="34"/>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4"/>
      <c r="AM142" s="34"/>
      <c r="AN142" s="104"/>
      <c r="AO142" s="104"/>
      <c r="AP142" s="104"/>
    </row>
    <row r="143">
      <c r="A143" s="34"/>
      <c r="B143" s="34"/>
      <c r="C143" s="34"/>
      <c r="D143" s="34"/>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4"/>
      <c r="AM143" s="34"/>
      <c r="AN143" s="104"/>
      <c r="AO143" s="104"/>
      <c r="AP143" s="104"/>
    </row>
    <row r="144">
      <c r="A144" s="34"/>
      <c r="B144" s="34"/>
      <c r="C144" s="34"/>
      <c r="D144" s="34"/>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4"/>
      <c r="AM144" s="34"/>
      <c r="AN144" s="104"/>
      <c r="AO144" s="104"/>
      <c r="AP144" s="104"/>
    </row>
    <row r="145">
      <c r="A145" s="34"/>
      <c r="B145" s="34"/>
      <c r="C145" s="34"/>
      <c r="D145" s="34"/>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4"/>
      <c r="AM145" s="34"/>
      <c r="AN145" s="104"/>
      <c r="AO145" s="104"/>
      <c r="AP145" s="104"/>
    </row>
    <row r="146">
      <c r="A146" s="34"/>
      <c r="B146" s="34"/>
      <c r="C146" s="34"/>
      <c r="D146" s="34"/>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4"/>
      <c r="AM146" s="34"/>
      <c r="AN146" s="104"/>
      <c r="AO146" s="104"/>
      <c r="AP146" s="104"/>
    </row>
    <row r="147">
      <c r="A147" s="34"/>
      <c r="B147" s="34"/>
      <c r="C147" s="34"/>
      <c r="D147" s="34"/>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4"/>
      <c r="AM147" s="34"/>
      <c r="AN147" s="104"/>
      <c r="AO147" s="104"/>
      <c r="AP147" s="104"/>
    </row>
    <row r="148">
      <c r="A148" s="34"/>
      <c r="B148" s="34"/>
      <c r="C148" s="34"/>
      <c r="D148" s="34"/>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4"/>
      <c r="AM148" s="34"/>
      <c r="AN148" s="104"/>
      <c r="AO148" s="104"/>
      <c r="AP148" s="104"/>
    </row>
    <row r="149">
      <c r="A149" s="34"/>
      <c r="B149" s="34"/>
      <c r="C149" s="34"/>
      <c r="D149" s="34"/>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4"/>
      <c r="AM149" s="34"/>
      <c r="AN149" s="104"/>
      <c r="AO149" s="104"/>
      <c r="AP149" s="104"/>
    </row>
    <row r="150">
      <c r="A150" s="34"/>
      <c r="B150" s="34"/>
      <c r="C150" s="34"/>
      <c r="D150" s="34"/>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4"/>
      <c r="AM150" s="34"/>
      <c r="AN150" s="104"/>
      <c r="AO150" s="104"/>
      <c r="AP150" s="104"/>
    </row>
    <row r="151">
      <c r="A151" s="34"/>
      <c r="B151" s="34"/>
      <c r="C151" s="34"/>
      <c r="D151" s="34"/>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4"/>
      <c r="AM151" s="34"/>
      <c r="AN151" s="104"/>
      <c r="AO151" s="104"/>
      <c r="AP151" s="104"/>
    </row>
    <row r="152">
      <c r="A152" s="34"/>
      <c r="B152" s="34"/>
      <c r="C152" s="34"/>
      <c r="D152" s="34"/>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4"/>
      <c r="AM152" s="34"/>
      <c r="AN152" s="104"/>
      <c r="AO152" s="104"/>
      <c r="AP152" s="104"/>
    </row>
    <row r="153">
      <c r="A153" s="34"/>
      <c r="B153" s="34"/>
      <c r="C153" s="34"/>
      <c r="D153" s="34"/>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4"/>
      <c r="AM153" s="34"/>
      <c r="AN153" s="104"/>
      <c r="AO153" s="104"/>
      <c r="AP153" s="104"/>
    </row>
    <row r="154">
      <c r="A154" s="34"/>
      <c r="B154" s="34"/>
      <c r="C154" s="34"/>
      <c r="D154" s="34"/>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4"/>
      <c r="AM154" s="34"/>
      <c r="AN154" s="104"/>
      <c r="AO154" s="104"/>
      <c r="AP154" s="104"/>
    </row>
    <row r="155">
      <c r="A155" s="34"/>
      <c r="B155" s="34"/>
      <c r="C155" s="34"/>
      <c r="D155" s="34"/>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4"/>
      <c r="AM155" s="34"/>
      <c r="AN155" s="104"/>
      <c r="AO155" s="104"/>
      <c r="AP155" s="104"/>
    </row>
    <row r="156">
      <c r="A156" s="34"/>
      <c r="B156" s="34"/>
      <c r="C156" s="34"/>
      <c r="D156" s="34"/>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4"/>
      <c r="AM156" s="34"/>
      <c r="AN156" s="104"/>
      <c r="AO156" s="104"/>
      <c r="AP156" s="104"/>
    </row>
    <row r="157">
      <c r="A157" s="34"/>
      <c r="B157" s="34"/>
      <c r="C157" s="34"/>
      <c r="D157" s="34"/>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4"/>
      <c r="AM157" s="34"/>
      <c r="AN157" s="104"/>
      <c r="AO157" s="104"/>
      <c r="AP157" s="104"/>
    </row>
    <row r="158">
      <c r="A158" s="34"/>
      <c r="B158" s="34"/>
      <c r="C158" s="34"/>
      <c r="D158" s="34"/>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4"/>
      <c r="AM158" s="34"/>
      <c r="AN158" s="104"/>
      <c r="AO158" s="104"/>
      <c r="AP158" s="104"/>
    </row>
    <row r="159">
      <c r="A159" s="34"/>
      <c r="B159" s="34"/>
      <c r="C159" s="34"/>
      <c r="D159" s="34"/>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4"/>
      <c r="AM159" s="34"/>
      <c r="AN159" s="104"/>
      <c r="AO159" s="104"/>
      <c r="AP159" s="104"/>
    </row>
    <row r="160">
      <c r="A160" s="34"/>
      <c r="B160" s="34"/>
      <c r="C160" s="34"/>
      <c r="D160" s="34"/>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4"/>
      <c r="AM160" s="34"/>
      <c r="AN160" s="104"/>
      <c r="AO160" s="104"/>
      <c r="AP160" s="104"/>
    </row>
    <row r="161">
      <c r="A161" s="34"/>
      <c r="B161" s="34"/>
      <c r="C161" s="34"/>
      <c r="D161" s="34"/>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4"/>
      <c r="AM161" s="34"/>
      <c r="AN161" s="104"/>
      <c r="AO161" s="104"/>
      <c r="AP161" s="104"/>
    </row>
    <row r="162">
      <c r="A162" s="34"/>
      <c r="B162" s="34"/>
      <c r="C162" s="34"/>
      <c r="D162" s="34"/>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4"/>
      <c r="AM162" s="34"/>
      <c r="AN162" s="104"/>
      <c r="AO162" s="104"/>
      <c r="AP162" s="104"/>
    </row>
    <row r="163">
      <c r="A163" s="34"/>
      <c r="B163" s="34"/>
      <c r="C163" s="34"/>
      <c r="D163" s="34"/>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4"/>
      <c r="AM163" s="34"/>
      <c r="AN163" s="104"/>
      <c r="AO163" s="104"/>
      <c r="AP163" s="104"/>
    </row>
    <row r="164">
      <c r="A164" s="34"/>
      <c r="B164" s="34"/>
      <c r="C164" s="34"/>
      <c r="D164" s="34"/>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4"/>
      <c r="AM164" s="34"/>
      <c r="AN164" s="104"/>
      <c r="AO164" s="104"/>
      <c r="AP164" s="104"/>
    </row>
    <row r="165">
      <c r="A165" s="34"/>
      <c r="B165" s="34"/>
      <c r="C165" s="34"/>
      <c r="D165" s="34"/>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4"/>
      <c r="AM165" s="34"/>
      <c r="AN165" s="104"/>
      <c r="AO165" s="104"/>
      <c r="AP165" s="104"/>
    </row>
    <row r="166">
      <c r="A166" s="34"/>
      <c r="B166" s="34"/>
      <c r="C166" s="34"/>
      <c r="D166" s="34"/>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4"/>
      <c r="AM166" s="34"/>
      <c r="AN166" s="104"/>
      <c r="AO166" s="104"/>
      <c r="AP166" s="104"/>
    </row>
    <row r="167">
      <c r="A167" s="34"/>
      <c r="B167" s="34"/>
      <c r="C167" s="34"/>
      <c r="D167" s="34"/>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4"/>
      <c r="AM167" s="34"/>
      <c r="AN167" s="104"/>
      <c r="AO167" s="104"/>
      <c r="AP167" s="104"/>
    </row>
    <row r="168">
      <c r="A168" s="34"/>
      <c r="B168" s="34"/>
      <c r="C168" s="34"/>
      <c r="D168" s="34"/>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4"/>
      <c r="AM168" s="34"/>
      <c r="AN168" s="104"/>
      <c r="AO168" s="104"/>
      <c r="AP168" s="104"/>
    </row>
    <row r="169">
      <c r="A169" s="34"/>
      <c r="B169" s="34"/>
      <c r="C169" s="34"/>
      <c r="D169" s="34"/>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4"/>
      <c r="AM169" s="34"/>
      <c r="AN169" s="104"/>
      <c r="AO169" s="104"/>
      <c r="AP169" s="104"/>
    </row>
    <row r="170">
      <c r="A170" s="34"/>
      <c r="B170" s="34"/>
      <c r="C170" s="34"/>
      <c r="D170" s="34"/>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4"/>
      <c r="AM170" s="34"/>
      <c r="AN170" s="104"/>
      <c r="AO170" s="104"/>
      <c r="AP170" s="104"/>
    </row>
    <row r="171">
      <c r="A171" s="34"/>
      <c r="B171" s="34"/>
      <c r="C171" s="34"/>
      <c r="D171" s="34"/>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4"/>
      <c r="AM171" s="34"/>
      <c r="AN171" s="104"/>
      <c r="AO171" s="104"/>
      <c r="AP171" s="104"/>
    </row>
    <row r="172">
      <c r="A172" s="34"/>
      <c r="B172" s="34"/>
      <c r="C172" s="34"/>
      <c r="D172" s="34"/>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4"/>
      <c r="AM172" s="34"/>
      <c r="AN172" s="104"/>
      <c r="AO172" s="104"/>
      <c r="AP172" s="104"/>
    </row>
    <row r="173">
      <c r="A173" s="34"/>
      <c r="B173" s="34"/>
      <c r="C173" s="34"/>
      <c r="D173" s="34"/>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4"/>
      <c r="AM173" s="34"/>
      <c r="AN173" s="104"/>
      <c r="AO173" s="104"/>
      <c r="AP173" s="104"/>
    </row>
    <row r="174">
      <c r="A174" s="34"/>
      <c r="B174" s="34"/>
      <c r="C174" s="34"/>
      <c r="D174" s="34"/>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4"/>
      <c r="AM174" s="34"/>
      <c r="AN174" s="104"/>
      <c r="AO174" s="104"/>
      <c r="AP174" s="104"/>
    </row>
    <row r="175">
      <c r="A175" s="34"/>
      <c r="B175" s="34"/>
      <c r="C175" s="34"/>
      <c r="D175" s="34"/>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4"/>
      <c r="AM175" s="34"/>
      <c r="AN175" s="104"/>
      <c r="AO175" s="104"/>
      <c r="AP175" s="104"/>
    </row>
    <row r="176">
      <c r="A176" s="34"/>
      <c r="B176" s="34"/>
      <c r="C176" s="34"/>
      <c r="D176" s="34"/>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4"/>
      <c r="AM176" s="34"/>
      <c r="AN176" s="104"/>
      <c r="AO176" s="104"/>
      <c r="AP176" s="104"/>
    </row>
    <row r="177">
      <c r="A177" s="34"/>
      <c r="B177" s="34"/>
      <c r="C177" s="34"/>
      <c r="D177" s="34"/>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4"/>
      <c r="AM177" s="34"/>
      <c r="AN177" s="104"/>
      <c r="AO177" s="104"/>
      <c r="AP177" s="104"/>
    </row>
    <row r="178">
      <c r="A178" s="34"/>
      <c r="B178" s="34"/>
      <c r="C178" s="34"/>
      <c r="D178" s="34"/>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4"/>
      <c r="AM178" s="34"/>
      <c r="AN178" s="104"/>
      <c r="AO178" s="104"/>
      <c r="AP178" s="104"/>
    </row>
    <row r="179">
      <c r="A179" s="34"/>
      <c r="B179" s="34"/>
      <c r="C179" s="34"/>
      <c r="D179" s="34"/>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4"/>
      <c r="AM179" s="34"/>
      <c r="AN179" s="104"/>
      <c r="AO179" s="104"/>
      <c r="AP179" s="104"/>
    </row>
    <row r="180">
      <c r="A180" s="34"/>
      <c r="B180" s="34"/>
      <c r="C180" s="34"/>
      <c r="D180" s="34"/>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4"/>
      <c r="AM180" s="34"/>
      <c r="AN180" s="104"/>
      <c r="AO180" s="104"/>
      <c r="AP180" s="104"/>
    </row>
    <row r="181">
      <c r="A181" s="34"/>
      <c r="B181" s="34"/>
      <c r="C181" s="34"/>
      <c r="D181" s="34"/>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4"/>
      <c r="AM181" s="34"/>
      <c r="AN181" s="104"/>
      <c r="AO181" s="104"/>
      <c r="AP181" s="104"/>
    </row>
    <row r="182">
      <c r="A182" s="34"/>
      <c r="B182" s="34"/>
      <c r="C182" s="34"/>
      <c r="D182" s="34"/>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4"/>
      <c r="AM182" s="34"/>
      <c r="AN182" s="104"/>
      <c r="AO182" s="104"/>
      <c r="AP182" s="104"/>
    </row>
    <row r="183">
      <c r="A183" s="34"/>
      <c r="B183" s="34"/>
      <c r="C183" s="34"/>
      <c r="D183" s="34"/>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4"/>
      <c r="AM183" s="34"/>
      <c r="AN183" s="104"/>
      <c r="AO183" s="104"/>
      <c r="AP183" s="104"/>
    </row>
    <row r="184">
      <c r="A184" s="34"/>
      <c r="B184" s="34"/>
      <c r="C184" s="34"/>
      <c r="D184" s="34"/>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4"/>
      <c r="AM184" s="34"/>
      <c r="AN184" s="104"/>
      <c r="AO184" s="104"/>
      <c r="AP184" s="104"/>
    </row>
    <row r="185">
      <c r="A185" s="34"/>
      <c r="B185" s="34"/>
      <c r="C185" s="34"/>
      <c r="D185" s="34"/>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4"/>
      <c r="AM185" s="34"/>
      <c r="AN185" s="104"/>
      <c r="AO185" s="104"/>
      <c r="AP185" s="104"/>
    </row>
    <row r="186">
      <c r="A186" s="34"/>
      <c r="B186" s="34"/>
      <c r="C186" s="34"/>
      <c r="D186" s="34"/>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4"/>
      <c r="AM186" s="34"/>
      <c r="AN186" s="104"/>
      <c r="AO186" s="104"/>
      <c r="AP186" s="104"/>
    </row>
    <row r="187">
      <c r="A187" s="34"/>
      <c r="B187" s="34"/>
      <c r="C187" s="34"/>
      <c r="D187" s="34"/>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4"/>
      <c r="AM187" s="34"/>
      <c r="AN187" s="104"/>
      <c r="AO187" s="104"/>
      <c r="AP187" s="104"/>
    </row>
    <row r="188">
      <c r="A188" s="34"/>
      <c r="B188" s="34"/>
      <c r="C188" s="34"/>
      <c r="D188" s="34"/>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4"/>
      <c r="AM188" s="34"/>
      <c r="AN188" s="104"/>
      <c r="AO188" s="104"/>
      <c r="AP188" s="104"/>
    </row>
    <row r="189">
      <c r="A189" s="34"/>
      <c r="B189" s="34"/>
      <c r="C189" s="34"/>
      <c r="D189" s="34"/>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4"/>
      <c r="AM189" s="34"/>
      <c r="AN189" s="104"/>
      <c r="AO189" s="104"/>
      <c r="AP189" s="104"/>
    </row>
    <row r="190">
      <c r="A190" s="34"/>
      <c r="B190" s="34"/>
      <c r="C190" s="34"/>
      <c r="D190" s="34"/>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4"/>
      <c r="AM190" s="34"/>
      <c r="AN190" s="104"/>
      <c r="AO190" s="104"/>
      <c r="AP190" s="104"/>
    </row>
    <row r="191">
      <c r="A191" s="34"/>
      <c r="B191" s="34"/>
      <c r="C191" s="34"/>
      <c r="D191" s="34"/>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4"/>
      <c r="AM191" s="34"/>
      <c r="AN191" s="104"/>
      <c r="AO191" s="104"/>
      <c r="AP191" s="104"/>
    </row>
    <row r="192">
      <c r="A192" s="34"/>
      <c r="B192" s="34"/>
      <c r="C192" s="34"/>
      <c r="D192" s="34"/>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4"/>
      <c r="AM192" s="34"/>
      <c r="AN192" s="104"/>
      <c r="AO192" s="104"/>
      <c r="AP192" s="104"/>
    </row>
    <row r="193">
      <c r="A193" s="34"/>
      <c r="B193" s="34"/>
      <c r="C193" s="34"/>
      <c r="D193" s="34"/>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4"/>
      <c r="AM193" s="34"/>
      <c r="AN193" s="104"/>
      <c r="AO193" s="104"/>
      <c r="AP193" s="104"/>
    </row>
    <row r="194">
      <c r="A194" s="34"/>
      <c r="B194" s="34"/>
      <c r="C194" s="34"/>
      <c r="D194" s="34"/>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4"/>
      <c r="AM194" s="34"/>
      <c r="AN194" s="104"/>
      <c r="AO194" s="104"/>
      <c r="AP194" s="104"/>
    </row>
    <row r="195">
      <c r="A195" s="34"/>
      <c r="B195" s="34"/>
      <c r="C195" s="34"/>
      <c r="D195" s="34"/>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4"/>
      <c r="AM195" s="34"/>
      <c r="AN195" s="104"/>
      <c r="AO195" s="104"/>
      <c r="AP195" s="104"/>
    </row>
    <row r="196">
      <c r="A196" s="34"/>
      <c r="B196" s="34"/>
      <c r="C196" s="34"/>
      <c r="D196" s="34"/>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4"/>
      <c r="AM196" s="34"/>
      <c r="AN196" s="104"/>
      <c r="AO196" s="104"/>
      <c r="AP196" s="104"/>
    </row>
    <row r="197">
      <c r="A197" s="34"/>
      <c r="B197" s="34"/>
      <c r="C197" s="34"/>
      <c r="D197" s="34"/>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4"/>
      <c r="AM197" s="34"/>
      <c r="AN197" s="104"/>
      <c r="AO197" s="104"/>
      <c r="AP197" s="104"/>
    </row>
    <row r="198">
      <c r="A198" s="34"/>
      <c r="B198" s="34"/>
      <c r="C198" s="34"/>
      <c r="D198" s="34"/>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4"/>
      <c r="AM198" s="34"/>
      <c r="AN198" s="104"/>
      <c r="AO198" s="104"/>
      <c r="AP198" s="104"/>
    </row>
    <row r="199">
      <c r="A199" s="34"/>
      <c r="B199" s="34"/>
      <c r="C199" s="34"/>
      <c r="D199" s="34"/>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4"/>
      <c r="AM199" s="34"/>
      <c r="AN199" s="104"/>
      <c r="AO199" s="104"/>
      <c r="AP199" s="104"/>
    </row>
    <row r="200">
      <c r="A200" s="34"/>
      <c r="B200" s="34"/>
      <c r="C200" s="34"/>
      <c r="D200" s="34"/>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4"/>
      <c r="AM200" s="34"/>
      <c r="AN200" s="104"/>
      <c r="AO200" s="104"/>
      <c r="AP200" s="104"/>
    </row>
    <row r="201">
      <c r="A201" s="34"/>
      <c r="B201" s="34"/>
      <c r="C201" s="34"/>
      <c r="D201" s="34"/>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4"/>
      <c r="AM201" s="34"/>
      <c r="AN201" s="104"/>
      <c r="AO201" s="104"/>
      <c r="AP201" s="104"/>
    </row>
    <row r="202">
      <c r="A202" s="34"/>
      <c r="B202" s="34"/>
      <c r="C202" s="34"/>
      <c r="D202" s="34"/>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4"/>
      <c r="AM202" s="34"/>
      <c r="AN202" s="104"/>
      <c r="AO202" s="104"/>
      <c r="AP202" s="104"/>
    </row>
    <row r="203">
      <c r="A203" s="34"/>
      <c r="B203" s="34"/>
      <c r="C203" s="34"/>
      <c r="D203" s="34"/>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4"/>
      <c r="AM203" s="34"/>
      <c r="AN203" s="104"/>
      <c r="AO203" s="104"/>
      <c r="AP203" s="104"/>
    </row>
    <row r="204">
      <c r="A204" s="34"/>
      <c r="B204" s="34"/>
      <c r="C204" s="34"/>
      <c r="D204" s="34"/>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4"/>
      <c r="AM204" s="34"/>
      <c r="AN204" s="104"/>
      <c r="AO204" s="104"/>
      <c r="AP204" s="104"/>
    </row>
    <row r="205">
      <c r="A205" s="34"/>
      <c r="B205" s="34"/>
      <c r="C205" s="34"/>
      <c r="D205" s="34"/>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4"/>
      <c r="AM205" s="34"/>
      <c r="AN205" s="104"/>
      <c r="AO205" s="104"/>
      <c r="AP205" s="104"/>
    </row>
    <row r="206">
      <c r="A206" s="34"/>
      <c r="B206" s="34"/>
      <c r="C206" s="34"/>
      <c r="D206" s="34"/>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4"/>
      <c r="AM206" s="34"/>
      <c r="AN206" s="104"/>
      <c r="AO206" s="104"/>
      <c r="AP206" s="104"/>
    </row>
    <row r="207">
      <c r="A207" s="34"/>
      <c r="B207" s="34"/>
      <c r="C207" s="34"/>
      <c r="D207" s="34"/>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4"/>
      <c r="AM207" s="34"/>
      <c r="AN207" s="104"/>
      <c r="AO207" s="104"/>
      <c r="AP207" s="104"/>
    </row>
    <row r="208">
      <c r="A208" s="34"/>
      <c r="B208" s="34"/>
      <c r="C208" s="34"/>
      <c r="D208" s="34"/>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4"/>
      <c r="AM208" s="34"/>
      <c r="AN208" s="104"/>
      <c r="AO208" s="104"/>
      <c r="AP208" s="104"/>
    </row>
    <row r="209">
      <c r="A209" s="34"/>
      <c r="B209" s="34"/>
      <c r="C209" s="34"/>
      <c r="D209" s="34"/>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4"/>
      <c r="AM209" s="34"/>
      <c r="AN209" s="104"/>
      <c r="AO209" s="104"/>
      <c r="AP209" s="104"/>
    </row>
    <row r="210">
      <c r="A210" s="34"/>
      <c r="B210" s="34"/>
      <c r="C210" s="34"/>
      <c r="D210" s="34"/>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4"/>
      <c r="AM210" s="34"/>
      <c r="AN210" s="104"/>
      <c r="AO210" s="104"/>
      <c r="AP210" s="104"/>
    </row>
    <row r="211">
      <c r="A211" s="34"/>
      <c r="B211" s="34"/>
      <c r="C211" s="34"/>
      <c r="D211" s="34"/>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4"/>
      <c r="AM211" s="34"/>
      <c r="AN211" s="104"/>
      <c r="AO211" s="104"/>
      <c r="AP211" s="104"/>
    </row>
    <row r="212">
      <c r="A212" s="34"/>
      <c r="B212" s="34"/>
      <c r="C212" s="34"/>
      <c r="D212" s="34"/>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4"/>
      <c r="AM212" s="34"/>
      <c r="AN212" s="104"/>
      <c r="AO212" s="104"/>
      <c r="AP212" s="104"/>
    </row>
    <row r="213">
      <c r="A213" s="34"/>
      <c r="B213" s="34"/>
      <c r="C213" s="34"/>
      <c r="D213" s="34"/>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4"/>
      <c r="AM213" s="34"/>
      <c r="AN213" s="104"/>
      <c r="AO213" s="104"/>
      <c r="AP213" s="104"/>
    </row>
    <row r="214">
      <c r="A214" s="34"/>
      <c r="B214" s="34"/>
      <c r="C214" s="34"/>
      <c r="D214" s="34"/>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4"/>
      <c r="AM214" s="34"/>
      <c r="AN214" s="104"/>
      <c r="AO214" s="104"/>
      <c r="AP214" s="104"/>
    </row>
    <row r="215">
      <c r="A215" s="34"/>
      <c r="B215" s="34"/>
      <c r="C215" s="34"/>
      <c r="D215" s="34"/>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4"/>
      <c r="AM215" s="34"/>
      <c r="AN215" s="104"/>
      <c r="AO215" s="104"/>
      <c r="AP215" s="104"/>
    </row>
    <row r="216">
      <c r="A216" s="34"/>
      <c r="B216" s="34"/>
      <c r="C216" s="34"/>
      <c r="D216" s="34"/>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4"/>
      <c r="AM216" s="34"/>
      <c r="AN216" s="104"/>
      <c r="AO216" s="104"/>
      <c r="AP216" s="104"/>
    </row>
    <row r="217">
      <c r="A217" s="34"/>
      <c r="B217" s="34"/>
      <c r="C217" s="34"/>
      <c r="D217" s="34"/>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4"/>
      <c r="AM217" s="34"/>
      <c r="AN217" s="104"/>
      <c r="AO217" s="104"/>
      <c r="AP217" s="104"/>
    </row>
    <row r="218">
      <c r="A218" s="34"/>
      <c r="B218" s="34"/>
      <c r="C218" s="34"/>
      <c r="D218" s="34"/>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4"/>
      <c r="AM218" s="34"/>
      <c r="AN218" s="104"/>
      <c r="AO218" s="104"/>
      <c r="AP218" s="104"/>
    </row>
    <row r="219">
      <c r="A219" s="34"/>
      <c r="B219" s="34"/>
      <c r="C219" s="34"/>
      <c r="D219" s="34"/>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4"/>
      <c r="AM219" s="34"/>
      <c r="AN219" s="104"/>
      <c r="AO219" s="104"/>
      <c r="AP219" s="104"/>
    </row>
    <row r="220">
      <c r="A220" s="34"/>
      <c r="B220" s="34"/>
      <c r="C220" s="34"/>
      <c r="D220" s="34"/>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4"/>
      <c r="AM220" s="34"/>
      <c r="AN220" s="104"/>
      <c r="AO220" s="104"/>
      <c r="AP220" s="104"/>
    </row>
    <row r="221">
      <c r="A221" s="34"/>
      <c r="B221" s="34"/>
      <c r="C221" s="34"/>
      <c r="D221" s="34"/>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4"/>
      <c r="AM221" s="34"/>
      <c r="AN221" s="104"/>
      <c r="AO221" s="104"/>
      <c r="AP221" s="104"/>
    </row>
    <row r="222">
      <c r="A222" s="34"/>
      <c r="B222" s="34"/>
      <c r="C222" s="34"/>
      <c r="D222" s="34"/>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4"/>
      <c r="AM222" s="34"/>
      <c r="AN222" s="104"/>
      <c r="AO222" s="104"/>
      <c r="AP222" s="104"/>
    </row>
    <row r="223">
      <c r="A223" s="34"/>
      <c r="B223" s="34"/>
      <c r="C223" s="34"/>
      <c r="D223" s="34"/>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4"/>
      <c r="AM223" s="34"/>
      <c r="AN223" s="104"/>
      <c r="AO223" s="104"/>
      <c r="AP223" s="104"/>
    </row>
    <row r="224">
      <c r="A224" s="34"/>
      <c r="B224" s="34"/>
      <c r="C224" s="34"/>
      <c r="D224" s="34"/>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4"/>
      <c r="AM224" s="34"/>
      <c r="AN224" s="104"/>
      <c r="AO224" s="104"/>
      <c r="AP224" s="104"/>
    </row>
    <row r="225">
      <c r="A225" s="34"/>
      <c r="B225" s="34"/>
      <c r="C225" s="34"/>
      <c r="D225" s="34"/>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4"/>
      <c r="AM225" s="34"/>
      <c r="AN225" s="104"/>
      <c r="AO225" s="104"/>
      <c r="AP225" s="104"/>
    </row>
    <row r="226">
      <c r="A226" s="34"/>
      <c r="B226" s="34"/>
      <c r="C226" s="34"/>
      <c r="D226" s="34"/>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4"/>
      <c r="AM226" s="34"/>
      <c r="AN226" s="104"/>
      <c r="AO226" s="104"/>
      <c r="AP226" s="104"/>
    </row>
    <row r="227">
      <c r="A227" s="34"/>
      <c r="B227" s="34"/>
      <c r="C227" s="34"/>
      <c r="D227" s="34"/>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4"/>
      <c r="AM227" s="34"/>
      <c r="AN227" s="104"/>
      <c r="AO227" s="104"/>
      <c r="AP227" s="104"/>
    </row>
    <row r="228">
      <c r="A228" s="34"/>
      <c r="B228" s="34"/>
      <c r="C228" s="34"/>
      <c r="D228" s="34"/>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4"/>
      <c r="AM228" s="34"/>
      <c r="AN228" s="104"/>
      <c r="AO228" s="104"/>
      <c r="AP228" s="104"/>
    </row>
    <row r="229">
      <c r="A229" s="34"/>
      <c r="B229" s="34"/>
      <c r="C229" s="34"/>
      <c r="D229" s="34"/>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4"/>
      <c r="AM229" s="34"/>
      <c r="AN229" s="104"/>
      <c r="AO229" s="104"/>
      <c r="AP229" s="104"/>
    </row>
    <row r="230">
      <c r="A230" s="34"/>
      <c r="B230" s="34"/>
      <c r="C230" s="34"/>
      <c r="D230" s="34"/>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4"/>
      <c r="AM230" s="34"/>
      <c r="AN230" s="104"/>
      <c r="AO230" s="104"/>
      <c r="AP230" s="104"/>
    </row>
    <row r="231">
      <c r="A231" s="34"/>
      <c r="B231" s="34"/>
      <c r="C231" s="34"/>
      <c r="D231" s="34"/>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4"/>
      <c r="AM231" s="34"/>
      <c r="AN231" s="104"/>
      <c r="AO231" s="104"/>
      <c r="AP231" s="104"/>
    </row>
    <row r="232">
      <c r="A232" s="34"/>
      <c r="B232" s="34"/>
      <c r="C232" s="34"/>
      <c r="D232" s="34"/>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4"/>
      <c r="AM232" s="34"/>
      <c r="AN232" s="104"/>
      <c r="AO232" s="104"/>
      <c r="AP232" s="104"/>
    </row>
    <row r="233">
      <c r="A233" s="34"/>
      <c r="B233" s="34"/>
      <c r="C233" s="34"/>
      <c r="D233" s="34"/>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4"/>
      <c r="AM233" s="34"/>
      <c r="AN233" s="104"/>
      <c r="AO233" s="104"/>
      <c r="AP233" s="104"/>
    </row>
    <row r="234">
      <c r="A234" s="34"/>
      <c r="B234" s="34"/>
      <c r="C234" s="34"/>
      <c r="D234" s="34"/>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4"/>
      <c r="AM234" s="34"/>
      <c r="AN234" s="104"/>
      <c r="AO234" s="104"/>
      <c r="AP234" s="104"/>
    </row>
    <row r="235">
      <c r="A235" s="34"/>
      <c r="B235" s="34"/>
      <c r="C235" s="34"/>
      <c r="D235" s="34"/>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4"/>
      <c r="AM235" s="34"/>
      <c r="AN235" s="104"/>
      <c r="AO235" s="104"/>
      <c r="AP235" s="104"/>
    </row>
    <row r="236">
      <c r="A236" s="34"/>
      <c r="B236" s="34"/>
      <c r="C236" s="34"/>
      <c r="D236" s="34"/>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4"/>
      <c r="AM236" s="34"/>
      <c r="AN236" s="104"/>
      <c r="AO236" s="104"/>
      <c r="AP236" s="104"/>
    </row>
    <row r="237">
      <c r="A237" s="34"/>
      <c r="B237" s="34"/>
      <c r="C237" s="34"/>
      <c r="D237" s="34"/>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4"/>
      <c r="AM237" s="34"/>
      <c r="AN237" s="104"/>
      <c r="AO237" s="104"/>
      <c r="AP237" s="104"/>
    </row>
    <row r="238">
      <c r="A238" s="34"/>
      <c r="B238" s="34"/>
      <c r="C238" s="34"/>
      <c r="D238" s="34"/>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4"/>
      <c r="AM238" s="34"/>
      <c r="AN238" s="104"/>
      <c r="AO238" s="104"/>
      <c r="AP238" s="104"/>
    </row>
    <row r="239">
      <c r="A239" s="34"/>
      <c r="B239" s="34"/>
      <c r="C239" s="34"/>
      <c r="D239" s="34"/>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4"/>
      <c r="AM239" s="34"/>
      <c r="AN239" s="104"/>
      <c r="AO239" s="104"/>
      <c r="AP239" s="104"/>
    </row>
    <row r="240">
      <c r="A240" s="34"/>
      <c r="B240" s="34"/>
      <c r="C240" s="34"/>
      <c r="D240" s="34"/>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4"/>
      <c r="AM240" s="34"/>
      <c r="AN240" s="104"/>
      <c r="AO240" s="104"/>
      <c r="AP240" s="104"/>
    </row>
    <row r="241">
      <c r="A241" s="34"/>
      <c r="B241" s="34"/>
      <c r="C241" s="34"/>
      <c r="D241" s="34"/>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4"/>
      <c r="AM241" s="34"/>
      <c r="AN241" s="104"/>
      <c r="AO241" s="104"/>
      <c r="AP241" s="104"/>
    </row>
    <row r="242">
      <c r="A242" s="34"/>
      <c r="B242" s="34"/>
      <c r="C242" s="34"/>
      <c r="D242" s="34"/>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4"/>
      <c r="AM242" s="34"/>
      <c r="AN242" s="104"/>
      <c r="AO242" s="104"/>
      <c r="AP242" s="104"/>
    </row>
    <row r="243">
      <c r="A243" s="34"/>
      <c r="B243" s="34"/>
      <c r="C243" s="34"/>
      <c r="D243" s="34"/>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4"/>
      <c r="AM243" s="34"/>
      <c r="AN243" s="104"/>
      <c r="AO243" s="104"/>
      <c r="AP243" s="104"/>
    </row>
    <row r="244">
      <c r="A244" s="34"/>
      <c r="B244" s="34"/>
      <c r="C244" s="34"/>
      <c r="D244" s="34"/>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4"/>
      <c r="AM244" s="34"/>
      <c r="AN244" s="104"/>
      <c r="AO244" s="104"/>
      <c r="AP244" s="104"/>
    </row>
    <row r="245">
      <c r="A245" s="34"/>
      <c r="B245" s="34"/>
      <c r="C245" s="34"/>
      <c r="D245" s="34"/>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4"/>
      <c r="AM245" s="34"/>
      <c r="AN245" s="104"/>
      <c r="AO245" s="104"/>
      <c r="AP245" s="104"/>
    </row>
    <row r="246">
      <c r="A246" s="34"/>
      <c r="B246" s="34"/>
      <c r="C246" s="34"/>
      <c r="D246" s="34"/>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4"/>
      <c r="AM246" s="34"/>
      <c r="AN246" s="104"/>
      <c r="AO246" s="104"/>
      <c r="AP246" s="104"/>
    </row>
    <row r="247">
      <c r="A247" s="34"/>
      <c r="B247" s="34"/>
      <c r="C247" s="34"/>
      <c r="D247" s="34"/>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4"/>
      <c r="AM247" s="34"/>
      <c r="AN247" s="104"/>
      <c r="AO247" s="104"/>
      <c r="AP247" s="104"/>
    </row>
    <row r="248">
      <c r="A248" s="34"/>
      <c r="B248" s="34"/>
      <c r="C248" s="34"/>
      <c r="D248" s="34"/>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4"/>
      <c r="AM248" s="34"/>
      <c r="AN248" s="104"/>
      <c r="AO248" s="104"/>
      <c r="AP248" s="104"/>
    </row>
    <row r="249">
      <c r="A249" s="34"/>
      <c r="B249" s="34"/>
      <c r="C249" s="34"/>
      <c r="D249" s="34"/>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4"/>
      <c r="AM249" s="34"/>
      <c r="AN249" s="104"/>
      <c r="AO249" s="104"/>
      <c r="AP249" s="104"/>
    </row>
    <row r="250">
      <c r="A250" s="34"/>
      <c r="B250" s="34"/>
      <c r="C250" s="34"/>
      <c r="D250" s="34"/>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4"/>
      <c r="AM250" s="34"/>
      <c r="AN250" s="104"/>
      <c r="AO250" s="104"/>
      <c r="AP250" s="104"/>
    </row>
    <row r="251">
      <c r="A251" s="34"/>
      <c r="B251" s="34"/>
      <c r="C251" s="34"/>
      <c r="D251" s="34"/>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4"/>
      <c r="AM251" s="34"/>
      <c r="AN251" s="104"/>
      <c r="AO251" s="104"/>
      <c r="AP251" s="104"/>
    </row>
    <row r="252">
      <c r="A252" s="34"/>
      <c r="B252" s="34"/>
      <c r="C252" s="34"/>
      <c r="D252" s="34"/>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4"/>
      <c r="AM252" s="34"/>
      <c r="AN252" s="104"/>
      <c r="AO252" s="104"/>
      <c r="AP252" s="104"/>
    </row>
    <row r="253">
      <c r="A253" s="34"/>
      <c r="B253" s="34"/>
      <c r="C253" s="34"/>
      <c r="D253" s="34"/>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4"/>
      <c r="AM253" s="34"/>
      <c r="AN253" s="104"/>
      <c r="AO253" s="104"/>
      <c r="AP253" s="104"/>
    </row>
    <row r="254">
      <c r="A254" s="34"/>
      <c r="B254" s="34"/>
      <c r="C254" s="34"/>
      <c r="D254" s="34"/>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4"/>
      <c r="AM254" s="34"/>
      <c r="AN254" s="104"/>
      <c r="AO254" s="104"/>
      <c r="AP254" s="104"/>
    </row>
    <row r="255">
      <c r="A255" s="34"/>
      <c r="B255" s="34"/>
      <c r="C255" s="34"/>
      <c r="D255" s="34"/>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4"/>
      <c r="AM255" s="34"/>
      <c r="AN255" s="104"/>
      <c r="AO255" s="104"/>
      <c r="AP255" s="104"/>
    </row>
    <row r="256">
      <c r="A256" s="34"/>
      <c r="B256" s="34"/>
      <c r="C256" s="34"/>
      <c r="D256" s="34"/>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4"/>
      <c r="AM256" s="34"/>
      <c r="AN256" s="104"/>
      <c r="AO256" s="104"/>
      <c r="AP256" s="104"/>
    </row>
    <row r="257">
      <c r="A257" s="34"/>
      <c r="B257" s="34"/>
      <c r="C257" s="34"/>
      <c r="D257" s="34"/>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4"/>
      <c r="AM257" s="34"/>
      <c r="AN257" s="104"/>
      <c r="AO257" s="104"/>
      <c r="AP257" s="104"/>
    </row>
    <row r="258">
      <c r="A258" s="34"/>
      <c r="B258" s="34"/>
      <c r="C258" s="34"/>
      <c r="D258" s="34"/>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4"/>
      <c r="AM258" s="34"/>
      <c r="AN258" s="104"/>
      <c r="AO258" s="104"/>
      <c r="AP258" s="104"/>
    </row>
    <row r="259">
      <c r="A259" s="34"/>
      <c r="B259" s="34"/>
      <c r="C259" s="34"/>
      <c r="D259" s="34"/>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4"/>
      <c r="AM259" s="34"/>
      <c r="AN259" s="104"/>
      <c r="AO259" s="104"/>
      <c r="AP259" s="104"/>
    </row>
    <row r="260">
      <c r="A260" s="34"/>
      <c r="B260" s="34"/>
      <c r="C260" s="34"/>
      <c r="D260" s="34"/>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4"/>
      <c r="AM260" s="34"/>
      <c r="AN260" s="104"/>
      <c r="AO260" s="104"/>
      <c r="AP260" s="104"/>
    </row>
    <row r="261">
      <c r="A261" s="34"/>
      <c r="B261" s="34"/>
      <c r="C261" s="34"/>
      <c r="D261" s="34"/>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4"/>
      <c r="AM261" s="34"/>
      <c r="AN261" s="104"/>
      <c r="AO261" s="104"/>
      <c r="AP261" s="104"/>
    </row>
    <row r="262">
      <c r="A262" s="34"/>
      <c r="B262" s="34"/>
      <c r="C262" s="34"/>
      <c r="D262" s="34"/>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4"/>
      <c r="AM262" s="34"/>
      <c r="AN262" s="104"/>
      <c r="AO262" s="104"/>
      <c r="AP262" s="104"/>
    </row>
    <row r="263">
      <c r="A263" s="34"/>
      <c r="B263" s="34"/>
      <c r="C263" s="34"/>
      <c r="D263" s="34"/>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4"/>
      <c r="AM263" s="34"/>
      <c r="AN263" s="104"/>
      <c r="AO263" s="104"/>
      <c r="AP263" s="104"/>
    </row>
    <row r="264">
      <c r="A264" s="34"/>
      <c r="B264" s="34"/>
      <c r="C264" s="34"/>
      <c r="D264" s="34"/>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4"/>
      <c r="AM264" s="34"/>
      <c r="AN264" s="104"/>
      <c r="AO264" s="104"/>
      <c r="AP264" s="104"/>
    </row>
    <row r="265">
      <c r="A265" s="34"/>
      <c r="B265" s="34"/>
      <c r="C265" s="34"/>
      <c r="D265" s="34"/>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4"/>
      <c r="AM265" s="34"/>
      <c r="AN265" s="104"/>
      <c r="AO265" s="104"/>
      <c r="AP265" s="104"/>
    </row>
    <row r="266">
      <c r="A266" s="34"/>
      <c r="B266" s="34"/>
      <c r="C266" s="34"/>
      <c r="D266" s="34"/>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4"/>
      <c r="AM266" s="34"/>
      <c r="AN266" s="104"/>
      <c r="AO266" s="104"/>
      <c r="AP266" s="104"/>
    </row>
    <row r="267">
      <c r="A267" s="34"/>
      <c r="B267" s="34"/>
      <c r="C267" s="34"/>
      <c r="D267" s="34"/>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4"/>
      <c r="AM267" s="34"/>
      <c r="AN267" s="104"/>
      <c r="AO267" s="104"/>
      <c r="AP267" s="104"/>
    </row>
    <row r="268">
      <c r="A268" s="34"/>
      <c r="B268" s="34"/>
      <c r="C268" s="34"/>
      <c r="D268" s="34"/>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4"/>
      <c r="AM268" s="34"/>
      <c r="AN268" s="104"/>
      <c r="AO268" s="104"/>
      <c r="AP268" s="104"/>
    </row>
    <row r="269">
      <c r="A269" s="34"/>
      <c r="B269" s="34"/>
      <c r="C269" s="34"/>
      <c r="D269" s="34"/>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4"/>
      <c r="AM269" s="34"/>
      <c r="AN269" s="104"/>
      <c r="AO269" s="104"/>
      <c r="AP269" s="104"/>
    </row>
    <row r="270">
      <c r="A270" s="34"/>
      <c r="B270" s="34"/>
      <c r="C270" s="34"/>
      <c r="D270" s="34"/>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4"/>
      <c r="AM270" s="34"/>
      <c r="AN270" s="104"/>
      <c r="AO270" s="104"/>
      <c r="AP270" s="104"/>
    </row>
    <row r="271">
      <c r="A271" s="34"/>
      <c r="B271" s="34"/>
      <c r="C271" s="34"/>
      <c r="D271" s="34"/>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4"/>
      <c r="AM271" s="34"/>
      <c r="AN271" s="104"/>
      <c r="AO271" s="104"/>
      <c r="AP271" s="104"/>
    </row>
    <row r="272">
      <c r="A272" s="34"/>
      <c r="B272" s="34"/>
      <c r="C272" s="34"/>
      <c r="D272" s="34"/>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4"/>
      <c r="AM272" s="34"/>
      <c r="AN272" s="104"/>
      <c r="AO272" s="104"/>
      <c r="AP272" s="104"/>
    </row>
    <row r="273">
      <c r="A273" s="34"/>
      <c r="B273" s="34"/>
      <c r="C273" s="34"/>
      <c r="D273" s="34"/>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4"/>
      <c r="AM273" s="34"/>
      <c r="AN273" s="104"/>
      <c r="AO273" s="104"/>
      <c r="AP273" s="104"/>
    </row>
    <row r="274">
      <c r="A274" s="34"/>
      <c r="B274" s="34"/>
      <c r="C274" s="34"/>
      <c r="D274" s="34"/>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4"/>
      <c r="AM274" s="34"/>
      <c r="AN274" s="104"/>
      <c r="AO274" s="104"/>
      <c r="AP274" s="104"/>
    </row>
    <row r="275">
      <c r="A275" s="34"/>
      <c r="B275" s="34"/>
      <c r="C275" s="34"/>
      <c r="D275" s="34"/>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4"/>
      <c r="AM275" s="34"/>
      <c r="AN275" s="104"/>
      <c r="AO275" s="104"/>
      <c r="AP275" s="104"/>
    </row>
    <row r="276">
      <c r="A276" s="34"/>
      <c r="B276" s="34"/>
      <c r="C276" s="34"/>
      <c r="D276" s="34"/>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4"/>
      <c r="AM276" s="34"/>
      <c r="AN276" s="104"/>
      <c r="AO276" s="104"/>
      <c r="AP276" s="104"/>
    </row>
    <row r="277">
      <c r="A277" s="34"/>
      <c r="B277" s="34"/>
      <c r="C277" s="34"/>
      <c r="D277" s="34"/>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4"/>
      <c r="AM277" s="34"/>
      <c r="AN277" s="104"/>
      <c r="AO277" s="104"/>
      <c r="AP277" s="104"/>
    </row>
    <row r="278">
      <c r="A278" s="34"/>
      <c r="B278" s="34"/>
      <c r="C278" s="34"/>
      <c r="D278" s="34"/>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4"/>
      <c r="AM278" s="34"/>
      <c r="AN278" s="104"/>
      <c r="AO278" s="104"/>
      <c r="AP278" s="104"/>
    </row>
    <row r="279">
      <c r="A279" s="34"/>
      <c r="B279" s="34"/>
      <c r="C279" s="34"/>
      <c r="D279" s="34"/>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4"/>
      <c r="AM279" s="34"/>
      <c r="AN279" s="104"/>
      <c r="AO279" s="104"/>
      <c r="AP279" s="104"/>
    </row>
    <row r="280">
      <c r="A280" s="34"/>
      <c r="B280" s="34"/>
      <c r="C280" s="34"/>
      <c r="D280" s="34"/>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c r="AK280" s="35"/>
      <c r="AL280" s="34"/>
      <c r="AM280" s="34"/>
      <c r="AN280" s="104"/>
      <c r="AO280" s="104"/>
      <c r="AP280" s="104"/>
    </row>
    <row r="281">
      <c r="A281" s="34"/>
      <c r="B281" s="34"/>
      <c r="C281" s="34"/>
      <c r="D281" s="34"/>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c r="AK281" s="35"/>
      <c r="AL281" s="34"/>
      <c r="AM281" s="34"/>
      <c r="AN281" s="104"/>
      <c r="AO281" s="104"/>
      <c r="AP281" s="104"/>
    </row>
    <row r="282">
      <c r="A282" s="34"/>
      <c r="B282" s="34"/>
      <c r="C282" s="34"/>
      <c r="D282" s="34"/>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4"/>
      <c r="AM282" s="34"/>
      <c r="AN282" s="104"/>
      <c r="AO282" s="104"/>
      <c r="AP282" s="104"/>
    </row>
    <row r="283">
      <c r="A283" s="34"/>
      <c r="B283" s="34"/>
      <c r="C283" s="34"/>
      <c r="D283" s="34"/>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c r="AK283" s="35"/>
      <c r="AL283" s="34"/>
      <c r="AM283" s="34"/>
      <c r="AN283" s="104"/>
      <c r="AO283" s="104"/>
      <c r="AP283" s="104"/>
    </row>
    <row r="284">
      <c r="A284" s="34"/>
      <c r="B284" s="34"/>
      <c r="C284" s="34"/>
      <c r="D284" s="34"/>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4"/>
      <c r="AM284" s="34"/>
      <c r="AN284" s="104"/>
      <c r="AO284" s="104"/>
      <c r="AP284" s="104"/>
    </row>
    <row r="285">
      <c r="A285" s="34"/>
      <c r="B285" s="34"/>
      <c r="C285" s="34"/>
      <c r="D285" s="34"/>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4"/>
      <c r="AM285" s="34"/>
      <c r="AN285" s="104"/>
      <c r="AO285" s="104"/>
      <c r="AP285" s="104"/>
    </row>
    <row r="286">
      <c r="A286" s="34"/>
      <c r="B286" s="34"/>
      <c r="C286" s="34"/>
      <c r="D286" s="34"/>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4"/>
      <c r="AM286" s="34"/>
      <c r="AN286" s="104"/>
      <c r="AO286" s="104"/>
      <c r="AP286" s="104"/>
    </row>
    <row r="287">
      <c r="A287" s="34"/>
      <c r="B287" s="34"/>
      <c r="C287" s="34"/>
      <c r="D287" s="34"/>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4"/>
      <c r="AM287" s="34"/>
      <c r="AN287" s="104"/>
      <c r="AO287" s="104"/>
      <c r="AP287" s="104"/>
    </row>
    <row r="288">
      <c r="A288" s="34"/>
      <c r="B288" s="34"/>
      <c r="C288" s="34"/>
      <c r="D288" s="34"/>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4"/>
      <c r="AM288" s="34"/>
      <c r="AN288" s="104"/>
      <c r="AO288" s="104"/>
      <c r="AP288" s="104"/>
    </row>
    <row r="289">
      <c r="A289" s="34"/>
      <c r="B289" s="34"/>
      <c r="C289" s="34"/>
      <c r="D289" s="34"/>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4"/>
      <c r="AM289" s="34"/>
      <c r="AN289" s="104"/>
      <c r="AO289" s="104"/>
      <c r="AP289" s="104"/>
    </row>
    <row r="290">
      <c r="A290" s="34"/>
      <c r="B290" s="34"/>
      <c r="C290" s="34"/>
      <c r="D290" s="34"/>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4"/>
      <c r="AM290" s="34"/>
      <c r="AN290" s="104"/>
      <c r="AO290" s="104"/>
      <c r="AP290" s="104"/>
    </row>
    <row r="291">
      <c r="A291" s="34"/>
      <c r="B291" s="34"/>
      <c r="C291" s="34"/>
      <c r="D291" s="34"/>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4"/>
      <c r="AM291" s="34"/>
      <c r="AN291" s="104"/>
      <c r="AO291" s="104"/>
      <c r="AP291" s="104"/>
    </row>
    <row r="292">
      <c r="A292" s="34"/>
      <c r="B292" s="34"/>
      <c r="C292" s="34"/>
      <c r="D292" s="34"/>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4"/>
      <c r="AM292" s="34"/>
      <c r="AN292" s="104"/>
      <c r="AO292" s="104"/>
      <c r="AP292" s="104"/>
    </row>
    <row r="293">
      <c r="A293" s="34"/>
      <c r="B293" s="34"/>
      <c r="C293" s="34"/>
      <c r="D293" s="34"/>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4"/>
      <c r="AM293" s="34"/>
      <c r="AN293" s="104"/>
      <c r="AO293" s="104"/>
      <c r="AP293" s="104"/>
    </row>
    <row r="294">
      <c r="A294" s="34"/>
      <c r="B294" s="34"/>
      <c r="C294" s="34"/>
      <c r="D294" s="34"/>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4"/>
      <c r="AM294" s="34"/>
      <c r="AN294" s="104"/>
      <c r="AO294" s="104"/>
      <c r="AP294" s="104"/>
    </row>
    <row r="295">
      <c r="A295" s="34"/>
      <c r="B295" s="34"/>
      <c r="C295" s="34"/>
      <c r="D295" s="34"/>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4"/>
      <c r="AM295" s="34"/>
      <c r="AN295" s="104"/>
      <c r="AO295" s="104"/>
      <c r="AP295" s="104"/>
    </row>
    <row r="296">
      <c r="A296" s="34"/>
      <c r="B296" s="34"/>
      <c r="C296" s="34"/>
      <c r="D296" s="34"/>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4"/>
      <c r="AM296" s="34"/>
      <c r="AN296" s="104"/>
      <c r="AO296" s="104"/>
      <c r="AP296" s="104"/>
    </row>
    <row r="297">
      <c r="A297" s="34"/>
      <c r="B297" s="34"/>
      <c r="C297" s="34"/>
      <c r="D297" s="34"/>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4"/>
      <c r="AM297" s="34"/>
      <c r="AN297" s="104"/>
      <c r="AO297" s="104"/>
      <c r="AP297" s="104"/>
    </row>
    <row r="298">
      <c r="A298" s="34"/>
      <c r="B298" s="34"/>
      <c r="C298" s="34"/>
      <c r="D298" s="34"/>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4"/>
      <c r="AM298" s="34"/>
      <c r="AN298" s="104"/>
      <c r="AO298" s="104"/>
      <c r="AP298" s="104"/>
    </row>
    <row r="299">
      <c r="A299" s="34"/>
      <c r="B299" s="34"/>
      <c r="C299" s="34"/>
      <c r="D299" s="34"/>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4"/>
      <c r="AM299" s="34"/>
      <c r="AN299" s="104"/>
      <c r="AO299" s="104"/>
      <c r="AP299" s="104"/>
    </row>
    <row r="300">
      <c r="A300" s="34"/>
      <c r="B300" s="34"/>
      <c r="C300" s="34"/>
      <c r="D300" s="34"/>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4"/>
      <c r="AM300" s="34"/>
      <c r="AN300" s="104"/>
      <c r="AO300" s="104"/>
      <c r="AP300" s="104"/>
    </row>
    <row r="301">
      <c r="A301" s="34"/>
      <c r="B301" s="34"/>
      <c r="C301" s="34"/>
      <c r="D301" s="34"/>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4"/>
      <c r="AM301" s="34"/>
      <c r="AN301" s="104"/>
      <c r="AO301" s="104"/>
      <c r="AP301" s="104"/>
    </row>
    <row r="302">
      <c r="A302" s="34"/>
      <c r="B302" s="34"/>
      <c r="C302" s="34"/>
      <c r="D302" s="34"/>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4"/>
      <c r="AM302" s="34"/>
      <c r="AN302" s="104"/>
      <c r="AO302" s="104"/>
      <c r="AP302" s="104"/>
    </row>
    <row r="303">
      <c r="A303" s="34"/>
      <c r="B303" s="34"/>
      <c r="C303" s="34"/>
      <c r="D303" s="34"/>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4"/>
      <c r="AM303" s="34"/>
      <c r="AN303" s="104"/>
      <c r="AO303" s="104"/>
      <c r="AP303" s="104"/>
    </row>
    <row r="304">
      <c r="A304" s="34"/>
      <c r="B304" s="34"/>
      <c r="C304" s="34"/>
      <c r="D304" s="34"/>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4"/>
      <c r="AM304" s="34"/>
      <c r="AN304" s="104"/>
      <c r="AO304" s="104"/>
      <c r="AP304" s="104"/>
    </row>
    <row r="305">
      <c r="A305" s="34"/>
      <c r="B305" s="34"/>
      <c r="C305" s="34"/>
      <c r="D305" s="34"/>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4"/>
      <c r="AM305" s="34"/>
      <c r="AN305" s="104"/>
      <c r="AO305" s="104"/>
      <c r="AP305" s="104"/>
    </row>
    <row r="306">
      <c r="A306" s="34"/>
      <c r="B306" s="34"/>
      <c r="C306" s="34"/>
      <c r="D306" s="34"/>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4"/>
      <c r="AM306" s="34"/>
      <c r="AN306" s="104"/>
      <c r="AO306" s="104"/>
      <c r="AP306" s="104"/>
    </row>
    <row r="307">
      <c r="A307" s="34"/>
      <c r="B307" s="34"/>
      <c r="C307" s="34"/>
      <c r="D307" s="34"/>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4"/>
      <c r="AM307" s="34"/>
      <c r="AN307" s="104"/>
      <c r="AO307" s="104"/>
      <c r="AP307" s="104"/>
    </row>
    <row r="308">
      <c r="A308" s="34"/>
      <c r="B308" s="34"/>
      <c r="C308" s="34"/>
      <c r="D308" s="34"/>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4"/>
      <c r="AM308" s="34"/>
      <c r="AN308" s="104"/>
      <c r="AO308" s="104"/>
      <c r="AP308" s="104"/>
    </row>
    <row r="309">
      <c r="A309" s="34"/>
      <c r="B309" s="34"/>
      <c r="C309" s="34"/>
      <c r="D309" s="34"/>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4"/>
      <c r="AM309" s="34"/>
      <c r="AN309" s="104"/>
      <c r="AO309" s="104"/>
      <c r="AP309" s="104"/>
    </row>
    <row r="310">
      <c r="A310" s="34"/>
      <c r="B310" s="34"/>
      <c r="C310" s="34"/>
      <c r="D310" s="34"/>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4"/>
      <c r="AM310" s="34"/>
      <c r="AN310" s="104"/>
      <c r="AO310" s="104"/>
      <c r="AP310" s="104"/>
    </row>
    <row r="311">
      <c r="A311" s="34"/>
      <c r="B311" s="34"/>
      <c r="C311" s="34"/>
      <c r="D311" s="34"/>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4"/>
      <c r="AM311" s="34"/>
      <c r="AN311" s="104"/>
      <c r="AO311" s="104"/>
      <c r="AP311" s="104"/>
    </row>
    <row r="312">
      <c r="A312" s="34"/>
      <c r="B312" s="34"/>
      <c r="C312" s="34"/>
      <c r="D312" s="34"/>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4"/>
      <c r="AM312" s="34"/>
      <c r="AN312" s="104"/>
      <c r="AO312" s="104"/>
      <c r="AP312" s="104"/>
    </row>
    <row r="313">
      <c r="A313" s="132"/>
      <c r="B313" s="132"/>
      <c r="C313" s="132"/>
      <c r="D313" s="132"/>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c r="AE313" s="133"/>
      <c r="AF313" s="133"/>
      <c r="AG313" s="133"/>
      <c r="AH313" s="133"/>
      <c r="AI313" s="133"/>
      <c r="AJ313" s="133"/>
      <c r="AK313" s="133"/>
      <c r="AL313" s="132"/>
      <c r="AM313" s="132"/>
      <c r="AN313" s="104"/>
      <c r="AO313" s="104"/>
      <c r="AP313" s="104"/>
    </row>
    <row r="314">
      <c r="A314" s="132"/>
      <c r="B314" s="132"/>
      <c r="C314" s="132"/>
      <c r="D314" s="132"/>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c r="AE314" s="133"/>
      <c r="AF314" s="133"/>
      <c r="AG314" s="133"/>
      <c r="AH314" s="133"/>
      <c r="AI314" s="133"/>
      <c r="AJ314" s="133"/>
      <c r="AK314" s="133"/>
      <c r="AL314" s="132"/>
      <c r="AM314" s="132"/>
      <c r="AN314" s="104"/>
      <c r="AO314" s="104"/>
      <c r="AP314" s="104"/>
    </row>
    <row r="315">
      <c r="A315" s="132"/>
      <c r="B315" s="132"/>
      <c r="C315" s="132"/>
      <c r="D315" s="132"/>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c r="AE315" s="133"/>
      <c r="AF315" s="133"/>
      <c r="AG315" s="133"/>
      <c r="AH315" s="133"/>
      <c r="AI315" s="133"/>
      <c r="AJ315" s="133"/>
      <c r="AK315" s="133"/>
      <c r="AL315" s="132"/>
      <c r="AM315" s="132"/>
      <c r="AN315" s="104"/>
      <c r="AO315" s="104"/>
      <c r="AP315" s="104"/>
    </row>
    <row r="316">
      <c r="A316" s="132"/>
      <c r="B316" s="132"/>
      <c r="C316" s="132"/>
      <c r="D316" s="132"/>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c r="AE316" s="133"/>
      <c r="AF316" s="133"/>
      <c r="AG316" s="133"/>
      <c r="AH316" s="133"/>
      <c r="AI316" s="133"/>
      <c r="AJ316" s="133"/>
      <c r="AK316" s="133"/>
      <c r="AL316" s="132"/>
      <c r="AM316" s="132"/>
      <c r="AN316" s="104"/>
      <c r="AO316" s="104"/>
      <c r="AP316" s="104"/>
    </row>
    <row r="317">
      <c r="A317" s="132"/>
      <c r="B317" s="132"/>
      <c r="C317" s="132"/>
      <c r="D317" s="132"/>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c r="AC317" s="133"/>
      <c r="AD317" s="133"/>
      <c r="AE317" s="133"/>
      <c r="AF317" s="133"/>
      <c r="AG317" s="133"/>
      <c r="AH317" s="133"/>
      <c r="AI317" s="133"/>
      <c r="AJ317" s="133"/>
      <c r="AK317" s="133"/>
      <c r="AL317" s="132"/>
      <c r="AM317" s="132"/>
      <c r="AN317" s="104"/>
      <c r="AO317" s="104"/>
      <c r="AP317" s="104"/>
    </row>
    <row r="318">
      <c r="A318" s="132"/>
      <c r="B318" s="132"/>
      <c r="C318" s="132"/>
      <c r="D318" s="132"/>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c r="AC318" s="133"/>
      <c r="AD318" s="133"/>
      <c r="AE318" s="133"/>
      <c r="AF318" s="133"/>
      <c r="AG318" s="133"/>
      <c r="AH318" s="133"/>
      <c r="AI318" s="133"/>
      <c r="AJ318" s="133"/>
      <c r="AK318" s="133"/>
      <c r="AL318" s="132"/>
      <c r="AM318" s="132"/>
      <c r="AN318" s="104"/>
      <c r="AO318" s="104"/>
      <c r="AP318" s="104"/>
    </row>
    <row r="319">
      <c r="A319" s="132"/>
      <c r="B319" s="132"/>
      <c r="C319" s="132"/>
      <c r="D319" s="132"/>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c r="AC319" s="133"/>
      <c r="AD319" s="133"/>
      <c r="AE319" s="133"/>
      <c r="AF319" s="133"/>
      <c r="AG319" s="133"/>
      <c r="AH319" s="133"/>
      <c r="AI319" s="133"/>
      <c r="AJ319" s="133"/>
      <c r="AK319" s="133"/>
      <c r="AL319" s="132"/>
      <c r="AM319" s="132"/>
      <c r="AN319" s="104"/>
      <c r="AO319" s="104"/>
      <c r="AP319" s="104"/>
    </row>
    <row r="320">
      <c r="A320" s="132"/>
      <c r="B320" s="132"/>
      <c r="C320" s="132"/>
      <c r="D320" s="132"/>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c r="AC320" s="133"/>
      <c r="AD320" s="133"/>
      <c r="AE320" s="133"/>
      <c r="AF320" s="133"/>
      <c r="AG320" s="133"/>
      <c r="AH320" s="133"/>
      <c r="AI320" s="133"/>
      <c r="AJ320" s="133"/>
      <c r="AK320" s="133"/>
      <c r="AL320" s="132"/>
      <c r="AM320" s="132"/>
      <c r="AN320" s="104"/>
      <c r="AO320" s="104"/>
      <c r="AP320" s="104"/>
    </row>
    <row r="321">
      <c r="A321" s="132"/>
      <c r="B321" s="132"/>
      <c r="C321" s="132"/>
      <c r="D321" s="132"/>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c r="AC321" s="133"/>
      <c r="AD321" s="133"/>
      <c r="AE321" s="133"/>
      <c r="AF321" s="133"/>
      <c r="AG321" s="133"/>
      <c r="AH321" s="133"/>
      <c r="AI321" s="133"/>
      <c r="AJ321" s="133"/>
      <c r="AK321" s="133"/>
      <c r="AL321" s="132"/>
      <c r="AM321" s="132"/>
      <c r="AN321" s="104"/>
      <c r="AO321" s="104"/>
      <c r="AP321" s="104"/>
    </row>
    <row r="322">
      <c r="A322" s="132"/>
      <c r="B322" s="132"/>
      <c r="C322" s="132"/>
      <c r="D322" s="132"/>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c r="AE322" s="133"/>
      <c r="AF322" s="133"/>
      <c r="AG322" s="133"/>
      <c r="AH322" s="133"/>
      <c r="AI322" s="133"/>
      <c r="AJ322" s="133"/>
      <c r="AK322" s="133"/>
      <c r="AL322" s="132"/>
      <c r="AM322" s="132"/>
      <c r="AN322" s="104"/>
      <c r="AO322" s="104"/>
      <c r="AP322" s="104"/>
    </row>
    <row r="323">
      <c r="A323" s="132"/>
      <c r="B323" s="132"/>
      <c r="C323" s="132"/>
      <c r="D323" s="132"/>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c r="AC323" s="133"/>
      <c r="AD323" s="133"/>
      <c r="AE323" s="133"/>
      <c r="AF323" s="133"/>
      <c r="AG323" s="133"/>
      <c r="AH323" s="133"/>
      <c r="AI323" s="133"/>
      <c r="AJ323" s="133"/>
      <c r="AK323" s="133"/>
      <c r="AL323" s="132"/>
      <c r="AM323" s="132"/>
      <c r="AN323" s="104"/>
      <c r="AO323" s="104"/>
      <c r="AP323" s="104"/>
    </row>
    <row r="324">
      <c r="A324" s="132"/>
      <c r="B324" s="132"/>
      <c r="C324" s="132"/>
      <c r="D324" s="132"/>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c r="AC324" s="133"/>
      <c r="AD324" s="133"/>
      <c r="AE324" s="133"/>
      <c r="AF324" s="133"/>
      <c r="AG324" s="133"/>
      <c r="AH324" s="133"/>
      <c r="AI324" s="133"/>
      <c r="AJ324" s="133"/>
      <c r="AK324" s="133"/>
      <c r="AL324" s="132"/>
      <c r="AM324" s="132"/>
      <c r="AN324" s="104"/>
      <c r="AO324" s="104"/>
      <c r="AP324" s="104"/>
    </row>
    <row r="325">
      <c r="A325" s="132"/>
      <c r="B325" s="132"/>
      <c r="C325" s="132"/>
      <c r="D325" s="132"/>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c r="AC325" s="133"/>
      <c r="AD325" s="133"/>
      <c r="AE325" s="133"/>
      <c r="AF325" s="133"/>
      <c r="AG325" s="133"/>
      <c r="AH325" s="133"/>
      <c r="AI325" s="133"/>
      <c r="AJ325" s="133"/>
      <c r="AK325" s="133"/>
      <c r="AL325" s="132"/>
      <c r="AM325" s="132"/>
      <c r="AN325" s="104"/>
      <c r="AO325" s="104"/>
      <c r="AP325" s="104"/>
    </row>
    <row r="326">
      <c r="A326" s="132"/>
      <c r="B326" s="132"/>
      <c r="C326" s="132"/>
      <c r="D326" s="132"/>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c r="AC326" s="133"/>
      <c r="AD326" s="133"/>
      <c r="AE326" s="133"/>
      <c r="AF326" s="133"/>
      <c r="AG326" s="133"/>
      <c r="AH326" s="133"/>
      <c r="AI326" s="133"/>
      <c r="AJ326" s="133"/>
      <c r="AK326" s="133"/>
      <c r="AL326" s="132"/>
      <c r="AM326" s="132"/>
      <c r="AN326" s="104"/>
      <c r="AO326" s="104"/>
      <c r="AP326" s="104"/>
    </row>
    <row r="327">
      <c r="A327" s="132"/>
      <c r="B327" s="132"/>
      <c r="C327" s="132"/>
      <c r="D327" s="132"/>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c r="AE327" s="133"/>
      <c r="AF327" s="133"/>
      <c r="AG327" s="133"/>
      <c r="AH327" s="133"/>
      <c r="AI327" s="133"/>
      <c r="AJ327" s="133"/>
      <c r="AK327" s="133"/>
      <c r="AL327" s="132"/>
      <c r="AM327" s="132"/>
      <c r="AN327" s="104"/>
      <c r="AO327" s="104"/>
      <c r="AP327" s="104"/>
    </row>
    <row r="328">
      <c r="A328" s="132"/>
      <c r="B328" s="132"/>
      <c r="C328" s="132"/>
      <c r="D328" s="132"/>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c r="AE328" s="133"/>
      <c r="AF328" s="133"/>
      <c r="AG328" s="133"/>
      <c r="AH328" s="133"/>
      <c r="AI328" s="133"/>
      <c r="AJ328" s="133"/>
      <c r="AK328" s="133"/>
      <c r="AL328" s="132"/>
      <c r="AM328" s="132"/>
      <c r="AN328" s="104"/>
      <c r="AO328" s="104"/>
      <c r="AP328" s="104"/>
    </row>
    <row r="329">
      <c r="A329" s="132"/>
      <c r="B329" s="132"/>
      <c r="C329" s="132"/>
      <c r="D329" s="132"/>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c r="AE329" s="133"/>
      <c r="AF329" s="133"/>
      <c r="AG329" s="133"/>
      <c r="AH329" s="133"/>
      <c r="AI329" s="133"/>
      <c r="AJ329" s="133"/>
      <c r="AK329" s="133"/>
      <c r="AL329" s="132"/>
      <c r="AM329" s="132"/>
      <c r="AN329" s="104"/>
      <c r="AO329" s="104"/>
      <c r="AP329" s="104"/>
    </row>
    <row r="330">
      <c r="A330" s="132"/>
      <c r="B330" s="132"/>
      <c r="C330" s="132"/>
      <c r="D330" s="132"/>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c r="AE330" s="133"/>
      <c r="AF330" s="133"/>
      <c r="AG330" s="133"/>
      <c r="AH330" s="133"/>
      <c r="AI330" s="133"/>
      <c r="AJ330" s="133"/>
      <c r="AK330" s="133"/>
      <c r="AL330" s="132"/>
      <c r="AM330" s="132"/>
      <c r="AN330" s="104"/>
      <c r="AO330" s="104"/>
      <c r="AP330" s="104"/>
    </row>
    <row r="331">
      <c r="A331" s="132"/>
      <c r="B331" s="132"/>
      <c r="C331" s="132"/>
      <c r="D331" s="132"/>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c r="AC331" s="133"/>
      <c r="AD331" s="133"/>
      <c r="AE331" s="133"/>
      <c r="AF331" s="133"/>
      <c r="AG331" s="133"/>
      <c r="AH331" s="133"/>
      <c r="AI331" s="133"/>
      <c r="AJ331" s="133"/>
      <c r="AK331" s="133"/>
      <c r="AL331" s="132"/>
      <c r="AM331" s="132"/>
      <c r="AN331" s="104"/>
      <c r="AO331" s="104"/>
      <c r="AP331" s="104"/>
    </row>
    <row r="332">
      <c r="A332" s="132"/>
      <c r="B332" s="132"/>
      <c r="C332" s="132"/>
      <c r="D332" s="132"/>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c r="AE332" s="133"/>
      <c r="AF332" s="133"/>
      <c r="AG332" s="133"/>
      <c r="AH332" s="133"/>
      <c r="AI332" s="133"/>
      <c r="AJ332" s="133"/>
      <c r="AK332" s="133"/>
      <c r="AL332" s="132"/>
      <c r="AM332" s="132"/>
      <c r="AN332" s="104"/>
      <c r="AO332" s="104"/>
      <c r="AP332" s="104"/>
    </row>
    <row r="333">
      <c r="A333" s="132"/>
      <c r="B333" s="132"/>
      <c r="C333" s="132"/>
      <c r="D333" s="132"/>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c r="AE333" s="133"/>
      <c r="AF333" s="133"/>
      <c r="AG333" s="133"/>
      <c r="AH333" s="133"/>
      <c r="AI333" s="133"/>
      <c r="AJ333" s="133"/>
      <c r="AK333" s="133"/>
      <c r="AL333" s="132"/>
      <c r="AM333" s="132"/>
      <c r="AN333" s="104"/>
      <c r="AO333" s="104"/>
      <c r="AP333" s="104"/>
    </row>
    <row r="334">
      <c r="A334" s="132"/>
      <c r="B334" s="132"/>
      <c r="C334" s="132"/>
      <c r="D334" s="132"/>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c r="AE334" s="133"/>
      <c r="AF334" s="133"/>
      <c r="AG334" s="133"/>
      <c r="AH334" s="133"/>
      <c r="AI334" s="133"/>
      <c r="AJ334" s="133"/>
      <c r="AK334" s="133"/>
      <c r="AL334" s="132"/>
      <c r="AM334" s="132"/>
      <c r="AN334" s="104"/>
      <c r="AO334" s="104"/>
      <c r="AP334" s="104"/>
    </row>
    <row r="335">
      <c r="A335" s="132"/>
      <c r="B335" s="132"/>
      <c r="C335" s="132"/>
      <c r="D335" s="132"/>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c r="AC335" s="133"/>
      <c r="AD335" s="133"/>
      <c r="AE335" s="133"/>
      <c r="AF335" s="133"/>
      <c r="AG335" s="133"/>
      <c r="AH335" s="133"/>
      <c r="AI335" s="133"/>
      <c r="AJ335" s="133"/>
      <c r="AK335" s="133"/>
      <c r="AL335" s="132"/>
      <c r="AM335" s="132"/>
      <c r="AN335" s="104"/>
      <c r="AO335" s="104"/>
      <c r="AP335" s="104"/>
    </row>
    <row r="336">
      <c r="A336" s="132"/>
      <c r="B336" s="132"/>
      <c r="C336" s="132"/>
      <c r="D336" s="132"/>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c r="AC336" s="133"/>
      <c r="AD336" s="133"/>
      <c r="AE336" s="133"/>
      <c r="AF336" s="133"/>
      <c r="AG336" s="133"/>
      <c r="AH336" s="133"/>
      <c r="AI336" s="133"/>
      <c r="AJ336" s="133"/>
      <c r="AK336" s="133"/>
      <c r="AL336" s="132"/>
      <c r="AM336" s="132"/>
      <c r="AN336" s="104"/>
      <c r="AO336" s="104"/>
      <c r="AP336" s="104"/>
    </row>
    <row r="337">
      <c r="A337" s="132"/>
      <c r="B337" s="132"/>
      <c r="C337" s="132"/>
      <c r="D337" s="132"/>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2"/>
      <c r="AM337" s="132"/>
      <c r="AN337" s="104"/>
      <c r="AO337" s="104"/>
      <c r="AP337" s="104"/>
    </row>
    <row r="338">
      <c r="A338" s="132"/>
      <c r="B338" s="132"/>
      <c r="C338" s="132"/>
      <c r="D338" s="132"/>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3"/>
      <c r="AJ338" s="133"/>
      <c r="AK338" s="133"/>
      <c r="AL338" s="132"/>
      <c r="AM338" s="132"/>
      <c r="AN338" s="104"/>
      <c r="AO338" s="104"/>
      <c r="AP338" s="104"/>
    </row>
    <row r="339">
      <c r="A339" s="132"/>
      <c r="B339" s="132"/>
      <c r="C339" s="132"/>
      <c r="D339" s="132"/>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c r="AE339" s="133"/>
      <c r="AF339" s="133"/>
      <c r="AG339" s="133"/>
      <c r="AH339" s="133"/>
      <c r="AI339" s="133"/>
      <c r="AJ339" s="133"/>
      <c r="AK339" s="133"/>
      <c r="AL339" s="132"/>
      <c r="AM339" s="132"/>
      <c r="AN339" s="104"/>
      <c r="AO339" s="104"/>
      <c r="AP339" s="104"/>
    </row>
    <row r="340">
      <c r="A340" s="132"/>
      <c r="B340" s="132"/>
      <c r="C340" s="132"/>
      <c r="D340" s="132"/>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c r="AC340" s="133"/>
      <c r="AD340" s="133"/>
      <c r="AE340" s="133"/>
      <c r="AF340" s="133"/>
      <c r="AG340" s="133"/>
      <c r="AH340" s="133"/>
      <c r="AI340" s="133"/>
      <c r="AJ340" s="133"/>
      <c r="AK340" s="133"/>
      <c r="AL340" s="132"/>
      <c r="AM340" s="132"/>
      <c r="AN340" s="104"/>
      <c r="AO340" s="104"/>
      <c r="AP340" s="104"/>
    </row>
    <row r="341">
      <c r="A341" s="132"/>
      <c r="B341" s="132"/>
      <c r="C341" s="132"/>
      <c r="D341" s="132"/>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c r="AE341" s="133"/>
      <c r="AF341" s="133"/>
      <c r="AG341" s="133"/>
      <c r="AH341" s="133"/>
      <c r="AI341" s="133"/>
      <c r="AJ341" s="133"/>
      <c r="AK341" s="133"/>
      <c r="AL341" s="132"/>
      <c r="AM341" s="132"/>
      <c r="AN341" s="104"/>
      <c r="AO341" s="104"/>
      <c r="AP341" s="104"/>
    </row>
    <row r="342">
      <c r="A342" s="132"/>
      <c r="B342" s="132"/>
      <c r="C342" s="132"/>
      <c r="D342" s="132"/>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c r="AE342" s="133"/>
      <c r="AF342" s="133"/>
      <c r="AG342" s="133"/>
      <c r="AH342" s="133"/>
      <c r="AI342" s="133"/>
      <c r="AJ342" s="133"/>
      <c r="AK342" s="133"/>
      <c r="AL342" s="132"/>
      <c r="AM342" s="132"/>
      <c r="AN342" s="104"/>
      <c r="AO342" s="104"/>
      <c r="AP342" s="104"/>
    </row>
    <row r="343">
      <c r="A343" s="132"/>
      <c r="B343" s="132"/>
      <c r="C343" s="132"/>
      <c r="D343" s="132"/>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c r="AE343" s="133"/>
      <c r="AF343" s="133"/>
      <c r="AG343" s="133"/>
      <c r="AH343" s="133"/>
      <c r="AI343" s="133"/>
      <c r="AJ343" s="133"/>
      <c r="AK343" s="133"/>
      <c r="AL343" s="132"/>
      <c r="AM343" s="132"/>
      <c r="AN343" s="104"/>
      <c r="AO343" s="104"/>
      <c r="AP343" s="104"/>
    </row>
    <row r="344">
      <c r="A344" s="132"/>
      <c r="B344" s="132"/>
      <c r="C344" s="132"/>
      <c r="D344" s="132"/>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c r="AE344" s="133"/>
      <c r="AF344" s="133"/>
      <c r="AG344" s="133"/>
      <c r="AH344" s="133"/>
      <c r="AI344" s="133"/>
      <c r="AJ344" s="133"/>
      <c r="AK344" s="133"/>
      <c r="AL344" s="132"/>
      <c r="AM344" s="132"/>
      <c r="AN344" s="104"/>
      <c r="AO344" s="104"/>
      <c r="AP344" s="104"/>
    </row>
    <row r="345">
      <c r="A345" s="132"/>
      <c r="B345" s="132"/>
      <c r="C345" s="132"/>
      <c r="D345" s="132"/>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c r="AE345" s="133"/>
      <c r="AF345" s="133"/>
      <c r="AG345" s="133"/>
      <c r="AH345" s="133"/>
      <c r="AI345" s="133"/>
      <c r="AJ345" s="133"/>
      <c r="AK345" s="133"/>
      <c r="AL345" s="132"/>
      <c r="AM345" s="132"/>
      <c r="AN345" s="104"/>
      <c r="AO345" s="104"/>
      <c r="AP345" s="104"/>
    </row>
    <row r="346">
      <c r="A346" s="132"/>
      <c r="B346" s="132"/>
      <c r="C346" s="132"/>
      <c r="D346" s="132"/>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c r="AG346" s="133"/>
      <c r="AH346" s="133"/>
      <c r="AI346" s="133"/>
      <c r="AJ346" s="133"/>
      <c r="AK346" s="133"/>
      <c r="AL346" s="132"/>
      <c r="AM346" s="132"/>
      <c r="AN346" s="104"/>
      <c r="AO346" s="104"/>
      <c r="AP346" s="104"/>
    </row>
    <row r="347">
      <c r="A347" s="132"/>
      <c r="B347" s="132"/>
      <c r="C347" s="132"/>
      <c r="D347" s="132"/>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c r="AG347" s="133"/>
      <c r="AH347" s="133"/>
      <c r="AI347" s="133"/>
      <c r="AJ347" s="133"/>
      <c r="AK347" s="133"/>
      <c r="AL347" s="132"/>
      <c r="AM347" s="132"/>
      <c r="AN347" s="104"/>
      <c r="AO347" s="104"/>
      <c r="AP347" s="104"/>
    </row>
    <row r="348">
      <c r="A348" s="132"/>
      <c r="B348" s="132"/>
      <c r="C348" s="132"/>
      <c r="D348" s="132"/>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c r="AG348" s="133"/>
      <c r="AH348" s="133"/>
      <c r="AI348" s="133"/>
      <c r="AJ348" s="133"/>
      <c r="AK348" s="133"/>
      <c r="AL348" s="132"/>
      <c r="AM348" s="132"/>
      <c r="AN348" s="104"/>
      <c r="AO348" s="104"/>
      <c r="AP348" s="104"/>
    </row>
    <row r="349">
      <c r="A349" s="132"/>
      <c r="B349" s="132"/>
      <c r="C349" s="132"/>
      <c r="D349" s="132"/>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c r="AE349" s="133"/>
      <c r="AF349" s="133"/>
      <c r="AG349" s="133"/>
      <c r="AH349" s="133"/>
      <c r="AI349" s="133"/>
      <c r="AJ349" s="133"/>
      <c r="AK349" s="133"/>
      <c r="AL349" s="132"/>
      <c r="AM349" s="132"/>
      <c r="AN349" s="104"/>
      <c r="AO349" s="104"/>
      <c r="AP349" s="104"/>
    </row>
    <row r="350">
      <c r="A350" s="132"/>
      <c r="B350" s="132"/>
      <c r="C350" s="132"/>
      <c r="D350" s="132"/>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c r="AG350" s="133"/>
      <c r="AH350" s="133"/>
      <c r="AI350" s="133"/>
      <c r="AJ350" s="133"/>
      <c r="AK350" s="133"/>
      <c r="AL350" s="132"/>
      <c r="AM350" s="132"/>
      <c r="AN350" s="104"/>
      <c r="AO350" s="104"/>
      <c r="AP350" s="104"/>
    </row>
    <row r="351">
      <c r="A351" s="132"/>
      <c r="B351" s="132"/>
      <c r="C351" s="132"/>
      <c r="D351" s="132"/>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c r="AG351" s="133"/>
      <c r="AH351" s="133"/>
      <c r="AI351" s="133"/>
      <c r="AJ351" s="133"/>
      <c r="AK351" s="133"/>
      <c r="AL351" s="132"/>
      <c r="AM351" s="132"/>
      <c r="AN351" s="104"/>
      <c r="AO351" s="104"/>
      <c r="AP351" s="104"/>
    </row>
    <row r="352">
      <c r="A352" s="132"/>
      <c r="B352" s="132"/>
      <c r="C352" s="132"/>
      <c r="D352" s="132"/>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c r="AE352" s="133"/>
      <c r="AF352" s="133"/>
      <c r="AG352" s="133"/>
      <c r="AH352" s="133"/>
      <c r="AI352" s="133"/>
      <c r="AJ352" s="133"/>
      <c r="AK352" s="133"/>
      <c r="AL352" s="132"/>
      <c r="AM352" s="132"/>
      <c r="AN352" s="104"/>
      <c r="AO352" s="104"/>
      <c r="AP352" s="104"/>
    </row>
    <row r="353">
      <c r="A353" s="132"/>
      <c r="B353" s="132"/>
      <c r="C353" s="132"/>
      <c r="D353" s="132"/>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c r="AG353" s="133"/>
      <c r="AH353" s="133"/>
      <c r="AI353" s="133"/>
      <c r="AJ353" s="133"/>
      <c r="AK353" s="133"/>
      <c r="AL353" s="132"/>
      <c r="AM353" s="132"/>
      <c r="AN353" s="104"/>
      <c r="AO353" s="104"/>
      <c r="AP353" s="104"/>
    </row>
    <row r="354">
      <c r="A354" s="132"/>
      <c r="B354" s="132"/>
      <c r="C354" s="132"/>
      <c r="D354" s="132"/>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c r="AI354" s="133"/>
      <c r="AJ354" s="133"/>
      <c r="AK354" s="133"/>
      <c r="AL354" s="132"/>
      <c r="AM354" s="132"/>
      <c r="AN354" s="104"/>
      <c r="AO354" s="104"/>
      <c r="AP354" s="104"/>
    </row>
    <row r="355">
      <c r="A355" s="132"/>
      <c r="B355" s="132"/>
      <c r="C355" s="132"/>
      <c r="D355" s="132"/>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c r="AG355" s="133"/>
      <c r="AH355" s="133"/>
      <c r="AI355" s="133"/>
      <c r="AJ355" s="133"/>
      <c r="AK355" s="133"/>
      <c r="AL355" s="132"/>
      <c r="AM355" s="132"/>
      <c r="AN355" s="104"/>
      <c r="AO355" s="104"/>
      <c r="AP355" s="104"/>
    </row>
    <row r="356">
      <c r="A356" s="132"/>
      <c r="B356" s="132"/>
      <c r="C356" s="132"/>
      <c r="D356" s="132"/>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c r="AE356" s="133"/>
      <c r="AF356" s="133"/>
      <c r="AG356" s="133"/>
      <c r="AH356" s="133"/>
      <c r="AI356" s="133"/>
      <c r="AJ356" s="133"/>
      <c r="AK356" s="133"/>
      <c r="AL356" s="132"/>
      <c r="AM356" s="132"/>
      <c r="AN356" s="104"/>
      <c r="AO356" s="104"/>
      <c r="AP356" s="104"/>
    </row>
    <row r="357">
      <c r="A357" s="132"/>
      <c r="B357" s="132"/>
      <c r="C357" s="132"/>
      <c r="D357" s="132"/>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c r="AG357" s="133"/>
      <c r="AH357" s="133"/>
      <c r="AI357" s="133"/>
      <c r="AJ357" s="133"/>
      <c r="AK357" s="133"/>
      <c r="AL357" s="132"/>
      <c r="AM357" s="132"/>
      <c r="AN357" s="104"/>
      <c r="AO357" s="104"/>
      <c r="AP357" s="104"/>
    </row>
    <row r="358">
      <c r="A358" s="132"/>
      <c r="B358" s="132"/>
      <c r="C358" s="132"/>
      <c r="D358" s="132"/>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c r="AE358" s="133"/>
      <c r="AF358" s="133"/>
      <c r="AG358" s="133"/>
      <c r="AH358" s="133"/>
      <c r="AI358" s="133"/>
      <c r="AJ358" s="133"/>
      <c r="AK358" s="133"/>
      <c r="AL358" s="132"/>
      <c r="AM358" s="132"/>
      <c r="AN358" s="104"/>
      <c r="AO358" s="104"/>
      <c r="AP358" s="104"/>
    </row>
    <row r="359">
      <c r="A359" s="132"/>
      <c r="B359" s="132"/>
      <c r="C359" s="132"/>
      <c r="D359" s="132"/>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c r="AE359" s="133"/>
      <c r="AF359" s="133"/>
      <c r="AG359" s="133"/>
      <c r="AH359" s="133"/>
      <c r="AI359" s="133"/>
      <c r="AJ359" s="133"/>
      <c r="AK359" s="133"/>
      <c r="AL359" s="132"/>
      <c r="AM359" s="132"/>
      <c r="AN359" s="104"/>
      <c r="AO359" s="104"/>
      <c r="AP359" s="104"/>
    </row>
    <row r="360">
      <c r="A360" s="132"/>
      <c r="B360" s="132"/>
      <c r="C360" s="132"/>
      <c r="D360" s="132"/>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c r="AI360" s="133"/>
      <c r="AJ360" s="133"/>
      <c r="AK360" s="133"/>
      <c r="AL360" s="132"/>
      <c r="AM360" s="132"/>
      <c r="AN360" s="104"/>
      <c r="AO360" s="104"/>
      <c r="AP360" s="104"/>
    </row>
    <row r="361">
      <c r="A361" s="132"/>
      <c r="B361" s="132"/>
      <c r="C361" s="132"/>
      <c r="D361" s="132"/>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c r="AE361" s="133"/>
      <c r="AF361" s="133"/>
      <c r="AG361" s="133"/>
      <c r="AH361" s="133"/>
      <c r="AI361" s="133"/>
      <c r="AJ361" s="133"/>
      <c r="AK361" s="133"/>
      <c r="AL361" s="132"/>
      <c r="AM361" s="132"/>
      <c r="AN361" s="104"/>
      <c r="AO361" s="104"/>
      <c r="AP361" s="104"/>
    </row>
    <row r="362">
      <c r="A362" s="132"/>
      <c r="B362" s="132"/>
      <c r="C362" s="132"/>
      <c r="D362" s="132"/>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c r="AE362" s="133"/>
      <c r="AF362" s="133"/>
      <c r="AG362" s="133"/>
      <c r="AH362" s="133"/>
      <c r="AI362" s="133"/>
      <c r="AJ362" s="133"/>
      <c r="AK362" s="133"/>
      <c r="AL362" s="132"/>
      <c r="AM362" s="132"/>
      <c r="AN362" s="104"/>
      <c r="AO362" s="104"/>
      <c r="AP362" s="104"/>
    </row>
    <row r="363">
      <c r="A363" s="132"/>
      <c r="B363" s="132"/>
      <c r="C363" s="132"/>
      <c r="D363" s="132"/>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c r="AE363" s="133"/>
      <c r="AF363" s="133"/>
      <c r="AG363" s="133"/>
      <c r="AH363" s="133"/>
      <c r="AI363" s="133"/>
      <c r="AJ363" s="133"/>
      <c r="AK363" s="133"/>
      <c r="AL363" s="132"/>
      <c r="AM363" s="132"/>
      <c r="AN363" s="104"/>
      <c r="AO363" s="104"/>
      <c r="AP363" s="104"/>
    </row>
    <row r="364">
      <c r="A364" s="132"/>
      <c r="B364" s="132"/>
      <c r="C364" s="132"/>
      <c r="D364" s="132"/>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c r="AE364" s="133"/>
      <c r="AF364" s="133"/>
      <c r="AG364" s="133"/>
      <c r="AH364" s="133"/>
      <c r="AI364" s="133"/>
      <c r="AJ364" s="133"/>
      <c r="AK364" s="133"/>
      <c r="AL364" s="132"/>
      <c r="AM364" s="132"/>
      <c r="AN364" s="104"/>
      <c r="AO364" s="104"/>
      <c r="AP364" s="104"/>
    </row>
    <row r="365">
      <c r="A365" s="132"/>
      <c r="B365" s="132"/>
      <c r="C365" s="132"/>
      <c r="D365" s="132"/>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c r="AE365" s="133"/>
      <c r="AF365" s="133"/>
      <c r="AG365" s="133"/>
      <c r="AH365" s="133"/>
      <c r="AI365" s="133"/>
      <c r="AJ365" s="133"/>
      <c r="AK365" s="133"/>
      <c r="AL365" s="132"/>
      <c r="AM365" s="132"/>
      <c r="AN365" s="104"/>
      <c r="AO365" s="104"/>
      <c r="AP365" s="104"/>
    </row>
    <row r="366">
      <c r="A366" s="132"/>
      <c r="B366" s="132"/>
      <c r="C366" s="132"/>
      <c r="D366" s="132"/>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c r="AI366" s="133"/>
      <c r="AJ366" s="133"/>
      <c r="AK366" s="133"/>
      <c r="AL366" s="132"/>
      <c r="AM366" s="132"/>
      <c r="AN366" s="104"/>
      <c r="AO366" s="104"/>
      <c r="AP366" s="104"/>
    </row>
    <row r="367">
      <c r="A367" s="132"/>
      <c r="B367" s="132"/>
      <c r="C367" s="132"/>
      <c r="D367" s="132"/>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c r="AE367" s="133"/>
      <c r="AF367" s="133"/>
      <c r="AG367" s="133"/>
      <c r="AH367" s="133"/>
      <c r="AI367" s="133"/>
      <c r="AJ367" s="133"/>
      <c r="AK367" s="133"/>
      <c r="AL367" s="132"/>
      <c r="AM367" s="132"/>
      <c r="AN367" s="104"/>
      <c r="AO367" s="104"/>
      <c r="AP367" s="104"/>
    </row>
    <row r="368">
      <c r="A368" s="132"/>
      <c r="B368" s="132"/>
      <c r="C368" s="132"/>
      <c r="D368" s="132"/>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c r="AE368" s="133"/>
      <c r="AF368" s="133"/>
      <c r="AG368" s="133"/>
      <c r="AH368" s="133"/>
      <c r="AI368" s="133"/>
      <c r="AJ368" s="133"/>
      <c r="AK368" s="133"/>
      <c r="AL368" s="132"/>
      <c r="AM368" s="132"/>
      <c r="AN368" s="104"/>
      <c r="AO368" s="104"/>
      <c r="AP368" s="104"/>
    </row>
    <row r="369">
      <c r="A369" s="132"/>
      <c r="B369" s="132"/>
      <c r="C369" s="132"/>
      <c r="D369" s="132"/>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c r="AE369" s="133"/>
      <c r="AF369" s="133"/>
      <c r="AG369" s="133"/>
      <c r="AH369" s="133"/>
      <c r="AI369" s="133"/>
      <c r="AJ369" s="133"/>
      <c r="AK369" s="133"/>
      <c r="AL369" s="132"/>
      <c r="AM369" s="132"/>
      <c r="AN369" s="104"/>
      <c r="AO369" s="104"/>
      <c r="AP369" s="104"/>
    </row>
    <row r="370">
      <c r="A370" s="132"/>
      <c r="B370" s="132"/>
      <c r="C370" s="132"/>
      <c r="D370" s="132"/>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c r="AE370" s="133"/>
      <c r="AF370" s="133"/>
      <c r="AG370" s="133"/>
      <c r="AH370" s="133"/>
      <c r="AI370" s="133"/>
      <c r="AJ370" s="133"/>
      <c r="AK370" s="133"/>
      <c r="AL370" s="132"/>
      <c r="AM370" s="132"/>
      <c r="AN370" s="104"/>
      <c r="AO370" s="104"/>
      <c r="AP370" s="104"/>
    </row>
    <row r="371">
      <c r="A371" s="132"/>
      <c r="B371" s="132"/>
      <c r="C371" s="132"/>
      <c r="D371" s="132"/>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c r="AG371" s="133"/>
      <c r="AH371" s="133"/>
      <c r="AI371" s="133"/>
      <c r="AJ371" s="133"/>
      <c r="AK371" s="133"/>
      <c r="AL371" s="132"/>
      <c r="AM371" s="132"/>
      <c r="AN371" s="104"/>
      <c r="AO371" s="104"/>
      <c r="AP371" s="104"/>
    </row>
    <row r="372">
      <c r="A372" s="132"/>
      <c r="B372" s="132"/>
      <c r="C372" s="132"/>
      <c r="D372" s="132"/>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c r="AI372" s="133"/>
      <c r="AJ372" s="133"/>
      <c r="AK372" s="133"/>
      <c r="AL372" s="132"/>
      <c r="AM372" s="132"/>
      <c r="AN372" s="104"/>
      <c r="AO372" s="104"/>
      <c r="AP372" s="104"/>
    </row>
    <row r="373">
      <c r="A373" s="132"/>
      <c r="B373" s="132"/>
      <c r="C373" s="132"/>
      <c r="D373" s="132"/>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c r="AE373" s="133"/>
      <c r="AF373" s="133"/>
      <c r="AG373" s="133"/>
      <c r="AH373" s="133"/>
      <c r="AI373" s="133"/>
      <c r="AJ373" s="133"/>
      <c r="AK373" s="133"/>
      <c r="AL373" s="132"/>
      <c r="AM373" s="132"/>
      <c r="AN373" s="104"/>
      <c r="AO373" s="104"/>
      <c r="AP373" s="104"/>
    </row>
    <row r="374">
      <c r="A374" s="132"/>
      <c r="B374" s="132"/>
      <c r="C374" s="132"/>
      <c r="D374" s="132"/>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c r="AG374" s="133"/>
      <c r="AH374" s="133"/>
      <c r="AI374" s="133"/>
      <c r="AJ374" s="133"/>
      <c r="AK374" s="133"/>
      <c r="AL374" s="132"/>
      <c r="AM374" s="132"/>
      <c r="AN374" s="104"/>
      <c r="AO374" s="104"/>
      <c r="AP374" s="104"/>
    </row>
    <row r="375">
      <c r="A375" s="132"/>
      <c r="B375" s="132"/>
      <c r="C375" s="132"/>
      <c r="D375" s="132"/>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c r="AG375" s="133"/>
      <c r="AH375" s="133"/>
      <c r="AI375" s="133"/>
      <c r="AJ375" s="133"/>
      <c r="AK375" s="133"/>
      <c r="AL375" s="132"/>
      <c r="AM375" s="132"/>
      <c r="AN375" s="104"/>
      <c r="AO375" s="104"/>
      <c r="AP375" s="104"/>
    </row>
    <row r="376">
      <c r="A376" s="132"/>
      <c r="B376" s="132"/>
      <c r="C376" s="132"/>
      <c r="D376" s="132"/>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c r="AG376" s="133"/>
      <c r="AH376" s="133"/>
      <c r="AI376" s="133"/>
      <c r="AJ376" s="133"/>
      <c r="AK376" s="133"/>
      <c r="AL376" s="132"/>
      <c r="AM376" s="132"/>
      <c r="AN376" s="104"/>
      <c r="AO376" s="104"/>
      <c r="AP376" s="104"/>
    </row>
    <row r="377">
      <c r="A377" s="132"/>
      <c r="B377" s="132"/>
      <c r="C377" s="132"/>
      <c r="D377" s="132"/>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c r="AE377" s="133"/>
      <c r="AF377" s="133"/>
      <c r="AG377" s="133"/>
      <c r="AH377" s="133"/>
      <c r="AI377" s="133"/>
      <c r="AJ377" s="133"/>
      <c r="AK377" s="133"/>
      <c r="AL377" s="132"/>
      <c r="AM377" s="132"/>
      <c r="AN377" s="104"/>
      <c r="AO377" s="104"/>
      <c r="AP377" s="104"/>
    </row>
    <row r="378">
      <c r="A378" s="132"/>
      <c r="B378" s="132"/>
      <c r="C378" s="132"/>
      <c r="D378" s="132"/>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3"/>
      <c r="AJ378" s="133"/>
      <c r="AK378" s="133"/>
      <c r="AL378" s="132"/>
      <c r="AM378" s="132"/>
      <c r="AN378" s="104"/>
      <c r="AO378" s="104"/>
      <c r="AP378" s="104"/>
    </row>
    <row r="379">
      <c r="A379" s="132"/>
      <c r="B379" s="132"/>
      <c r="C379" s="132"/>
      <c r="D379" s="132"/>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c r="AE379" s="133"/>
      <c r="AF379" s="133"/>
      <c r="AG379" s="133"/>
      <c r="AH379" s="133"/>
      <c r="AI379" s="133"/>
      <c r="AJ379" s="133"/>
      <c r="AK379" s="133"/>
      <c r="AL379" s="132"/>
      <c r="AM379" s="132"/>
      <c r="AN379" s="104"/>
      <c r="AO379" s="104"/>
      <c r="AP379" s="104"/>
    </row>
    <row r="380">
      <c r="A380" s="132"/>
      <c r="B380" s="132"/>
      <c r="C380" s="132"/>
      <c r="D380" s="132"/>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c r="AE380" s="133"/>
      <c r="AF380" s="133"/>
      <c r="AG380" s="133"/>
      <c r="AH380" s="133"/>
      <c r="AI380" s="133"/>
      <c r="AJ380" s="133"/>
      <c r="AK380" s="133"/>
      <c r="AL380" s="132"/>
      <c r="AM380" s="132"/>
      <c r="AN380" s="104"/>
      <c r="AO380" s="104"/>
      <c r="AP380" s="104"/>
    </row>
    <row r="381">
      <c r="A381" s="132"/>
      <c r="B381" s="132"/>
      <c r="C381" s="132"/>
      <c r="D381" s="132"/>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c r="AE381" s="133"/>
      <c r="AF381" s="133"/>
      <c r="AG381" s="133"/>
      <c r="AH381" s="133"/>
      <c r="AI381" s="133"/>
      <c r="AJ381" s="133"/>
      <c r="AK381" s="133"/>
      <c r="AL381" s="132"/>
      <c r="AM381" s="132"/>
      <c r="AN381" s="104"/>
      <c r="AO381" s="104"/>
      <c r="AP381" s="104"/>
    </row>
    <row r="382">
      <c r="A382" s="132"/>
      <c r="B382" s="132"/>
      <c r="C382" s="132"/>
      <c r="D382" s="132"/>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c r="AE382" s="133"/>
      <c r="AF382" s="133"/>
      <c r="AG382" s="133"/>
      <c r="AH382" s="133"/>
      <c r="AI382" s="133"/>
      <c r="AJ382" s="133"/>
      <c r="AK382" s="133"/>
      <c r="AL382" s="132"/>
      <c r="AM382" s="132"/>
      <c r="AN382" s="104"/>
      <c r="AO382" s="104"/>
      <c r="AP382" s="104"/>
    </row>
    <row r="383">
      <c r="A383" s="132"/>
      <c r="B383" s="132"/>
      <c r="C383" s="132"/>
      <c r="D383" s="132"/>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c r="AE383" s="133"/>
      <c r="AF383" s="133"/>
      <c r="AG383" s="133"/>
      <c r="AH383" s="133"/>
      <c r="AI383" s="133"/>
      <c r="AJ383" s="133"/>
      <c r="AK383" s="133"/>
      <c r="AL383" s="132"/>
      <c r="AM383" s="132"/>
      <c r="AN383" s="104"/>
      <c r="AO383" s="104"/>
      <c r="AP383" s="104"/>
    </row>
    <row r="384">
      <c r="A384" s="132"/>
      <c r="B384" s="132"/>
      <c r="C384" s="132"/>
      <c r="D384" s="132"/>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c r="AE384" s="133"/>
      <c r="AF384" s="133"/>
      <c r="AG384" s="133"/>
      <c r="AH384" s="133"/>
      <c r="AI384" s="133"/>
      <c r="AJ384" s="133"/>
      <c r="AK384" s="133"/>
      <c r="AL384" s="132"/>
      <c r="AM384" s="132"/>
      <c r="AN384" s="104"/>
      <c r="AO384" s="104"/>
      <c r="AP384" s="104"/>
    </row>
    <row r="385">
      <c r="A385" s="132"/>
      <c r="B385" s="132"/>
      <c r="C385" s="132"/>
      <c r="D385" s="132"/>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c r="AE385" s="133"/>
      <c r="AF385" s="133"/>
      <c r="AG385" s="133"/>
      <c r="AH385" s="133"/>
      <c r="AI385" s="133"/>
      <c r="AJ385" s="133"/>
      <c r="AK385" s="133"/>
      <c r="AL385" s="132"/>
      <c r="AM385" s="132"/>
      <c r="AN385" s="104"/>
      <c r="AO385" s="104"/>
      <c r="AP385" s="104"/>
    </row>
    <row r="386">
      <c r="A386" s="132"/>
      <c r="B386" s="132"/>
      <c r="C386" s="132"/>
      <c r="D386" s="132"/>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c r="AE386" s="133"/>
      <c r="AF386" s="133"/>
      <c r="AG386" s="133"/>
      <c r="AH386" s="133"/>
      <c r="AI386" s="133"/>
      <c r="AJ386" s="133"/>
      <c r="AK386" s="133"/>
      <c r="AL386" s="132"/>
      <c r="AM386" s="132"/>
      <c r="AN386" s="104"/>
      <c r="AO386" s="104"/>
      <c r="AP386" s="104"/>
    </row>
    <row r="387">
      <c r="A387" s="132"/>
      <c r="B387" s="132"/>
      <c r="C387" s="132"/>
      <c r="D387" s="132"/>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c r="AC387" s="133"/>
      <c r="AD387" s="133"/>
      <c r="AE387" s="133"/>
      <c r="AF387" s="133"/>
      <c r="AG387" s="133"/>
      <c r="AH387" s="133"/>
      <c r="AI387" s="133"/>
      <c r="AJ387" s="133"/>
      <c r="AK387" s="133"/>
      <c r="AL387" s="132"/>
      <c r="AM387" s="132"/>
      <c r="AN387" s="104"/>
      <c r="AO387" s="104"/>
      <c r="AP387" s="104"/>
    </row>
    <row r="388">
      <c r="A388" s="132"/>
      <c r="B388" s="132"/>
      <c r="C388" s="132"/>
      <c r="D388" s="132"/>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c r="AC388" s="133"/>
      <c r="AD388" s="133"/>
      <c r="AE388" s="133"/>
      <c r="AF388" s="133"/>
      <c r="AG388" s="133"/>
      <c r="AH388" s="133"/>
      <c r="AI388" s="133"/>
      <c r="AJ388" s="133"/>
      <c r="AK388" s="133"/>
      <c r="AL388" s="132"/>
      <c r="AM388" s="132"/>
      <c r="AN388" s="104"/>
      <c r="AO388" s="104"/>
      <c r="AP388" s="104"/>
    </row>
    <row r="389">
      <c r="A389" s="132"/>
      <c r="B389" s="132"/>
      <c r="C389" s="132"/>
      <c r="D389" s="132"/>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c r="AC389" s="133"/>
      <c r="AD389" s="133"/>
      <c r="AE389" s="133"/>
      <c r="AF389" s="133"/>
      <c r="AG389" s="133"/>
      <c r="AH389" s="133"/>
      <c r="AI389" s="133"/>
      <c r="AJ389" s="133"/>
      <c r="AK389" s="133"/>
      <c r="AL389" s="132"/>
      <c r="AM389" s="132"/>
      <c r="AN389" s="104"/>
      <c r="AO389" s="104"/>
      <c r="AP389" s="104"/>
    </row>
    <row r="390">
      <c r="A390" s="132"/>
      <c r="B390" s="132"/>
      <c r="C390" s="132"/>
      <c r="D390" s="132"/>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c r="AE390" s="133"/>
      <c r="AF390" s="133"/>
      <c r="AG390" s="133"/>
      <c r="AH390" s="133"/>
      <c r="AI390" s="133"/>
      <c r="AJ390" s="133"/>
      <c r="AK390" s="133"/>
      <c r="AL390" s="132"/>
      <c r="AM390" s="132"/>
      <c r="AN390" s="104"/>
      <c r="AO390" s="104"/>
      <c r="AP390" s="104"/>
    </row>
    <row r="391">
      <c r="A391" s="132"/>
      <c r="B391" s="132"/>
      <c r="C391" s="132"/>
      <c r="D391" s="132"/>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c r="AC391" s="133"/>
      <c r="AD391" s="133"/>
      <c r="AE391" s="133"/>
      <c r="AF391" s="133"/>
      <c r="AG391" s="133"/>
      <c r="AH391" s="133"/>
      <c r="AI391" s="133"/>
      <c r="AJ391" s="133"/>
      <c r="AK391" s="133"/>
      <c r="AL391" s="132"/>
      <c r="AM391" s="132"/>
      <c r="AN391" s="104"/>
      <c r="AO391" s="104"/>
      <c r="AP391" s="104"/>
    </row>
    <row r="392">
      <c r="A392" s="132"/>
      <c r="B392" s="132"/>
      <c r="C392" s="132"/>
      <c r="D392" s="132"/>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c r="AC392" s="133"/>
      <c r="AD392" s="133"/>
      <c r="AE392" s="133"/>
      <c r="AF392" s="133"/>
      <c r="AG392" s="133"/>
      <c r="AH392" s="133"/>
      <c r="AI392" s="133"/>
      <c r="AJ392" s="133"/>
      <c r="AK392" s="133"/>
      <c r="AL392" s="132"/>
      <c r="AM392" s="132"/>
      <c r="AN392" s="104"/>
      <c r="AO392" s="104"/>
      <c r="AP392" s="104"/>
    </row>
    <row r="393">
      <c r="A393" s="132"/>
      <c r="B393" s="132"/>
      <c r="C393" s="132"/>
      <c r="D393" s="132"/>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c r="AE393" s="133"/>
      <c r="AF393" s="133"/>
      <c r="AG393" s="133"/>
      <c r="AH393" s="133"/>
      <c r="AI393" s="133"/>
      <c r="AJ393" s="133"/>
      <c r="AK393" s="133"/>
      <c r="AL393" s="132"/>
      <c r="AM393" s="132"/>
      <c r="AN393" s="104"/>
      <c r="AO393" s="104"/>
      <c r="AP393" s="104"/>
    </row>
    <row r="394">
      <c r="A394" s="132"/>
      <c r="B394" s="132"/>
      <c r="C394" s="132"/>
      <c r="D394" s="132"/>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c r="AC394" s="133"/>
      <c r="AD394" s="133"/>
      <c r="AE394" s="133"/>
      <c r="AF394" s="133"/>
      <c r="AG394" s="133"/>
      <c r="AH394" s="133"/>
      <c r="AI394" s="133"/>
      <c r="AJ394" s="133"/>
      <c r="AK394" s="133"/>
      <c r="AL394" s="132"/>
      <c r="AM394" s="132"/>
      <c r="AN394" s="104"/>
      <c r="AO394" s="104"/>
      <c r="AP394" s="104"/>
    </row>
    <row r="395">
      <c r="A395" s="132"/>
      <c r="B395" s="132"/>
      <c r="C395" s="132"/>
      <c r="D395" s="132"/>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c r="AC395" s="133"/>
      <c r="AD395" s="133"/>
      <c r="AE395" s="133"/>
      <c r="AF395" s="133"/>
      <c r="AG395" s="133"/>
      <c r="AH395" s="133"/>
      <c r="AI395" s="133"/>
      <c r="AJ395" s="133"/>
      <c r="AK395" s="133"/>
      <c r="AL395" s="132"/>
      <c r="AM395" s="132"/>
      <c r="AN395" s="104"/>
      <c r="AO395" s="104"/>
      <c r="AP395" s="104"/>
    </row>
    <row r="396">
      <c r="A396" s="132"/>
      <c r="B396" s="132"/>
      <c r="C396" s="132"/>
      <c r="D396" s="132"/>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c r="AC396" s="133"/>
      <c r="AD396" s="133"/>
      <c r="AE396" s="133"/>
      <c r="AF396" s="133"/>
      <c r="AG396" s="133"/>
      <c r="AH396" s="133"/>
      <c r="AI396" s="133"/>
      <c r="AJ396" s="133"/>
      <c r="AK396" s="133"/>
      <c r="AL396" s="132"/>
      <c r="AM396" s="132"/>
      <c r="AN396" s="104"/>
      <c r="AO396" s="104"/>
      <c r="AP396" s="104"/>
    </row>
    <row r="397">
      <c r="A397" s="132"/>
      <c r="B397" s="132"/>
      <c r="C397" s="132"/>
      <c r="D397" s="132"/>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c r="AC397" s="133"/>
      <c r="AD397" s="133"/>
      <c r="AE397" s="133"/>
      <c r="AF397" s="133"/>
      <c r="AG397" s="133"/>
      <c r="AH397" s="133"/>
      <c r="AI397" s="133"/>
      <c r="AJ397" s="133"/>
      <c r="AK397" s="133"/>
      <c r="AL397" s="132"/>
      <c r="AM397" s="132"/>
      <c r="AN397" s="104"/>
      <c r="AO397" s="104"/>
      <c r="AP397" s="104"/>
    </row>
    <row r="398">
      <c r="A398" s="132"/>
      <c r="B398" s="132"/>
      <c r="C398" s="132"/>
      <c r="D398" s="132"/>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c r="AC398" s="133"/>
      <c r="AD398" s="133"/>
      <c r="AE398" s="133"/>
      <c r="AF398" s="133"/>
      <c r="AG398" s="133"/>
      <c r="AH398" s="133"/>
      <c r="AI398" s="133"/>
      <c r="AJ398" s="133"/>
      <c r="AK398" s="133"/>
      <c r="AL398" s="132"/>
      <c r="AM398" s="132"/>
      <c r="AN398" s="104"/>
      <c r="AO398" s="104"/>
      <c r="AP398" s="104"/>
    </row>
    <row r="399">
      <c r="A399" s="132"/>
      <c r="B399" s="132"/>
      <c r="C399" s="132"/>
      <c r="D399" s="132"/>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c r="AC399" s="133"/>
      <c r="AD399" s="133"/>
      <c r="AE399" s="133"/>
      <c r="AF399" s="133"/>
      <c r="AG399" s="133"/>
      <c r="AH399" s="133"/>
      <c r="AI399" s="133"/>
      <c r="AJ399" s="133"/>
      <c r="AK399" s="133"/>
      <c r="AL399" s="132"/>
      <c r="AM399" s="132"/>
      <c r="AN399" s="104"/>
      <c r="AO399" s="104"/>
      <c r="AP399" s="104"/>
    </row>
    <row r="400">
      <c r="A400" s="132"/>
      <c r="B400" s="132"/>
      <c r="C400" s="132"/>
      <c r="D400" s="132"/>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c r="AC400" s="133"/>
      <c r="AD400" s="133"/>
      <c r="AE400" s="133"/>
      <c r="AF400" s="133"/>
      <c r="AG400" s="133"/>
      <c r="AH400" s="133"/>
      <c r="AI400" s="133"/>
      <c r="AJ400" s="133"/>
      <c r="AK400" s="133"/>
      <c r="AL400" s="132"/>
      <c r="AM400" s="132"/>
      <c r="AN400" s="104"/>
      <c r="AO400" s="104"/>
      <c r="AP400" s="104"/>
    </row>
    <row r="401">
      <c r="A401" s="132"/>
      <c r="B401" s="132"/>
      <c r="C401" s="132"/>
      <c r="D401" s="132"/>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c r="AE401" s="133"/>
      <c r="AF401" s="133"/>
      <c r="AG401" s="133"/>
      <c r="AH401" s="133"/>
      <c r="AI401" s="133"/>
      <c r="AJ401" s="133"/>
      <c r="AK401" s="133"/>
      <c r="AL401" s="132"/>
      <c r="AM401" s="132"/>
      <c r="AN401" s="104"/>
      <c r="AO401" s="104"/>
      <c r="AP401" s="104"/>
    </row>
    <row r="402">
      <c r="A402" s="132"/>
      <c r="B402" s="132"/>
      <c r="C402" s="132"/>
      <c r="D402" s="132"/>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c r="AE402" s="133"/>
      <c r="AF402" s="133"/>
      <c r="AG402" s="133"/>
      <c r="AH402" s="133"/>
      <c r="AI402" s="133"/>
      <c r="AJ402" s="133"/>
      <c r="AK402" s="133"/>
      <c r="AL402" s="132"/>
      <c r="AM402" s="132"/>
      <c r="AN402" s="104"/>
      <c r="AO402" s="104"/>
      <c r="AP402" s="104"/>
    </row>
    <row r="403">
      <c r="A403" s="132"/>
      <c r="B403" s="132"/>
      <c r="C403" s="132"/>
      <c r="D403" s="132"/>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c r="AE403" s="133"/>
      <c r="AF403" s="133"/>
      <c r="AG403" s="133"/>
      <c r="AH403" s="133"/>
      <c r="AI403" s="133"/>
      <c r="AJ403" s="133"/>
      <c r="AK403" s="133"/>
      <c r="AL403" s="132"/>
      <c r="AM403" s="132"/>
      <c r="AN403" s="104"/>
      <c r="AO403" s="104"/>
      <c r="AP403" s="104"/>
    </row>
    <row r="404">
      <c r="A404" s="132"/>
      <c r="B404" s="132"/>
      <c r="C404" s="132"/>
      <c r="D404" s="132"/>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c r="AE404" s="133"/>
      <c r="AF404" s="133"/>
      <c r="AG404" s="133"/>
      <c r="AH404" s="133"/>
      <c r="AI404" s="133"/>
      <c r="AJ404" s="133"/>
      <c r="AK404" s="133"/>
      <c r="AL404" s="132"/>
      <c r="AM404" s="132"/>
      <c r="AN404" s="104"/>
      <c r="AO404" s="104"/>
      <c r="AP404" s="104"/>
    </row>
    <row r="405">
      <c r="A405" s="132"/>
      <c r="B405" s="132"/>
      <c r="C405" s="132"/>
      <c r="D405" s="132"/>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c r="AE405" s="133"/>
      <c r="AF405" s="133"/>
      <c r="AG405" s="133"/>
      <c r="AH405" s="133"/>
      <c r="AI405" s="133"/>
      <c r="AJ405" s="133"/>
      <c r="AK405" s="133"/>
      <c r="AL405" s="132"/>
      <c r="AM405" s="132"/>
      <c r="AN405" s="104"/>
      <c r="AO405" s="104"/>
      <c r="AP405" s="104"/>
    </row>
    <row r="406">
      <c r="A406" s="132"/>
      <c r="B406" s="132"/>
      <c r="C406" s="132"/>
      <c r="D406" s="132"/>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c r="AE406" s="133"/>
      <c r="AF406" s="133"/>
      <c r="AG406" s="133"/>
      <c r="AH406" s="133"/>
      <c r="AI406" s="133"/>
      <c r="AJ406" s="133"/>
      <c r="AK406" s="133"/>
      <c r="AL406" s="132"/>
      <c r="AM406" s="132"/>
      <c r="AN406" s="104"/>
      <c r="AO406" s="104"/>
      <c r="AP406" s="104"/>
    </row>
    <row r="407">
      <c r="A407" s="132"/>
      <c r="B407" s="132"/>
      <c r="C407" s="132"/>
      <c r="D407" s="132"/>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c r="AE407" s="133"/>
      <c r="AF407" s="133"/>
      <c r="AG407" s="133"/>
      <c r="AH407" s="133"/>
      <c r="AI407" s="133"/>
      <c r="AJ407" s="133"/>
      <c r="AK407" s="133"/>
      <c r="AL407" s="132"/>
      <c r="AM407" s="132"/>
      <c r="AN407" s="104"/>
      <c r="AO407" s="104"/>
      <c r="AP407" s="104"/>
    </row>
    <row r="408">
      <c r="A408" s="132"/>
      <c r="B408" s="132"/>
      <c r="C408" s="132"/>
      <c r="D408" s="132"/>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c r="AE408" s="133"/>
      <c r="AF408" s="133"/>
      <c r="AG408" s="133"/>
      <c r="AH408" s="133"/>
      <c r="AI408" s="133"/>
      <c r="AJ408" s="133"/>
      <c r="AK408" s="133"/>
      <c r="AL408" s="132"/>
      <c r="AM408" s="132"/>
      <c r="AN408" s="104"/>
      <c r="AO408" s="104"/>
      <c r="AP408" s="104"/>
    </row>
    <row r="409">
      <c r="A409" s="132"/>
      <c r="B409" s="132"/>
      <c r="C409" s="132"/>
      <c r="D409" s="132"/>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c r="AE409" s="133"/>
      <c r="AF409" s="133"/>
      <c r="AG409" s="133"/>
      <c r="AH409" s="133"/>
      <c r="AI409" s="133"/>
      <c r="AJ409" s="133"/>
      <c r="AK409" s="133"/>
      <c r="AL409" s="132"/>
      <c r="AM409" s="132"/>
      <c r="AN409" s="104"/>
      <c r="AO409" s="104"/>
      <c r="AP409" s="104"/>
    </row>
    <row r="410">
      <c r="A410" s="132"/>
      <c r="B410" s="132"/>
      <c r="C410" s="132"/>
      <c r="D410" s="132"/>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c r="AE410" s="133"/>
      <c r="AF410" s="133"/>
      <c r="AG410" s="133"/>
      <c r="AH410" s="133"/>
      <c r="AI410" s="133"/>
      <c r="AJ410" s="133"/>
      <c r="AK410" s="133"/>
      <c r="AL410" s="132"/>
      <c r="AM410" s="132"/>
      <c r="AN410" s="104"/>
      <c r="AO410" s="104"/>
      <c r="AP410" s="104"/>
    </row>
    <row r="411">
      <c r="A411" s="132"/>
      <c r="B411" s="132"/>
      <c r="C411" s="132"/>
      <c r="D411" s="132"/>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c r="AE411" s="133"/>
      <c r="AF411" s="133"/>
      <c r="AG411" s="133"/>
      <c r="AH411" s="133"/>
      <c r="AI411" s="133"/>
      <c r="AJ411" s="133"/>
      <c r="AK411" s="133"/>
      <c r="AL411" s="132"/>
      <c r="AM411" s="132"/>
      <c r="AN411" s="104"/>
      <c r="AO411" s="104"/>
      <c r="AP411" s="104"/>
    </row>
    <row r="412">
      <c r="A412" s="132"/>
      <c r="B412" s="132"/>
      <c r="C412" s="132"/>
      <c r="D412" s="132"/>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c r="AC412" s="133"/>
      <c r="AD412" s="133"/>
      <c r="AE412" s="133"/>
      <c r="AF412" s="133"/>
      <c r="AG412" s="133"/>
      <c r="AH412" s="133"/>
      <c r="AI412" s="133"/>
      <c r="AJ412" s="133"/>
      <c r="AK412" s="133"/>
      <c r="AL412" s="132"/>
      <c r="AM412" s="132"/>
      <c r="AN412" s="104"/>
      <c r="AO412" s="104"/>
      <c r="AP412" s="104"/>
    </row>
    <row r="413">
      <c r="A413" s="132"/>
      <c r="B413" s="132"/>
      <c r="C413" s="132"/>
      <c r="D413" s="132"/>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c r="AE413" s="133"/>
      <c r="AF413" s="133"/>
      <c r="AG413" s="133"/>
      <c r="AH413" s="133"/>
      <c r="AI413" s="133"/>
      <c r="AJ413" s="133"/>
      <c r="AK413" s="133"/>
      <c r="AL413" s="132"/>
      <c r="AM413" s="132"/>
      <c r="AN413" s="104"/>
      <c r="AO413" s="104"/>
      <c r="AP413" s="104"/>
    </row>
    <row r="414">
      <c r="A414" s="132"/>
      <c r="B414" s="132"/>
      <c r="C414" s="132"/>
      <c r="D414" s="132"/>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c r="AE414" s="133"/>
      <c r="AF414" s="133"/>
      <c r="AG414" s="133"/>
      <c r="AH414" s="133"/>
      <c r="AI414" s="133"/>
      <c r="AJ414" s="133"/>
      <c r="AK414" s="133"/>
      <c r="AL414" s="132"/>
      <c r="AM414" s="132"/>
      <c r="AN414" s="104"/>
      <c r="AO414" s="104"/>
      <c r="AP414" s="104"/>
    </row>
    <row r="415">
      <c r="A415" s="132"/>
      <c r="B415" s="132"/>
      <c r="C415" s="132"/>
      <c r="D415" s="132"/>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c r="AE415" s="133"/>
      <c r="AF415" s="133"/>
      <c r="AG415" s="133"/>
      <c r="AH415" s="133"/>
      <c r="AI415" s="133"/>
      <c r="AJ415" s="133"/>
      <c r="AK415" s="133"/>
      <c r="AL415" s="132"/>
      <c r="AM415" s="132"/>
      <c r="AN415" s="104"/>
      <c r="AO415" s="104"/>
      <c r="AP415" s="104"/>
    </row>
    <row r="416">
      <c r="A416" s="132"/>
      <c r="B416" s="132"/>
      <c r="C416" s="132"/>
      <c r="D416" s="132"/>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c r="AE416" s="133"/>
      <c r="AF416" s="133"/>
      <c r="AG416" s="133"/>
      <c r="AH416" s="133"/>
      <c r="AI416" s="133"/>
      <c r="AJ416" s="133"/>
      <c r="AK416" s="133"/>
      <c r="AL416" s="132"/>
      <c r="AM416" s="132"/>
      <c r="AN416" s="104"/>
      <c r="AO416" s="104"/>
      <c r="AP416" s="104"/>
    </row>
    <row r="417">
      <c r="A417" s="132"/>
      <c r="B417" s="132"/>
      <c r="C417" s="132"/>
      <c r="D417" s="132"/>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c r="AE417" s="133"/>
      <c r="AF417" s="133"/>
      <c r="AG417" s="133"/>
      <c r="AH417" s="133"/>
      <c r="AI417" s="133"/>
      <c r="AJ417" s="133"/>
      <c r="AK417" s="133"/>
      <c r="AL417" s="132"/>
      <c r="AM417" s="132"/>
      <c r="AN417" s="104"/>
      <c r="AO417" s="104"/>
      <c r="AP417" s="104"/>
    </row>
    <row r="418">
      <c r="A418" s="132"/>
      <c r="B418" s="132"/>
      <c r="C418" s="132"/>
      <c r="D418" s="132"/>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c r="AE418" s="133"/>
      <c r="AF418" s="133"/>
      <c r="AG418" s="133"/>
      <c r="AH418" s="133"/>
      <c r="AI418" s="133"/>
      <c r="AJ418" s="133"/>
      <c r="AK418" s="133"/>
      <c r="AL418" s="132"/>
      <c r="AM418" s="132"/>
      <c r="AN418" s="104"/>
      <c r="AO418" s="104"/>
      <c r="AP418" s="104"/>
    </row>
    <row r="419">
      <c r="A419" s="132"/>
      <c r="B419" s="132"/>
      <c r="C419" s="132"/>
      <c r="D419" s="132"/>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c r="AE419" s="133"/>
      <c r="AF419" s="133"/>
      <c r="AG419" s="133"/>
      <c r="AH419" s="133"/>
      <c r="AI419" s="133"/>
      <c r="AJ419" s="133"/>
      <c r="AK419" s="133"/>
      <c r="AL419" s="132"/>
      <c r="AM419" s="132"/>
      <c r="AN419" s="104"/>
      <c r="AO419" s="104"/>
      <c r="AP419" s="104"/>
    </row>
    <row r="420">
      <c r="A420" s="132"/>
      <c r="B420" s="132"/>
      <c r="C420" s="132"/>
      <c r="D420" s="132"/>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c r="AE420" s="133"/>
      <c r="AF420" s="133"/>
      <c r="AG420" s="133"/>
      <c r="AH420" s="133"/>
      <c r="AI420" s="133"/>
      <c r="AJ420" s="133"/>
      <c r="AK420" s="133"/>
      <c r="AL420" s="132"/>
      <c r="AM420" s="132"/>
      <c r="AN420" s="104"/>
      <c r="AO420" s="104"/>
      <c r="AP420" s="104"/>
    </row>
    <row r="421">
      <c r="A421" s="132"/>
      <c r="B421" s="132"/>
      <c r="C421" s="132"/>
      <c r="D421" s="132"/>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c r="AE421" s="133"/>
      <c r="AF421" s="133"/>
      <c r="AG421" s="133"/>
      <c r="AH421" s="133"/>
      <c r="AI421" s="133"/>
      <c r="AJ421" s="133"/>
      <c r="AK421" s="133"/>
      <c r="AL421" s="132"/>
      <c r="AM421" s="132"/>
      <c r="AN421" s="104"/>
      <c r="AO421" s="104"/>
      <c r="AP421" s="104"/>
    </row>
    <row r="422">
      <c r="A422" s="132"/>
      <c r="B422" s="132"/>
      <c r="C422" s="132"/>
      <c r="D422" s="132"/>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c r="AE422" s="133"/>
      <c r="AF422" s="133"/>
      <c r="AG422" s="133"/>
      <c r="AH422" s="133"/>
      <c r="AI422" s="133"/>
      <c r="AJ422" s="133"/>
      <c r="AK422" s="133"/>
      <c r="AL422" s="132"/>
      <c r="AM422" s="132"/>
      <c r="AN422" s="104"/>
      <c r="AO422" s="104"/>
      <c r="AP422" s="104"/>
    </row>
    <row r="423">
      <c r="A423" s="132"/>
      <c r="B423" s="132"/>
      <c r="C423" s="132"/>
      <c r="D423" s="132"/>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c r="AE423" s="133"/>
      <c r="AF423" s="133"/>
      <c r="AG423" s="133"/>
      <c r="AH423" s="133"/>
      <c r="AI423" s="133"/>
      <c r="AJ423" s="133"/>
      <c r="AK423" s="133"/>
      <c r="AL423" s="132"/>
      <c r="AM423" s="132"/>
      <c r="AN423" s="104"/>
      <c r="AO423" s="104"/>
      <c r="AP423" s="104"/>
    </row>
    <row r="424">
      <c r="A424" s="132"/>
      <c r="B424" s="132"/>
      <c r="C424" s="132"/>
      <c r="D424" s="132"/>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c r="AE424" s="133"/>
      <c r="AF424" s="133"/>
      <c r="AG424" s="133"/>
      <c r="AH424" s="133"/>
      <c r="AI424" s="133"/>
      <c r="AJ424" s="133"/>
      <c r="AK424" s="133"/>
      <c r="AL424" s="132"/>
      <c r="AM424" s="132"/>
      <c r="AN424" s="104"/>
      <c r="AO424" s="104"/>
      <c r="AP424" s="104"/>
    </row>
    <row r="425">
      <c r="A425" s="132"/>
      <c r="B425" s="132"/>
      <c r="C425" s="132"/>
      <c r="D425" s="132"/>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c r="AE425" s="133"/>
      <c r="AF425" s="133"/>
      <c r="AG425" s="133"/>
      <c r="AH425" s="133"/>
      <c r="AI425" s="133"/>
      <c r="AJ425" s="133"/>
      <c r="AK425" s="133"/>
      <c r="AL425" s="132"/>
      <c r="AM425" s="132"/>
      <c r="AN425" s="104"/>
      <c r="AO425" s="104"/>
      <c r="AP425" s="104"/>
    </row>
    <row r="426">
      <c r="A426" s="132"/>
      <c r="B426" s="132"/>
      <c r="C426" s="132"/>
      <c r="D426" s="132"/>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c r="AE426" s="133"/>
      <c r="AF426" s="133"/>
      <c r="AG426" s="133"/>
      <c r="AH426" s="133"/>
      <c r="AI426" s="133"/>
      <c r="AJ426" s="133"/>
      <c r="AK426" s="133"/>
      <c r="AL426" s="132"/>
      <c r="AM426" s="132"/>
      <c r="AN426" s="104"/>
      <c r="AO426" s="104"/>
      <c r="AP426" s="104"/>
    </row>
    <row r="427">
      <c r="A427" s="132"/>
      <c r="B427" s="132"/>
      <c r="C427" s="132"/>
      <c r="D427" s="132"/>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c r="AE427" s="133"/>
      <c r="AF427" s="133"/>
      <c r="AG427" s="133"/>
      <c r="AH427" s="133"/>
      <c r="AI427" s="133"/>
      <c r="AJ427" s="133"/>
      <c r="AK427" s="133"/>
      <c r="AL427" s="132"/>
      <c r="AM427" s="132"/>
      <c r="AN427" s="104"/>
      <c r="AO427" s="104"/>
      <c r="AP427" s="104"/>
    </row>
    <row r="428">
      <c r="A428" s="132"/>
      <c r="B428" s="132"/>
      <c r="C428" s="132"/>
      <c r="D428" s="132"/>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c r="AE428" s="133"/>
      <c r="AF428" s="133"/>
      <c r="AG428" s="133"/>
      <c r="AH428" s="133"/>
      <c r="AI428" s="133"/>
      <c r="AJ428" s="133"/>
      <c r="AK428" s="133"/>
      <c r="AL428" s="132"/>
      <c r="AM428" s="132"/>
      <c r="AN428" s="104"/>
      <c r="AO428" s="104"/>
      <c r="AP428" s="104"/>
    </row>
    <row r="429">
      <c r="A429" s="132"/>
      <c r="B429" s="132"/>
      <c r="C429" s="132"/>
      <c r="D429" s="132"/>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c r="AE429" s="133"/>
      <c r="AF429" s="133"/>
      <c r="AG429" s="133"/>
      <c r="AH429" s="133"/>
      <c r="AI429" s="133"/>
      <c r="AJ429" s="133"/>
      <c r="AK429" s="133"/>
      <c r="AL429" s="132"/>
      <c r="AM429" s="132"/>
      <c r="AN429" s="104"/>
      <c r="AO429" s="104"/>
      <c r="AP429" s="104"/>
    </row>
    <row r="430">
      <c r="A430" s="132"/>
      <c r="B430" s="132"/>
      <c r="C430" s="132"/>
      <c r="D430" s="132"/>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c r="AE430" s="133"/>
      <c r="AF430" s="133"/>
      <c r="AG430" s="133"/>
      <c r="AH430" s="133"/>
      <c r="AI430" s="133"/>
      <c r="AJ430" s="133"/>
      <c r="AK430" s="133"/>
      <c r="AL430" s="132"/>
      <c r="AM430" s="132"/>
      <c r="AN430" s="104"/>
      <c r="AO430" s="104"/>
      <c r="AP430" s="104"/>
    </row>
    <row r="431">
      <c r="A431" s="132"/>
      <c r="B431" s="132"/>
      <c r="C431" s="132"/>
      <c r="D431" s="132"/>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c r="AE431" s="133"/>
      <c r="AF431" s="133"/>
      <c r="AG431" s="133"/>
      <c r="AH431" s="133"/>
      <c r="AI431" s="133"/>
      <c r="AJ431" s="133"/>
      <c r="AK431" s="133"/>
      <c r="AL431" s="132"/>
      <c r="AM431" s="132"/>
      <c r="AN431" s="104"/>
      <c r="AO431" s="104"/>
      <c r="AP431" s="104"/>
    </row>
    <row r="432">
      <c r="A432" s="132"/>
      <c r="B432" s="132"/>
      <c r="C432" s="132"/>
      <c r="D432" s="132"/>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c r="AE432" s="133"/>
      <c r="AF432" s="133"/>
      <c r="AG432" s="133"/>
      <c r="AH432" s="133"/>
      <c r="AI432" s="133"/>
      <c r="AJ432" s="133"/>
      <c r="AK432" s="133"/>
      <c r="AL432" s="132"/>
      <c r="AM432" s="132"/>
      <c r="AN432" s="104"/>
      <c r="AO432" s="104"/>
      <c r="AP432" s="104"/>
    </row>
    <row r="433">
      <c r="A433" s="132"/>
      <c r="B433" s="132"/>
      <c r="C433" s="132"/>
      <c r="D433" s="132"/>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c r="AE433" s="133"/>
      <c r="AF433" s="133"/>
      <c r="AG433" s="133"/>
      <c r="AH433" s="133"/>
      <c r="AI433" s="133"/>
      <c r="AJ433" s="133"/>
      <c r="AK433" s="133"/>
      <c r="AL433" s="132"/>
      <c r="AM433" s="132"/>
      <c r="AN433" s="104"/>
      <c r="AO433" s="104"/>
      <c r="AP433" s="104"/>
    </row>
    <row r="434">
      <c r="A434" s="132"/>
      <c r="B434" s="132"/>
      <c r="C434" s="132"/>
      <c r="D434" s="132"/>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c r="AE434" s="133"/>
      <c r="AF434" s="133"/>
      <c r="AG434" s="133"/>
      <c r="AH434" s="133"/>
      <c r="AI434" s="133"/>
      <c r="AJ434" s="133"/>
      <c r="AK434" s="133"/>
      <c r="AL434" s="132"/>
      <c r="AM434" s="132"/>
      <c r="AN434" s="104"/>
      <c r="AO434" s="104"/>
      <c r="AP434" s="104"/>
    </row>
    <row r="435">
      <c r="A435" s="132"/>
      <c r="B435" s="132"/>
      <c r="C435" s="132"/>
      <c r="D435" s="132"/>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c r="AE435" s="133"/>
      <c r="AF435" s="133"/>
      <c r="AG435" s="133"/>
      <c r="AH435" s="133"/>
      <c r="AI435" s="133"/>
      <c r="AJ435" s="133"/>
      <c r="AK435" s="133"/>
      <c r="AL435" s="132"/>
      <c r="AM435" s="132"/>
      <c r="AN435" s="104"/>
      <c r="AO435" s="104"/>
      <c r="AP435" s="104"/>
    </row>
    <row r="436">
      <c r="A436" s="132"/>
      <c r="B436" s="132"/>
      <c r="C436" s="132"/>
      <c r="D436" s="132"/>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c r="AE436" s="133"/>
      <c r="AF436" s="133"/>
      <c r="AG436" s="133"/>
      <c r="AH436" s="133"/>
      <c r="AI436" s="133"/>
      <c r="AJ436" s="133"/>
      <c r="AK436" s="133"/>
      <c r="AL436" s="132"/>
      <c r="AM436" s="132"/>
      <c r="AN436" s="104"/>
      <c r="AO436" s="104"/>
      <c r="AP436" s="104"/>
    </row>
    <row r="437">
      <c r="A437" s="132"/>
      <c r="B437" s="132"/>
      <c r="C437" s="132"/>
      <c r="D437" s="132"/>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c r="AE437" s="133"/>
      <c r="AF437" s="133"/>
      <c r="AG437" s="133"/>
      <c r="AH437" s="133"/>
      <c r="AI437" s="133"/>
      <c r="AJ437" s="133"/>
      <c r="AK437" s="133"/>
      <c r="AL437" s="132"/>
      <c r="AM437" s="132"/>
      <c r="AN437" s="104"/>
      <c r="AO437" s="104"/>
      <c r="AP437" s="104"/>
    </row>
    <row r="438">
      <c r="A438" s="132"/>
      <c r="B438" s="132"/>
      <c r="C438" s="132"/>
      <c r="D438" s="132"/>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c r="AE438" s="133"/>
      <c r="AF438" s="133"/>
      <c r="AG438" s="133"/>
      <c r="AH438" s="133"/>
      <c r="AI438" s="133"/>
      <c r="AJ438" s="133"/>
      <c r="AK438" s="133"/>
      <c r="AL438" s="132"/>
      <c r="AM438" s="132"/>
      <c r="AN438" s="104"/>
      <c r="AO438" s="104"/>
      <c r="AP438" s="104"/>
    </row>
    <row r="439">
      <c r="A439" s="132"/>
      <c r="B439" s="132"/>
      <c r="C439" s="132"/>
      <c r="D439" s="132"/>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c r="AE439" s="133"/>
      <c r="AF439" s="133"/>
      <c r="AG439" s="133"/>
      <c r="AH439" s="133"/>
      <c r="AI439" s="133"/>
      <c r="AJ439" s="133"/>
      <c r="AK439" s="133"/>
      <c r="AL439" s="132"/>
      <c r="AM439" s="132"/>
      <c r="AN439" s="104"/>
      <c r="AO439" s="104"/>
      <c r="AP439" s="104"/>
    </row>
    <row r="440">
      <c r="A440" s="132"/>
      <c r="B440" s="132"/>
      <c r="C440" s="132"/>
      <c r="D440" s="132"/>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c r="AE440" s="133"/>
      <c r="AF440" s="133"/>
      <c r="AG440" s="133"/>
      <c r="AH440" s="133"/>
      <c r="AI440" s="133"/>
      <c r="AJ440" s="133"/>
      <c r="AK440" s="133"/>
      <c r="AL440" s="132"/>
      <c r="AM440" s="132"/>
      <c r="AN440" s="104"/>
      <c r="AO440" s="104"/>
      <c r="AP440" s="104"/>
    </row>
    <row r="441">
      <c r="A441" s="132"/>
      <c r="B441" s="132"/>
      <c r="C441" s="132"/>
      <c r="D441" s="132"/>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c r="AE441" s="133"/>
      <c r="AF441" s="133"/>
      <c r="AG441" s="133"/>
      <c r="AH441" s="133"/>
      <c r="AI441" s="133"/>
      <c r="AJ441" s="133"/>
      <c r="AK441" s="133"/>
      <c r="AL441" s="132"/>
      <c r="AM441" s="132"/>
      <c r="AN441" s="104"/>
      <c r="AO441" s="104"/>
      <c r="AP441" s="104"/>
    </row>
    <row r="442">
      <c r="A442" s="132"/>
      <c r="B442" s="132"/>
      <c r="C442" s="132"/>
      <c r="D442" s="132"/>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c r="AE442" s="133"/>
      <c r="AF442" s="133"/>
      <c r="AG442" s="133"/>
      <c r="AH442" s="133"/>
      <c r="AI442" s="133"/>
      <c r="AJ442" s="133"/>
      <c r="AK442" s="133"/>
      <c r="AL442" s="132"/>
      <c r="AM442" s="132"/>
      <c r="AN442" s="104"/>
      <c r="AO442" s="104"/>
      <c r="AP442" s="104"/>
    </row>
    <row r="443">
      <c r="A443" s="132"/>
      <c r="B443" s="132"/>
      <c r="C443" s="132"/>
      <c r="D443" s="132"/>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c r="AC443" s="133"/>
      <c r="AD443" s="133"/>
      <c r="AE443" s="133"/>
      <c r="AF443" s="133"/>
      <c r="AG443" s="133"/>
      <c r="AH443" s="133"/>
      <c r="AI443" s="133"/>
      <c r="AJ443" s="133"/>
      <c r="AK443" s="133"/>
      <c r="AL443" s="132"/>
      <c r="AM443" s="132"/>
      <c r="AN443" s="104"/>
      <c r="AO443" s="104"/>
      <c r="AP443" s="104"/>
    </row>
    <row r="444">
      <c r="A444" s="132"/>
      <c r="B444" s="132"/>
      <c r="C444" s="132"/>
      <c r="D444" s="132"/>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c r="AC444" s="133"/>
      <c r="AD444" s="133"/>
      <c r="AE444" s="133"/>
      <c r="AF444" s="133"/>
      <c r="AG444" s="133"/>
      <c r="AH444" s="133"/>
      <c r="AI444" s="133"/>
      <c r="AJ444" s="133"/>
      <c r="AK444" s="133"/>
      <c r="AL444" s="132"/>
      <c r="AM444" s="132"/>
      <c r="AN444" s="104"/>
      <c r="AO444" s="104"/>
      <c r="AP444" s="104"/>
    </row>
    <row r="445">
      <c r="A445" s="132"/>
      <c r="B445" s="132"/>
      <c r="C445" s="132"/>
      <c r="D445" s="132"/>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c r="AC445" s="133"/>
      <c r="AD445" s="133"/>
      <c r="AE445" s="133"/>
      <c r="AF445" s="133"/>
      <c r="AG445" s="133"/>
      <c r="AH445" s="133"/>
      <c r="AI445" s="133"/>
      <c r="AJ445" s="133"/>
      <c r="AK445" s="133"/>
      <c r="AL445" s="132"/>
      <c r="AM445" s="132"/>
      <c r="AN445" s="104"/>
      <c r="AO445" s="104"/>
      <c r="AP445" s="104"/>
    </row>
    <row r="446">
      <c r="A446" s="132"/>
      <c r="B446" s="132"/>
      <c r="C446" s="132"/>
      <c r="D446" s="132"/>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c r="AC446" s="133"/>
      <c r="AD446" s="133"/>
      <c r="AE446" s="133"/>
      <c r="AF446" s="133"/>
      <c r="AG446" s="133"/>
      <c r="AH446" s="133"/>
      <c r="AI446" s="133"/>
      <c r="AJ446" s="133"/>
      <c r="AK446" s="133"/>
      <c r="AL446" s="132"/>
      <c r="AM446" s="132"/>
      <c r="AN446" s="104"/>
      <c r="AO446" s="104"/>
      <c r="AP446" s="104"/>
    </row>
    <row r="447">
      <c r="A447" s="132"/>
      <c r="B447" s="132"/>
      <c r="C447" s="132"/>
      <c r="D447" s="132"/>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c r="AC447" s="133"/>
      <c r="AD447" s="133"/>
      <c r="AE447" s="133"/>
      <c r="AF447" s="133"/>
      <c r="AG447" s="133"/>
      <c r="AH447" s="133"/>
      <c r="AI447" s="133"/>
      <c r="AJ447" s="133"/>
      <c r="AK447" s="133"/>
      <c r="AL447" s="132"/>
      <c r="AM447" s="132"/>
      <c r="AN447" s="104"/>
      <c r="AO447" s="104"/>
      <c r="AP447" s="104"/>
    </row>
    <row r="448">
      <c r="A448" s="132"/>
      <c r="B448" s="132"/>
      <c r="C448" s="132"/>
      <c r="D448" s="132"/>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c r="AC448" s="133"/>
      <c r="AD448" s="133"/>
      <c r="AE448" s="133"/>
      <c r="AF448" s="133"/>
      <c r="AG448" s="133"/>
      <c r="AH448" s="133"/>
      <c r="AI448" s="133"/>
      <c r="AJ448" s="133"/>
      <c r="AK448" s="133"/>
      <c r="AL448" s="132"/>
      <c r="AM448" s="132"/>
      <c r="AN448" s="104"/>
      <c r="AO448" s="104"/>
      <c r="AP448" s="104"/>
    </row>
    <row r="449">
      <c r="A449" s="132"/>
      <c r="B449" s="132"/>
      <c r="C449" s="132"/>
      <c r="D449" s="132"/>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c r="AC449" s="133"/>
      <c r="AD449" s="133"/>
      <c r="AE449" s="133"/>
      <c r="AF449" s="133"/>
      <c r="AG449" s="133"/>
      <c r="AH449" s="133"/>
      <c r="AI449" s="133"/>
      <c r="AJ449" s="133"/>
      <c r="AK449" s="133"/>
      <c r="AL449" s="132"/>
      <c r="AM449" s="132"/>
      <c r="AN449" s="104"/>
      <c r="AO449" s="104"/>
      <c r="AP449" s="104"/>
    </row>
    <row r="450">
      <c r="A450" s="132"/>
      <c r="B450" s="132"/>
      <c r="C450" s="132"/>
      <c r="D450" s="132"/>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c r="AC450" s="133"/>
      <c r="AD450" s="133"/>
      <c r="AE450" s="133"/>
      <c r="AF450" s="133"/>
      <c r="AG450" s="133"/>
      <c r="AH450" s="133"/>
      <c r="AI450" s="133"/>
      <c r="AJ450" s="133"/>
      <c r="AK450" s="133"/>
      <c r="AL450" s="132"/>
      <c r="AM450" s="132"/>
      <c r="AN450" s="104"/>
      <c r="AO450" s="104"/>
      <c r="AP450" s="104"/>
    </row>
    <row r="451">
      <c r="A451" s="132"/>
      <c r="B451" s="132"/>
      <c r="C451" s="132"/>
      <c r="D451" s="132"/>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c r="AC451" s="133"/>
      <c r="AD451" s="133"/>
      <c r="AE451" s="133"/>
      <c r="AF451" s="133"/>
      <c r="AG451" s="133"/>
      <c r="AH451" s="133"/>
      <c r="AI451" s="133"/>
      <c r="AJ451" s="133"/>
      <c r="AK451" s="133"/>
      <c r="AL451" s="132"/>
      <c r="AM451" s="132"/>
      <c r="AN451" s="104"/>
      <c r="AO451" s="104"/>
      <c r="AP451" s="104"/>
    </row>
    <row r="452">
      <c r="A452" s="132"/>
      <c r="B452" s="132"/>
      <c r="C452" s="132"/>
      <c r="D452" s="132"/>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c r="AC452" s="133"/>
      <c r="AD452" s="133"/>
      <c r="AE452" s="133"/>
      <c r="AF452" s="133"/>
      <c r="AG452" s="133"/>
      <c r="AH452" s="133"/>
      <c r="AI452" s="133"/>
      <c r="AJ452" s="133"/>
      <c r="AK452" s="133"/>
      <c r="AL452" s="132"/>
      <c r="AM452" s="132"/>
      <c r="AN452" s="104"/>
      <c r="AO452" s="104"/>
      <c r="AP452" s="104"/>
    </row>
    <row r="453">
      <c r="A453" s="132"/>
      <c r="B453" s="132"/>
      <c r="C453" s="132"/>
      <c r="D453" s="132"/>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c r="AC453" s="133"/>
      <c r="AD453" s="133"/>
      <c r="AE453" s="133"/>
      <c r="AF453" s="133"/>
      <c r="AG453" s="133"/>
      <c r="AH453" s="133"/>
      <c r="AI453" s="133"/>
      <c r="AJ453" s="133"/>
      <c r="AK453" s="133"/>
      <c r="AL453" s="132"/>
      <c r="AM453" s="132"/>
      <c r="AN453" s="104"/>
      <c r="AO453" s="104"/>
      <c r="AP453" s="104"/>
    </row>
    <row r="454">
      <c r="A454" s="132"/>
      <c r="B454" s="132"/>
      <c r="C454" s="132"/>
      <c r="D454" s="132"/>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c r="AC454" s="133"/>
      <c r="AD454" s="133"/>
      <c r="AE454" s="133"/>
      <c r="AF454" s="133"/>
      <c r="AG454" s="133"/>
      <c r="AH454" s="133"/>
      <c r="AI454" s="133"/>
      <c r="AJ454" s="133"/>
      <c r="AK454" s="133"/>
      <c r="AL454" s="132"/>
      <c r="AM454" s="132"/>
      <c r="AN454" s="104"/>
      <c r="AO454" s="104"/>
      <c r="AP454" s="104"/>
    </row>
    <row r="455">
      <c r="A455" s="132"/>
      <c r="B455" s="132"/>
      <c r="C455" s="132"/>
      <c r="D455" s="132"/>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c r="AC455" s="133"/>
      <c r="AD455" s="133"/>
      <c r="AE455" s="133"/>
      <c r="AF455" s="133"/>
      <c r="AG455" s="133"/>
      <c r="AH455" s="133"/>
      <c r="AI455" s="133"/>
      <c r="AJ455" s="133"/>
      <c r="AK455" s="133"/>
      <c r="AL455" s="132"/>
      <c r="AM455" s="132"/>
      <c r="AN455" s="104"/>
      <c r="AO455" s="104"/>
      <c r="AP455" s="104"/>
    </row>
    <row r="456">
      <c r="A456" s="132"/>
      <c r="B456" s="132"/>
      <c r="C456" s="132"/>
      <c r="D456" s="132"/>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c r="AC456" s="133"/>
      <c r="AD456" s="133"/>
      <c r="AE456" s="133"/>
      <c r="AF456" s="133"/>
      <c r="AG456" s="133"/>
      <c r="AH456" s="133"/>
      <c r="AI456" s="133"/>
      <c r="AJ456" s="133"/>
      <c r="AK456" s="133"/>
      <c r="AL456" s="132"/>
      <c r="AM456" s="132"/>
      <c r="AN456" s="104"/>
      <c r="AO456" s="104"/>
      <c r="AP456" s="104"/>
    </row>
    <row r="457">
      <c r="A457" s="132"/>
      <c r="B457" s="132"/>
      <c r="C457" s="132"/>
      <c r="D457" s="132"/>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c r="AC457" s="133"/>
      <c r="AD457" s="133"/>
      <c r="AE457" s="133"/>
      <c r="AF457" s="133"/>
      <c r="AG457" s="133"/>
      <c r="AH457" s="133"/>
      <c r="AI457" s="133"/>
      <c r="AJ457" s="133"/>
      <c r="AK457" s="133"/>
      <c r="AL457" s="132"/>
      <c r="AM457" s="132"/>
      <c r="AN457" s="104"/>
      <c r="AO457" s="104"/>
      <c r="AP457" s="104"/>
    </row>
    <row r="458">
      <c r="A458" s="132"/>
      <c r="B458" s="132"/>
      <c r="C458" s="132"/>
      <c r="D458" s="132"/>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c r="AC458" s="133"/>
      <c r="AD458" s="133"/>
      <c r="AE458" s="133"/>
      <c r="AF458" s="133"/>
      <c r="AG458" s="133"/>
      <c r="AH458" s="133"/>
      <c r="AI458" s="133"/>
      <c r="AJ458" s="133"/>
      <c r="AK458" s="133"/>
      <c r="AL458" s="132"/>
      <c r="AM458" s="132"/>
      <c r="AN458" s="104"/>
      <c r="AO458" s="104"/>
      <c r="AP458" s="104"/>
    </row>
    <row r="459">
      <c r="A459" s="132"/>
      <c r="B459" s="132"/>
      <c r="C459" s="132"/>
      <c r="D459" s="132"/>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c r="AC459" s="133"/>
      <c r="AD459" s="133"/>
      <c r="AE459" s="133"/>
      <c r="AF459" s="133"/>
      <c r="AG459" s="133"/>
      <c r="AH459" s="133"/>
      <c r="AI459" s="133"/>
      <c r="AJ459" s="133"/>
      <c r="AK459" s="133"/>
      <c r="AL459" s="132"/>
      <c r="AM459" s="132"/>
      <c r="AN459" s="104"/>
      <c r="AO459" s="104"/>
      <c r="AP459" s="104"/>
    </row>
    <row r="460">
      <c r="A460" s="132"/>
      <c r="B460" s="132"/>
      <c r="C460" s="132"/>
      <c r="D460" s="132"/>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c r="AC460" s="133"/>
      <c r="AD460" s="133"/>
      <c r="AE460" s="133"/>
      <c r="AF460" s="133"/>
      <c r="AG460" s="133"/>
      <c r="AH460" s="133"/>
      <c r="AI460" s="133"/>
      <c r="AJ460" s="133"/>
      <c r="AK460" s="133"/>
      <c r="AL460" s="132"/>
      <c r="AM460" s="132"/>
      <c r="AN460" s="104"/>
      <c r="AO460" s="104"/>
      <c r="AP460" s="104"/>
    </row>
    <row r="461">
      <c r="A461" s="132"/>
      <c r="B461" s="132"/>
      <c r="C461" s="132"/>
      <c r="D461" s="132"/>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c r="AE461" s="133"/>
      <c r="AF461" s="133"/>
      <c r="AG461" s="133"/>
      <c r="AH461" s="133"/>
      <c r="AI461" s="133"/>
      <c r="AJ461" s="133"/>
      <c r="AK461" s="133"/>
      <c r="AL461" s="132"/>
      <c r="AM461" s="132"/>
      <c r="AN461" s="104"/>
      <c r="AO461" s="104"/>
      <c r="AP461" s="104"/>
    </row>
    <row r="462">
      <c r="A462" s="132"/>
      <c r="B462" s="132"/>
      <c r="C462" s="132"/>
      <c r="D462" s="132"/>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c r="AC462" s="133"/>
      <c r="AD462" s="133"/>
      <c r="AE462" s="133"/>
      <c r="AF462" s="133"/>
      <c r="AG462" s="133"/>
      <c r="AH462" s="133"/>
      <c r="AI462" s="133"/>
      <c r="AJ462" s="133"/>
      <c r="AK462" s="133"/>
      <c r="AL462" s="132"/>
      <c r="AM462" s="132"/>
      <c r="AN462" s="104"/>
      <c r="AO462" s="104"/>
      <c r="AP462" s="104"/>
    </row>
    <row r="463">
      <c r="A463" s="132"/>
      <c r="B463" s="132"/>
      <c r="C463" s="132"/>
      <c r="D463" s="132"/>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c r="AC463" s="133"/>
      <c r="AD463" s="133"/>
      <c r="AE463" s="133"/>
      <c r="AF463" s="133"/>
      <c r="AG463" s="133"/>
      <c r="AH463" s="133"/>
      <c r="AI463" s="133"/>
      <c r="AJ463" s="133"/>
      <c r="AK463" s="133"/>
      <c r="AL463" s="132"/>
      <c r="AM463" s="132"/>
      <c r="AN463" s="104"/>
      <c r="AO463" s="104"/>
      <c r="AP463" s="104"/>
    </row>
    <row r="464">
      <c r="A464" s="132"/>
      <c r="B464" s="132"/>
      <c r="C464" s="132"/>
      <c r="D464" s="132"/>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c r="AC464" s="133"/>
      <c r="AD464" s="133"/>
      <c r="AE464" s="133"/>
      <c r="AF464" s="133"/>
      <c r="AG464" s="133"/>
      <c r="AH464" s="133"/>
      <c r="AI464" s="133"/>
      <c r="AJ464" s="133"/>
      <c r="AK464" s="133"/>
      <c r="AL464" s="132"/>
      <c r="AM464" s="132"/>
      <c r="AN464" s="104"/>
      <c r="AO464" s="104"/>
      <c r="AP464" s="104"/>
    </row>
    <row r="465">
      <c r="A465" s="132"/>
      <c r="B465" s="132"/>
      <c r="C465" s="132"/>
      <c r="D465" s="132"/>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c r="AC465" s="133"/>
      <c r="AD465" s="133"/>
      <c r="AE465" s="133"/>
      <c r="AF465" s="133"/>
      <c r="AG465" s="133"/>
      <c r="AH465" s="133"/>
      <c r="AI465" s="133"/>
      <c r="AJ465" s="133"/>
      <c r="AK465" s="133"/>
      <c r="AL465" s="132"/>
      <c r="AM465" s="132"/>
      <c r="AN465" s="104"/>
      <c r="AO465" s="104"/>
      <c r="AP465" s="104"/>
    </row>
    <row r="466">
      <c r="A466" s="132"/>
      <c r="B466" s="132"/>
      <c r="C466" s="132"/>
      <c r="D466" s="132"/>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c r="AC466" s="133"/>
      <c r="AD466" s="133"/>
      <c r="AE466" s="133"/>
      <c r="AF466" s="133"/>
      <c r="AG466" s="133"/>
      <c r="AH466" s="133"/>
      <c r="AI466" s="133"/>
      <c r="AJ466" s="133"/>
      <c r="AK466" s="133"/>
      <c r="AL466" s="132"/>
      <c r="AM466" s="132"/>
      <c r="AN466" s="104"/>
      <c r="AO466" s="104"/>
      <c r="AP466" s="104"/>
    </row>
    <row r="467">
      <c r="A467" s="132"/>
      <c r="B467" s="132"/>
      <c r="C467" s="132"/>
      <c r="D467" s="132"/>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c r="AC467" s="133"/>
      <c r="AD467" s="133"/>
      <c r="AE467" s="133"/>
      <c r="AF467" s="133"/>
      <c r="AG467" s="133"/>
      <c r="AH467" s="133"/>
      <c r="AI467" s="133"/>
      <c r="AJ467" s="133"/>
      <c r="AK467" s="133"/>
      <c r="AL467" s="132"/>
      <c r="AM467" s="132"/>
      <c r="AN467" s="104"/>
      <c r="AO467" s="104"/>
      <c r="AP467" s="104"/>
    </row>
    <row r="468">
      <c r="A468" s="132"/>
      <c r="B468" s="132"/>
      <c r="C468" s="132"/>
      <c r="D468" s="132"/>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c r="AC468" s="133"/>
      <c r="AD468" s="133"/>
      <c r="AE468" s="133"/>
      <c r="AF468" s="133"/>
      <c r="AG468" s="133"/>
      <c r="AH468" s="133"/>
      <c r="AI468" s="133"/>
      <c r="AJ468" s="133"/>
      <c r="AK468" s="133"/>
      <c r="AL468" s="132"/>
      <c r="AM468" s="132"/>
      <c r="AN468" s="104"/>
      <c r="AO468" s="104"/>
      <c r="AP468" s="104"/>
    </row>
    <row r="469">
      <c r="A469" s="132"/>
      <c r="B469" s="132"/>
      <c r="C469" s="132"/>
      <c r="D469" s="132"/>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c r="AC469" s="133"/>
      <c r="AD469" s="133"/>
      <c r="AE469" s="133"/>
      <c r="AF469" s="133"/>
      <c r="AG469" s="133"/>
      <c r="AH469" s="133"/>
      <c r="AI469" s="133"/>
      <c r="AJ469" s="133"/>
      <c r="AK469" s="133"/>
      <c r="AL469" s="132"/>
      <c r="AM469" s="132"/>
      <c r="AN469" s="104"/>
      <c r="AO469" s="104"/>
      <c r="AP469" s="104"/>
    </row>
    <row r="470">
      <c r="A470" s="132"/>
      <c r="B470" s="132"/>
      <c r="C470" s="132"/>
      <c r="D470" s="132"/>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c r="AC470" s="133"/>
      <c r="AD470" s="133"/>
      <c r="AE470" s="133"/>
      <c r="AF470" s="133"/>
      <c r="AG470" s="133"/>
      <c r="AH470" s="133"/>
      <c r="AI470" s="133"/>
      <c r="AJ470" s="133"/>
      <c r="AK470" s="133"/>
      <c r="AL470" s="132"/>
      <c r="AM470" s="132"/>
      <c r="AN470" s="104"/>
      <c r="AO470" s="104"/>
      <c r="AP470" s="104"/>
    </row>
    <row r="471">
      <c r="A471" s="132"/>
      <c r="B471" s="132"/>
      <c r="C471" s="132"/>
      <c r="D471" s="132"/>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c r="AC471" s="133"/>
      <c r="AD471" s="133"/>
      <c r="AE471" s="133"/>
      <c r="AF471" s="133"/>
      <c r="AG471" s="133"/>
      <c r="AH471" s="133"/>
      <c r="AI471" s="133"/>
      <c r="AJ471" s="133"/>
      <c r="AK471" s="133"/>
      <c r="AL471" s="132"/>
      <c r="AM471" s="132"/>
      <c r="AN471" s="104"/>
      <c r="AO471" s="104"/>
      <c r="AP471" s="104"/>
    </row>
    <row r="472">
      <c r="A472" s="132"/>
      <c r="B472" s="132"/>
      <c r="C472" s="132"/>
      <c r="D472" s="132"/>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c r="AC472" s="133"/>
      <c r="AD472" s="133"/>
      <c r="AE472" s="133"/>
      <c r="AF472" s="133"/>
      <c r="AG472" s="133"/>
      <c r="AH472" s="133"/>
      <c r="AI472" s="133"/>
      <c r="AJ472" s="133"/>
      <c r="AK472" s="133"/>
      <c r="AL472" s="132"/>
      <c r="AM472" s="132"/>
      <c r="AN472" s="104"/>
      <c r="AO472" s="104"/>
      <c r="AP472" s="104"/>
    </row>
    <row r="473">
      <c r="A473" s="132"/>
      <c r="B473" s="132"/>
      <c r="C473" s="132"/>
      <c r="D473" s="132"/>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c r="AC473" s="133"/>
      <c r="AD473" s="133"/>
      <c r="AE473" s="133"/>
      <c r="AF473" s="133"/>
      <c r="AG473" s="133"/>
      <c r="AH473" s="133"/>
      <c r="AI473" s="133"/>
      <c r="AJ473" s="133"/>
      <c r="AK473" s="133"/>
      <c r="AL473" s="132"/>
      <c r="AM473" s="132"/>
      <c r="AN473" s="104"/>
      <c r="AO473" s="104"/>
      <c r="AP473" s="104"/>
    </row>
    <row r="474">
      <c r="A474" s="132"/>
      <c r="B474" s="132"/>
      <c r="C474" s="132"/>
      <c r="D474" s="132"/>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c r="AC474" s="133"/>
      <c r="AD474" s="133"/>
      <c r="AE474" s="133"/>
      <c r="AF474" s="133"/>
      <c r="AG474" s="133"/>
      <c r="AH474" s="133"/>
      <c r="AI474" s="133"/>
      <c r="AJ474" s="133"/>
      <c r="AK474" s="133"/>
      <c r="AL474" s="132"/>
      <c r="AM474" s="132"/>
      <c r="AN474" s="104"/>
      <c r="AO474" s="104"/>
      <c r="AP474" s="104"/>
    </row>
    <row r="475">
      <c r="A475" s="132"/>
      <c r="B475" s="132"/>
      <c r="C475" s="132"/>
      <c r="D475" s="132"/>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c r="AC475" s="133"/>
      <c r="AD475" s="133"/>
      <c r="AE475" s="133"/>
      <c r="AF475" s="133"/>
      <c r="AG475" s="133"/>
      <c r="AH475" s="133"/>
      <c r="AI475" s="133"/>
      <c r="AJ475" s="133"/>
      <c r="AK475" s="133"/>
      <c r="AL475" s="132"/>
      <c r="AM475" s="132"/>
      <c r="AN475" s="104"/>
      <c r="AO475" s="104"/>
      <c r="AP475" s="104"/>
    </row>
    <row r="476">
      <c r="A476" s="132"/>
      <c r="B476" s="132"/>
      <c r="C476" s="132"/>
      <c r="D476" s="132"/>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c r="AC476" s="133"/>
      <c r="AD476" s="133"/>
      <c r="AE476" s="133"/>
      <c r="AF476" s="133"/>
      <c r="AG476" s="133"/>
      <c r="AH476" s="133"/>
      <c r="AI476" s="133"/>
      <c r="AJ476" s="133"/>
      <c r="AK476" s="133"/>
      <c r="AL476" s="132"/>
      <c r="AM476" s="132"/>
      <c r="AN476" s="104"/>
      <c r="AO476" s="104"/>
      <c r="AP476" s="104"/>
    </row>
    <row r="477">
      <c r="A477" s="132"/>
      <c r="B477" s="132"/>
      <c r="C477" s="132"/>
      <c r="D477" s="132"/>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c r="AC477" s="133"/>
      <c r="AD477" s="133"/>
      <c r="AE477" s="133"/>
      <c r="AF477" s="133"/>
      <c r="AG477" s="133"/>
      <c r="AH477" s="133"/>
      <c r="AI477" s="133"/>
      <c r="AJ477" s="133"/>
      <c r="AK477" s="133"/>
      <c r="AL477" s="132"/>
      <c r="AM477" s="132"/>
      <c r="AN477" s="104"/>
      <c r="AO477" s="104"/>
      <c r="AP477" s="104"/>
    </row>
    <row r="478">
      <c r="A478" s="132"/>
      <c r="B478" s="132"/>
      <c r="C478" s="132"/>
      <c r="D478" s="132"/>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c r="AC478" s="133"/>
      <c r="AD478" s="133"/>
      <c r="AE478" s="133"/>
      <c r="AF478" s="133"/>
      <c r="AG478" s="133"/>
      <c r="AH478" s="133"/>
      <c r="AI478" s="133"/>
      <c r="AJ478" s="133"/>
      <c r="AK478" s="133"/>
      <c r="AL478" s="132"/>
      <c r="AM478" s="132"/>
      <c r="AN478" s="104"/>
      <c r="AO478" s="104"/>
      <c r="AP478" s="104"/>
    </row>
    <row r="479">
      <c r="A479" s="132"/>
      <c r="B479" s="132"/>
      <c r="C479" s="132"/>
      <c r="D479" s="132"/>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c r="AC479" s="133"/>
      <c r="AD479" s="133"/>
      <c r="AE479" s="133"/>
      <c r="AF479" s="133"/>
      <c r="AG479" s="133"/>
      <c r="AH479" s="133"/>
      <c r="AI479" s="133"/>
      <c r="AJ479" s="133"/>
      <c r="AK479" s="133"/>
      <c r="AL479" s="132"/>
      <c r="AM479" s="132"/>
      <c r="AN479" s="104"/>
      <c r="AO479" s="104"/>
      <c r="AP479" s="104"/>
    </row>
    <row r="480">
      <c r="A480" s="132"/>
      <c r="B480" s="132"/>
      <c r="C480" s="132"/>
      <c r="D480" s="132"/>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c r="AC480" s="133"/>
      <c r="AD480" s="133"/>
      <c r="AE480" s="133"/>
      <c r="AF480" s="133"/>
      <c r="AG480" s="133"/>
      <c r="AH480" s="133"/>
      <c r="AI480" s="133"/>
      <c r="AJ480" s="133"/>
      <c r="AK480" s="133"/>
      <c r="AL480" s="132"/>
      <c r="AM480" s="132"/>
      <c r="AN480" s="104"/>
      <c r="AO480" s="104"/>
      <c r="AP480" s="104"/>
    </row>
    <row r="481">
      <c r="A481" s="132"/>
      <c r="B481" s="132"/>
      <c r="C481" s="132"/>
      <c r="D481" s="132"/>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c r="AE481" s="133"/>
      <c r="AF481" s="133"/>
      <c r="AG481" s="133"/>
      <c r="AH481" s="133"/>
      <c r="AI481" s="133"/>
      <c r="AJ481" s="133"/>
      <c r="AK481" s="133"/>
      <c r="AL481" s="132"/>
      <c r="AM481" s="132"/>
      <c r="AN481" s="104"/>
      <c r="AO481" s="104"/>
      <c r="AP481" s="104"/>
    </row>
    <row r="482">
      <c r="A482" s="132"/>
      <c r="B482" s="132"/>
      <c r="C482" s="132"/>
      <c r="D482" s="132"/>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c r="AC482" s="133"/>
      <c r="AD482" s="133"/>
      <c r="AE482" s="133"/>
      <c r="AF482" s="133"/>
      <c r="AG482" s="133"/>
      <c r="AH482" s="133"/>
      <c r="AI482" s="133"/>
      <c r="AJ482" s="133"/>
      <c r="AK482" s="133"/>
      <c r="AL482" s="132"/>
      <c r="AM482" s="132"/>
      <c r="AN482" s="104"/>
      <c r="AO482" s="104"/>
      <c r="AP482" s="104"/>
    </row>
    <row r="483">
      <c r="A483" s="132"/>
      <c r="B483" s="132"/>
      <c r="C483" s="132"/>
      <c r="D483" s="132"/>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c r="AC483" s="133"/>
      <c r="AD483" s="133"/>
      <c r="AE483" s="133"/>
      <c r="AF483" s="133"/>
      <c r="AG483" s="133"/>
      <c r="AH483" s="133"/>
      <c r="AI483" s="133"/>
      <c r="AJ483" s="133"/>
      <c r="AK483" s="133"/>
      <c r="AL483" s="132"/>
      <c r="AM483" s="132"/>
      <c r="AN483" s="104"/>
      <c r="AO483" s="104"/>
      <c r="AP483" s="104"/>
    </row>
    <row r="484">
      <c r="A484" s="132"/>
      <c r="B484" s="132"/>
      <c r="C484" s="132"/>
      <c r="D484" s="132"/>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c r="AE484" s="133"/>
      <c r="AF484" s="133"/>
      <c r="AG484" s="133"/>
      <c r="AH484" s="133"/>
      <c r="AI484" s="133"/>
      <c r="AJ484" s="133"/>
      <c r="AK484" s="133"/>
      <c r="AL484" s="132"/>
      <c r="AM484" s="132"/>
      <c r="AN484" s="104"/>
      <c r="AO484" s="104"/>
      <c r="AP484" s="104"/>
    </row>
    <row r="485">
      <c r="A485" s="132"/>
      <c r="B485" s="132"/>
      <c r="C485" s="132"/>
      <c r="D485" s="132"/>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c r="AE485" s="133"/>
      <c r="AF485" s="133"/>
      <c r="AG485" s="133"/>
      <c r="AH485" s="133"/>
      <c r="AI485" s="133"/>
      <c r="AJ485" s="133"/>
      <c r="AK485" s="133"/>
      <c r="AL485" s="132"/>
      <c r="AM485" s="132"/>
      <c r="AN485" s="104"/>
      <c r="AO485" s="104"/>
      <c r="AP485" s="104"/>
    </row>
    <row r="486">
      <c r="A486" s="132"/>
      <c r="B486" s="132"/>
      <c r="C486" s="132"/>
      <c r="D486" s="132"/>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c r="AC486" s="133"/>
      <c r="AD486" s="133"/>
      <c r="AE486" s="133"/>
      <c r="AF486" s="133"/>
      <c r="AG486" s="133"/>
      <c r="AH486" s="133"/>
      <c r="AI486" s="133"/>
      <c r="AJ486" s="133"/>
      <c r="AK486" s="133"/>
      <c r="AL486" s="132"/>
      <c r="AM486" s="132"/>
      <c r="AN486" s="104"/>
      <c r="AO486" s="104"/>
      <c r="AP486" s="104"/>
    </row>
    <row r="487">
      <c r="A487" s="132"/>
      <c r="B487" s="132"/>
      <c r="C487" s="132"/>
      <c r="D487" s="132"/>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c r="AE487" s="133"/>
      <c r="AF487" s="133"/>
      <c r="AG487" s="133"/>
      <c r="AH487" s="133"/>
      <c r="AI487" s="133"/>
      <c r="AJ487" s="133"/>
      <c r="AK487" s="133"/>
      <c r="AL487" s="132"/>
      <c r="AM487" s="132"/>
      <c r="AN487" s="104"/>
      <c r="AO487" s="104"/>
      <c r="AP487" s="104"/>
    </row>
    <row r="488">
      <c r="A488" s="132"/>
      <c r="B488" s="132"/>
      <c r="C488" s="132"/>
      <c r="D488" s="132"/>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c r="AE488" s="133"/>
      <c r="AF488" s="133"/>
      <c r="AG488" s="133"/>
      <c r="AH488" s="133"/>
      <c r="AI488" s="133"/>
      <c r="AJ488" s="133"/>
      <c r="AK488" s="133"/>
      <c r="AL488" s="132"/>
      <c r="AM488" s="132"/>
      <c r="AN488" s="104"/>
      <c r="AO488" s="104"/>
      <c r="AP488" s="104"/>
    </row>
    <row r="489">
      <c r="A489" s="132"/>
      <c r="B489" s="132"/>
      <c r="C489" s="132"/>
      <c r="D489" s="132"/>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c r="AE489" s="133"/>
      <c r="AF489" s="133"/>
      <c r="AG489" s="133"/>
      <c r="AH489" s="133"/>
      <c r="AI489" s="133"/>
      <c r="AJ489" s="133"/>
      <c r="AK489" s="133"/>
      <c r="AL489" s="132"/>
      <c r="AM489" s="132"/>
      <c r="AN489" s="104"/>
      <c r="AO489" s="104"/>
      <c r="AP489" s="104"/>
    </row>
    <row r="490">
      <c r="A490" s="132"/>
      <c r="B490" s="132"/>
      <c r="C490" s="132"/>
      <c r="D490" s="132"/>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c r="AE490" s="133"/>
      <c r="AF490" s="133"/>
      <c r="AG490" s="133"/>
      <c r="AH490" s="133"/>
      <c r="AI490" s="133"/>
      <c r="AJ490" s="133"/>
      <c r="AK490" s="133"/>
      <c r="AL490" s="132"/>
      <c r="AM490" s="132"/>
      <c r="AN490" s="104"/>
      <c r="AO490" s="104"/>
      <c r="AP490" s="104"/>
    </row>
    <row r="491">
      <c r="A491" s="132"/>
      <c r="B491" s="132"/>
      <c r="C491" s="132"/>
      <c r="D491" s="132"/>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c r="AC491" s="133"/>
      <c r="AD491" s="133"/>
      <c r="AE491" s="133"/>
      <c r="AF491" s="133"/>
      <c r="AG491" s="133"/>
      <c r="AH491" s="133"/>
      <c r="AI491" s="133"/>
      <c r="AJ491" s="133"/>
      <c r="AK491" s="133"/>
      <c r="AL491" s="132"/>
      <c r="AM491" s="132"/>
      <c r="AN491" s="104"/>
      <c r="AO491" s="104"/>
      <c r="AP491" s="104"/>
    </row>
    <row r="492">
      <c r="A492" s="132"/>
      <c r="B492" s="132"/>
      <c r="C492" s="132"/>
      <c r="D492" s="132"/>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c r="AC492" s="133"/>
      <c r="AD492" s="133"/>
      <c r="AE492" s="133"/>
      <c r="AF492" s="133"/>
      <c r="AG492" s="133"/>
      <c r="AH492" s="133"/>
      <c r="AI492" s="133"/>
      <c r="AJ492" s="133"/>
      <c r="AK492" s="133"/>
      <c r="AL492" s="132"/>
      <c r="AM492" s="132"/>
      <c r="AN492" s="104"/>
      <c r="AO492" s="104"/>
      <c r="AP492" s="104"/>
    </row>
    <row r="493">
      <c r="A493" s="132"/>
      <c r="B493" s="132"/>
      <c r="C493" s="132"/>
      <c r="D493" s="132"/>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c r="AC493" s="133"/>
      <c r="AD493" s="133"/>
      <c r="AE493" s="133"/>
      <c r="AF493" s="133"/>
      <c r="AG493" s="133"/>
      <c r="AH493" s="133"/>
      <c r="AI493" s="133"/>
      <c r="AJ493" s="133"/>
      <c r="AK493" s="133"/>
      <c r="AL493" s="132"/>
      <c r="AM493" s="132"/>
      <c r="AN493" s="104"/>
      <c r="AO493" s="104"/>
      <c r="AP493" s="104"/>
    </row>
    <row r="494">
      <c r="A494" s="132"/>
      <c r="B494" s="132"/>
      <c r="C494" s="132"/>
      <c r="D494" s="132"/>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c r="AC494" s="133"/>
      <c r="AD494" s="133"/>
      <c r="AE494" s="133"/>
      <c r="AF494" s="133"/>
      <c r="AG494" s="133"/>
      <c r="AH494" s="133"/>
      <c r="AI494" s="133"/>
      <c r="AJ494" s="133"/>
      <c r="AK494" s="133"/>
      <c r="AL494" s="132"/>
      <c r="AM494" s="132"/>
      <c r="AN494" s="104"/>
      <c r="AO494" s="104"/>
      <c r="AP494" s="104"/>
    </row>
    <row r="495">
      <c r="A495" s="132"/>
      <c r="B495" s="132"/>
      <c r="C495" s="132"/>
      <c r="D495" s="132"/>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c r="AC495" s="133"/>
      <c r="AD495" s="133"/>
      <c r="AE495" s="133"/>
      <c r="AF495" s="133"/>
      <c r="AG495" s="133"/>
      <c r="AH495" s="133"/>
      <c r="AI495" s="133"/>
      <c r="AJ495" s="133"/>
      <c r="AK495" s="133"/>
      <c r="AL495" s="132"/>
      <c r="AM495" s="132"/>
      <c r="AN495" s="104"/>
      <c r="AO495" s="104"/>
      <c r="AP495" s="104"/>
    </row>
    <row r="496">
      <c r="A496" s="132"/>
      <c r="B496" s="132"/>
      <c r="C496" s="132"/>
      <c r="D496" s="132"/>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c r="AC496" s="133"/>
      <c r="AD496" s="133"/>
      <c r="AE496" s="133"/>
      <c r="AF496" s="133"/>
      <c r="AG496" s="133"/>
      <c r="AH496" s="133"/>
      <c r="AI496" s="133"/>
      <c r="AJ496" s="133"/>
      <c r="AK496" s="133"/>
      <c r="AL496" s="132"/>
      <c r="AM496" s="132"/>
      <c r="AN496" s="104"/>
      <c r="AO496" s="104"/>
      <c r="AP496" s="104"/>
    </row>
    <row r="497">
      <c r="A497" s="132"/>
      <c r="B497" s="132"/>
      <c r="C497" s="132"/>
      <c r="D497" s="132"/>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c r="AC497" s="133"/>
      <c r="AD497" s="133"/>
      <c r="AE497" s="133"/>
      <c r="AF497" s="133"/>
      <c r="AG497" s="133"/>
      <c r="AH497" s="133"/>
      <c r="AI497" s="133"/>
      <c r="AJ497" s="133"/>
      <c r="AK497" s="133"/>
      <c r="AL497" s="132"/>
      <c r="AM497" s="132"/>
      <c r="AN497" s="104"/>
      <c r="AO497" s="104"/>
      <c r="AP497" s="104"/>
    </row>
    <row r="498">
      <c r="A498" s="132"/>
      <c r="B498" s="132"/>
      <c r="C498" s="132"/>
      <c r="D498" s="132"/>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c r="AC498" s="133"/>
      <c r="AD498" s="133"/>
      <c r="AE498" s="133"/>
      <c r="AF498" s="133"/>
      <c r="AG498" s="133"/>
      <c r="AH498" s="133"/>
      <c r="AI498" s="133"/>
      <c r="AJ498" s="133"/>
      <c r="AK498" s="133"/>
      <c r="AL498" s="132"/>
      <c r="AM498" s="132"/>
      <c r="AN498" s="104"/>
      <c r="AO498" s="104"/>
      <c r="AP498" s="104"/>
    </row>
    <row r="499">
      <c r="A499" s="132"/>
      <c r="B499" s="132"/>
      <c r="C499" s="132"/>
      <c r="D499" s="132"/>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c r="AE499" s="133"/>
      <c r="AF499" s="133"/>
      <c r="AG499" s="133"/>
      <c r="AH499" s="133"/>
      <c r="AI499" s="133"/>
      <c r="AJ499" s="133"/>
      <c r="AK499" s="133"/>
      <c r="AL499" s="132"/>
      <c r="AM499" s="132"/>
      <c r="AN499" s="104"/>
      <c r="AO499" s="104"/>
      <c r="AP499" s="104"/>
    </row>
    <row r="500">
      <c r="A500" s="132"/>
      <c r="B500" s="132"/>
      <c r="C500" s="132"/>
      <c r="D500" s="132"/>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c r="AE500" s="133"/>
      <c r="AF500" s="133"/>
      <c r="AG500" s="133"/>
      <c r="AH500" s="133"/>
      <c r="AI500" s="133"/>
      <c r="AJ500" s="133"/>
      <c r="AK500" s="133"/>
      <c r="AL500" s="132"/>
      <c r="AM500" s="132"/>
      <c r="AN500" s="104"/>
      <c r="AO500" s="104"/>
      <c r="AP500" s="104"/>
    </row>
    <row r="501">
      <c r="A501" s="132"/>
      <c r="B501" s="132"/>
      <c r="C501" s="132"/>
      <c r="D501" s="132"/>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c r="AE501" s="133"/>
      <c r="AF501" s="133"/>
      <c r="AG501" s="133"/>
      <c r="AH501" s="133"/>
      <c r="AI501" s="133"/>
      <c r="AJ501" s="133"/>
      <c r="AK501" s="133"/>
      <c r="AL501" s="132"/>
      <c r="AM501" s="132"/>
      <c r="AN501" s="104"/>
      <c r="AO501" s="104"/>
      <c r="AP501" s="104"/>
    </row>
    <row r="502">
      <c r="A502" s="132"/>
      <c r="B502" s="132"/>
      <c r="C502" s="132"/>
      <c r="D502" s="132"/>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c r="AE502" s="133"/>
      <c r="AF502" s="133"/>
      <c r="AG502" s="133"/>
      <c r="AH502" s="133"/>
      <c r="AI502" s="133"/>
      <c r="AJ502" s="133"/>
      <c r="AK502" s="133"/>
      <c r="AL502" s="132"/>
      <c r="AM502" s="132"/>
      <c r="AN502" s="104"/>
      <c r="AO502" s="104"/>
      <c r="AP502" s="104"/>
    </row>
    <row r="503">
      <c r="A503" s="132"/>
      <c r="B503" s="132"/>
      <c r="C503" s="132"/>
      <c r="D503" s="132"/>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c r="AE503" s="133"/>
      <c r="AF503" s="133"/>
      <c r="AG503" s="133"/>
      <c r="AH503" s="133"/>
      <c r="AI503" s="133"/>
      <c r="AJ503" s="133"/>
      <c r="AK503" s="133"/>
      <c r="AL503" s="132"/>
      <c r="AM503" s="132"/>
      <c r="AN503" s="104"/>
      <c r="AO503" s="104"/>
      <c r="AP503" s="104"/>
    </row>
    <row r="504">
      <c r="A504" s="132"/>
      <c r="B504" s="132"/>
      <c r="C504" s="132"/>
      <c r="D504" s="132"/>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c r="AE504" s="133"/>
      <c r="AF504" s="133"/>
      <c r="AG504" s="133"/>
      <c r="AH504" s="133"/>
      <c r="AI504" s="133"/>
      <c r="AJ504" s="133"/>
      <c r="AK504" s="133"/>
      <c r="AL504" s="132"/>
      <c r="AM504" s="132"/>
      <c r="AN504" s="104"/>
      <c r="AO504" s="104"/>
      <c r="AP504" s="104"/>
    </row>
    <row r="505">
      <c r="A505" s="132"/>
      <c r="B505" s="132"/>
      <c r="C505" s="132"/>
      <c r="D505" s="132"/>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c r="AC505" s="133"/>
      <c r="AD505" s="133"/>
      <c r="AE505" s="133"/>
      <c r="AF505" s="133"/>
      <c r="AG505" s="133"/>
      <c r="AH505" s="133"/>
      <c r="AI505" s="133"/>
      <c r="AJ505" s="133"/>
      <c r="AK505" s="133"/>
      <c r="AL505" s="132"/>
      <c r="AM505" s="132"/>
      <c r="AN505" s="104"/>
      <c r="AO505" s="104"/>
      <c r="AP505" s="104"/>
    </row>
    <row r="506">
      <c r="A506" s="132"/>
      <c r="B506" s="132"/>
      <c r="C506" s="132"/>
      <c r="D506" s="132"/>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c r="AC506" s="133"/>
      <c r="AD506" s="133"/>
      <c r="AE506" s="133"/>
      <c r="AF506" s="133"/>
      <c r="AG506" s="133"/>
      <c r="AH506" s="133"/>
      <c r="AI506" s="133"/>
      <c r="AJ506" s="133"/>
      <c r="AK506" s="133"/>
      <c r="AL506" s="132"/>
      <c r="AM506" s="132"/>
      <c r="AN506" s="104"/>
      <c r="AO506" s="104"/>
      <c r="AP506" s="104"/>
    </row>
    <row r="507">
      <c r="A507" s="132"/>
      <c r="B507" s="132"/>
      <c r="C507" s="132"/>
      <c r="D507" s="132"/>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c r="AC507" s="133"/>
      <c r="AD507" s="133"/>
      <c r="AE507" s="133"/>
      <c r="AF507" s="133"/>
      <c r="AG507" s="133"/>
      <c r="AH507" s="133"/>
      <c r="AI507" s="133"/>
      <c r="AJ507" s="133"/>
      <c r="AK507" s="133"/>
      <c r="AL507" s="132"/>
      <c r="AM507" s="132"/>
      <c r="AN507" s="104"/>
      <c r="AO507" s="104"/>
      <c r="AP507" s="104"/>
    </row>
    <row r="508">
      <c r="A508" s="132"/>
      <c r="B508" s="132"/>
      <c r="C508" s="132"/>
      <c r="D508" s="132"/>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c r="AC508" s="133"/>
      <c r="AD508" s="133"/>
      <c r="AE508" s="133"/>
      <c r="AF508" s="133"/>
      <c r="AG508" s="133"/>
      <c r="AH508" s="133"/>
      <c r="AI508" s="133"/>
      <c r="AJ508" s="133"/>
      <c r="AK508" s="133"/>
      <c r="AL508" s="132"/>
      <c r="AM508" s="132"/>
      <c r="AN508" s="104"/>
      <c r="AO508" s="104"/>
      <c r="AP508" s="104"/>
    </row>
    <row r="509">
      <c r="A509" s="132"/>
      <c r="B509" s="132"/>
      <c r="C509" s="132"/>
      <c r="D509" s="132"/>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c r="AC509" s="133"/>
      <c r="AD509" s="133"/>
      <c r="AE509" s="133"/>
      <c r="AF509" s="133"/>
      <c r="AG509" s="133"/>
      <c r="AH509" s="133"/>
      <c r="AI509" s="133"/>
      <c r="AJ509" s="133"/>
      <c r="AK509" s="133"/>
      <c r="AL509" s="132"/>
      <c r="AM509" s="132"/>
      <c r="AN509" s="104"/>
      <c r="AO509" s="104"/>
      <c r="AP509" s="104"/>
    </row>
    <row r="510">
      <c r="A510" s="132"/>
      <c r="B510" s="132"/>
      <c r="C510" s="132"/>
      <c r="D510" s="132"/>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c r="AC510" s="133"/>
      <c r="AD510" s="133"/>
      <c r="AE510" s="133"/>
      <c r="AF510" s="133"/>
      <c r="AG510" s="133"/>
      <c r="AH510" s="133"/>
      <c r="AI510" s="133"/>
      <c r="AJ510" s="133"/>
      <c r="AK510" s="133"/>
      <c r="AL510" s="132"/>
      <c r="AM510" s="132"/>
      <c r="AN510" s="104"/>
      <c r="AO510" s="104"/>
      <c r="AP510" s="104"/>
    </row>
    <row r="511">
      <c r="A511" s="132"/>
      <c r="B511" s="132"/>
      <c r="C511" s="132"/>
      <c r="D511" s="132"/>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c r="AE511" s="133"/>
      <c r="AF511" s="133"/>
      <c r="AG511" s="133"/>
      <c r="AH511" s="133"/>
      <c r="AI511" s="133"/>
      <c r="AJ511" s="133"/>
      <c r="AK511" s="133"/>
      <c r="AL511" s="132"/>
      <c r="AM511" s="132"/>
      <c r="AN511" s="104"/>
      <c r="AO511" s="104"/>
      <c r="AP511" s="104"/>
    </row>
    <row r="512">
      <c r="A512" s="132"/>
      <c r="B512" s="132"/>
      <c r="C512" s="132"/>
      <c r="D512" s="132"/>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c r="AE512" s="133"/>
      <c r="AF512" s="133"/>
      <c r="AG512" s="133"/>
      <c r="AH512" s="133"/>
      <c r="AI512" s="133"/>
      <c r="AJ512" s="133"/>
      <c r="AK512" s="133"/>
      <c r="AL512" s="132"/>
      <c r="AM512" s="132"/>
      <c r="AN512" s="104"/>
      <c r="AO512" s="104"/>
      <c r="AP512" s="104"/>
    </row>
    <row r="513">
      <c r="A513" s="132"/>
      <c r="B513" s="132"/>
      <c r="C513" s="132"/>
      <c r="D513" s="132"/>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c r="AE513" s="133"/>
      <c r="AF513" s="133"/>
      <c r="AG513" s="133"/>
      <c r="AH513" s="133"/>
      <c r="AI513" s="133"/>
      <c r="AJ513" s="133"/>
      <c r="AK513" s="133"/>
      <c r="AL513" s="132"/>
      <c r="AM513" s="132"/>
      <c r="AN513" s="104"/>
      <c r="AO513" s="104"/>
      <c r="AP513" s="104"/>
    </row>
    <row r="514">
      <c r="A514" s="132"/>
      <c r="B514" s="132"/>
      <c r="C514" s="132"/>
      <c r="D514" s="132"/>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c r="AE514" s="133"/>
      <c r="AF514" s="133"/>
      <c r="AG514" s="133"/>
      <c r="AH514" s="133"/>
      <c r="AI514" s="133"/>
      <c r="AJ514" s="133"/>
      <c r="AK514" s="133"/>
      <c r="AL514" s="132"/>
      <c r="AM514" s="132"/>
      <c r="AN514" s="104"/>
      <c r="AO514" s="104"/>
      <c r="AP514" s="104"/>
    </row>
    <row r="515">
      <c r="A515" s="132"/>
      <c r="B515" s="132"/>
      <c r="C515" s="132"/>
      <c r="D515" s="132"/>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c r="AE515" s="133"/>
      <c r="AF515" s="133"/>
      <c r="AG515" s="133"/>
      <c r="AH515" s="133"/>
      <c r="AI515" s="133"/>
      <c r="AJ515" s="133"/>
      <c r="AK515" s="133"/>
      <c r="AL515" s="132"/>
      <c r="AM515" s="132"/>
      <c r="AN515" s="104"/>
      <c r="AO515" s="104"/>
      <c r="AP515" s="104"/>
    </row>
    <row r="516">
      <c r="A516" s="132"/>
      <c r="B516" s="132"/>
      <c r="C516" s="132"/>
      <c r="D516" s="132"/>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c r="AE516" s="133"/>
      <c r="AF516" s="133"/>
      <c r="AG516" s="133"/>
      <c r="AH516" s="133"/>
      <c r="AI516" s="133"/>
      <c r="AJ516" s="133"/>
      <c r="AK516" s="133"/>
      <c r="AL516" s="132"/>
      <c r="AM516" s="132"/>
      <c r="AN516" s="104"/>
      <c r="AO516" s="104"/>
      <c r="AP516" s="104"/>
    </row>
    <row r="517">
      <c r="A517" s="132"/>
      <c r="B517" s="132"/>
      <c r="C517" s="132"/>
      <c r="D517" s="132"/>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c r="AE517" s="133"/>
      <c r="AF517" s="133"/>
      <c r="AG517" s="133"/>
      <c r="AH517" s="133"/>
      <c r="AI517" s="133"/>
      <c r="AJ517" s="133"/>
      <c r="AK517" s="133"/>
      <c r="AL517" s="132"/>
      <c r="AM517" s="132"/>
      <c r="AN517" s="104"/>
      <c r="AO517" s="104"/>
      <c r="AP517" s="104"/>
    </row>
    <row r="518">
      <c r="A518" s="132"/>
      <c r="B518" s="132"/>
      <c r="C518" s="132"/>
      <c r="D518" s="132"/>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c r="AE518" s="133"/>
      <c r="AF518" s="133"/>
      <c r="AG518" s="133"/>
      <c r="AH518" s="133"/>
      <c r="AI518" s="133"/>
      <c r="AJ518" s="133"/>
      <c r="AK518" s="133"/>
      <c r="AL518" s="132"/>
      <c r="AM518" s="132"/>
      <c r="AN518" s="104"/>
      <c r="AO518" s="104"/>
      <c r="AP518" s="104"/>
    </row>
    <row r="519">
      <c r="A519" s="132"/>
      <c r="B519" s="132"/>
      <c r="C519" s="132"/>
      <c r="D519" s="132"/>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c r="AE519" s="133"/>
      <c r="AF519" s="133"/>
      <c r="AG519" s="133"/>
      <c r="AH519" s="133"/>
      <c r="AI519" s="133"/>
      <c r="AJ519" s="133"/>
      <c r="AK519" s="133"/>
      <c r="AL519" s="132"/>
      <c r="AM519" s="132"/>
      <c r="AN519" s="104"/>
      <c r="AO519" s="104"/>
      <c r="AP519" s="104"/>
    </row>
    <row r="520">
      <c r="A520" s="132"/>
      <c r="B520" s="132"/>
      <c r="C520" s="132"/>
      <c r="D520" s="132"/>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c r="AE520" s="133"/>
      <c r="AF520" s="133"/>
      <c r="AG520" s="133"/>
      <c r="AH520" s="133"/>
      <c r="AI520" s="133"/>
      <c r="AJ520" s="133"/>
      <c r="AK520" s="133"/>
      <c r="AL520" s="132"/>
      <c r="AM520" s="132"/>
      <c r="AN520" s="104"/>
      <c r="AO520" s="104"/>
      <c r="AP520" s="104"/>
    </row>
    <row r="521">
      <c r="A521" s="132"/>
      <c r="B521" s="132"/>
      <c r="C521" s="132"/>
      <c r="D521" s="132"/>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c r="AE521" s="133"/>
      <c r="AF521" s="133"/>
      <c r="AG521" s="133"/>
      <c r="AH521" s="133"/>
      <c r="AI521" s="133"/>
      <c r="AJ521" s="133"/>
      <c r="AK521" s="133"/>
      <c r="AL521" s="132"/>
      <c r="AM521" s="132"/>
      <c r="AN521" s="104"/>
      <c r="AO521" s="104"/>
      <c r="AP521" s="104"/>
    </row>
    <row r="522">
      <c r="A522" s="132"/>
      <c r="B522" s="132"/>
      <c r="C522" s="132"/>
      <c r="D522" s="132"/>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c r="AE522" s="133"/>
      <c r="AF522" s="133"/>
      <c r="AG522" s="133"/>
      <c r="AH522" s="133"/>
      <c r="AI522" s="133"/>
      <c r="AJ522" s="133"/>
      <c r="AK522" s="133"/>
      <c r="AL522" s="132"/>
      <c r="AM522" s="132"/>
      <c r="AN522" s="104"/>
      <c r="AO522" s="104"/>
      <c r="AP522" s="104"/>
    </row>
    <row r="523">
      <c r="A523" s="132"/>
      <c r="B523" s="132"/>
      <c r="C523" s="132"/>
      <c r="D523" s="132"/>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c r="AE523" s="133"/>
      <c r="AF523" s="133"/>
      <c r="AG523" s="133"/>
      <c r="AH523" s="133"/>
      <c r="AI523" s="133"/>
      <c r="AJ523" s="133"/>
      <c r="AK523" s="133"/>
      <c r="AL523" s="132"/>
      <c r="AM523" s="132"/>
      <c r="AN523" s="104"/>
      <c r="AO523" s="104"/>
      <c r="AP523" s="104"/>
    </row>
    <row r="524">
      <c r="A524" s="132"/>
      <c r="B524" s="132"/>
      <c r="C524" s="132"/>
      <c r="D524" s="132"/>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c r="AE524" s="133"/>
      <c r="AF524" s="133"/>
      <c r="AG524" s="133"/>
      <c r="AH524" s="133"/>
      <c r="AI524" s="133"/>
      <c r="AJ524" s="133"/>
      <c r="AK524" s="133"/>
      <c r="AL524" s="132"/>
      <c r="AM524" s="132"/>
      <c r="AN524" s="104"/>
      <c r="AO524" s="104"/>
      <c r="AP524" s="104"/>
    </row>
    <row r="525">
      <c r="A525" s="132"/>
      <c r="B525" s="132"/>
      <c r="C525" s="132"/>
      <c r="D525" s="132"/>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c r="AE525" s="133"/>
      <c r="AF525" s="133"/>
      <c r="AG525" s="133"/>
      <c r="AH525" s="133"/>
      <c r="AI525" s="133"/>
      <c r="AJ525" s="133"/>
      <c r="AK525" s="133"/>
      <c r="AL525" s="132"/>
      <c r="AM525" s="132"/>
      <c r="AN525" s="104"/>
      <c r="AO525" s="104"/>
      <c r="AP525" s="104"/>
    </row>
    <row r="526">
      <c r="A526" s="132"/>
      <c r="B526" s="132"/>
      <c r="C526" s="132"/>
      <c r="D526" s="132"/>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c r="AE526" s="133"/>
      <c r="AF526" s="133"/>
      <c r="AG526" s="133"/>
      <c r="AH526" s="133"/>
      <c r="AI526" s="133"/>
      <c r="AJ526" s="133"/>
      <c r="AK526" s="133"/>
      <c r="AL526" s="132"/>
      <c r="AM526" s="132"/>
      <c r="AN526" s="104"/>
      <c r="AO526" s="104"/>
      <c r="AP526" s="104"/>
    </row>
    <row r="527">
      <c r="A527" s="132"/>
      <c r="B527" s="132"/>
      <c r="C527" s="132"/>
      <c r="D527" s="132"/>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c r="AE527" s="133"/>
      <c r="AF527" s="133"/>
      <c r="AG527" s="133"/>
      <c r="AH527" s="133"/>
      <c r="AI527" s="133"/>
      <c r="AJ527" s="133"/>
      <c r="AK527" s="133"/>
      <c r="AL527" s="132"/>
      <c r="AM527" s="132"/>
      <c r="AN527" s="104"/>
      <c r="AO527" s="104"/>
      <c r="AP527" s="104"/>
    </row>
    <row r="528">
      <c r="A528" s="132"/>
      <c r="B528" s="132"/>
      <c r="C528" s="132"/>
      <c r="D528" s="132"/>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c r="AE528" s="133"/>
      <c r="AF528" s="133"/>
      <c r="AG528" s="133"/>
      <c r="AH528" s="133"/>
      <c r="AI528" s="133"/>
      <c r="AJ528" s="133"/>
      <c r="AK528" s="133"/>
      <c r="AL528" s="132"/>
      <c r="AM528" s="132"/>
      <c r="AN528" s="104"/>
      <c r="AO528" s="104"/>
      <c r="AP528" s="104"/>
    </row>
    <row r="529">
      <c r="A529" s="132"/>
      <c r="B529" s="132"/>
      <c r="C529" s="132"/>
      <c r="D529" s="132"/>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c r="AE529" s="133"/>
      <c r="AF529" s="133"/>
      <c r="AG529" s="133"/>
      <c r="AH529" s="133"/>
      <c r="AI529" s="133"/>
      <c r="AJ529" s="133"/>
      <c r="AK529" s="133"/>
      <c r="AL529" s="132"/>
      <c r="AM529" s="132"/>
      <c r="AN529" s="104"/>
      <c r="AO529" s="104"/>
      <c r="AP529" s="104"/>
    </row>
    <row r="530">
      <c r="A530" s="132"/>
      <c r="B530" s="132"/>
      <c r="C530" s="132"/>
      <c r="D530" s="132"/>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c r="AE530" s="133"/>
      <c r="AF530" s="133"/>
      <c r="AG530" s="133"/>
      <c r="AH530" s="133"/>
      <c r="AI530" s="133"/>
      <c r="AJ530" s="133"/>
      <c r="AK530" s="133"/>
      <c r="AL530" s="132"/>
      <c r="AM530" s="132"/>
      <c r="AN530" s="104"/>
      <c r="AO530" s="104"/>
      <c r="AP530" s="104"/>
    </row>
    <row r="531">
      <c r="A531" s="132"/>
      <c r="B531" s="132"/>
      <c r="C531" s="132"/>
      <c r="D531" s="132"/>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c r="AE531" s="133"/>
      <c r="AF531" s="133"/>
      <c r="AG531" s="133"/>
      <c r="AH531" s="133"/>
      <c r="AI531" s="133"/>
      <c r="AJ531" s="133"/>
      <c r="AK531" s="133"/>
      <c r="AL531" s="132"/>
      <c r="AM531" s="132"/>
      <c r="AN531" s="104"/>
      <c r="AO531" s="104"/>
      <c r="AP531" s="104"/>
    </row>
    <row r="532">
      <c r="A532" s="132"/>
      <c r="B532" s="132"/>
      <c r="C532" s="132"/>
      <c r="D532" s="132"/>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c r="AE532" s="133"/>
      <c r="AF532" s="133"/>
      <c r="AG532" s="133"/>
      <c r="AH532" s="133"/>
      <c r="AI532" s="133"/>
      <c r="AJ532" s="133"/>
      <c r="AK532" s="133"/>
      <c r="AL532" s="132"/>
      <c r="AM532" s="132"/>
      <c r="AN532" s="104"/>
      <c r="AO532" s="104"/>
      <c r="AP532" s="104"/>
    </row>
    <row r="533">
      <c r="A533" s="132"/>
      <c r="B533" s="132"/>
      <c r="C533" s="132"/>
      <c r="D533" s="132"/>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c r="AE533" s="133"/>
      <c r="AF533" s="133"/>
      <c r="AG533" s="133"/>
      <c r="AH533" s="133"/>
      <c r="AI533" s="133"/>
      <c r="AJ533" s="133"/>
      <c r="AK533" s="133"/>
      <c r="AL533" s="132"/>
      <c r="AM533" s="132"/>
      <c r="AN533" s="104"/>
      <c r="AO533" s="104"/>
      <c r="AP533" s="104"/>
    </row>
    <row r="534">
      <c r="A534" s="132"/>
      <c r="B534" s="132"/>
      <c r="C534" s="132"/>
      <c r="D534" s="132"/>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c r="AE534" s="133"/>
      <c r="AF534" s="133"/>
      <c r="AG534" s="133"/>
      <c r="AH534" s="133"/>
      <c r="AI534" s="133"/>
      <c r="AJ534" s="133"/>
      <c r="AK534" s="133"/>
      <c r="AL534" s="132"/>
      <c r="AM534" s="132"/>
      <c r="AN534" s="104"/>
      <c r="AO534" s="104"/>
      <c r="AP534" s="104"/>
    </row>
    <row r="535">
      <c r="A535" s="132"/>
      <c r="B535" s="132"/>
      <c r="C535" s="132"/>
      <c r="D535" s="132"/>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c r="AE535" s="133"/>
      <c r="AF535" s="133"/>
      <c r="AG535" s="133"/>
      <c r="AH535" s="133"/>
      <c r="AI535" s="133"/>
      <c r="AJ535" s="133"/>
      <c r="AK535" s="133"/>
      <c r="AL535" s="132"/>
      <c r="AM535" s="132"/>
      <c r="AN535" s="104"/>
      <c r="AO535" s="104"/>
      <c r="AP535" s="104"/>
    </row>
    <row r="536">
      <c r="A536" s="132"/>
      <c r="B536" s="132"/>
      <c r="C536" s="132"/>
      <c r="D536" s="132"/>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c r="AE536" s="133"/>
      <c r="AF536" s="133"/>
      <c r="AG536" s="133"/>
      <c r="AH536" s="133"/>
      <c r="AI536" s="133"/>
      <c r="AJ536" s="133"/>
      <c r="AK536" s="133"/>
      <c r="AL536" s="132"/>
      <c r="AM536" s="132"/>
      <c r="AN536" s="104"/>
      <c r="AO536" s="104"/>
      <c r="AP536" s="104"/>
    </row>
    <row r="537">
      <c r="A537" s="132"/>
      <c r="B537" s="132"/>
      <c r="C537" s="132"/>
      <c r="D537" s="132"/>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c r="AE537" s="133"/>
      <c r="AF537" s="133"/>
      <c r="AG537" s="133"/>
      <c r="AH537" s="133"/>
      <c r="AI537" s="133"/>
      <c r="AJ537" s="133"/>
      <c r="AK537" s="133"/>
      <c r="AL537" s="132"/>
      <c r="AM537" s="132"/>
      <c r="AN537" s="104"/>
      <c r="AO537" s="104"/>
      <c r="AP537" s="104"/>
    </row>
    <row r="538">
      <c r="A538" s="132"/>
      <c r="B538" s="132"/>
      <c r="C538" s="132"/>
      <c r="D538" s="132"/>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c r="AE538" s="133"/>
      <c r="AF538" s="133"/>
      <c r="AG538" s="133"/>
      <c r="AH538" s="133"/>
      <c r="AI538" s="133"/>
      <c r="AJ538" s="133"/>
      <c r="AK538" s="133"/>
      <c r="AL538" s="132"/>
      <c r="AM538" s="132"/>
      <c r="AN538" s="104"/>
      <c r="AO538" s="104"/>
      <c r="AP538" s="104"/>
    </row>
    <row r="539">
      <c r="A539" s="132"/>
      <c r="B539" s="132"/>
      <c r="C539" s="132"/>
      <c r="D539" s="132"/>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c r="AE539" s="133"/>
      <c r="AF539" s="133"/>
      <c r="AG539" s="133"/>
      <c r="AH539" s="133"/>
      <c r="AI539" s="133"/>
      <c r="AJ539" s="133"/>
      <c r="AK539" s="133"/>
      <c r="AL539" s="132"/>
      <c r="AM539" s="132"/>
      <c r="AN539" s="104"/>
      <c r="AO539" s="104"/>
      <c r="AP539" s="104"/>
    </row>
    <row r="540">
      <c r="A540" s="132"/>
      <c r="B540" s="132"/>
      <c r="C540" s="132"/>
      <c r="D540" s="132"/>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c r="AE540" s="133"/>
      <c r="AF540" s="133"/>
      <c r="AG540" s="133"/>
      <c r="AH540" s="133"/>
      <c r="AI540" s="133"/>
      <c r="AJ540" s="133"/>
      <c r="AK540" s="133"/>
      <c r="AL540" s="132"/>
      <c r="AM540" s="132"/>
      <c r="AN540" s="104"/>
      <c r="AO540" s="104"/>
      <c r="AP540" s="104"/>
    </row>
    <row r="541">
      <c r="A541" s="132"/>
      <c r="B541" s="132"/>
      <c r="C541" s="132"/>
      <c r="D541" s="132"/>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c r="AE541" s="133"/>
      <c r="AF541" s="133"/>
      <c r="AG541" s="133"/>
      <c r="AH541" s="133"/>
      <c r="AI541" s="133"/>
      <c r="AJ541" s="133"/>
      <c r="AK541" s="133"/>
      <c r="AL541" s="132"/>
      <c r="AM541" s="132"/>
      <c r="AN541" s="104"/>
      <c r="AO541" s="104"/>
      <c r="AP541" s="104"/>
    </row>
    <row r="542">
      <c r="A542" s="132"/>
      <c r="B542" s="132"/>
      <c r="C542" s="132"/>
      <c r="D542" s="132"/>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c r="AE542" s="133"/>
      <c r="AF542" s="133"/>
      <c r="AG542" s="133"/>
      <c r="AH542" s="133"/>
      <c r="AI542" s="133"/>
      <c r="AJ542" s="133"/>
      <c r="AK542" s="133"/>
      <c r="AL542" s="132"/>
      <c r="AM542" s="132"/>
      <c r="AN542" s="104"/>
      <c r="AO542" s="104"/>
      <c r="AP542" s="104"/>
    </row>
    <row r="543">
      <c r="A543" s="132"/>
      <c r="B543" s="132"/>
      <c r="C543" s="132"/>
      <c r="D543" s="132"/>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c r="AE543" s="133"/>
      <c r="AF543" s="133"/>
      <c r="AG543" s="133"/>
      <c r="AH543" s="133"/>
      <c r="AI543" s="133"/>
      <c r="AJ543" s="133"/>
      <c r="AK543" s="133"/>
      <c r="AL543" s="132"/>
      <c r="AM543" s="132"/>
      <c r="AN543" s="104"/>
      <c r="AO543" s="104"/>
      <c r="AP543" s="104"/>
    </row>
    <row r="544">
      <c r="A544" s="132"/>
      <c r="B544" s="132"/>
      <c r="C544" s="132"/>
      <c r="D544" s="132"/>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c r="AE544" s="133"/>
      <c r="AF544" s="133"/>
      <c r="AG544" s="133"/>
      <c r="AH544" s="133"/>
      <c r="AI544" s="133"/>
      <c r="AJ544" s="133"/>
      <c r="AK544" s="133"/>
      <c r="AL544" s="132"/>
      <c r="AM544" s="132"/>
      <c r="AN544" s="104"/>
      <c r="AO544" s="104"/>
      <c r="AP544" s="104"/>
    </row>
    <row r="545">
      <c r="A545" s="132"/>
      <c r="B545" s="132"/>
      <c r="C545" s="132"/>
      <c r="D545" s="132"/>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c r="AE545" s="133"/>
      <c r="AF545" s="133"/>
      <c r="AG545" s="133"/>
      <c r="AH545" s="133"/>
      <c r="AI545" s="133"/>
      <c r="AJ545" s="133"/>
      <c r="AK545" s="133"/>
      <c r="AL545" s="132"/>
      <c r="AM545" s="132"/>
      <c r="AN545" s="104"/>
      <c r="AO545" s="104"/>
      <c r="AP545" s="104"/>
    </row>
    <row r="546">
      <c r="A546" s="132"/>
      <c r="B546" s="132"/>
      <c r="C546" s="132"/>
      <c r="D546" s="132"/>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c r="AE546" s="133"/>
      <c r="AF546" s="133"/>
      <c r="AG546" s="133"/>
      <c r="AH546" s="133"/>
      <c r="AI546" s="133"/>
      <c r="AJ546" s="133"/>
      <c r="AK546" s="133"/>
      <c r="AL546" s="132"/>
      <c r="AM546" s="132"/>
      <c r="AN546" s="104"/>
      <c r="AO546" s="104"/>
      <c r="AP546" s="104"/>
    </row>
    <row r="547">
      <c r="A547" s="132"/>
      <c r="B547" s="132"/>
      <c r="C547" s="132"/>
      <c r="D547" s="132"/>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c r="AC547" s="133"/>
      <c r="AD547" s="133"/>
      <c r="AE547" s="133"/>
      <c r="AF547" s="133"/>
      <c r="AG547" s="133"/>
      <c r="AH547" s="133"/>
      <c r="AI547" s="133"/>
      <c r="AJ547" s="133"/>
      <c r="AK547" s="133"/>
      <c r="AL547" s="132"/>
      <c r="AM547" s="132"/>
      <c r="AN547" s="104"/>
      <c r="AO547" s="104"/>
      <c r="AP547" s="104"/>
    </row>
    <row r="548">
      <c r="A548" s="132"/>
      <c r="B548" s="132"/>
      <c r="C548" s="132"/>
      <c r="D548" s="132"/>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c r="AC548" s="133"/>
      <c r="AD548" s="133"/>
      <c r="AE548" s="133"/>
      <c r="AF548" s="133"/>
      <c r="AG548" s="133"/>
      <c r="AH548" s="133"/>
      <c r="AI548" s="133"/>
      <c r="AJ548" s="133"/>
      <c r="AK548" s="133"/>
      <c r="AL548" s="132"/>
      <c r="AM548" s="132"/>
      <c r="AN548" s="104"/>
      <c r="AO548" s="104"/>
      <c r="AP548" s="104"/>
    </row>
    <row r="549">
      <c r="A549" s="132"/>
      <c r="B549" s="132"/>
      <c r="C549" s="132"/>
      <c r="D549" s="132"/>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c r="AC549" s="133"/>
      <c r="AD549" s="133"/>
      <c r="AE549" s="133"/>
      <c r="AF549" s="133"/>
      <c r="AG549" s="133"/>
      <c r="AH549" s="133"/>
      <c r="AI549" s="133"/>
      <c r="AJ549" s="133"/>
      <c r="AK549" s="133"/>
      <c r="AL549" s="132"/>
      <c r="AM549" s="132"/>
      <c r="AN549" s="104"/>
      <c r="AO549" s="104"/>
      <c r="AP549" s="104"/>
    </row>
    <row r="550">
      <c r="A550" s="132"/>
      <c r="B550" s="132"/>
      <c r="C550" s="132"/>
      <c r="D550" s="132"/>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c r="AC550" s="133"/>
      <c r="AD550" s="133"/>
      <c r="AE550" s="133"/>
      <c r="AF550" s="133"/>
      <c r="AG550" s="133"/>
      <c r="AH550" s="133"/>
      <c r="AI550" s="133"/>
      <c r="AJ550" s="133"/>
      <c r="AK550" s="133"/>
      <c r="AL550" s="132"/>
      <c r="AM550" s="132"/>
      <c r="AN550" s="104"/>
      <c r="AO550" s="104"/>
      <c r="AP550" s="104"/>
    </row>
    <row r="551">
      <c r="A551" s="132"/>
      <c r="B551" s="132"/>
      <c r="C551" s="132"/>
      <c r="D551" s="132"/>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c r="AC551" s="133"/>
      <c r="AD551" s="133"/>
      <c r="AE551" s="133"/>
      <c r="AF551" s="133"/>
      <c r="AG551" s="133"/>
      <c r="AH551" s="133"/>
      <c r="AI551" s="133"/>
      <c r="AJ551" s="133"/>
      <c r="AK551" s="133"/>
      <c r="AL551" s="132"/>
      <c r="AM551" s="132"/>
      <c r="AN551" s="104"/>
      <c r="AO551" s="104"/>
      <c r="AP551" s="104"/>
    </row>
    <row r="552">
      <c r="A552" s="132"/>
      <c r="B552" s="132"/>
      <c r="C552" s="132"/>
      <c r="D552" s="132"/>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c r="AC552" s="133"/>
      <c r="AD552" s="133"/>
      <c r="AE552" s="133"/>
      <c r="AF552" s="133"/>
      <c r="AG552" s="133"/>
      <c r="AH552" s="133"/>
      <c r="AI552" s="133"/>
      <c r="AJ552" s="133"/>
      <c r="AK552" s="133"/>
      <c r="AL552" s="132"/>
      <c r="AM552" s="132"/>
      <c r="AN552" s="104"/>
      <c r="AO552" s="104"/>
      <c r="AP552" s="104"/>
    </row>
    <row r="553">
      <c r="A553" s="132"/>
      <c r="B553" s="132"/>
      <c r="C553" s="132"/>
      <c r="D553" s="132"/>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c r="AC553" s="133"/>
      <c r="AD553" s="133"/>
      <c r="AE553" s="133"/>
      <c r="AF553" s="133"/>
      <c r="AG553" s="133"/>
      <c r="AH553" s="133"/>
      <c r="AI553" s="133"/>
      <c r="AJ553" s="133"/>
      <c r="AK553" s="133"/>
      <c r="AL553" s="132"/>
      <c r="AM553" s="132"/>
      <c r="AN553" s="104"/>
      <c r="AO553" s="104"/>
      <c r="AP553" s="104"/>
    </row>
    <row r="554">
      <c r="A554" s="132"/>
      <c r="B554" s="132"/>
      <c r="C554" s="132"/>
      <c r="D554" s="132"/>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c r="AC554" s="133"/>
      <c r="AD554" s="133"/>
      <c r="AE554" s="133"/>
      <c r="AF554" s="133"/>
      <c r="AG554" s="133"/>
      <c r="AH554" s="133"/>
      <c r="AI554" s="133"/>
      <c r="AJ554" s="133"/>
      <c r="AK554" s="133"/>
      <c r="AL554" s="132"/>
      <c r="AM554" s="132"/>
      <c r="AN554" s="104"/>
      <c r="AO554" s="104"/>
      <c r="AP554" s="104"/>
    </row>
    <row r="555">
      <c r="A555" s="132"/>
      <c r="B555" s="132"/>
      <c r="C555" s="132"/>
      <c r="D555" s="132"/>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c r="AC555" s="133"/>
      <c r="AD555" s="133"/>
      <c r="AE555" s="133"/>
      <c r="AF555" s="133"/>
      <c r="AG555" s="133"/>
      <c r="AH555" s="133"/>
      <c r="AI555" s="133"/>
      <c r="AJ555" s="133"/>
      <c r="AK555" s="133"/>
      <c r="AL555" s="132"/>
      <c r="AM555" s="132"/>
      <c r="AN555" s="104"/>
      <c r="AO555" s="104"/>
      <c r="AP555" s="104"/>
    </row>
    <row r="556">
      <c r="A556" s="132"/>
      <c r="B556" s="132"/>
      <c r="C556" s="132"/>
      <c r="D556" s="132"/>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c r="AC556" s="133"/>
      <c r="AD556" s="133"/>
      <c r="AE556" s="133"/>
      <c r="AF556" s="133"/>
      <c r="AG556" s="133"/>
      <c r="AH556" s="133"/>
      <c r="AI556" s="133"/>
      <c r="AJ556" s="133"/>
      <c r="AK556" s="133"/>
      <c r="AL556" s="132"/>
      <c r="AM556" s="132"/>
      <c r="AN556" s="104"/>
      <c r="AO556" s="104"/>
      <c r="AP556" s="104"/>
    </row>
    <row r="557">
      <c r="A557" s="132"/>
      <c r="B557" s="132"/>
      <c r="C557" s="132"/>
      <c r="D557" s="132"/>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c r="AC557" s="133"/>
      <c r="AD557" s="133"/>
      <c r="AE557" s="133"/>
      <c r="AF557" s="133"/>
      <c r="AG557" s="133"/>
      <c r="AH557" s="133"/>
      <c r="AI557" s="133"/>
      <c r="AJ557" s="133"/>
      <c r="AK557" s="133"/>
      <c r="AL557" s="132"/>
      <c r="AM557" s="132"/>
      <c r="AN557" s="104"/>
      <c r="AO557" s="104"/>
      <c r="AP557" s="104"/>
    </row>
    <row r="558">
      <c r="A558" s="132"/>
      <c r="B558" s="132"/>
      <c r="C558" s="132"/>
      <c r="D558" s="132"/>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c r="AC558" s="133"/>
      <c r="AD558" s="133"/>
      <c r="AE558" s="133"/>
      <c r="AF558" s="133"/>
      <c r="AG558" s="133"/>
      <c r="AH558" s="133"/>
      <c r="AI558" s="133"/>
      <c r="AJ558" s="133"/>
      <c r="AK558" s="133"/>
      <c r="AL558" s="132"/>
      <c r="AM558" s="132"/>
      <c r="AN558" s="104"/>
      <c r="AO558" s="104"/>
      <c r="AP558" s="104"/>
    </row>
    <row r="559">
      <c r="A559" s="132"/>
      <c r="B559" s="132"/>
      <c r="C559" s="132"/>
      <c r="D559" s="132"/>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c r="AC559" s="133"/>
      <c r="AD559" s="133"/>
      <c r="AE559" s="133"/>
      <c r="AF559" s="133"/>
      <c r="AG559" s="133"/>
      <c r="AH559" s="133"/>
      <c r="AI559" s="133"/>
      <c r="AJ559" s="133"/>
      <c r="AK559" s="133"/>
      <c r="AL559" s="132"/>
      <c r="AM559" s="132"/>
      <c r="AN559" s="104"/>
      <c r="AO559" s="104"/>
      <c r="AP559" s="104"/>
    </row>
    <row r="560">
      <c r="A560" s="132"/>
      <c r="B560" s="132"/>
      <c r="C560" s="132"/>
      <c r="D560" s="132"/>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c r="AC560" s="133"/>
      <c r="AD560" s="133"/>
      <c r="AE560" s="133"/>
      <c r="AF560" s="133"/>
      <c r="AG560" s="133"/>
      <c r="AH560" s="133"/>
      <c r="AI560" s="133"/>
      <c r="AJ560" s="133"/>
      <c r="AK560" s="133"/>
      <c r="AL560" s="132"/>
      <c r="AM560" s="132"/>
      <c r="AN560" s="104"/>
      <c r="AO560" s="104"/>
      <c r="AP560" s="104"/>
    </row>
    <row r="561">
      <c r="A561" s="132"/>
      <c r="B561" s="132"/>
      <c r="C561" s="132"/>
      <c r="D561" s="132"/>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c r="AC561" s="133"/>
      <c r="AD561" s="133"/>
      <c r="AE561" s="133"/>
      <c r="AF561" s="133"/>
      <c r="AG561" s="133"/>
      <c r="AH561" s="133"/>
      <c r="AI561" s="133"/>
      <c r="AJ561" s="133"/>
      <c r="AK561" s="133"/>
      <c r="AL561" s="132"/>
      <c r="AM561" s="132"/>
      <c r="AN561" s="104"/>
      <c r="AO561" s="104"/>
      <c r="AP561" s="104"/>
    </row>
    <row r="562">
      <c r="A562" s="132"/>
      <c r="B562" s="132"/>
      <c r="C562" s="132"/>
      <c r="D562" s="132"/>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c r="AC562" s="133"/>
      <c r="AD562" s="133"/>
      <c r="AE562" s="133"/>
      <c r="AF562" s="133"/>
      <c r="AG562" s="133"/>
      <c r="AH562" s="133"/>
      <c r="AI562" s="133"/>
      <c r="AJ562" s="133"/>
      <c r="AK562" s="133"/>
      <c r="AL562" s="132"/>
      <c r="AM562" s="132"/>
      <c r="AN562" s="104"/>
      <c r="AO562" s="104"/>
      <c r="AP562" s="104"/>
    </row>
    <row r="563">
      <c r="A563" s="132"/>
      <c r="B563" s="132"/>
      <c r="C563" s="132"/>
      <c r="D563" s="132"/>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c r="AC563" s="133"/>
      <c r="AD563" s="133"/>
      <c r="AE563" s="133"/>
      <c r="AF563" s="133"/>
      <c r="AG563" s="133"/>
      <c r="AH563" s="133"/>
      <c r="AI563" s="133"/>
      <c r="AJ563" s="133"/>
      <c r="AK563" s="133"/>
      <c r="AL563" s="132"/>
      <c r="AM563" s="132"/>
      <c r="AN563" s="104"/>
      <c r="AO563" s="104"/>
      <c r="AP563" s="104"/>
    </row>
    <row r="564">
      <c r="A564" s="132"/>
      <c r="B564" s="132"/>
      <c r="C564" s="132"/>
      <c r="D564" s="132"/>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c r="AC564" s="133"/>
      <c r="AD564" s="133"/>
      <c r="AE564" s="133"/>
      <c r="AF564" s="133"/>
      <c r="AG564" s="133"/>
      <c r="AH564" s="133"/>
      <c r="AI564" s="133"/>
      <c r="AJ564" s="133"/>
      <c r="AK564" s="133"/>
      <c r="AL564" s="132"/>
      <c r="AM564" s="132"/>
      <c r="AN564" s="104"/>
      <c r="AO564" s="104"/>
      <c r="AP564" s="104"/>
    </row>
    <row r="565">
      <c r="A565" s="132"/>
      <c r="B565" s="132"/>
      <c r="C565" s="132"/>
      <c r="D565" s="132"/>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c r="AC565" s="133"/>
      <c r="AD565" s="133"/>
      <c r="AE565" s="133"/>
      <c r="AF565" s="133"/>
      <c r="AG565" s="133"/>
      <c r="AH565" s="133"/>
      <c r="AI565" s="133"/>
      <c r="AJ565" s="133"/>
      <c r="AK565" s="133"/>
      <c r="AL565" s="132"/>
      <c r="AM565" s="132"/>
      <c r="AN565" s="104"/>
      <c r="AO565" s="104"/>
      <c r="AP565" s="104"/>
    </row>
    <row r="566">
      <c r="A566" s="132"/>
      <c r="B566" s="132"/>
      <c r="C566" s="132"/>
      <c r="D566" s="132"/>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c r="AC566" s="133"/>
      <c r="AD566" s="133"/>
      <c r="AE566" s="133"/>
      <c r="AF566" s="133"/>
      <c r="AG566" s="133"/>
      <c r="AH566" s="133"/>
      <c r="AI566" s="133"/>
      <c r="AJ566" s="133"/>
      <c r="AK566" s="133"/>
      <c r="AL566" s="132"/>
      <c r="AM566" s="132"/>
      <c r="AN566" s="104"/>
      <c r="AO566" s="104"/>
      <c r="AP566" s="104"/>
    </row>
    <row r="567">
      <c r="A567" s="132"/>
      <c r="B567" s="132"/>
      <c r="C567" s="132"/>
      <c r="D567" s="132"/>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c r="AC567" s="133"/>
      <c r="AD567" s="133"/>
      <c r="AE567" s="133"/>
      <c r="AF567" s="133"/>
      <c r="AG567" s="133"/>
      <c r="AH567" s="133"/>
      <c r="AI567" s="133"/>
      <c r="AJ567" s="133"/>
      <c r="AK567" s="133"/>
      <c r="AL567" s="132"/>
      <c r="AM567" s="132"/>
      <c r="AN567" s="104"/>
      <c r="AO567" s="104"/>
      <c r="AP567" s="104"/>
    </row>
    <row r="568">
      <c r="A568" s="132"/>
      <c r="B568" s="132"/>
      <c r="C568" s="132"/>
      <c r="D568" s="132"/>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c r="AC568" s="133"/>
      <c r="AD568" s="133"/>
      <c r="AE568" s="133"/>
      <c r="AF568" s="133"/>
      <c r="AG568" s="133"/>
      <c r="AH568" s="133"/>
      <c r="AI568" s="133"/>
      <c r="AJ568" s="133"/>
      <c r="AK568" s="133"/>
      <c r="AL568" s="132"/>
      <c r="AM568" s="132"/>
      <c r="AN568" s="104"/>
      <c r="AO568" s="104"/>
      <c r="AP568" s="104"/>
    </row>
    <row r="569">
      <c r="A569" s="132"/>
      <c r="B569" s="132"/>
      <c r="C569" s="132"/>
      <c r="D569" s="132"/>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c r="AC569" s="133"/>
      <c r="AD569" s="133"/>
      <c r="AE569" s="133"/>
      <c r="AF569" s="133"/>
      <c r="AG569" s="133"/>
      <c r="AH569" s="133"/>
      <c r="AI569" s="133"/>
      <c r="AJ569" s="133"/>
      <c r="AK569" s="133"/>
      <c r="AL569" s="132"/>
      <c r="AM569" s="132"/>
      <c r="AN569" s="104"/>
      <c r="AO569" s="104"/>
      <c r="AP569" s="104"/>
    </row>
    <row r="570">
      <c r="A570" s="132"/>
      <c r="B570" s="132"/>
      <c r="C570" s="132"/>
      <c r="D570" s="132"/>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c r="AC570" s="133"/>
      <c r="AD570" s="133"/>
      <c r="AE570" s="133"/>
      <c r="AF570" s="133"/>
      <c r="AG570" s="133"/>
      <c r="AH570" s="133"/>
      <c r="AI570" s="133"/>
      <c r="AJ570" s="133"/>
      <c r="AK570" s="133"/>
      <c r="AL570" s="132"/>
      <c r="AM570" s="132"/>
      <c r="AN570" s="104"/>
      <c r="AO570" s="104"/>
      <c r="AP570" s="104"/>
    </row>
    <row r="571">
      <c r="A571" s="132"/>
      <c r="B571" s="132"/>
      <c r="C571" s="132"/>
      <c r="D571" s="132"/>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c r="AC571" s="133"/>
      <c r="AD571" s="133"/>
      <c r="AE571" s="133"/>
      <c r="AF571" s="133"/>
      <c r="AG571" s="133"/>
      <c r="AH571" s="133"/>
      <c r="AI571" s="133"/>
      <c r="AJ571" s="133"/>
      <c r="AK571" s="133"/>
      <c r="AL571" s="132"/>
      <c r="AM571" s="132"/>
      <c r="AN571" s="104"/>
      <c r="AO571" s="104"/>
      <c r="AP571" s="104"/>
    </row>
    <row r="572">
      <c r="A572" s="132"/>
      <c r="B572" s="132"/>
      <c r="C572" s="132"/>
      <c r="D572" s="132"/>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c r="AC572" s="133"/>
      <c r="AD572" s="133"/>
      <c r="AE572" s="133"/>
      <c r="AF572" s="133"/>
      <c r="AG572" s="133"/>
      <c r="AH572" s="133"/>
      <c r="AI572" s="133"/>
      <c r="AJ572" s="133"/>
      <c r="AK572" s="133"/>
      <c r="AL572" s="132"/>
      <c r="AM572" s="132"/>
      <c r="AN572" s="104"/>
      <c r="AO572" s="104"/>
      <c r="AP572" s="104"/>
    </row>
    <row r="573">
      <c r="A573" s="132"/>
      <c r="B573" s="132"/>
      <c r="C573" s="132"/>
      <c r="D573" s="132"/>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c r="AC573" s="133"/>
      <c r="AD573" s="133"/>
      <c r="AE573" s="133"/>
      <c r="AF573" s="133"/>
      <c r="AG573" s="133"/>
      <c r="AH573" s="133"/>
      <c r="AI573" s="133"/>
      <c r="AJ573" s="133"/>
      <c r="AK573" s="133"/>
      <c r="AL573" s="132"/>
      <c r="AM573" s="132"/>
      <c r="AN573" s="104"/>
      <c r="AO573" s="104"/>
      <c r="AP573" s="104"/>
    </row>
    <row r="574">
      <c r="A574" s="132"/>
      <c r="B574" s="132"/>
      <c r="C574" s="132"/>
      <c r="D574" s="132"/>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c r="AC574" s="133"/>
      <c r="AD574" s="133"/>
      <c r="AE574" s="133"/>
      <c r="AF574" s="133"/>
      <c r="AG574" s="133"/>
      <c r="AH574" s="133"/>
      <c r="AI574" s="133"/>
      <c r="AJ574" s="133"/>
      <c r="AK574" s="133"/>
      <c r="AL574" s="132"/>
      <c r="AM574" s="132"/>
      <c r="AN574" s="104"/>
      <c r="AO574" s="104"/>
      <c r="AP574" s="104"/>
    </row>
    <row r="575">
      <c r="A575" s="132"/>
      <c r="B575" s="132"/>
      <c r="C575" s="132"/>
      <c r="D575" s="132"/>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c r="AC575" s="133"/>
      <c r="AD575" s="133"/>
      <c r="AE575" s="133"/>
      <c r="AF575" s="133"/>
      <c r="AG575" s="133"/>
      <c r="AH575" s="133"/>
      <c r="AI575" s="133"/>
      <c r="AJ575" s="133"/>
      <c r="AK575" s="133"/>
      <c r="AL575" s="132"/>
      <c r="AM575" s="132"/>
      <c r="AN575" s="104"/>
      <c r="AO575" s="104"/>
      <c r="AP575" s="104"/>
    </row>
    <row r="576">
      <c r="A576" s="132"/>
      <c r="B576" s="132"/>
      <c r="C576" s="132"/>
      <c r="D576" s="132"/>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c r="AC576" s="133"/>
      <c r="AD576" s="133"/>
      <c r="AE576" s="133"/>
      <c r="AF576" s="133"/>
      <c r="AG576" s="133"/>
      <c r="AH576" s="133"/>
      <c r="AI576" s="133"/>
      <c r="AJ576" s="133"/>
      <c r="AK576" s="133"/>
      <c r="AL576" s="132"/>
      <c r="AM576" s="132"/>
      <c r="AN576" s="104"/>
      <c r="AO576" s="104"/>
      <c r="AP576" s="104"/>
    </row>
    <row r="577">
      <c r="A577" s="132"/>
      <c r="B577" s="132"/>
      <c r="C577" s="132"/>
      <c r="D577" s="132"/>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c r="AE577" s="133"/>
      <c r="AF577" s="133"/>
      <c r="AG577" s="133"/>
      <c r="AH577" s="133"/>
      <c r="AI577" s="133"/>
      <c r="AJ577" s="133"/>
      <c r="AK577" s="133"/>
      <c r="AL577" s="132"/>
      <c r="AM577" s="132"/>
      <c r="AN577" s="104"/>
      <c r="AO577" s="104"/>
      <c r="AP577" s="104"/>
    </row>
    <row r="578">
      <c r="A578" s="132"/>
      <c r="B578" s="132"/>
      <c r="C578" s="132"/>
      <c r="D578" s="132"/>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c r="AC578" s="133"/>
      <c r="AD578" s="133"/>
      <c r="AE578" s="133"/>
      <c r="AF578" s="133"/>
      <c r="AG578" s="133"/>
      <c r="AH578" s="133"/>
      <c r="AI578" s="133"/>
      <c r="AJ578" s="133"/>
      <c r="AK578" s="133"/>
      <c r="AL578" s="132"/>
      <c r="AM578" s="132"/>
      <c r="AN578" s="104"/>
      <c r="AO578" s="104"/>
      <c r="AP578" s="104"/>
    </row>
    <row r="579">
      <c r="A579" s="132"/>
      <c r="B579" s="132"/>
      <c r="C579" s="132"/>
      <c r="D579" s="132"/>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c r="AC579" s="133"/>
      <c r="AD579" s="133"/>
      <c r="AE579" s="133"/>
      <c r="AF579" s="133"/>
      <c r="AG579" s="133"/>
      <c r="AH579" s="133"/>
      <c r="AI579" s="133"/>
      <c r="AJ579" s="133"/>
      <c r="AK579" s="133"/>
      <c r="AL579" s="132"/>
      <c r="AM579" s="132"/>
      <c r="AN579" s="104"/>
      <c r="AO579" s="104"/>
      <c r="AP579" s="104"/>
    </row>
    <row r="580">
      <c r="A580" s="132"/>
      <c r="B580" s="132"/>
      <c r="C580" s="132"/>
      <c r="D580" s="132"/>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c r="AC580" s="133"/>
      <c r="AD580" s="133"/>
      <c r="AE580" s="133"/>
      <c r="AF580" s="133"/>
      <c r="AG580" s="133"/>
      <c r="AH580" s="133"/>
      <c r="AI580" s="133"/>
      <c r="AJ580" s="133"/>
      <c r="AK580" s="133"/>
      <c r="AL580" s="132"/>
      <c r="AM580" s="132"/>
      <c r="AN580" s="104"/>
      <c r="AO580" s="104"/>
      <c r="AP580" s="104"/>
    </row>
    <row r="581">
      <c r="A581" s="132"/>
      <c r="B581" s="132"/>
      <c r="C581" s="132"/>
      <c r="D581" s="132"/>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c r="AC581" s="133"/>
      <c r="AD581" s="133"/>
      <c r="AE581" s="133"/>
      <c r="AF581" s="133"/>
      <c r="AG581" s="133"/>
      <c r="AH581" s="133"/>
      <c r="AI581" s="133"/>
      <c r="AJ581" s="133"/>
      <c r="AK581" s="133"/>
      <c r="AL581" s="132"/>
      <c r="AM581" s="132"/>
      <c r="AN581" s="104"/>
      <c r="AO581" s="104"/>
      <c r="AP581" s="104"/>
    </row>
    <row r="582">
      <c r="A582" s="132"/>
      <c r="B582" s="132"/>
      <c r="C582" s="132"/>
      <c r="D582" s="132"/>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c r="AC582" s="133"/>
      <c r="AD582" s="133"/>
      <c r="AE582" s="133"/>
      <c r="AF582" s="133"/>
      <c r="AG582" s="133"/>
      <c r="AH582" s="133"/>
      <c r="AI582" s="133"/>
      <c r="AJ582" s="133"/>
      <c r="AK582" s="133"/>
      <c r="AL582" s="132"/>
      <c r="AM582" s="132"/>
      <c r="AN582" s="104"/>
      <c r="AO582" s="104"/>
      <c r="AP582" s="104"/>
    </row>
    <row r="583">
      <c r="A583" s="132"/>
      <c r="B583" s="132"/>
      <c r="C583" s="132"/>
      <c r="D583" s="132"/>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c r="AC583" s="133"/>
      <c r="AD583" s="133"/>
      <c r="AE583" s="133"/>
      <c r="AF583" s="133"/>
      <c r="AG583" s="133"/>
      <c r="AH583" s="133"/>
      <c r="AI583" s="133"/>
      <c r="AJ583" s="133"/>
      <c r="AK583" s="133"/>
      <c r="AL583" s="132"/>
      <c r="AM583" s="132"/>
      <c r="AN583" s="104"/>
      <c r="AO583" s="104"/>
      <c r="AP583" s="104"/>
    </row>
    <row r="584">
      <c r="A584" s="132"/>
      <c r="B584" s="132"/>
      <c r="C584" s="132"/>
      <c r="D584" s="132"/>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c r="AE584" s="133"/>
      <c r="AF584" s="133"/>
      <c r="AG584" s="133"/>
      <c r="AH584" s="133"/>
      <c r="AI584" s="133"/>
      <c r="AJ584" s="133"/>
      <c r="AK584" s="133"/>
      <c r="AL584" s="132"/>
      <c r="AM584" s="132"/>
      <c r="AN584" s="104"/>
      <c r="AO584" s="104"/>
      <c r="AP584" s="104"/>
    </row>
    <row r="585">
      <c r="A585" s="132"/>
      <c r="B585" s="132"/>
      <c r="C585" s="132"/>
      <c r="D585" s="132"/>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c r="AE585" s="133"/>
      <c r="AF585" s="133"/>
      <c r="AG585" s="133"/>
      <c r="AH585" s="133"/>
      <c r="AI585" s="133"/>
      <c r="AJ585" s="133"/>
      <c r="AK585" s="133"/>
      <c r="AL585" s="132"/>
      <c r="AM585" s="132"/>
      <c r="AN585" s="104"/>
      <c r="AO585" s="104"/>
      <c r="AP585" s="104"/>
    </row>
    <row r="586">
      <c r="A586" s="132"/>
      <c r="B586" s="132"/>
      <c r="C586" s="132"/>
      <c r="D586" s="132"/>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c r="AE586" s="133"/>
      <c r="AF586" s="133"/>
      <c r="AG586" s="133"/>
      <c r="AH586" s="133"/>
      <c r="AI586" s="133"/>
      <c r="AJ586" s="133"/>
      <c r="AK586" s="133"/>
      <c r="AL586" s="132"/>
      <c r="AM586" s="132"/>
      <c r="AN586" s="104"/>
      <c r="AO586" s="104"/>
      <c r="AP586" s="104"/>
    </row>
    <row r="587">
      <c r="A587" s="132"/>
      <c r="B587" s="132"/>
      <c r="C587" s="132"/>
      <c r="D587" s="132"/>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c r="AE587" s="133"/>
      <c r="AF587" s="133"/>
      <c r="AG587" s="133"/>
      <c r="AH587" s="133"/>
      <c r="AI587" s="133"/>
      <c r="AJ587" s="133"/>
      <c r="AK587" s="133"/>
      <c r="AL587" s="132"/>
      <c r="AM587" s="132"/>
      <c r="AN587" s="104"/>
      <c r="AO587" s="104"/>
      <c r="AP587" s="104"/>
    </row>
    <row r="588">
      <c r="A588" s="132"/>
      <c r="B588" s="132"/>
      <c r="C588" s="132"/>
      <c r="D588" s="132"/>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c r="AE588" s="133"/>
      <c r="AF588" s="133"/>
      <c r="AG588" s="133"/>
      <c r="AH588" s="133"/>
      <c r="AI588" s="133"/>
      <c r="AJ588" s="133"/>
      <c r="AK588" s="133"/>
      <c r="AL588" s="132"/>
      <c r="AM588" s="132"/>
      <c r="AN588" s="104"/>
      <c r="AO588" s="104"/>
      <c r="AP588" s="104"/>
    </row>
    <row r="589">
      <c r="A589" s="132"/>
      <c r="B589" s="132"/>
      <c r="C589" s="132"/>
      <c r="D589" s="132"/>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c r="AE589" s="133"/>
      <c r="AF589" s="133"/>
      <c r="AG589" s="133"/>
      <c r="AH589" s="133"/>
      <c r="AI589" s="133"/>
      <c r="AJ589" s="133"/>
      <c r="AK589" s="133"/>
      <c r="AL589" s="132"/>
      <c r="AM589" s="132"/>
      <c r="AN589" s="104"/>
      <c r="AO589" s="104"/>
      <c r="AP589" s="104"/>
    </row>
    <row r="590">
      <c r="A590" s="132"/>
      <c r="B590" s="132"/>
      <c r="C590" s="132"/>
      <c r="D590" s="132"/>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c r="AE590" s="133"/>
      <c r="AF590" s="133"/>
      <c r="AG590" s="133"/>
      <c r="AH590" s="133"/>
      <c r="AI590" s="133"/>
      <c r="AJ590" s="133"/>
      <c r="AK590" s="133"/>
      <c r="AL590" s="132"/>
      <c r="AM590" s="132"/>
      <c r="AN590" s="104"/>
      <c r="AO590" s="104"/>
      <c r="AP590" s="104"/>
    </row>
    <row r="591">
      <c r="A591" s="132"/>
      <c r="B591" s="132"/>
      <c r="C591" s="132"/>
      <c r="D591" s="132"/>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c r="AE591" s="133"/>
      <c r="AF591" s="133"/>
      <c r="AG591" s="133"/>
      <c r="AH591" s="133"/>
      <c r="AI591" s="133"/>
      <c r="AJ591" s="133"/>
      <c r="AK591" s="133"/>
      <c r="AL591" s="132"/>
      <c r="AM591" s="132"/>
      <c r="AN591" s="104"/>
      <c r="AO591" s="104"/>
      <c r="AP591" s="104"/>
    </row>
    <row r="592">
      <c r="A592" s="132"/>
      <c r="B592" s="132"/>
      <c r="C592" s="132"/>
      <c r="D592" s="132"/>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c r="AE592" s="133"/>
      <c r="AF592" s="133"/>
      <c r="AG592" s="133"/>
      <c r="AH592" s="133"/>
      <c r="AI592" s="133"/>
      <c r="AJ592" s="133"/>
      <c r="AK592" s="133"/>
      <c r="AL592" s="132"/>
      <c r="AM592" s="132"/>
      <c r="AN592" s="104"/>
      <c r="AO592" s="104"/>
      <c r="AP592" s="104"/>
    </row>
    <row r="593">
      <c r="A593" s="132"/>
      <c r="B593" s="132"/>
      <c r="C593" s="132"/>
      <c r="D593" s="132"/>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c r="AE593" s="133"/>
      <c r="AF593" s="133"/>
      <c r="AG593" s="133"/>
      <c r="AH593" s="133"/>
      <c r="AI593" s="133"/>
      <c r="AJ593" s="133"/>
      <c r="AK593" s="133"/>
      <c r="AL593" s="132"/>
      <c r="AM593" s="132"/>
      <c r="AN593" s="104"/>
      <c r="AO593" s="104"/>
      <c r="AP593" s="104"/>
    </row>
    <row r="594">
      <c r="A594" s="132"/>
      <c r="B594" s="132"/>
      <c r="C594" s="132"/>
      <c r="D594" s="132"/>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c r="AE594" s="133"/>
      <c r="AF594" s="133"/>
      <c r="AG594" s="133"/>
      <c r="AH594" s="133"/>
      <c r="AI594" s="133"/>
      <c r="AJ594" s="133"/>
      <c r="AK594" s="133"/>
      <c r="AL594" s="132"/>
      <c r="AM594" s="132"/>
      <c r="AN594" s="104"/>
      <c r="AO594" s="104"/>
      <c r="AP594" s="104"/>
    </row>
    <row r="595">
      <c r="A595" s="132"/>
      <c r="B595" s="132"/>
      <c r="C595" s="132"/>
      <c r="D595" s="132"/>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c r="AE595" s="133"/>
      <c r="AF595" s="133"/>
      <c r="AG595" s="133"/>
      <c r="AH595" s="133"/>
      <c r="AI595" s="133"/>
      <c r="AJ595" s="133"/>
      <c r="AK595" s="133"/>
      <c r="AL595" s="132"/>
      <c r="AM595" s="132"/>
      <c r="AN595" s="104"/>
      <c r="AO595" s="104"/>
      <c r="AP595" s="104"/>
    </row>
    <row r="596">
      <c r="A596" s="132"/>
      <c r="B596" s="132"/>
      <c r="C596" s="132"/>
      <c r="D596" s="132"/>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c r="AE596" s="133"/>
      <c r="AF596" s="133"/>
      <c r="AG596" s="133"/>
      <c r="AH596" s="133"/>
      <c r="AI596" s="133"/>
      <c r="AJ596" s="133"/>
      <c r="AK596" s="133"/>
      <c r="AL596" s="132"/>
      <c r="AM596" s="132"/>
      <c r="AN596" s="104"/>
      <c r="AO596" s="104"/>
      <c r="AP596" s="104"/>
    </row>
    <row r="597">
      <c r="A597" s="132"/>
      <c r="B597" s="132"/>
      <c r="C597" s="132"/>
      <c r="D597" s="132"/>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c r="AE597" s="133"/>
      <c r="AF597" s="133"/>
      <c r="AG597" s="133"/>
      <c r="AH597" s="133"/>
      <c r="AI597" s="133"/>
      <c r="AJ597" s="133"/>
      <c r="AK597" s="133"/>
      <c r="AL597" s="132"/>
      <c r="AM597" s="132"/>
      <c r="AN597" s="104"/>
      <c r="AO597" s="104"/>
      <c r="AP597" s="104"/>
    </row>
    <row r="598">
      <c r="A598" s="132"/>
      <c r="B598" s="132"/>
      <c r="C598" s="132"/>
      <c r="D598" s="132"/>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c r="AE598" s="133"/>
      <c r="AF598" s="133"/>
      <c r="AG598" s="133"/>
      <c r="AH598" s="133"/>
      <c r="AI598" s="133"/>
      <c r="AJ598" s="133"/>
      <c r="AK598" s="133"/>
      <c r="AL598" s="132"/>
      <c r="AM598" s="132"/>
      <c r="AN598" s="104"/>
      <c r="AO598" s="104"/>
      <c r="AP598" s="104"/>
    </row>
    <row r="599">
      <c r="A599" s="132"/>
      <c r="B599" s="132"/>
      <c r="C599" s="132"/>
      <c r="D599" s="132"/>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c r="AE599" s="133"/>
      <c r="AF599" s="133"/>
      <c r="AG599" s="133"/>
      <c r="AH599" s="133"/>
      <c r="AI599" s="133"/>
      <c r="AJ599" s="133"/>
      <c r="AK599" s="133"/>
      <c r="AL599" s="132"/>
      <c r="AM599" s="132"/>
      <c r="AN599" s="104"/>
      <c r="AO599" s="104"/>
      <c r="AP599" s="104"/>
    </row>
    <row r="600">
      <c r="A600" s="132"/>
      <c r="B600" s="132"/>
      <c r="C600" s="132"/>
      <c r="D600" s="132"/>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c r="AE600" s="133"/>
      <c r="AF600" s="133"/>
      <c r="AG600" s="133"/>
      <c r="AH600" s="133"/>
      <c r="AI600" s="133"/>
      <c r="AJ600" s="133"/>
      <c r="AK600" s="133"/>
      <c r="AL600" s="132"/>
      <c r="AM600" s="132"/>
      <c r="AN600" s="104"/>
      <c r="AO600" s="104"/>
      <c r="AP600" s="104"/>
    </row>
    <row r="601">
      <c r="A601" s="132"/>
      <c r="B601" s="132"/>
      <c r="C601" s="132"/>
      <c r="D601" s="132"/>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c r="AE601" s="133"/>
      <c r="AF601" s="133"/>
      <c r="AG601" s="133"/>
      <c r="AH601" s="133"/>
      <c r="AI601" s="133"/>
      <c r="AJ601" s="133"/>
      <c r="AK601" s="133"/>
      <c r="AL601" s="132"/>
      <c r="AM601" s="132"/>
      <c r="AN601" s="104"/>
      <c r="AO601" s="104"/>
      <c r="AP601" s="104"/>
    </row>
    <row r="602">
      <c r="A602" s="132"/>
      <c r="B602" s="132"/>
      <c r="C602" s="132"/>
      <c r="D602" s="132"/>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c r="AE602" s="133"/>
      <c r="AF602" s="133"/>
      <c r="AG602" s="133"/>
      <c r="AH602" s="133"/>
      <c r="AI602" s="133"/>
      <c r="AJ602" s="133"/>
      <c r="AK602" s="133"/>
      <c r="AL602" s="132"/>
      <c r="AM602" s="132"/>
      <c r="AN602" s="104"/>
      <c r="AO602" s="104"/>
      <c r="AP602" s="104"/>
    </row>
    <row r="603">
      <c r="A603" s="132"/>
      <c r="B603" s="132"/>
      <c r="C603" s="132"/>
      <c r="D603" s="132"/>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c r="AE603" s="133"/>
      <c r="AF603" s="133"/>
      <c r="AG603" s="133"/>
      <c r="AH603" s="133"/>
      <c r="AI603" s="133"/>
      <c r="AJ603" s="133"/>
      <c r="AK603" s="133"/>
      <c r="AL603" s="132"/>
      <c r="AM603" s="132"/>
      <c r="AN603" s="104"/>
      <c r="AO603" s="104"/>
      <c r="AP603" s="104"/>
    </row>
    <row r="604">
      <c r="A604" s="132"/>
      <c r="B604" s="132"/>
      <c r="C604" s="132"/>
      <c r="D604" s="132"/>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c r="AE604" s="133"/>
      <c r="AF604" s="133"/>
      <c r="AG604" s="133"/>
      <c r="AH604" s="133"/>
      <c r="AI604" s="133"/>
      <c r="AJ604" s="133"/>
      <c r="AK604" s="133"/>
      <c r="AL604" s="132"/>
      <c r="AM604" s="132"/>
      <c r="AN604" s="104"/>
      <c r="AO604" s="104"/>
      <c r="AP604" s="104"/>
    </row>
    <row r="605">
      <c r="A605" s="132"/>
      <c r="B605" s="132"/>
      <c r="C605" s="132"/>
      <c r="D605" s="132"/>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c r="AE605" s="133"/>
      <c r="AF605" s="133"/>
      <c r="AG605" s="133"/>
      <c r="AH605" s="133"/>
      <c r="AI605" s="133"/>
      <c r="AJ605" s="133"/>
      <c r="AK605" s="133"/>
      <c r="AL605" s="132"/>
      <c r="AM605" s="132"/>
      <c r="AN605" s="104"/>
      <c r="AO605" s="104"/>
      <c r="AP605" s="104"/>
    </row>
    <row r="606">
      <c r="A606" s="132"/>
      <c r="B606" s="132"/>
      <c r="C606" s="132"/>
      <c r="D606" s="132"/>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c r="AC606" s="133"/>
      <c r="AD606" s="133"/>
      <c r="AE606" s="133"/>
      <c r="AF606" s="133"/>
      <c r="AG606" s="133"/>
      <c r="AH606" s="133"/>
      <c r="AI606" s="133"/>
      <c r="AJ606" s="133"/>
      <c r="AK606" s="133"/>
      <c r="AL606" s="132"/>
      <c r="AM606" s="132"/>
      <c r="AN606" s="104"/>
      <c r="AO606" s="104"/>
      <c r="AP606" s="104"/>
    </row>
    <row r="607">
      <c r="A607" s="132"/>
      <c r="B607" s="132"/>
      <c r="C607" s="132"/>
      <c r="D607" s="132"/>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c r="AC607" s="133"/>
      <c r="AD607" s="133"/>
      <c r="AE607" s="133"/>
      <c r="AF607" s="133"/>
      <c r="AG607" s="133"/>
      <c r="AH607" s="133"/>
      <c r="AI607" s="133"/>
      <c r="AJ607" s="133"/>
      <c r="AK607" s="133"/>
      <c r="AL607" s="132"/>
      <c r="AM607" s="132"/>
      <c r="AN607" s="104"/>
      <c r="AO607" s="104"/>
      <c r="AP607" s="104"/>
    </row>
    <row r="608">
      <c r="A608" s="132"/>
      <c r="B608" s="132"/>
      <c r="C608" s="132"/>
      <c r="D608" s="132"/>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c r="AC608" s="133"/>
      <c r="AD608" s="133"/>
      <c r="AE608" s="133"/>
      <c r="AF608" s="133"/>
      <c r="AG608" s="133"/>
      <c r="AH608" s="133"/>
      <c r="AI608" s="133"/>
      <c r="AJ608" s="133"/>
      <c r="AK608" s="133"/>
      <c r="AL608" s="132"/>
      <c r="AM608" s="132"/>
      <c r="AN608" s="104"/>
      <c r="AO608" s="104"/>
      <c r="AP608" s="104"/>
    </row>
    <row r="609">
      <c r="A609" s="132"/>
      <c r="B609" s="132"/>
      <c r="C609" s="132"/>
      <c r="D609" s="132"/>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c r="AC609" s="133"/>
      <c r="AD609" s="133"/>
      <c r="AE609" s="133"/>
      <c r="AF609" s="133"/>
      <c r="AG609" s="133"/>
      <c r="AH609" s="133"/>
      <c r="AI609" s="133"/>
      <c r="AJ609" s="133"/>
      <c r="AK609" s="133"/>
      <c r="AL609" s="132"/>
      <c r="AM609" s="132"/>
      <c r="AN609" s="104"/>
      <c r="AO609" s="104"/>
      <c r="AP609" s="104"/>
    </row>
    <row r="610">
      <c r="A610" s="132"/>
      <c r="B610" s="132"/>
      <c r="C610" s="132"/>
      <c r="D610" s="132"/>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c r="AC610" s="133"/>
      <c r="AD610" s="133"/>
      <c r="AE610" s="133"/>
      <c r="AF610" s="133"/>
      <c r="AG610" s="133"/>
      <c r="AH610" s="133"/>
      <c r="AI610" s="133"/>
      <c r="AJ610" s="133"/>
      <c r="AK610" s="133"/>
      <c r="AL610" s="132"/>
      <c r="AM610" s="132"/>
      <c r="AN610" s="104"/>
      <c r="AO610" s="104"/>
      <c r="AP610" s="104"/>
    </row>
    <row r="611">
      <c r="A611" s="132"/>
      <c r="B611" s="132"/>
      <c r="C611" s="132"/>
      <c r="D611" s="132"/>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c r="AC611" s="133"/>
      <c r="AD611" s="133"/>
      <c r="AE611" s="133"/>
      <c r="AF611" s="133"/>
      <c r="AG611" s="133"/>
      <c r="AH611" s="133"/>
      <c r="AI611" s="133"/>
      <c r="AJ611" s="133"/>
      <c r="AK611" s="133"/>
      <c r="AL611" s="132"/>
      <c r="AM611" s="132"/>
      <c r="AN611" s="104"/>
      <c r="AO611" s="104"/>
      <c r="AP611" s="104"/>
    </row>
    <row r="612">
      <c r="A612" s="132"/>
      <c r="B612" s="132"/>
      <c r="C612" s="132"/>
      <c r="D612" s="132"/>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c r="AE612" s="133"/>
      <c r="AF612" s="133"/>
      <c r="AG612" s="133"/>
      <c r="AH612" s="133"/>
      <c r="AI612" s="133"/>
      <c r="AJ612" s="133"/>
      <c r="AK612" s="133"/>
      <c r="AL612" s="132"/>
      <c r="AM612" s="132"/>
      <c r="AN612" s="104"/>
      <c r="AO612" s="104"/>
      <c r="AP612" s="104"/>
    </row>
    <row r="613">
      <c r="A613" s="132"/>
      <c r="B613" s="132"/>
      <c r="C613" s="132"/>
      <c r="D613" s="132"/>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c r="AC613" s="133"/>
      <c r="AD613" s="133"/>
      <c r="AE613" s="133"/>
      <c r="AF613" s="133"/>
      <c r="AG613" s="133"/>
      <c r="AH613" s="133"/>
      <c r="AI613" s="133"/>
      <c r="AJ613" s="133"/>
      <c r="AK613" s="133"/>
      <c r="AL613" s="132"/>
      <c r="AM613" s="132"/>
      <c r="AN613" s="104"/>
      <c r="AO613" s="104"/>
      <c r="AP613" s="104"/>
    </row>
    <row r="614">
      <c r="A614" s="132"/>
      <c r="B614" s="132"/>
      <c r="C614" s="132"/>
      <c r="D614" s="132"/>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c r="AC614" s="133"/>
      <c r="AD614" s="133"/>
      <c r="AE614" s="133"/>
      <c r="AF614" s="133"/>
      <c r="AG614" s="133"/>
      <c r="AH614" s="133"/>
      <c r="AI614" s="133"/>
      <c r="AJ614" s="133"/>
      <c r="AK614" s="133"/>
      <c r="AL614" s="132"/>
      <c r="AM614" s="132"/>
      <c r="AN614" s="104"/>
      <c r="AO614" s="104"/>
      <c r="AP614" s="104"/>
    </row>
    <row r="615">
      <c r="A615" s="132"/>
      <c r="B615" s="132"/>
      <c r="C615" s="132"/>
      <c r="D615" s="132"/>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c r="AC615" s="133"/>
      <c r="AD615" s="133"/>
      <c r="AE615" s="133"/>
      <c r="AF615" s="133"/>
      <c r="AG615" s="133"/>
      <c r="AH615" s="133"/>
      <c r="AI615" s="133"/>
      <c r="AJ615" s="133"/>
      <c r="AK615" s="133"/>
      <c r="AL615" s="132"/>
      <c r="AM615" s="132"/>
      <c r="AN615" s="104"/>
      <c r="AO615" s="104"/>
      <c r="AP615" s="104"/>
    </row>
    <row r="616">
      <c r="A616" s="132"/>
      <c r="B616" s="132"/>
      <c r="C616" s="132"/>
      <c r="D616" s="132"/>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c r="AC616" s="133"/>
      <c r="AD616" s="133"/>
      <c r="AE616" s="133"/>
      <c r="AF616" s="133"/>
      <c r="AG616" s="133"/>
      <c r="AH616" s="133"/>
      <c r="AI616" s="133"/>
      <c r="AJ616" s="133"/>
      <c r="AK616" s="133"/>
      <c r="AL616" s="132"/>
      <c r="AM616" s="132"/>
      <c r="AN616" s="104"/>
      <c r="AO616" s="104"/>
      <c r="AP616" s="104"/>
    </row>
    <row r="617">
      <c r="A617" s="132"/>
      <c r="B617" s="132"/>
      <c r="C617" s="132"/>
      <c r="D617" s="132"/>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c r="AC617" s="133"/>
      <c r="AD617" s="133"/>
      <c r="AE617" s="133"/>
      <c r="AF617" s="133"/>
      <c r="AG617" s="133"/>
      <c r="AH617" s="133"/>
      <c r="AI617" s="133"/>
      <c r="AJ617" s="133"/>
      <c r="AK617" s="133"/>
      <c r="AL617" s="132"/>
      <c r="AM617" s="132"/>
      <c r="AN617" s="104"/>
      <c r="AO617" s="104"/>
      <c r="AP617" s="104"/>
    </row>
    <row r="618">
      <c r="A618" s="132"/>
      <c r="B618" s="132"/>
      <c r="C618" s="132"/>
      <c r="D618" s="132"/>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c r="AC618" s="133"/>
      <c r="AD618" s="133"/>
      <c r="AE618" s="133"/>
      <c r="AF618" s="133"/>
      <c r="AG618" s="133"/>
      <c r="AH618" s="133"/>
      <c r="AI618" s="133"/>
      <c r="AJ618" s="133"/>
      <c r="AK618" s="133"/>
      <c r="AL618" s="132"/>
      <c r="AM618" s="132"/>
      <c r="AN618" s="104"/>
      <c r="AO618" s="104"/>
      <c r="AP618" s="104"/>
    </row>
    <row r="619">
      <c r="A619" s="132"/>
      <c r="B619" s="132"/>
      <c r="C619" s="132"/>
      <c r="D619" s="132"/>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c r="AC619" s="133"/>
      <c r="AD619" s="133"/>
      <c r="AE619" s="133"/>
      <c r="AF619" s="133"/>
      <c r="AG619" s="133"/>
      <c r="AH619" s="133"/>
      <c r="AI619" s="133"/>
      <c r="AJ619" s="133"/>
      <c r="AK619" s="133"/>
      <c r="AL619" s="132"/>
      <c r="AM619" s="132"/>
      <c r="AN619" s="104"/>
      <c r="AO619" s="104"/>
      <c r="AP619" s="104"/>
    </row>
    <row r="620">
      <c r="A620" s="132"/>
      <c r="B620" s="132"/>
      <c r="C620" s="132"/>
      <c r="D620" s="132"/>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c r="AC620" s="133"/>
      <c r="AD620" s="133"/>
      <c r="AE620" s="133"/>
      <c r="AF620" s="133"/>
      <c r="AG620" s="133"/>
      <c r="AH620" s="133"/>
      <c r="AI620" s="133"/>
      <c r="AJ620" s="133"/>
      <c r="AK620" s="133"/>
      <c r="AL620" s="132"/>
      <c r="AM620" s="132"/>
      <c r="AN620" s="104"/>
      <c r="AO620" s="104"/>
      <c r="AP620" s="104"/>
    </row>
    <row r="621">
      <c r="A621" s="132"/>
      <c r="B621" s="132"/>
      <c r="C621" s="132"/>
      <c r="D621" s="132"/>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c r="AC621" s="133"/>
      <c r="AD621" s="133"/>
      <c r="AE621" s="133"/>
      <c r="AF621" s="133"/>
      <c r="AG621" s="133"/>
      <c r="AH621" s="133"/>
      <c r="AI621" s="133"/>
      <c r="AJ621" s="133"/>
      <c r="AK621" s="133"/>
      <c r="AL621" s="132"/>
      <c r="AM621" s="132"/>
      <c r="AN621" s="104"/>
      <c r="AO621" s="104"/>
      <c r="AP621" s="104"/>
    </row>
    <row r="622">
      <c r="A622" s="132"/>
      <c r="B622" s="132"/>
      <c r="C622" s="132"/>
      <c r="D622" s="132"/>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c r="AC622" s="133"/>
      <c r="AD622" s="133"/>
      <c r="AE622" s="133"/>
      <c r="AF622" s="133"/>
      <c r="AG622" s="133"/>
      <c r="AH622" s="133"/>
      <c r="AI622" s="133"/>
      <c r="AJ622" s="133"/>
      <c r="AK622" s="133"/>
      <c r="AL622" s="132"/>
      <c r="AM622" s="132"/>
      <c r="AN622" s="104"/>
      <c r="AO622" s="104"/>
      <c r="AP622" s="104"/>
    </row>
    <row r="623">
      <c r="A623" s="132"/>
      <c r="B623" s="132"/>
      <c r="C623" s="132"/>
      <c r="D623" s="132"/>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c r="AC623" s="133"/>
      <c r="AD623" s="133"/>
      <c r="AE623" s="133"/>
      <c r="AF623" s="133"/>
      <c r="AG623" s="133"/>
      <c r="AH623" s="133"/>
      <c r="AI623" s="133"/>
      <c r="AJ623" s="133"/>
      <c r="AK623" s="133"/>
      <c r="AL623" s="132"/>
      <c r="AM623" s="132"/>
      <c r="AN623" s="104"/>
      <c r="AO623" s="104"/>
      <c r="AP623" s="104"/>
    </row>
    <row r="624">
      <c r="A624" s="132"/>
      <c r="B624" s="132"/>
      <c r="C624" s="132"/>
      <c r="D624" s="132"/>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c r="AC624" s="133"/>
      <c r="AD624" s="133"/>
      <c r="AE624" s="133"/>
      <c r="AF624" s="133"/>
      <c r="AG624" s="133"/>
      <c r="AH624" s="133"/>
      <c r="AI624" s="133"/>
      <c r="AJ624" s="133"/>
      <c r="AK624" s="133"/>
      <c r="AL624" s="132"/>
      <c r="AM624" s="132"/>
      <c r="AN624" s="104"/>
      <c r="AO624" s="104"/>
      <c r="AP624" s="104"/>
    </row>
    <row r="625">
      <c r="A625" s="132"/>
      <c r="B625" s="132"/>
      <c r="C625" s="132"/>
      <c r="D625" s="132"/>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c r="AC625" s="133"/>
      <c r="AD625" s="133"/>
      <c r="AE625" s="133"/>
      <c r="AF625" s="133"/>
      <c r="AG625" s="133"/>
      <c r="AH625" s="133"/>
      <c r="AI625" s="133"/>
      <c r="AJ625" s="133"/>
      <c r="AK625" s="133"/>
      <c r="AL625" s="132"/>
      <c r="AM625" s="132"/>
      <c r="AN625" s="104"/>
      <c r="AO625" s="104"/>
      <c r="AP625" s="104"/>
    </row>
    <row r="626">
      <c r="A626" s="132"/>
      <c r="B626" s="132"/>
      <c r="C626" s="132"/>
      <c r="D626" s="132"/>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c r="AE626" s="133"/>
      <c r="AF626" s="133"/>
      <c r="AG626" s="133"/>
      <c r="AH626" s="133"/>
      <c r="AI626" s="133"/>
      <c r="AJ626" s="133"/>
      <c r="AK626" s="133"/>
      <c r="AL626" s="132"/>
      <c r="AM626" s="132"/>
      <c r="AN626" s="104"/>
      <c r="AO626" s="104"/>
      <c r="AP626" s="104"/>
    </row>
    <row r="627">
      <c r="A627" s="132"/>
      <c r="B627" s="132"/>
      <c r="C627" s="132"/>
      <c r="D627" s="132"/>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c r="AC627" s="133"/>
      <c r="AD627" s="133"/>
      <c r="AE627" s="133"/>
      <c r="AF627" s="133"/>
      <c r="AG627" s="133"/>
      <c r="AH627" s="133"/>
      <c r="AI627" s="133"/>
      <c r="AJ627" s="133"/>
      <c r="AK627" s="133"/>
      <c r="AL627" s="132"/>
      <c r="AM627" s="132"/>
      <c r="AN627" s="104"/>
      <c r="AO627" s="104"/>
      <c r="AP627" s="104"/>
    </row>
    <row r="628">
      <c r="A628" s="132"/>
      <c r="B628" s="132"/>
      <c r="C628" s="132"/>
      <c r="D628" s="132"/>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c r="AC628" s="133"/>
      <c r="AD628" s="133"/>
      <c r="AE628" s="133"/>
      <c r="AF628" s="133"/>
      <c r="AG628" s="133"/>
      <c r="AH628" s="133"/>
      <c r="AI628" s="133"/>
      <c r="AJ628" s="133"/>
      <c r="AK628" s="133"/>
      <c r="AL628" s="132"/>
      <c r="AM628" s="132"/>
      <c r="AN628" s="104"/>
      <c r="AO628" s="104"/>
      <c r="AP628" s="104"/>
    </row>
    <row r="629">
      <c r="A629" s="132"/>
      <c r="B629" s="132"/>
      <c r="C629" s="132"/>
      <c r="D629" s="132"/>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c r="AC629" s="133"/>
      <c r="AD629" s="133"/>
      <c r="AE629" s="133"/>
      <c r="AF629" s="133"/>
      <c r="AG629" s="133"/>
      <c r="AH629" s="133"/>
      <c r="AI629" s="133"/>
      <c r="AJ629" s="133"/>
      <c r="AK629" s="133"/>
      <c r="AL629" s="132"/>
      <c r="AM629" s="132"/>
      <c r="AN629" s="104"/>
      <c r="AO629" s="104"/>
      <c r="AP629" s="104"/>
    </row>
    <row r="630">
      <c r="A630" s="132"/>
      <c r="B630" s="132"/>
      <c r="C630" s="132"/>
      <c r="D630" s="132"/>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c r="AC630" s="133"/>
      <c r="AD630" s="133"/>
      <c r="AE630" s="133"/>
      <c r="AF630" s="133"/>
      <c r="AG630" s="133"/>
      <c r="AH630" s="133"/>
      <c r="AI630" s="133"/>
      <c r="AJ630" s="133"/>
      <c r="AK630" s="133"/>
      <c r="AL630" s="132"/>
      <c r="AM630" s="132"/>
      <c r="AN630" s="104"/>
      <c r="AO630" s="104"/>
      <c r="AP630" s="104"/>
    </row>
    <row r="631">
      <c r="A631" s="132"/>
      <c r="B631" s="132"/>
      <c r="C631" s="132"/>
      <c r="D631" s="132"/>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c r="AC631" s="133"/>
      <c r="AD631" s="133"/>
      <c r="AE631" s="133"/>
      <c r="AF631" s="133"/>
      <c r="AG631" s="133"/>
      <c r="AH631" s="133"/>
      <c r="AI631" s="133"/>
      <c r="AJ631" s="133"/>
      <c r="AK631" s="133"/>
      <c r="AL631" s="132"/>
      <c r="AM631" s="132"/>
      <c r="AN631" s="104"/>
      <c r="AO631" s="104"/>
      <c r="AP631" s="104"/>
    </row>
    <row r="632">
      <c r="A632" s="132"/>
      <c r="B632" s="132"/>
      <c r="C632" s="132"/>
      <c r="D632" s="132"/>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c r="AC632" s="133"/>
      <c r="AD632" s="133"/>
      <c r="AE632" s="133"/>
      <c r="AF632" s="133"/>
      <c r="AG632" s="133"/>
      <c r="AH632" s="133"/>
      <c r="AI632" s="133"/>
      <c r="AJ632" s="133"/>
      <c r="AK632" s="133"/>
      <c r="AL632" s="132"/>
      <c r="AM632" s="132"/>
      <c r="AN632" s="104"/>
      <c r="AO632" s="104"/>
      <c r="AP632" s="104"/>
    </row>
    <row r="633">
      <c r="A633" s="132"/>
      <c r="B633" s="132"/>
      <c r="C633" s="132"/>
      <c r="D633" s="132"/>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c r="AC633" s="133"/>
      <c r="AD633" s="133"/>
      <c r="AE633" s="133"/>
      <c r="AF633" s="133"/>
      <c r="AG633" s="133"/>
      <c r="AH633" s="133"/>
      <c r="AI633" s="133"/>
      <c r="AJ633" s="133"/>
      <c r="AK633" s="133"/>
      <c r="AL633" s="132"/>
      <c r="AM633" s="132"/>
      <c r="AN633" s="104"/>
      <c r="AO633" s="104"/>
      <c r="AP633" s="104"/>
    </row>
    <row r="634">
      <c r="A634" s="132"/>
      <c r="B634" s="132"/>
      <c r="C634" s="132"/>
      <c r="D634" s="132"/>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c r="AE634" s="133"/>
      <c r="AF634" s="133"/>
      <c r="AG634" s="133"/>
      <c r="AH634" s="133"/>
      <c r="AI634" s="133"/>
      <c r="AJ634" s="133"/>
      <c r="AK634" s="133"/>
      <c r="AL634" s="132"/>
      <c r="AM634" s="132"/>
      <c r="AN634" s="104"/>
      <c r="AO634" s="104"/>
      <c r="AP634" s="104"/>
    </row>
    <row r="635">
      <c r="A635" s="132"/>
      <c r="B635" s="132"/>
      <c r="C635" s="132"/>
      <c r="D635" s="132"/>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c r="AC635" s="133"/>
      <c r="AD635" s="133"/>
      <c r="AE635" s="133"/>
      <c r="AF635" s="133"/>
      <c r="AG635" s="133"/>
      <c r="AH635" s="133"/>
      <c r="AI635" s="133"/>
      <c r="AJ635" s="133"/>
      <c r="AK635" s="133"/>
      <c r="AL635" s="132"/>
      <c r="AM635" s="132"/>
      <c r="AN635" s="104"/>
      <c r="AO635" s="104"/>
      <c r="AP635" s="104"/>
    </row>
    <row r="636">
      <c r="A636" s="132"/>
      <c r="B636" s="132"/>
      <c r="C636" s="132"/>
      <c r="D636" s="132"/>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c r="AC636" s="133"/>
      <c r="AD636" s="133"/>
      <c r="AE636" s="133"/>
      <c r="AF636" s="133"/>
      <c r="AG636" s="133"/>
      <c r="AH636" s="133"/>
      <c r="AI636" s="133"/>
      <c r="AJ636" s="133"/>
      <c r="AK636" s="133"/>
      <c r="AL636" s="132"/>
      <c r="AM636" s="132"/>
      <c r="AN636" s="104"/>
      <c r="AO636" s="104"/>
      <c r="AP636" s="104"/>
    </row>
    <row r="637">
      <c r="A637" s="132"/>
      <c r="B637" s="132"/>
      <c r="C637" s="132"/>
      <c r="D637" s="132"/>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c r="AC637" s="133"/>
      <c r="AD637" s="133"/>
      <c r="AE637" s="133"/>
      <c r="AF637" s="133"/>
      <c r="AG637" s="133"/>
      <c r="AH637" s="133"/>
      <c r="AI637" s="133"/>
      <c r="AJ637" s="133"/>
      <c r="AK637" s="133"/>
      <c r="AL637" s="132"/>
      <c r="AM637" s="132"/>
      <c r="AN637" s="104"/>
      <c r="AO637" s="104"/>
      <c r="AP637" s="104"/>
    </row>
    <row r="638">
      <c r="A638" s="132"/>
      <c r="B638" s="132"/>
      <c r="C638" s="132"/>
      <c r="D638" s="132"/>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c r="AC638" s="133"/>
      <c r="AD638" s="133"/>
      <c r="AE638" s="133"/>
      <c r="AF638" s="133"/>
      <c r="AG638" s="133"/>
      <c r="AH638" s="133"/>
      <c r="AI638" s="133"/>
      <c r="AJ638" s="133"/>
      <c r="AK638" s="133"/>
      <c r="AL638" s="132"/>
      <c r="AM638" s="132"/>
      <c r="AN638" s="104"/>
      <c r="AO638" s="104"/>
      <c r="AP638" s="104"/>
    </row>
    <row r="639">
      <c r="A639" s="132"/>
      <c r="B639" s="132"/>
      <c r="C639" s="132"/>
      <c r="D639" s="132"/>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c r="AC639" s="133"/>
      <c r="AD639" s="133"/>
      <c r="AE639" s="133"/>
      <c r="AF639" s="133"/>
      <c r="AG639" s="133"/>
      <c r="AH639" s="133"/>
      <c r="AI639" s="133"/>
      <c r="AJ639" s="133"/>
      <c r="AK639" s="133"/>
      <c r="AL639" s="132"/>
      <c r="AM639" s="132"/>
      <c r="AN639" s="104"/>
      <c r="AO639" s="104"/>
      <c r="AP639" s="104"/>
    </row>
    <row r="640">
      <c r="A640" s="132"/>
      <c r="B640" s="132"/>
      <c r="C640" s="132"/>
      <c r="D640" s="132"/>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c r="AC640" s="133"/>
      <c r="AD640" s="133"/>
      <c r="AE640" s="133"/>
      <c r="AF640" s="133"/>
      <c r="AG640" s="133"/>
      <c r="AH640" s="133"/>
      <c r="AI640" s="133"/>
      <c r="AJ640" s="133"/>
      <c r="AK640" s="133"/>
      <c r="AL640" s="132"/>
      <c r="AM640" s="132"/>
      <c r="AN640" s="104"/>
      <c r="AO640" s="104"/>
      <c r="AP640" s="104"/>
    </row>
    <row r="641">
      <c r="A641" s="132"/>
      <c r="B641" s="132"/>
      <c r="C641" s="132"/>
      <c r="D641" s="132"/>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c r="AC641" s="133"/>
      <c r="AD641" s="133"/>
      <c r="AE641" s="133"/>
      <c r="AF641" s="133"/>
      <c r="AG641" s="133"/>
      <c r="AH641" s="133"/>
      <c r="AI641" s="133"/>
      <c r="AJ641" s="133"/>
      <c r="AK641" s="133"/>
      <c r="AL641" s="132"/>
      <c r="AM641" s="132"/>
      <c r="AN641" s="104"/>
      <c r="AO641" s="104"/>
      <c r="AP641" s="104"/>
    </row>
    <row r="642">
      <c r="A642" s="132"/>
      <c r="B642" s="132"/>
      <c r="C642" s="132"/>
      <c r="D642" s="132"/>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c r="AC642" s="133"/>
      <c r="AD642" s="133"/>
      <c r="AE642" s="133"/>
      <c r="AF642" s="133"/>
      <c r="AG642" s="133"/>
      <c r="AH642" s="133"/>
      <c r="AI642" s="133"/>
      <c r="AJ642" s="133"/>
      <c r="AK642" s="133"/>
      <c r="AL642" s="132"/>
      <c r="AM642" s="132"/>
      <c r="AN642" s="104"/>
      <c r="AO642" s="104"/>
      <c r="AP642" s="104"/>
    </row>
    <row r="643">
      <c r="A643" s="132"/>
      <c r="B643" s="132"/>
      <c r="C643" s="132"/>
      <c r="D643" s="132"/>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c r="AC643" s="133"/>
      <c r="AD643" s="133"/>
      <c r="AE643" s="133"/>
      <c r="AF643" s="133"/>
      <c r="AG643" s="133"/>
      <c r="AH643" s="133"/>
      <c r="AI643" s="133"/>
      <c r="AJ643" s="133"/>
      <c r="AK643" s="133"/>
      <c r="AL643" s="132"/>
      <c r="AM643" s="132"/>
      <c r="AN643" s="104"/>
      <c r="AO643" s="104"/>
      <c r="AP643" s="104"/>
    </row>
    <row r="644">
      <c r="A644" s="132"/>
      <c r="B644" s="132"/>
      <c r="C644" s="132"/>
      <c r="D644" s="132"/>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c r="AC644" s="133"/>
      <c r="AD644" s="133"/>
      <c r="AE644" s="133"/>
      <c r="AF644" s="133"/>
      <c r="AG644" s="133"/>
      <c r="AH644" s="133"/>
      <c r="AI644" s="133"/>
      <c r="AJ644" s="133"/>
      <c r="AK644" s="133"/>
      <c r="AL644" s="132"/>
      <c r="AM644" s="132"/>
      <c r="AN644" s="104"/>
      <c r="AO644" s="104"/>
      <c r="AP644" s="104"/>
    </row>
    <row r="645">
      <c r="A645" s="132"/>
      <c r="B645" s="132"/>
      <c r="C645" s="132"/>
      <c r="D645" s="132"/>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c r="AE645" s="133"/>
      <c r="AF645" s="133"/>
      <c r="AG645" s="133"/>
      <c r="AH645" s="133"/>
      <c r="AI645" s="133"/>
      <c r="AJ645" s="133"/>
      <c r="AK645" s="133"/>
      <c r="AL645" s="132"/>
      <c r="AM645" s="132"/>
      <c r="AN645" s="104"/>
      <c r="AO645" s="104"/>
      <c r="AP645" s="104"/>
    </row>
    <row r="646">
      <c r="A646" s="132"/>
      <c r="B646" s="132"/>
      <c r="C646" s="132"/>
      <c r="D646" s="132"/>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c r="AC646" s="133"/>
      <c r="AD646" s="133"/>
      <c r="AE646" s="133"/>
      <c r="AF646" s="133"/>
      <c r="AG646" s="133"/>
      <c r="AH646" s="133"/>
      <c r="AI646" s="133"/>
      <c r="AJ646" s="133"/>
      <c r="AK646" s="133"/>
      <c r="AL646" s="132"/>
      <c r="AM646" s="132"/>
      <c r="AN646" s="104"/>
      <c r="AO646" s="104"/>
      <c r="AP646" s="104"/>
    </row>
    <row r="647">
      <c r="A647" s="132"/>
      <c r="B647" s="132"/>
      <c r="C647" s="132"/>
      <c r="D647" s="132"/>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c r="AC647" s="133"/>
      <c r="AD647" s="133"/>
      <c r="AE647" s="133"/>
      <c r="AF647" s="133"/>
      <c r="AG647" s="133"/>
      <c r="AH647" s="133"/>
      <c r="AI647" s="133"/>
      <c r="AJ647" s="133"/>
      <c r="AK647" s="133"/>
      <c r="AL647" s="132"/>
      <c r="AM647" s="132"/>
      <c r="AN647" s="104"/>
      <c r="AO647" s="104"/>
      <c r="AP647" s="104"/>
    </row>
    <row r="648">
      <c r="A648" s="132"/>
      <c r="B648" s="132"/>
      <c r="C648" s="132"/>
      <c r="D648" s="132"/>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c r="AE648" s="133"/>
      <c r="AF648" s="133"/>
      <c r="AG648" s="133"/>
      <c r="AH648" s="133"/>
      <c r="AI648" s="133"/>
      <c r="AJ648" s="133"/>
      <c r="AK648" s="133"/>
      <c r="AL648" s="132"/>
      <c r="AM648" s="132"/>
      <c r="AN648" s="104"/>
      <c r="AO648" s="104"/>
      <c r="AP648" s="104"/>
    </row>
    <row r="649">
      <c r="A649" s="132"/>
      <c r="B649" s="132"/>
      <c r="C649" s="132"/>
      <c r="D649" s="132"/>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c r="AE649" s="133"/>
      <c r="AF649" s="133"/>
      <c r="AG649" s="133"/>
      <c r="AH649" s="133"/>
      <c r="AI649" s="133"/>
      <c r="AJ649" s="133"/>
      <c r="AK649" s="133"/>
      <c r="AL649" s="132"/>
      <c r="AM649" s="132"/>
      <c r="AN649" s="104"/>
      <c r="AO649" s="104"/>
      <c r="AP649" s="104"/>
    </row>
    <row r="650">
      <c r="A650" s="132"/>
      <c r="B650" s="132"/>
      <c r="C650" s="132"/>
      <c r="D650" s="132"/>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c r="AE650" s="133"/>
      <c r="AF650" s="133"/>
      <c r="AG650" s="133"/>
      <c r="AH650" s="133"/>
      <c r="AI650" s="133"/>
      <c r="AJ650" s="133"/>
      <c r="AK650" s="133"/>
      <c r="AL650" s="132"/>
      <c r="AM650" s="132"/>
      <c r="AN650" s="104"/>
      <c r="AO650" s="104"/>
      <c r="AP650" s="104"/>
    </row>
    <row r="651">
      <c r="A651" s="132"/>
      <c r="B651" s="132"/>
      <c r="C651" s="132"/>
      <c r="D651" s="132"/>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c r="AE651" s="133"/>
      <c r="AF651" s="133"/>
      <c r="AG651" s="133"/>
      <c r="AH651" s="133"/>
      <c r="AI651" s="133"/>
      <c r="AJ651" s="133"/>
      <c r="AK651" s="133"/>
      <c r="AL651" s="132"/>
      <c r="AM651" s="132"/>
      <c r="AN651" s="104"/>
      <c r="AO651" s="104"/>
      <c r="AP651" s="104"/>
    </row>
    <row r="652">
      <c r="A652" s="132"/>
      <c r="B652" s="132"/>
      <c r="C652" s="132"/>
      <c r="D652" s="132"/>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c r="AE652" s="133"/>
      <c r="AF652" s="133"/>
      <c r="AG652" s="133"/>
      <c r="AH652" s="133"/>
      <c r="AI652" s="133"/>
      <c r="AJ652" s="133"/>
      <c r="AK652" s="133"/>
      <c r="AL652" s="132"/>
      <c r="AM652" s="132"/>
      <c r="AN652" s="104"/>
      <c r="AO652" s="104"/>
      <c r="AP652" s="104"/>
    </row>
    <row r="653">
      <c r="A653" s="132"/>
      <c r="B653" s="132"/>
      <c r="C653" s="132"/>
      <c r="D653" s="132"/>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c r="AE653" s="133"/>
      <c r="AF653" s="133"/>
      <c r="AG653" s="133"/>
      <c r="AH653" s="133"/>
      <c r="AI653" s="133"/>
      <c r="AJ653" s="133"/>
      <c r="AK653" s="133"/>
      <c r="AL653" s="132"/>
      <c r="AM653" s="132"/>
      <c r="AN653" s="104"/>
      <c r="AO653" s="104"/>
      <c r="AP653" s="104"/>
    </row>
    <row r="654">
      <c r="A654" s="132"/>
      <c r="B654" s="132"/>
      <c r="C654" s="132"/>
      <c r="D654" s="132"/>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c r="AE654" s="133"/>
      <c r="AF654" s="133"/>
      <c r="AG654" s="133"/>
      <c r="AH654" s="133"/>
      <c r="AI654" s="133"/>
      <c r="AJ654" s="133"/>
      <c r="AK654" s="133"/>
      <c r="AL654" s="132"/>
      <c r="AM654" s="132"/>
      <c r="AN654" s="104"/>
      <c r="AO654" s="104"/>
      <c r="AP654" s="104"/>
    </row>
    <row r="655">
      <c r="A655" s="132"/>
      <c r="B655" s="132"/>
      <c r="C655" s="132"/>
      <c r="D655" s="132"/>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c r="AE655" s="133"/>
      <c r="AF655" s="133"/>
      <c r="AG655" s="133"/>
      <c r="AH655" s="133"/>
      <c r="AI655" s="133"/>
      <c r="AJ655" s="133"/>
      <c r="AK655" s="133"/>
      <c r="AL655" s="132"/>
      <c r="AM655" s="132"/>
      <c r="AN655" s="104"/>
      <c r="AO655" s="104"/>
      <c r="AP655" s="104"/>
    </row>
    <row r="656">
      <c r="A656" s="132"/>
      <c r="B656" s="132"/>
      <c r="C656" s="132"/>
      <c r="D656" s="132"/>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c r="AE656" s="133"/>
      <c r="AF656" s="133"/>
      <c r="AG656" s="133"/>
      <c r="AH656" s="133"/>
      <c r="AI656" s="133"/>
      <c r="AJ656" s="133"/>
      <c r="AK656" s="133"/>
      <c r="AL656" s="132"/>
      <c r="AM656" s="132"/>
      <c r="AN656" s="104"/>
      <c r="AO656" s="104"/>
      <c r="AP656" s="104"/>
    </row>
    <row r="657">
      <c r="A657" s="132"/>
      <c r="B657" s="132"/>
      <c r="C657" s="132"/>
      <c r="D657" s="132"/>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c r="AE657" s="133"/>
      <c r="AF657" s="133"/>
      <c r="AG657" s="133"/>
      <c r="AH657" s="133"/>
      <c r="AI657" s="133"/>
      <c r="AJ657" s="133"/>
      <c r="AK657" s="133"/>
      <c r="AL657" s="132"/>
      <c r="AM657" s="132"/>
      <c r="AN657" s="104"/>
      <c r="AO657" s="104"/>
      <c r="AP657" s="104"/>
    </row>
    <row r="658">
      <c r="A658" s="132"/>
      <c r="B658" s="132"/>
      <c r="C658" s="132"/>
      <c r="D658" s="132"/>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c r="AE658" s="133"/>
      <c r="AF658" s="133"/>
      <c r="AG658" s="133"/>
      <c r="AH658" s="133"/>
      <c r="AI658" s="133"/>
      <c r="AJ658" s="133"/>
      <c r="AK658" s="133"/>
      <c r="AL658" s="132"/>
      <c r="AM658" s="132"/>
      <c r="AN658" s="104"/>
      <c r="AO658" s="104"/>
      <c r="AP658" s="104"/>
    </row>
    <row r="659">
      <c r="A659" s="132"/>
      <c r="B659" s="132"/>
      <c r="C659" s="132"/>
      <c r="D659" s="132"/>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c r="AE659" s="133"/>
      <c r="AF659" s="133"/>
      <c r="AG659" s="133"/>
      <c r="AH659" s="133"/>
      <c r="AI659" s="133"/>
      <c r="AJ659" s="133"/>
      <c r="AK659" s="133"/>
      <c r="AL659" s="132"/>
      <c r="AM659" s="132"/>
      <c r="AN659" s="104"/>
      <c r="AO659" s="104"/>
      <c r="AP659" s="104"/>
    </row>
    <row r="660">
      <c r="A660" s="132"/>
      <c r="B660" s="132"/>
      <c r="C660" s="132"/>
      <c r="D660" s="132"/>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c r="AE660" s="133"/>
      <c r="AF660" s="133"/>
      <c r="AG660" s="133"/>
      <c r="AH660" s="133"/>
      <c r="AI660" s="133"/>
      <c r="AJ660" s="133"/>
      <c r="AK660" s="133"/>
      <c r="AL660" s="132"/>
      <c r="AM660" s="132"/>
      <c r="AN660" s="104"/>
      <c r="AO660" s="104"/>
      <c r="AP660" s="104"/>
    </row>
    <row r="661">
      <c r="A661" s="132"/>
      <c r="B661" s="132"/>
      <c r="C661" s="132"/>
      <c r="D661" s="132"/>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c r="AE661" s="133"/>
      <c r="AF661" s="133"/>
      <c r="AG661" s="133"/>
      <c r="AH661" s="133"/>
      <c r="AI661" s="133"/>
      <c r="AJ661" s="133"/>
      <c r="AK661" s="133"/>
      <c r="AL661" s="132"/>
      <c r="AM661" s="132"/>
      <c r="AN661" s="104"/>
      <c r="AO661" s="104"/>
      <c r="AP661" s="104"/>
    </row>
    <row r="662">
      <c r="A662" s="132"/>
      <c r="B662" s="132"/>
      <c r="C662" s="132"/>
      <c r="D662" s="132"/>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c r="AE662" s="133"/>
      <c r="AF662" s="133"/>
      <c r="AG662" s="133"/>
      <c r="AH662" s="133"/>
      <c r="AI662" s="133"/>
      <c r="AJ662" s="133"/>
      <c r="AK662" s="133"/>
      <c r="AL662" s="132"/>
      <c r="AM662" s="132"/>
      <c r="AN662" s="104"/>
      <c r="AO662" s="104"/>
      <c r="AP662" s="104"/>
    </row>
    <row r="663">
      <c r="A663" s="132"/>
      <c r="B663" s="132"/>
      <c r="C663" s="132"/>
      <c r="D663" s="132"/>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c r="AE663" s="133"/>
      <c r="AF663" s="133"/>
      <c r="AG663" s="133"/>
      <c r="AH663" s="133"/>
      <c r="AI663" s="133"/>
      <c r="AJ663" s="133"/>
      <c r="AK663" s="133"/>
      <c r="AL663" s="132"/>
      <c r="AM663" s="132"/>
      <c r="AN663" s="104"/>
      <c r="AO663" s="104"/>
      <c r="AP663" s="104"/>
    </row>
    <row r="664">
      <c r="A664" s="132"/>
      <c r="B664" s="132"/>
      <c r="C664" s="132"/>
      <c r="D664" s="132"/>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c r="AE664" s="133"/>
      <c r="AF664" s="133"/>
      <c r="AG664" s="133"/>
      <c r="AH664" s="133"/>
      <c r="AI664" s="133"/>
      <c r="AJ664" s="133"/>
      <c r="AK664" s="133"/>
      <c r="AL664" s="132"/>
      <c r="AM664" s="132"/>
      <c r="AN664" s="104"/>
      <c r="AO664" s="104"/>
      <c r="AP664" s="104"/>
    </row>
    <row r="665">
      <c r="A665" s="132"/>
      <c r="B665" s="132"/>
      <c r="C665" s="132"/>
      <c r="D665" s="132"/>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c r="AE665" s="133"/>
      <c r="AF665" s="133"/>
      <c r="AG665" s="133"/>
      <c r="AH665" s="133"/>
      <c r="AI665" s="133"/>
      <c r="AJ665" s="133"/>
      <c r="AK665" s="133"/>
      <c r="AL665" s="132"/>
      <c r="AM665" s="132"/>
      <c r="AN665" s="104"/>
      <c r="AO665" s="104"/>
      <c r="AP665" s="104"/>
    </row>
    <row r="666">
      <c r="A666" s="132"/>
      <c r="B666" s="132"/>
      <c r="C666" s="132"/>
      <c r="D666" s="132"/>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c r="AE666" s="133"/>
      <c r="AF666" s="133"/>
      <c r="AG666" s="133"/>
      <c r="AH666" s="133"/>
      <c r="AI666" s="133"/>
      <c r="AJ666" s="133"/>
      <c r="AK666" s="133"/>
      <c r="AL666" s="132"/>
      <c r="AM666" s="132"/>
      <c r="AN666" s="104"/>
      <c r="AO666" s="104"/>
      <c r="AP666" s="104"/>
    </row>
    <row r="667">
      <c r="A667" s="132"/>
      <c r="B667" s="132"/>
      <c r="C667" s="132"/>
      <c r="D667" s="132"/>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c r="AE667" s="133"/>
      <c r="AF667" s="133"/>
      <c r="AG667" s="133"/>
      <c r="AH667" s="133"/>
      <c r="AI667" s="133"/>
      <c r="AJ667" s="133"/>
      <c r="AK667" s="133"/>
      <c r="AL667" s="132"/>
      <c r="AM667" s="132"/>
      <c r="AN667" s="104"/>
      <c r="AO667" s="104"/>
      <c r="AP667" s="104"/>
    </row>
    <row r="668">
      <c r="A668" s="132"/>
      <c r="B668" s="132"/>
      <c r="C668" s="132"/>
      <c r="D668" s="132"/>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c r="AE668" s="133"/>
      <c r="AF668" s="133"/>
      <c r="AG668" s="133"/>
      <c r="AH668" s="133"/>
      <c r="AI668" s="133"/>
      <c r="AJ668" s="133"/>
      <c r="AK668" s="133"/>
      <c r="AL668" s="132"/>
      <c r="AM668" s="132"/>
      <c r="AN668" s="104"/>
      <c r="AO668" s="104"/>
      <c r="AP668" s="104"/>
    </row>
    <row r="669">
      <c r="A669" s="132"/>
      <c r="B669" s="132"/>
      <c r="C669" s="132"/>
      <c r="D669" s="132"/>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c r="AE669" s="133"/>
      <c r="AF669" s="133"/>
      <c r="AG669" s="133"/>
      <c r="AH669" s="133"/>
      <c r="AI669" s="133"/>
      <c r="AJ669" s="133"/>
      <c r="AK669" s="133"/>
      <c r="AL669" s="132"/>
      <c r="AM669" s="132"/>
      <c r="AN669" s="104"/>
      <c r="AO669" s="104"/>
      <c r="AP669" s="104"/>
    </row>
    <row r="670">
      <c r="A670" s="132"/>
      <c r="B670" s="132"/>
      <c r="C670" s="132"/>
      <c r="D670" s="132"/>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c r="AE670" s="133"/>
      <c r="AF670" s="133"/>
      <c r="AG670" s="133"/>
      <c r="AH670" s="133"/>
      <c r="AI670" s="133"/>
      <c r="AJ670" s="133"/>
      <c r="AK670" s="133"/>
      <c r="AL670" s="132"/>
      <c r="AM670" s="132"/>
      <c r="AN670" s="104"/>
      <c r="AO670" s="104"/>
      <c r="AP670" s="104"/>
    </row>
    <row r="671">
      <c r="A671" s="132"/>
      <c r="B671" s="132"/>
      <c r="C671" s="132"/>
      <c r="D671" s="132"/>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c r="AE671" s="133"/>
      <c r="AF671" s="133"/>
      <c r="AG671" s="133"/>
      <c r="AH671" s="133"/>
      <c r="AI671" s="133"/>
      <c r="AJ671" s="133"/>
      <c r="AK671" s="133"/>
      <c r="AL671" s="132"/>
      <c r="AM671" s="132"/>
      <c r="AN671" s="104"/>
      <c r="AO671" s="104"/>
      <c r="AP671" s="104"/>
    </row>
    <row r="672">
      <c r="A672" s="132"/>
      <c r="B672" s="132"/>
      <c r="C672" s="132"/>
      <c r="D672" s="132"/>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c r="AE672" s="133"/>
      <c r="AF672" s="133"/>
      <c r="AG672" s="133"/>
      <c r="AH672" s="133"/>
      <c r="AI672" s="133"/>
      <c r="AJ672" s="133"/>
      <c r="AK672" s="133"/>
      <c r="AL672" s="132"/>
      <c r="AM672" s="132"/>
      <c r="AN672" s="104"/>
      <c r="AO672" s="104"/>
      <c r="AP672" s="104"/>
    </row>
    <row r="673">
      <c r="A673" s="132"/>
      <c r="B673" s="132"/>
      <c r="C673" s="132"/>
      <c r="D673" s="132"/>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c r="AE673" s="133"/>
      <c r="AF673" s="133"/>
      <c r="AG673" s="133"/>
      <c r="AH673" s="133"/>
      <c r="AI673" s="133"/>
      <c r="AJ673" s="133"/>
      <c r="AK673" s="133"/>
      <c r="AL673" s="132"/>
      <c r="AM673" s="132"/>
      <c r="AN673" s="104"/>
      <c r="AO673" s="104"/>
      <c r="AP673" s="104"/>
    </row>
    <row r="674">
      <c r="A674" s="132"/>
      <c r="B674" s="132"/>
      <c r="C674" s="132"/>
      <c r="D674" s="132"/>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c r="AC674" s="133"/>
      <c r="AD674" s="133"/>
      <c r="AE674" s="133"/>
      <c r="AF674" s="133"/>
      <c r="AG674" s="133"/>
      <c r="AH674" s="133"/>
      <c r="AI674" s="133"/>
      <c r="AJ674" s="133"/>
      <c r="AK674" s="133"/>
      <c r="AL674" s="132"/>
      <c r="AM674" s="132"/>
      <c r="AN674" s="104"/>
      <c r="AO674" s="104"/>
      <c r="AP674" s="104"/>
    </row>
    <row r="675">
      <c r="A675" s="132"/>
      <c r="B675" s="132"/>
      <c r="C675" s="132"/>
      <c r="D675" s="132"/>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c r="AC675" s="133"/>
      <c r="AD675" s="133"/>
      <c r="AE675" s="133"/>
      <c r="AF675" s="133"/>
      <c r="AG675" s="133"/>
      <c r="AH675" s="133"/>
      <c r="AI675" s="133"/>
      <c r="AJ675" s="133"/>
      <c r="AK675" s="133"/>
      <c r="AL675" s="132"/>
      <c r="AM675" s="132"/>
      <c r="AN675" s="104"/>
      <c r="AO675" s="104"/>
      <c r="AP675" s="104"/>
    </row>
    <row r="676">
      <c r="A676" s="132"/>
      <c r="B676" s="132"/>
      <c r="C676" s="132"/>
      <c r="D676" s="132"/>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c r="AE676" s="133"/>
      <c r="AF676" s="133"/>
      <c r="AG676" s="133"/>
      <c r="AH676" s="133"/>
      <c r="AI676" s="133"/>
      <c r="AJ676" s="133"/>
      <c r="AK676" s="133"/>
      <c r="AL676" s="132"/>
      <c r="AM676" s="132"/>
      <c r="AN676" s="104"/>
      <c r="AO676" s="104"/>
      <c r="AP676" s="104"/>
    </row>
    <row r="677">
      <c r="A677" s="132"/>
      <c r="B677" s="132"/>
      <c r="C677" s="132"/>
      <c r="D677" s="132"/>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c r="AC677" s="133"/>
      <c r="AD677" s="133"/>
      <c r="AE677" s="133"/>
      <c r="AF677" s="133"/>
      <c r="AG677" s="133"/>
      <c r="AH677" s="133"/>
      <c r="AI677" s="133"/>
      <c r="AJ677" s="133"/>
      <c r="AK677" s="133"/>
      <c r="AL677" s="132"/>
      <c r="AM677" s="132"/>
      <c r="AN677" s="104"/>
      <c r="AO677" s="104"/>
      <c r="AP677" s="104"/>
    </row>
    <row r="678">
      <c r="A678" s="132"/>
      <c r="B678" s="132"/>
      <c r="C678" s="132"/>
      <c r="D678" s="132"/>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c r="AC678" s="133"/>
      <c r="AD678" s="133"/>
      <c r="AE678" s="133"/>
      <c r="AF678" s="133"/>
      <c r="AG678" s="133"/>
      <c r="AH678" s="133"/>
      <c r="AI678" s="133"/>
      <c r="AJ678" s="133"/>
      <c r="AK678" s="133"/>
      <c r="AL678" s="132"/>
      <c r="AM678" s="132"/>
      <c r="AN678" s="104"/>
      <c r="AO678" s="104"/>
      <c r="AP678" s="104"/>
    </row>
    <row r="679">
      <c r="A679" s="132"/>
      <c r="B679" s="132"/>
      <c r="C679" s="132"/>
      <c r="D679" s="132"/>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c r="AC679" s="133"/>
      <c r="AD679" s="133"/>
      <c r="AE679" s="133"/>
      <c r="AF679" s="133"/>
      <c r="AG679" s="133"/>
      <c r="AH679" s="133"/>
      <c r="AI679" s="133"/>
      <c r="AJ679" s="133"/>
      <c r="AK679" s="133"/>
      <c r="AL679" s="132"/>
      <c r="AM679" s="132"/>
      <c r="AN679" s="104"/>
      <c r="AO679" s="104"/>
      <c r="AP679" s="104"/>
    </row>
    <row r="680">
      <c r="A680" s="132"/>
      <c r="B680" s="132"/>
      <c r="C680" s="132"/>
      <c r="D680" s="132"/>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c r="AC680" s="133"/>
      <c r="AD680" s="133"/>
      <c r="AE680" s="133"/>
      <c r="AF680" s="133"/>
      <c r="AG680" s="133"/>
      <c r="AH680" s="133"/>
      <c r="AI680" s="133"/>
      <c r="AJ680" s="133"/>
      <c r="AK680" s="133"/>
      <c r="AL680" s="132"/>
      <c r="AM680" s="132"/>
      <c r="AN680" s="104"/>
      <c r="AO680" s="104"/>
      <c r="AP680" s="104"/>
    </row>
    <row r="681">
      <c r="A681" s="132"/>
      <c r="B681" s="132"/>
      <c r="C681" s="132"/>
      <c r="D681" s="132"/>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c r="AE681" s="133"/>
      <c r="AF681" s="133"/>
      <c r="AG681" s="133"/>
      <c r="AH681" s="133"/>
      <c r="AI681" s="133"/>
      <c r="AJ681" s="133"/>
      <c r="AK681" s="133"/>
      <c r="AL681" s="132"/>
      <c r="AM681" s="132"/>
      <c r="AN681" s="104"/>
      <c r="AO681" s="104"/>
      <c r="AP681" s="104"/>
    </row>
    <row r="682">
      <c r="A682" s="132"/>
      <c r="B682" s="132"/>
      <c r="C682" s="132"/>
      <c r="D682" s="132"/>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c r="AC682" s="133"/>
      <c r="AD682" s="133"/>
      <c r="AE682" s="133"/>
      <c r="AF682" s="133"/>
      <c r="AG682" s="133"/>
      <c r="AH682" s="133"/>
      <c r="AI682" s="133"/>
      <c r="AJ682" s="133"/>
      <c r="AK682" s="133"/>
      <c r="AL682" s="132"/>
      <c r="AM682" s="132"/>
      <c r="AN682" s="104"/>
      <c r="AO682" s="104"/>
      <c r="AP682" s="104"/>
    </row>
    <row r="683">
      <c r="A683" s="132"/>
      <c r="B683" s="132"/>
      <c r="C683" s="132"/>
      <c r="D683" s="132"/>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c r="AC683" s="133"/>
      <c r="AD683" s="133"/>
      <c r="AE683" s="133"/>
      <c r="AF683" s="133"/>
      <c r="AG683" s="133"/>
      <c r="AH683" s="133"/>
      <c r="AI683" s="133"/>
      <c r="AJ683" s="133"/>
      <c r="AK683" s="133"/>
      <c r="AL683" s="132"/>
      <c r="AM683" s="132"/>
      <c r="AN683" s="104"/>
      <c r="AO683" s="104"/>
      <c r="AP683" s="104"/>
    </row>
    <row r="684">
      <c r="A684" s="132"/>
      <c r="B684" s="132"/>
      <c r="C684" s="132"/>
      <c r="D684" s="132"/>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c r="AC684" s="133"/>
      <c r="AD684" s="133"/>
      <c r="AE684" s="133"/>
      <c r="AF684" s="133"/>
      <c r="AG684" s="133"/>
      <c r="AH684" s="133"/>
      <c r="AI684" s="133"/>
      <c r="AJ684" s="133"/>
      <c r="AK684" s="133"/>
      <c r="AL684" s="132"/>
      <c r="AM684" s="132"/>
      <c r="AN684" s="104"/>
      <c r="AO684" s="104"/>
      <c r="AP684" s="104"/>
    </row>
    <row r="685">
      <c r="A685" s="132"/>
      <c r="B685" s="132"/>
      <c r="C685" s="132"/>
      <c r="D685" s="132"/>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c r="AC685" s="133"/>
      <c r="AD685" s="133"/>
      <c r="AE685" s="133"/>
      <c r="AF685" s="133"/>
      <c r="AG685" s="133"/>
      <c r="AH685" s="133"/>
      <c r="AI685" s="133"/>
      <c r="AJ685" s="133"/>
      <c r="AK685" s="133"/>
      <c r="AL685" s="132"/>
      <c r="AM685" s="132"/>
      <c r="AN685" s="104"/>
      <c r="AO685" s="104"/>
      <c r="AP685" s="104"/>
    </row>
    <row r="686">
      <c r="A686" s="132"/>
      <c r="B686" s="132"/>
      <c r="C686" s="132"/>
      <c r="D686" s="132"/>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c r="AC686" s="133"/>
      <c r="AD686" s="133"/>
      <c r="AE686" s="133"/>
      <c r="AF686" s="133"/>
      <c r="AG686" s="133"/>
      <c r="AH686" s="133"/>
      <c r="AI686" s="133"/>
      <c r="AJ686" s="133"/>
      <c r="AK686" s="133"/>
      <c r="AL686" s="132"/>
      <c r="AM686" s="132"/>
      <c r="AN686" s="104"/>
      <c r="AO686" s="104"/>
      <c r="AP686" s="104"/>
    </row>
    <row r="687">
      <c r="A687" s="132"/>
      <c r="B687" s="132"/>
      <c r="C687" s="132"/>
      <c r="D687" s="132"/>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c r="AC687" s="133"/>
      <c r="AD687" s="133"/>
      <c r="AE687" s="133"/>
      <c r="AF687" s="133"/>
      <c r="AG687" s="133"/>
      <c r="AH687" s="133"/>
      <c r="AI687" s="133"/>
      <c r="AJ687" s="133"/>
      <c r="AK687" s="133"/>
      <c r="AL687" s="132"/>
      <c r="AM687" s="132"/>
      <c r="AN687" s="104"/>
      <c r="AO687" s="104"/>
      <c r="AP687" s="104"/>
    </row>
    <row r="688">
      <c r="A688" s="132"/>
      <c r="B688" s="132"/>
      <c r="C688" s="132"/>
      <c r="D688" s="132"/>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c r="AC688" s="133"/>
      <c r="AD688" s="133"/>
      <c r="AE688" s="133"/>
      <c r="AF688" s="133"/>
      <c r="AG688" s="133"/>
      <c r="AH688" s="133"/>
      <c r="AI688" s="133"/>
      <c r="AJ688" s="133"/>
      <c r="AK688" s="133"/>
      <c r="AL688" s="132"/>
      <c r="AM688" s="132"/>
      <c r="AN688" s="104"/>
      <c r="AO688" s="104"/>
      <c r="AP688" s="104"/>
    </row>
    <row r="689">
      <c r="A689" s="132"/>
      <c r="B689" s="132"/>
      <c r="C689" s="132"/>
      <c r="D689" s="132"/>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c r="AC689" s="133"/>
      <c r="AD689" s="133"/>
      <c r="AE689" s="133"/>
      <c r="AF689" s="133"/>
      <c r="AG689" s="133"/>
      <c r="AH689" s="133"/>
      <c r="AI689" s="133"/>
      <c r="AJ689" s="133"/>
      <c r="AK689" s="133"/>
      <c r="AL689" s="132"/>
      <c r="AM689" s="132"/>
      <c r="AN689" s="104"/>
      <c r="AO689" s="104"/>
      <c r="AP689" s="104"/>
    </row>
    <row r="690">
      <c r="A690" s="132"/>
      <c r="B690" s="132"/>
      <c r="C690" s="132"/>
      <c r="D690" s="132"/>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c r="AE690" s="133"/>
      <c r="AF690" s="133"/>
      <c r="AG690" s="133"/>
      <c r="AH690" s="133"/>
      <c r="AI690" s="133"/>
      <c r="AJ690" s="133"/>
      <c r="AK690" s="133"/>
      <c r="AL690" s="132"/>
      <c r="AM690" s="132"/>
      <c r="AN690" s="104"/>
      <c r="AO690" s="104"/>
      <c r="AP690" s="104"/>
    </row>
    <row r="691">
      <c r="A691" s="132"/>
      <c r="B691" s="132"/>
      <c r="C691" s="132"/>
      <c r="D691" s="132"/>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c r="AC691" s="133"/>
      <c r="AD691" s="133"/>
      <c r="AE691" s="133"/>
      <c r="AF691" s="133"/>
      <c r="AG691" s="133"/>
      <c r="AH691" s="133"/>
      <c r="AI691" s="133"/>
      <c r="AJ691" s="133"/>
      <c r="AK691" s="133"/>
      <c r="AL691" s="132"/>
      <c r="AM691" s="132"/>
      <c r="AN691" s="104"/>
      <c r="AO691" s="104"/>
      <c r="AP691" s="104"/>
    </row>
    <row r="692">
      <c r="A692" s="132"/>
      <c r="B692" s="132"/>
      <c r="C692" s="132"/>
      <c r="D692" s="132"/>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c r="AE692" s="133"/>
      <c r="AF692" s="133"/>
      <c r="AG692" s="133"/>
      <c r="AH692" s="133"/>
      <c r="AI692" s="133"/>
      <c r="AJ692" s="133"/>
      <c r="AK692" s="133"/>
      <c r="AL692" s="132"/>
      <c r="AM692" s="132"/>
      <c r="AN692" s="104"/>
      <c r="AO692" s="104"/>
      <c r="AP692" s="104"/>
    </row>
    <row r="693">
      <c r="A693" s="132"/>
      <c r="B693" s="132"/>
      <c r="C693" s="132"/>
      <c r="D693" s="132"/>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c r="AE693" s="133"/>
      <c r="AF693" s="133"/>
      <c r="AG693" s="133"/>
      <c r="AH693" s="133"/>
      <c r="AI693" s="133"/>
      <c r="AJ693" s="133"/>
      <c r="AK693" s="133"/>
      <c r="AL693" s="132"/>
      <c r="AM693" s="132"/>
      <c r="AN693" s="104"/>
      <c r="AO693" s="104"/>
      <c r="AP693" s="104"/>
    </row>
    <row r="694">
      <c r="A694" s="132"/>
      <c r="B694" s="132"/>
      <c r="C694" s="132"/>
      <c r="D694" s="132"/>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c r="AE694" s="133"/>
      <c r="AF694" s="133"/>
      <c r="AG694" s="133"/>
      <c r="AH694" s="133"/>
      <c r="AI694" s="133"/>
      <c r="AJ694" s="133"/>
      <c r="AK694" s="133"/>
      <c r="AL694" s="132"/>
      <c r="AM694" s="132"/>
      <c r="AN694" s="104"/>
      <c r="AO694" s="104"/>
      <c r="AP694" s="104"/>
    </row>
    <row r="695">
      <c r="A695" s="132"/>
      <c r="B695" s="132"/>
      <c r="C695" s="132"/>
      <c r="D695" s="132"/>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c r="AE695" s="133"/>
      <c r="AF695" s="133"/>
      <c r="AG695" s="133"/>
      <c r="AH695" s="133"/>
      <c r="AI695" s="133"/>
      <c r="AJ695" s="133"/>
      <c r="AK695" s="133"/>
      <c r="AL695" s="132"/>
      <c r="AM695" s="132"/>
      <c r="AN695" s="104"/>
      <c r="AO695" s="104"/>
      <c r="AP695" s="104"/>
    </row>
    <row r="696">
      <c r="A696" s="132"/>
      <c r="B696" s="132"/>
      <c r="C696" s="132"/>
      <c r="D696" s="132"/>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c r="AE696" s="133"/>
      <c r="AF696" s="133"/>
      <c r="AG696" s="133"/>
      <c r="AH696" s="133"/>
      <c r="AI696" s="133"/>
      <c r="AJ696" s="133"/>
      <c r="AK696" s="133"/>
      <c r="AL696" s="132"/>
      <c r="AM696" s="132"/>
      <c r="AN696" s="104"/>
      <c r="AO696" s="104"/>
      <c r="AP696" s="104"/>
    </row>
    <row r="697">
      <c r="A697" s="132"/>
      <c r="B697" s="132"/>
      <c r="C697" s="132"/>
      <c r="D697" s="132"/>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c r="AE697" s="133"/>
      <c r="AF697" s="133"/>
      <c r="AG697" s="133"/>
      <c r="AH697" s="133"/>
      <c r="AI697" s="133"/>
      <c r="AJ697" s="133"/>
      <c r="AK697" s="133"/>
      <c r="AL697" s="132"/>
      <c r="AM697" s="132"/>
      <c r="AN697" s="104"/>
      <c r="AO697" s="104"/>
      <c r="AP697" s="104"/>
    </row>
    <row r="698">
      <c r="A698" s="132"/>
      <c r="B698" s="132"/>
      <c r="C698" s="132"/>
      <c r="D698" s="132"/>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c r="AE698" s="133"/>
      <c r="AF698" s="133"/>
      <c r="AG698" s="133"/>
      <c r="AH698" s="133"/>
      <c r="AI698" s="133"/>
      <c r="AJ698" s="133"/>
      <c r="AK698" s="133"/>
      <c r="AL698" s="132"/>
      <c r="AM698" s="132"/>
      <c r="AN698" s="104"/>
      <c r="AO698" s="104"/>
      <c r="AP698" s="104"/>
    </row>
    <row r="699">
      <c r="A699" s="132"/>
      <c r="B699" s="132"/>
      <c r="C699" s="132"/>
      <c r="D699" s="132"/>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c r="AE699" s="133"/>
      <c r="AF699" s="133"/>
      <c r="AG699" s="133"/>
      <c r="AH699" s="133"/>
      <c r="AI699" s="133"/>
      <c r="AJ699" s="133"/>
      <c r="AK699" s="133"/>
      <c r="AL699" s="132"/>
      <c r="AM699" s="132"/>
      <c r="AN699" s="104"/>
      <c r="AO699" s="104"/>
      <c r="AP699" s="104"/>
    </row>
    <row r="700">
      <c r="A700" s="132"/>
      <c r="B700" s="132"/>
      <c r="C700" s="132"/>
      <c r="D700" s="132"/>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c r="AE700" s="133"/>
      <c r="AF700" s="133"/>
      <c r="AG700" s="133"/>
      <c r="AH700" s="133"/>
      <c r="AI700" s="133"/>
      <c r="AJ700" s="133"/>
      <c r="AK700" s="133"/>
      <c r="AL700" s="132"/>
      <c r="AM700" s="132"/>
      <c r="AN700" s="104"/>
      <c r="AO700" s="104"/>
      <c r="AP700" s="104"/>
    </row>
    <row r="701">
      <c r="A701" s="132"/>
      <c r="B701" s="132"/>
      <c r="C701" s="132"/>
      <c r="D701" s="132"/>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c r="AE701" s="133"/>
      <c r="AF701" s="133"/>
      <c r="AG701" s="133"/>
      <c r="AH701" s="133"/>
      <c r="AI701" s="133"/>
      <c r="AJ701" s="133"/>
      <c r="AK701" s="133"/>
      <c r="AL701" s="132"/>
      <c r="AM701" s="132"/>
      <c r="AN701" s="104"/>
      <c r="AO701" s="104"/>
      <c r="AP701" s="104"/>
    </row>
    <row r="702">
      <c r="A702" s="132"/>
      <c r="B702" s="132"/>
      <c r="C702" s="132"/>
      <c r="D702" s="132"/>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c r="AE702" s="133"/>
      <c r="AF702" s="133"/>
      <c r="AG702" s="133"/>
      <c r="AH702" s="133"/>
      <c r="AI702" s="133"/>
      <c r="AJ702" s="133"/>
      <c r="AK702" s="133"/>
      <c r="AL702" s="132"/>
      <c r="AM702" s="132"/>
      <c r="AN702" s="104"/>
      <c r="AO702" s="104"/>
      <c r="AP702" s="104"/>
    </row>
    <row r="703">
      <c r="A703" s="132"/>
      <c r="B703" s="132"/>
      <c r="C703" s="132"/>
      <c r="D703" s="132"/>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c r="AE703" s="133"/>
      <c r="AF703" s="133"/>
      <c r="AG703" s="133"/>
      <c r="AH703" s="133"/>
      <c r="AI703" s="133"/>
      <c r="AJ703" s="133"/>
      <c r="AK703" s="133"/>
      <c r="AL703" s="132"/>
      <c r="AM703" s="132"/>
      <c r="AN703" s="104"/>
      <c r="AO703" s="104"/>
      <c r="AP703" s="104"/>
    </row>
    <row r="704">
      <c r="A704" s="132"/>
      <c r="B704" s="132"/>
      <c r="C704" s="132"/>
      <c r="D704" s="132"/>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c r="AE704" s="133"/>
      <c r="AF704" s="133"/>
      <c r="AG704" s="133"/>
      <c r="AH704" s="133"/>
      <c r="AI704" s="133"/>
      <c r="AJ704" s="133"/>
      <c r="AK704" s="133"/>
      <c r="AL704" s="132"/>
      <c r="AM704" s="132"/>
      <c r="AN704" s="104"/>
      <c r="AO704" s="104"/>
      <c r="AP704" s="104"/>
    </row>
    <row r="705">
      <c r="A705" s="132"/>
      <c r="B705" s="132"/>
      <c r="C705" s="132"/>
      <c r="D705" s="132"/>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c r="AE705" s="133"/>
      <c r="AF705" s="133"/>
      <c r="AG705" s="133"/>
      <c r="AH705" s="133"/>
      <c r="AI705" s="133"/>
      <c r="AJ705" s="133"/>
      <c r="AK705" s="133"/>
      <c r="AL705" s="132"/>
      <c r="AM705" s="132"/>
      <c r="AN705" s="104"/>
      <c r="AO705" s="104"/>
      <c r="AP705" s="104"/>
    </row>
    <row r="706">
      <c r="A706" s="132"/>
      <c r="B706" s="132"/>
      <c r="C706" s="132"/>
      <c r="D706" s="132"/>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c r="AC706" s="133"/>
      <c r="AD706" s="133"/>
      <c r="AE706" s="133"/>
      <c r="AF706" s="133"/>
      <c r="AG706" s="133"/>
      <c r="AH706" s="133"/>
      <c r="AI706" s="133"/>
      <c r="AJ706" s="133"/>
      <c r="AK706" s="133"/>
      <c r="AL706" s="132"/>
      <c r="AM706" s="132"/>
      <c r="AN706" s="104"/>
      <c r="AO706" s="104"/>
      <c r="AP706" s="104"/>
    </row>
    <row r="707">
      <c r="A707" s="132"/>
      <c r="B707" s="132"/>
      <c r="C707" s="132"/>
      <c r="D707" s="132"/>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c r="AE707" s="133"/>
      <c r="AF707" s="133"/>
      <c r="AG707" s="133"/>
      <c r="AH707" s="133"/>
      <c r="AI707" s="133"/>
      <c r="AJ707" s="133"/>
      <c r="AK707" s="133"/>
      <c r="AL707" s="132"/>
      <c r="AM707" s="132"/>
      <c r="AN707" s="104"/>
      <c r="AO707" s="104"/>
      <c r="AP707" s="104"/>
    </row>
    <row r="708">
      <c r="A708" s="132"/>
      <c r="B708" s="132"/>
      <c r="C708" s="132"/>
      <c r="D708" s="132"/>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c r="AC708" s="133"/>
      <c r="AD708" s="133"/>
      <c r="AE708" s="133"/>
      <c r="AF708" s="133"/>
      <c r="AG708" s="133"/>
      <c r="AH708" s="133"/>
      <c r="AI708" s="133"/>
      <c r="AJ708" s="133"/>
      <c r="AK708" s="133"/>
      <c r="AL708" s="132"/>
      <c r="AM708" s="132"/>
      <c r="AN708" s="104"/>
      <c r="AO708" s="104"/>
      <c r="AP708" s="104"/>
    </row>
    <row r="709">
      <c r="A709" s="132"/>
      <c r="B709" s="132"/>
      <c r="C709" s="132"/>
      <c r="D709" s="132"/>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c r="AC709" s="133"/>
      <c r="AD709" s="133"/>
      <c r="AE709" s="133"/>
      <c r="AF709" s="133"/>
      <c r="AG709" s="133"/>
      <c r="AH709" s="133"/>
      <c r="AI709" s="133"/>
      <c r="AJ709" s="133"/>
      <c r="AK709" s="133"/>
      <c r="AL709" s="132"/>
      <c r="AM709" s="132"/>
      <c r="AN709" s="104"/>
      <c r="AO709" s="104"/>
      <c r="AP709" s="104"/>
    </row>
    <row r="710">
      <c r="A710" s="132"/>
      <c r="B710" s="132"/>
      <c r="C710" s="132"/>
      <c r="D710" s="132"/>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c r="AC710" s="133"/>
      <c r="AD710" s="133"/>
      <c r="AE710" s="133"/>
      <c r="AF710" s="133"/>
      <c r="AG710" s="133"/>
      <c r="AH710" s="133"/>
      <c r="AI710" s="133"/>
      <c r="AJ710" s="133"/>
      <c r="AK710" s="133"/>
      <c r="AL710" s="132"/>
      <c r="AM710" s="132"/>
      <c r="AN710" s="104"/>
      <c r="AO710" s="104"/>
      <c r="AP710" s="104"/>
    </row>
    <row r="711">
      <c r="A711" s="132"/>
      <c r="B711" s="132"/>
      <c r="C711" s="132"/>
      <c r="D711" s="132"/>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c r="AC711" s="133"/>
      <c r="AD711" s="133"/>
      <c r="AE711" s="133"/>
      <c r="AF711" s="133"/>
      <c r="AG711" s="133"/>
      <c r="AH711" s="133"/>
      <c r="AI711" s="133"/>
      <c r="AJ711" s="133"/>
      <c r="AK711" s="133"/>
      <c r="AL711" s="132"/>
      <c r="AM711" s="132"/>
      <c r="AN711" s="104"/>
      <c r="AO711" s="104"/>
      <c r="AP711" s="104"/>
    </row>
    <row r="712">
      <c r="A712" s="132"/>
      <c r="B712" s="132"/>
      <c r="C712" s="132"/>
      <c r="D712" s="132"/>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c r="AE712" s="133"/>
      <c r="AF712" s="133"/>
      <c r="AG712" s="133"/>
      <c r="AH712" s="133"/>
      <c r="AI712" s="133"/>
      <c r="AJ712" s="133"/>
      <c r="AK712" s="133"/>
      <c r="AL712" s="132"/>
      <c r="AM712" s="132"/>
      <c r="AN712" s="104"/>
      <c r="AO712" s="104"/>
      <c r="AP712" s="104"/>
    </row>
    <row r="713">
      <c r="A713" s="132"/>
      <c r="B713" s="132"/>
      <c r="C713" s="132"/>
      <c r="D713" s="132"/>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c r="AC713" s="133"/>
      <c r="AD713" s="133"/>
      <c r="AE713" s="133"/>
      <c r="AF713" s="133"/>
      <c r="AG713" s="133"/>
      <c r="AH713" s="133"/>
      <c r="AI713" s="133"/>
      <c r="AJ713" s="133"/>
      <c r="AK713" s="133"/>
      <c r="AL713" s="132"/>
      <c r="AM713" s="132"/>
      <c r="AN713" s="104"/>
      <c r="AO713" s="104"/>
      <c r="AP713" s="104"/>
    </row>
    <row r="714">
      <c r="A714" s="132"/>
      <c r="B714" s="132"/>
      <c r="C714" s="132"/>
      <c r="D714" s="132"/>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c r="AC714" s="133"/>
      <c r="AD714" s="133"/>
      <c r="AE714" s="133"/>
      <c r="AF714" s="133"/>
      <c r="AG714" s="133"/>
      <c r="AH714" s="133"/>
      <c r="AI714" s="133"/>
      <c r="AJ714" s="133"/>
      <c r="AK714" s="133"/>
      <c r="AL714" s="132"/>
      <c r="AM714" s="132"/>
      <c r="AN714" s="104"/>
      <c r="AO714" s="104"/>
      <c r="AP714" s="104"/>
    </row>
    <row r="715">
      <c r="A715" s="132"/>
      <c r="B715" s="132"/>
      <c r="C715" s="132"/>
      <c r="D715" s="132"/>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c r="AC715" s="133"/>
      <c r="AD715" s="133"/>
      <c r="AE715" s="133"/>
      <c r="AF715" s="133"/>
      <c r="AG715" s="133"/>
      <c r="AH715" s="133"/>
      <c r="AI715" s="133"/>
      <c r="AJ715" s="133"/>
      <c r="AK715" s="133"/>
      <c r="AL715" s="132"/>
      <c r="AM715" s="132"/>
      <c r="AN715" s="104"/>
      <c r="AO715" s="104"/>
      <c r="AP715" s="104"/>
    </row>
    <row r="716">
      <c r="A716" s="132"/>
      <c r="B716" s="132"/>
      <c r="C716" s="132"/>
      <c r="D716" s="132"/>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c r="AE716" s="133"/>
      <c r="AF716" s="133"/>
      <c r="AG716" s="133"/>
      <c r="AH716" s="133"/>
      <c r="AI716" s="133"/>
      <c r="AJ716" s="133"/>
      <c r="AK716" s="133"/>
      <c r="AL716" s="132"/>
      <c r="AM716" s="132"/>
      <c r="AN716" s="104"/>
      <c r="AO716" s="104"/>
      <c r="AP716" s="104"/>
    </row>
    <row r="717">
      <c r="A717" s="132"/>
      <c r="B717" s="132"/>
      <c r="C717" s="132"/>
      <c r="D717" s="132"/>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c r="AC717" s="133"/>
      <c r="AD717" s="133"/>
      <c r="AE717" s="133"/>
      <c r="AF717" s="133"/>
      <c r="AG717" s="133"/>
      <c r="AH717" s="133"/>
      <c r="AI717" s="133"/>
      <c r="AJ717" s="133"/>
      <c r="AK717" s="133"/>
      <c r="AL717" s="132"/>
      <c r="AM717" s="132"/>
      <c r="AN717" s="104"/>
      <c r="AO717" s="104"/>
      <c r="AP717" s="104"/>
    </row>
    <row r="718">
      <c r="A718" s="132"/>
      <c r="B718" s="132"/>
      <c r="C718" s="132"/>
      <c r="D718" s="132"/>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c r="AC718" s="133"/>
      <c r="AD718" s="133"/>
      <c r="AE718" s="133"/>
      <c r="AF718" s="133"/>
      <c r="AG718" s="133"/>
      <c r="AH718" s="133"/>
      <c r="AI718" s="133"/>
      <c r="AJ718" s="133"/>
      <c r="AK718" s="133"/>
      <c r="AL718" s="132"/>
      <c r="AM718" s="132"/>
      <c r="AN718" s="104"/>
      <c r="AO718" s="104"/>
      <c r="AP718" s="104"/>
    </row>
    <row r="719">
      <c r="A719" s="132"/>
      <c r="B719" s="132"/>
      <c r="C719" s="132"/>
      <c r="D719" s="132"/>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c r="AC719" s="133"/>
      <c r="AD719" s="133"/>
      <c r="AE719" s="133"/>
      <c r="AF719" s="133"/>
      <c r="AG719" s="133"/>
      <c r="AH719" s="133"/>
      <c r="AI719" s="133"/>
      <c r="AJ719" s="133"/>
      <c r="AK719" s="133"/>
      <c r="AL719" s="132"/>
      <c r="AM719" s="132"/>
      <c r="AN719" s="104"/>
      <c r="AO719" s="104"/>
      <c r="AP719" s="104"/>
    </row>
    <row r="720">
      <c r="A720" s="132"/>
      <c r="B720" s="132"/>
      <c r="C720" s="132"/>
      <c r="D720" s="132"/>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c r="AC720" s="133"/>
      <c r="AD720" s="133"/>
      <c r="AE720" s="133"/>
      <c r="AF720" s="133"/>
      <c r="AG720" s="133"/>
      <c r="AH720" s="133"/>
      <c r="AI720" s="133"/>
      <c r="AJ720" s="133"/>
      <c r="AK720" s="133"/>
      <c r="AL720" s="132"/>
      <c r="AM720" s="132"/>
      <c r="AN720" s="104"/>
      <c r="AO720" s="104"/>
      <c r="AP720" s="104"/>
    </row>
    <row r="721">
      <c r="A721" s="132"/>
      <c r="B721" s="132"/>
      <c r="C721" s="132"/>
      <c r="D721" s="132"/>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c r="AC721" s="133"/>
      <c r="AD721" s="133"/>
      <c r="AE721" s="133"/>
      <c r="AF721" s="133"/>
      <c r="AG721" s="133"/>
      <c r="AH721" s="133"/>
      <c r="AI721" s="133"/>
      <c r="AJ721" s="133"/>
      <c r="AK721" s="133"/>
      <c r="AL721" s="132"/>
      <c r="AM721" s="132"/>
      <c r="AN721" s="104"/>
      <c r="AO721" s="104"/>
      <c r="AP721" s="104"/>
    </row>
    <row r="722">
      <c r="A722" s="132"/>
      <c r="B722" s="132"/>
      <c r="C722" s="132"/>
      <c r="D722" s="132"/>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c r="AC722" s="133"/>
      <c r="AD722" s="133"/>
      <c r="AE722" s="133"/>
      <c r="AF722" s="133"/>
      <c r="AG722" s="133"/>
      <c r="AH722" s="133"/>
      <c r="AI722" s="133"/>
      <c r="AJ722" s="133"/>
      <c r="AK722" s="133"/>
      <c r="AL722" s="132"/>
      <c r="AM722" s="132"/>
      <c r="AN722" s="104"/>
      <c r="AO722" s="104"/>
      <c r="AP722" s="104"/>
    </row>
    <row r="723">
      <c r="A723" s="132"/>
      <c r="B723" s="132"/>
      <c r="C723" s="132"/>
      <c r="D723" s="132"/>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c r="AC723" s="133"/>
      <c r="AD723" s="133"/>
      <c r="AE723" s="133"/>
      <c r="AF723" s="133"/>
      <c r="AG723" s="133"/>
      <c r="AH723" s="133"/>
      <c r="AI723" s="133"/>
      <c r="AJ723" s="133"/>
      <c r="AK723" s="133"/>
      <c r="AL723" s="132"/>
      <c r="AM723" s="132"/>
      <c r="AN723" s="104"/>
      <c r="AO723" s="104"/>
      <c r="AP723" s="104"/>
    </row>
    <row r="724">
      <c r="A724" s="132"/>
      <c r="B724" s="132"/>
      <c r="C724" s="132"/>
      <c r="D724" s="132"/>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c r="AC724" s="133"/>
      <c r="AD724" s="133"/>
      <c r="AE724" s="133"/>
      <c r="AF724" s="133"/>
      <c r="AG724" s="133"/>
      <c r="AH724" s="133"/>
      <c r="AI724" s="133"/>
      <c r="AJ724" s="133"/>
      <c r="AK724" s="133"/>
      <c r="AL724" s="132"/>
      <c r="AM724" s="132"/>
      <c r="AN724" s="104"/>
      <c r="AO724" s="104"/>
      <c r="AP724" s="104"/>
    </row>
    <row r="725">
      <c r="A725" s="132"/>
      <c r="B725" s="132"/>
      <c r="C725" s="132"/>
      <c r="D725" s="132"/>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c r="AC725" s="133"/>
      <c r="AD725" s="133"/>
      <c r="AE725" s="133"/>
      <c r="AF725" s="133"/>
      <c r="AG725" s="133"/>
      <c r="AH725" s="133"/>
      <c r="AI725" s="133"/>
      <c r="AJ725" s="133"/>
      <c r="AK725" s="133"/>
      <c r="AL725" s="132"/>
      <c r="AM725" s="132"/>
      <c r="AN725" s="104"/>
      <c r="AO725" s="104"/>
      <c r="AP725" s="104"/>
    </row>
    <row r="726">
      <c r="A726" s="132"/>
      <c r="B726" s="132"/>
      <c r="C726" s="132"/>
      <c r="D726" s="132"/>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c r="AC726" s="133"/>
      <c r="AD726" s="133"/>
      <c r="AE726" s="133"/>
      <c r="AF726" s="133"/>
      <c r="AG726" s="133"/>
      <c r="AH726" s="133"/>
      <c r="AI726" s="133"/>
      <c r="AJ726" s="133"/>
      <c r="AK726" s="133"/>
      <c r="AL726" s="132"/>
      <c r="AM726" s="132"/>
      <c r="AN726" s="104"/>
      <c r="AO726" s="104"/>
      <c r="AP726" s="104"/>
    </row>
    <row r="727">
      <c r="A727" s="132"/>
      <c r="B727" s="132"/>
      <c r="C727" s="132"/>
      <c r="D727" s="132"/>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c r="AC727" s="133"/>
      <c r="AD727" s="133"/>
      <c r="AE727" s="133"/>
      <c r="AF727" s="133"/>
      <c r="AG727" s="133"/>
      <c r="AH727" s="133"/>
      <c r="AI727" s="133"/>
      <c r="AJ727" s="133"/>
      <c r="AK727" s="133"/>
      <c r="AL727" s="132"/>
      <c r="AM727" s="132"/>
      <c r="AN727" s="104"/>
      <c r="AO727" s="104"/>
      <c r="AP727" s="104"/>
    </row>
    <row r="728">
      <c r="A728" s="132"/>
      <c r="B728" s="132"/>
      <c r="C728" s="132"/>
      <c r="D728" s="132"/>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c r="AC728" s="133"/>
      <c r="AD728" s="133"/>
      <c r="AE728" s="133"/>
      <c r="AF728" s="133"/>
      <c r="AG728" s="133"/>
      <c r="AH728" s="133"/>
      <c r="AI728" s="133"/>
      <c r="AJ728" s="133"/>
      <c r="AK728" s="133"/>
      <c r="AL728" s="132"/>
      <c r="AM728" s="132"/>
      <c r="AN728" s="104"/>
      <c r="AO728" s="104"/>
      <c r="AP728" s="104"/>
    </row>
    <row r="729">
      <c r="A729" s="132"/>
      <c r="B729" s="132"/>
      <c r="C729" s="132"/>
      <c r="D729" s="132"/>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c r="AC729" s="133"/>
      <c r="AD729" s="133"/>
      <c r="AE729" s="133"/>
      <c r="AF729" s="133"/>
      <c r="AG729" s="133"/>
      <c r="AH729" s="133"/>
      <c r="AI729" s="133"/>
      <c r="AJ729" s="133"/>
      <c r="AK729" s="133"/>
      <c r="AL729" s="132"/>
      <c r="AM729" s="132"/>
      <c r="AN729" s="104"/>
      <c r="AO729" s="104"/>
      <c r="AP729" s="104"/>
    </row>
    <row r="730">
      <c r="A730" s="132"/>
      <c r="B730" s="132"/>
      <c r="C730" s="132"/>
      <c r="D730" s="132"/>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c r="AC730" s="133"/>
      <c r="AD730" s="133"/>
      <c r="AE730" s="133"/>
      <c r="AF730" s="133"/>
      <c r="AG730" s="133"/>
      <c r="AH730" s="133"/>
      <c r="AI730" s="133"/>
      <c r="AJ730" s="133"/>
      <c r="AK730" s="133"/>
      <c r="AL730" s="132"/>
      <c r="AM730" s="132"/>
      <c r="AN730" s="104"/>
      <c r="AO730" s="104"/>
      <c r="AP730" s="104"/>
    </row>
    <row r="731">
      <c r="A731" s="132"/>
      <c r="B731" s="132"/>
      <c r="C731" s="132"/>
      <c r="D731" s="132"/>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c r="AC731" s="133"/>
      <c r="AD731" s="133"/>
      <c r="AE731" s="133"/>
      <c r="AF731" s="133"/>
      <c r="AG731" s="133"/>
      <c r="AH731" s="133"/>
      <c r="AI731" s="133"/>
      <c r="AJ731" s="133"/>
      <c r="AK731" s="133"/>
      <c r="AL731" s="132"/>
      <c r="AM731" s="132"/>
      <c r="AN731" s="104"/>
      <c r="AO731" s="104"/>
      <c r="AP731" s="104"/>
    </row>
    <row r="732">
      <c r="A732" s="132"/>
      <c r="B732" s="132"/>
      <c r="C732" s="132"/>
      <c r="D732" s="132"/>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c r="AC732" s="133"/>
      <c r="AD732" s="133"/>
      <c r="AE732" s="133"/>
      <c r="AF732" s="133"/>
      <c r="AG732" s="133"/>
      <c r="AH732" s="133"/>
      <c r="AI732" s="133"/>
      <c r="AJ732" s="133"/>
      <c r="AK732" s="133"/>
      <c r="AL732" s="132"/>
      <c r="AM732" s="132"/>
      <c r="AN732" s="104"/>
      <c r="AO732" s="104"/>
      <c r="AP732" s="104"/>
    </row>
    <row r="733">
      <c r="A733" s="132"/>
      <c r="B733" s="132"/>
      <c r="C733" s="132"/>
      <c r="D733" s="132"/>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c r="AC733" s="133"/>
      <c r="AD733" s="133"/>
      <c r="AE733" s="133"/>
      <c r="AF733" s="133"/>
      <c r="AG733" s="133"/>
      <c r="AH733" s="133"/>
      <c r="AI733" s="133"/>
      <c r="AJ733" s="133"/>
      <c r="AK733" s="133"/>
      <c r="AL733" s="132"/>
      <c r="AM733" s="132"/>
      <c r="AN733" s="104"/>
      <c r="AO733" s="104"/>
      <c r="AP733" s="104"/>
    </row>
    <row r="734">
      <c r="A734" s="132"/>
      <c r="B734" s="132"/>
      <c r="C734" s="132"/>
      <c r="D734" s="132"/>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c r="AC734" s="133"/>
      <c r="AD734" s="133"/>
      <c r="AE734" s="133"/>
      <c r="AF734" s="133"/>
      <c r="AG734" s="133"/>
      <c r="AH734" s="133"/>
      <c r="AI734" s="133"/>
      <c r="AJ734" s="133"/>
      <c r="AK734" s="133"/>
      <c r="AL734" s="132"/>
      <c r="AM734" s="132"/>
      <c r="AN734" s="104"/>
      <c r="AO734" s="104"/>
      <c r="AP734" s="104"/>
    </row>
    <row r="735">
      <c r="A735" s="132"/>
      <c r="B735" s="132"/>
      <c r="C735" s="132"/>
      <c r="D735" s="132"/>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c r="AC735" s="133"/>
      <c r="AD735" s="133"/>
      <c r="AE735" s="133"/>
      <c r="AF735" s="133"/>
      <c r="AG735" s="133"/>
      <c r="AH735" s="133"/>
      <c r="AI735" s="133"/>
      <c r="AJ735" s="133"/>
      <c r="AK735" s="133"/>
      <c r="AL735" s="132"/>
      <c r="AM735" s="132"/>
      <c r="AN735" s="104"/>
      <c r="AO735" s="104"/>
      <c r="AP735" s="104"/>
    </row>
    <row r="736">
      <c r="A736" s="132"/>
      <c r="B736" s="132"/>
      <c r="C736" s="132"/>
      <c r="D736" s="132"/>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c r="AC736" s="133"/>
      <c r="AD736" s="133"/>
      <c r="AE736" s="133"/>
      <c r="AF736" s="133"/>
      <c r="AG736" s="133"/>
      <c r="AH736" s="133"/>
      <c r="AI736" s="133"/>
      <c r="AJ736" s="133"/>
      <c r="AK736" s="133"/>
      <c r="AL736" s="132"/>
      <c r="AM736" s="132"/>
      <c r="AN736" s="104"/>
      <c r="AO736" s="104"/>
      <c r="AP736" s="104"/>
    </row>
    <row r="737">
      <c r="A737" s="132"/>
      <c r="B737" s="132"/>
      <c r="C737" s="132"/>
      <c r="D737" s="132"/>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c r="AE737" s="133"/>
      <c r="AF737" s="133"/>
      <c r="AG737" s="133"/>
      <c r="AH737" s="133"/>
      <c r="AI737" s="133"/>
      <c r="AJ737" s="133"/>
      <c r="AK737" s="133"/>
      <c r="AL737" s="132"/>
      <c r="AM737" s="132"/>
      <c r="AN737" s="104"/>
      <c r="AO737" s="104"/>
      <c r="AP737" s="104"/>
    </row>
    <row r="738">
      <c r="A738" s="132"/>
      <c r="B738" s="132"/>
      <c r="C738" s="132"/>
      <c r="D738" s="132"/>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c r="AE738" s="133"/>
      <c r="AF738" s="133"/>
      <c r="AG738" s="133"/>
      <c r="AH738" s="133"/>
      <c r="AI738" s="133"/>
      <c r="AJ738" s="133"/>
      <c r="AK738" s="133"/>
      <c r="AL738" s="132"/>
      <c r="AM738" s="132"/>
      <c r="AN738" s="104"/>
      <c r="AO738" s="104"/>
      <c r="AP738" s="104"/>
    </row>
    <row r="739">
      <c r="A739" s="132"/>
      <c r="B739" s="132"/>
      <c r="C739" s="132"/>
      <c r="D739" s="132"/>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c r="AE739" s="133"/>
      <c r="AF739" s="133"/>
      <c r="AG739" s="133"/>
      <c r="AH739" s="133"/>
      <c r="AI739" s="133"/>
      <c r="AJ739" s="133"/>
      <c r="AK739" s="133"/>
      <c r="AL739" s="132"/>
      <c r="AM739" s="132"/>
      <c r="AN739" s="104"/>
      <c r="AO739" s="104"/>
      <c r="AP739" s="104"/>
    </row>
    <row r="740">
      <c r="A740" s="132"/>
      <c r="B740" s="132"/>
      <c r="C740" s="132"/>
      <c r="D740" s="132"/>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c r="AE740" s="133"/>
      <c r="AF740" s="133"/>
      <c r="AG740" s="133"/>
      <c r="AH740" s="133"/>
      <c r="AI740" s="133"/>
      <c r="AJ740" s="133"/>
      <c r="AK740" s="133"/>
      <c r="AL740" s="132"/>
      <c r="AM740" s="132"/>
      <c r="AN740" s="104"/>
      <c r="AO740" s="104"/>
      <c r="AP740" s="104"/>
    </row>
    <row r="741">
      <c r="A741" s="132"/>
      <c r="B741" s="132"/>
      <c r="C741" s="132"/>
      <c r="D741" s="132"/>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c r="AE741" s="133"/>
      <c r="AF741" s="133"/>
      <c r="AG741" s="133"/>
      <c r="AH741" s="133"/>
      <c r="AI741" s="133"/>
      <c r="AJ741" s="133"/>
      <c r="AK741" s="133"/>
      <c r="AL741" s="132"/>
      <c r="AM741" s="132"/>
      <c r="AN741" s="104"/>
      <c r="AO741" s="104"/>
      <c r="AP741" s="104"/>
    </row>
    <row r="742">
      <c r="A742" s="132"/>
      <c r="B742" s="132"/>
      <c r="C742" s="132"/>
      <c r="D742" s="132"/>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c r="AE742" s="133"/>
      <c r="AF742" s="133"/>
      <c r="AG742" s="133"/>
      <c r="AH742" s="133"/>
      <c r="AI742" s="133"/>
      <c r="AJ742" s="133"/>
      <c r="AK742" s="133"/>
      <c r="AL742" s="132"/>
      <c r="AM742" s="132"/>
      <c r="AN742" s="104"/>
      <c r="AO742" s="104"/>
      <c r="AP742" s="104"/>
    </row>
    <row r="743">
      <c r="A743" s="132"/>
      <c r="B743" s="132"/>
      <c r="C743" s="132"/>
      <c r="D743" s="132"/>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c r="AE743" s="133"/>
      <c r="AF743" s="133"/>
      <c r="AG743" s="133"/>
      <c r="AH743" s="133"/>
      <c r="AI743" s="133"/>
      <c r="AJ743" s="133"/>
      <c r="AK743" s="133"/>
      <c r="AL743" s="132"/>
      <c r="AM743" s="132"/>
      <c r="AN743" s="104"/>
      <c r="AO743" s="104"/>
      <c r="AP743" s="104"/>
    </row>
    <row r="744">
      <c r="A744" s="132"/>
      <c r="B744" s="132"/>
      <c r="C744" s="132"/>
      <c r="D744" s="132"/>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c r="AE744" s="133"/>
      <c r="AF744" s="133"/>
      <c r="AG744" s="133"/>
      <c r="AH744" s="133"/>
      <c r="AI744" s="133"/>
      <c r="AJ744" s="133"/>
      <c r="AK744" s="133"/>
      <c r="AL744" s="132"/>
      <c r="AM744" s="132"/>
      <c r="AN744" s="104"/>
      <c r="AO744" s="104"/>
      <c r="AP744" s="104"/>
    </row>
    <row r="745">
      <c r="A745" s="132"/>
      <c r="B745" s="132"/>
      <c r="C745" s="132"/>
      <c r="D745" s="132"/>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c r="AE745" s="133"/>
      <c r="AF745" s="133"/>
      <c r="AG745" s="133"/>
      <c r="AH745" s="133"/>
      <c r="AI745" s="133"/>
      <c r="AJ745" s="133"/>
      <c r="AK745" s="133"/>
      <c r="AL745" s="132"/>
      <c r="AM745" s="132"/>
      <c r="AN745" s="104"/>
      <c r="AO745" s="104"/>
      <c r="AP745" s="104"/>
    </row>
    <row r="746">
      <c r="A746" s="132"/>
      <c r="B746" s="132"/>
      <c r="C746" s="132"/>
      <c r="D746" s="132"/>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c r="AE746" s="133"/>
      <c r="AF746" s="133"/>
      <c r="AG746" s="133"/>
      <c r="AH746" s="133"/>
      <c r="AI746" s="133"/>
      <c r="AJ746" s="133"/>
      <c r="AK746" s="133"/>
      <c r="AL746" s="132"/>
      <c r="AM746" s="132"/>
      <c r="AN746" s="104"/>
      <c r="AO746" s="104"/>
      <c r="AP746" s="104"/>
    </row>
    <row r="747">
      <c r="A747" s="132"/>
      <c r="B747" s="132"/>
      <c r="C747" s="132"/>
      <c r="D747" s="132"/>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c r="AE747" s="133"/>
      <c r="AF747" s="133"/>
      <c r="AG747" s="133"/>
      <c r="AH747" s="133"/>
      <c r="AI747" s="133"/>
      <c r="AJ747" s="133"/>
      <c r="AK747" s="133"/>
      <c r="AL747" s="132"/>
      <c r="AM747" s="132"/>
      <c r="AN747" s="104"/>
      <c r="AO747" s="104"/>
      <c r="AP747" s="104"/>
    </row>
    <row r="748">
      <c r="A748" s="132"/>
      <c r="B748" s="132"/>
      <c r="C748" s="132"/>
      <c r="D748" s="132"/>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c r="AE748" s="133"/>
      <c r="AF748" s="133"/>
      <c r="AG748" s="133"/>
      <c r="AH748" s="133"/>
      <c r="AI748" s="133"/>
      <c r="AJ748" s="133"/>
      <c r="AK748" s="133"/>
      <c r="AL748" s="132"/>
      <c r="AM748" s="132"/>
      <c r="AN748" s="104"/>
      <c r="AO748" s="104"/>
      <c r="AP748" s="104"/>
    </row>
    <row r="749">
      <c r="A749" s="132"/>
      <c r="B749" s="132"/>
      <c r="C749" s="132"/>
      <c r="D749" s="132"/>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c r="AE749" s="133"/>
      <c r="AF749" s="133"/>
      <c r="AG749" s="133"/>
      <c r="AH749" s="133"/>
      <c r="AI749" s="133"/>
      <c r="AJ749" s="133"/>
      <c r="AK749" s="133"/>
      <c r="AL749" s="132"/>
      <c r="AM749" s="132"/>
      <c r="AN749" s="104"/>
      <c r="AO749" s="104"/>
      <c r="AP749" s="104"/>
    </row>
    <row r="750">
      <c r="A750" s="132"/>
      <c r="B750" s="132"/>
      <c r="C750" s="132"/>
      <c r="D750" s="132"/>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c r="AE750" s="133"/>
      <c r="AF750" s="133"/>
      <c r="AG750" s="133"/>
      <c r="AH750" s="133"/>
      <c r="AI750" s="133"/>
      <c r="AJ750" s="133"/>
      <c r="AK750" s="133"/>
      <c r="AL750" s="132"/>
      <c r="AM750" s="132"/>
      <c r="AN750" s="104"/>
      <c r="AO750" s="104"/>
      <c r="AP750" s="104"/>
    </row>
    <row r="751">
      <c r="A751" s="132"/>
      <c r="B751" s="132"/>
      <c r="C751" s="132"/>
      <c r="D751" s="132"/>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c r="AE751" s="133"/>
      <c r="AF751" s="133"/>
      <c r="AG751" s="133"/>
      <c r="AH751" s="133"/>
      <c r="AI751" s="133"/>
      <c r="AJ751" s="133"/>
      <c r="AK751" s="133"/>
      <c r="AL751" s="132"/>
      <c r="AM751" s="132"/>
      <c r="AN751" s="104"/>
      <c r="AO751" s="104"/>
      <c r="AP751" s="104"/>
    </row>
    <row r="752">
      <c r="A752" s="132"/>
      <c r="B752" s="132"/>
      <c r="C752" s="132"/>
      <c r="D752" s="132"/>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c r="AE752" s="133"/>
      <c r="AF752" s="133"/>
      <c r="AG752" s="133"/>
      <c r="AH752" s="133"/>
      <c r="AI752" s="133"/>
      <c r="AJ752" s="133"/>
      <c r="AK752" s="133"/>
      <c r="AL752" s="132"/>
      <c r="AM752" s="132"/>
      <c r="AN752" s="104"/>
      <c r="AO752" s="104"/>
      <c r="AP752" s="104"/>
    </row>
    <row r="753">
      <c r="A753" s="132"/>
      <c r="B753" s="132"/>
      <c r="C753" s="132"/>
      <c r="D753" s="132"/>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c r="AE753" s="133"/>
      <c r="AF753" s="133"/>
      <c r="AG753" s="133"/>
      <c r="AH753" s="133"/>
      <c r="AI753" s="133"/>
      <c r="AJ753" s="133"/>
      <c r="AK753" s="133"/>
      <c r="AL753" s="132"/>
      <c r="AM753" s="132"/>
      <c r="AN753" s="104"/>
      <c r="AO753" s="104"/>
      <c r="AP753" s="104"/>
    </row>
    <row r="754">
      <c r="A754" s="132"/>
      <c r="B754" s="132"/>
      <c r="C754" s="132"/>
      <c r="D754" s="132"/>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c r="AE754" s="133"/>
      <c r="AF754" s="133"/>
      <c r="AG754" s="133"/>
      <c r="AH754" s="133"/>
      <c r="AI754" s="133"/>
      <c r="AJ754" s="133"/>
      <c r="AK754" s="133"/>
      <c r="AL754" s="132"/>
      <c r="AM754" s="132"/>
      <c r="AN754" s="104"/>
      <c r="AO754" s="104"/>
      <c r="AP754" s="104"/>
    </row>
    <row r="755">
      <c r="A755" s="132"/>
      <c r="B755" s="132"/>
      <c r="C755" s="132"/>
      <c r="D755" s="132"/>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c r="AE755" s="133"/>
      <c r="AF755" s="133"/>
      <c r="AG755" s="133"/>
      <c r="AH755" s="133"/>
      <c r="AI755" s="133"/>
      <c r="AJ755" s="133"/>
      <c r="AK755" s="133"/>
      <c r="AL755" s="132"/>
      <c r="AM755" s="132"/>
      <c r="AN755" s="104"/>
      <c r="AO755" s="104"/>
      <c r="AP755" s="104"/>
    </row>
    <row r="756">
      <c r="A756" s="132"/>
      <c r="B756" s="132"/>
      <c r="C756" s="132"/>
      <c r="D756" s="132"/>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c r="AE756" s="133"/>
      <c r="AF756" s="133"/>
      <c r="AG756" s="133"/>
      <c r="AH756" s="133"/>
      <c r="AI756" s="133"/>
      <c r="AJ756" s="133"/>
      <c r="AK756" s="133"/>
      <c r="AL756" s="132"/>
      <c r="AM756" s="132"/>
      <c r="AN756" s="104"/>
      <c r="AO756" s="104"/>
      <c r="AP756" s="104"/>
    </row>
    <row r="757">
      <c r="A757" s="132"/>
      <c r="B757" s="132"/>
      <c r="C757" s="132"/>
      <c r="D757" s="132"/>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c r="AE757" s="133"/>
      <c r="AF757" s="133"/>
      <c r="AG757" s="133"/>
      <c r="AH757" s="133"/>
      <c r="AI757" s="133"/>
      <c r="AJ757" s="133"/>
      <c r="AK757" s="133"/>
      <c r="AL757" s="132"/>
      <c r="AM757" s="132"/>
      <c r="AN757" s="104"/>
      <c r="AO757" s="104"/>
      <c r="AP757" s="104"/>
    </row>
    <row r="758">
      <c r="A758" s="132"/>
      <c r="B758" s="132"/>
      <c r="C758" s="132"/>
      <c r="D758" s="132"/>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c r="AE758" s="133"/>
      <c r="AF758" s="133"/>
      <c r="AG758" s="133"/>
      <c r="AH758" s="133"/>
      <c r="AI758" s="133"/>
      <c r="AJ758" s="133"/>
      <c r="AK758" s="133"/>
      <c r="AL758" s="132"/>
      <c r="AM758" s="132"/>
      <c r="AN758" s="104"/>
      <c r="AO758" s="104"/>
      <c r="AP758" s="104"/>
    </row>
    <row r="759">
      <c r="A759" s="132"/>
      <c r="B759" s="132"/>
      <c r="C759" s="132"/>
      <c r="D759" s="132"/>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c r="AE759" s="133"/>
      <c r="AF759" s="133"/>
      <c r="AG759" s="133"/>
      <c r="AH759" s="133"/>
      <c r="AI759" s="133"/>
      <c r="AJ759" s="133"/>
      <c r="AK759" s="133"/>
      <c r="AL759" s="132"/>
      <c r="AM759" s="132"/>
      <c r="AN759" s="104"/>
      <c r="AO759" s="104"/>
      <c r="AP759" s="104"/>
    </row>
    <row r="760">
      <c r="A760" s="132"/>
      <c r="B760" s="132"/>
      <c r="C760" s="132"/>
      <c r="D760" s="132"/>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c r="AE760" s="133"/>
      <c r="AF760" s="133"/>
      <c r="AG760" s="133"/>
      <c r="AH760" s="133"/>
      <c r="AI760" s="133"/>
      <c r="AJ760" s="133"/>
      <c r="AK760" s="133"/>
      <c r="AL760" s="132"/>
      <c r="AM760" s="132"/>
      <c r="AN760" s="104"/>
      <c r="AO760" s="104"/>
      <c r="AP760" s="104"/>
    </row>
    <row r="761">
      <c r="A761" s="132"/>
      <c r="B761" s="132"/>
      <c r="C761" s="132"/>
      <c r="D761" s="132"/>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c r="AE761" s="133"/>
      <c r="AF761" s="133"/>
      <c r="AG761" s="133"/>
      <c r="AH761" s="133"/>
      <c r="AI761" s="133"/>
      <c r="AJ761" s="133"/>
      <c r="AK761" s="133"/>
      <c r="AL761" s="132"/>
      <c r="AM761" s="132"/>
      <c r="AN761" s="104"/>
      <c r="AO761" s="104"/>
      <c r="AP761" s="104"/>
    </row>
    <row r="762">
      <c r="A762" s="132"/>
      <c r="B762" s="132"/>
      <c r="C762" s="132"/>
      <c r="D762" s="132"/>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c r="AE762" s="133"/>
      <c r="AF762" s="133"/>
      <c r="AG762" s="133"/>
      <c r="AH762" s="133"/>
      <c r="AI762" s="133"/>
      <c r="AJ762" s="133"/>
      <c r="AK762" s="133"/>
      <c r="AL762" s="132"/>
      <c r="AM762" s="132"/>
      <c r="AN762" s="104"/>
      <c r="AO762" s="104"/>
      <c r="AP762" s="104"/>
    </row>
    <row r="763">
      <c r="A763" s="132"/>
      <c r="B763" s="132"/>
      <c r="C763" s="132"/>
      <c r="D763" s="132"/>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c r="AE763" s="133"/>
      <c r="AF763" s="133"/>
      <c r="AG763" s="133"/>
      <c r="AH763" s="133"/>
      <c r="AI763" s="133"/>
      <c r="AJ763" s="133"/>
      <c r="AK763" s="133"/>
      <c r="AL763" s="132"/>
      <c r="AM763" s="132"/>
      <c r="AN763" s="104"/>
      <c r="AO763" s="104"/>
      <c r="AP763" s="104"/>
    </row>
    <row r="764">
      <c r="A764" s="132"/>
      <c r="B764" s="132"/>
      <c r="C764" s="132"/>
      <c r="D764" s="132"/>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c r="AE764" s="133"/>
      <c r="AF764" s="133"/>
      <c r="AG764" s="133"/>
      <c r="AH764" s="133"/>
      <c r="AI764" s="133"/>
      <c r="AJ764" s="133"/>
      <c r="AK764" s="133"/>
      <c r="AL764" s="132"/>
      <c r="AM764" s="132"/>
      <c r="AN764" s="104"/>
      <c r="AO764" s="104"/>
      <c r="AP764" s="104"/>
    </row>
    <row r="765">
      <c r="A765" s="132"/>
      <c r="B765" s="132"/>
      <c r="C765" s="132"/>
      <c r="D765" s="132"/>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c r="AC765" s="133"/>
      <c r="AD765" s="133"/>
      <c r="AE765" s="133"/>
      <c r="AF765" s="133"/>
      <c r="AG765" s="133"/>
      <c r="AH765" s="133"/>
      <c r="AI765" s="133"/>
      <c r="AJ765" s="133"/>
      <c r="AK765" s="133"/>
      <c r="AL765" s="132"/>
      <c r="AM765" s="132"/>
      <c r="AN765" s="104"/>
      <c r="AO765" s="104"/>
      <c r="AP765" s="104"/>
    </row>
    <row r="766">
      <c r="A766" s="132"/>
      <c r="B766" s="132"/>
      <c r="C766" s="132"/>
      <c r="D766" s="132"/>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c r="AC766" s="133"/>
      <c r="AD766" s="133"/>
      <c r="AE766" s="133"/>
      <c r="AF766" s="133"/>
      <c r="AG766" s="133"/>
      <c r="AH766" s="133"/>
      <c r="AI766" s="133"/>
      <c r="AJ766" s="133"/>
      <c r="AK766" s="133"/>
      <c r="AL766" s="132"/>
      <c r="AM766" s="132"/>
      <c r="AN766" s="104"/>
      <c r="AO766" s="104"/>
      <c r="AP766" s="104"/>
    </row>
    <row r="767">
      <c r="A767" s="132"/>
      <c r="B767" s="132"/>
      <c r="C767" s="132"/>
      <c r="D767" s="132"/>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c r="AC767" s="133"/>
      <c r="AD767" s="133"/>
      <c r="AE767" s="133"/>
      <c r="AF767" s="133"/>
      <c r="AG767" s="133"/>
      <c r="AH767" s="133"/>
      <c r="AI767" s="133"/>
      <c r="AJ767" s="133"/>
      <c r="AK767" s="133"/>
      <c r="AL767" s="132"/>
      <c r="AM767" s="132"/>
      <c r="AN767" s="104"/>
      <c r="AO767" s="104"/>
      <c r="AP767" s="104"/>
    </row>
    <row r="768">
      <c r="A768" s="132"/>
      <c r="B768" s="132"/>
      <c r="C768" s="132"/>
      <c r="D768" s="132"/>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c r="AC768" s="133"/>
      <c r="AD768" s="133"/>
      <c r="AE768" s="133"/>
      <c r="AF768" s="133"/>
      <c r="AG768" s="133"/>
      <c r="AH768" s="133"/>
      <c r="AI768" s="133"/>
      <c r="AJ768" s="133"/>
      <c r="AK768" s="133"/>
      <c r="AL768" s="132"/>
      <c r="AM768" s="132"/>
      <c r="AN768" s="104"/>
      <c r="AO768" s="104"/>
      <c r="AP768" s="104"/>
    </row>
    <row r="769">
      <c r="A769" s="132"/>
      <c r="B769" s="132"/>
      <c r="C769" s="132"/>
      <c r="D769" s="132"/>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c r="AC769" s="133"/>
      <c r="AD769" s="133"/>
      <c r="AE769" s="133"/>
      <c r="AF769" s="133"/>
      <c r="AG769" s="133"/>
      <c r="AH769" s="133"/>
      <c r="AI769" s="133"/>
      <c r="AJ769" s="133"/>
      <c r="AK769" s="133"/>
      <c r="AL769" s="132"/>
      <c r="AM769" s="132"/>
      <c r="AN769" s="104"/>
      <c r="AO769" s="104"/>
      <c r="AP769" s="104"/>
    </row>
    <row r="770">
      <c r="A770" s="132"/>
      <c r="B770" s="132"/>
      <c r="C770" s="132"/>
      <c r="D770" s="132"/>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c r="AC770" s="133"/>
      <c r="AD770" s="133"/>
      <c r="AE770" s="133"/>
      <c r="AF770" s="133"/>
      <c r="AG770" s="133"/>
      <c r="AH770" s="133"/>
      <c r="AI770" s="133"/>
      <c r="AJ770" s="133"/>
      <c r="AK770" s="133"/>
      <c r="AL770" s="132"/>
      <c r="AM770" s="132"/>
      <c r="AN770" s="104"/>
      <c r="AO770" s="104"/>
      <c r="AP770" s="104"/>
    </row>
    <row r="771">
      <c r="A771" s="132"/>
      <c r="B771" s="132"/>
      <c r="C771" s="132"/>
      <c r="D771" s="132"/>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c r="AC771" s="133"/>
      <c r="AD771" s="133"/>
      <c r="AE771" s="133"/>
      <c r="AF771" s="133"/>
      <c r="AG771" s="133"/>
      <c r="AH771" s="133"/>
      <c r="AI771" s="133"/>
      <c r="AJ771" s="133"/>
      <c r="AK771" s="133"/>
      <c r="AL771" s="132"/>
      <c r="AM771" s="132"/>
      <c r="AN771" s="104"/>
      <c r="AO771" s="104"/>
      <c r="AP771" s="104"/>
    </row>
    <row r="772">
      <c r="A772" s="132"/>
      <c r="B772" s="132"/>
      <c r="C772" s="132"/>
      <c r="D772" s="132"/>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c r="AC772" s="133"/>
      <c r="AD772" s="133"/>
      <c r="AE772" s="133"/>
      <c r="AF772" s="133"/>
      <c r="AG772" s="133"/>
      <c r="AH772" s="133"/>
      <c r="AI772" s="133"/>
      <c r="AJ772" s="133"/>
      <c r="AK772" s="133"/>
      <c r="AL772" s="132"/>
      <c r="AM772" s="132"/>
      <c r="AN772" s="104"/>
      <c r="AO772" s="104"/>
      <c r="AP772" s="104"/>
    </row>
    <row r="773">
      <c r="A773" s="132"/>
      <c r="B773" s="132"/>
      <c r="C773" s="132"/>
      <c r="D773" s="132"/>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c r="AC773" s="133"/>
      <c r="AD773" s="133"/>
      <c r="AE773" s="133"/>
      <c r="AF773" s="133"/>
      <c r="AG773" s="133"/>
      <c r="AH773" s="133"/>
      <c r="AI773" s="133"/>
      <c r="AJ773" s="133"/>
      <c r="AK773" s="133"/>
      <c r="AL773" s="132"/>
      <c r="AM773" s="132"/>
      <c r="AN773" s="104"/>
      <c r="AO773" s="104"/>
      <c r="AP773" s="104"/>
    </row>
    <row r="774">
      <c r="A774" s="132"/>
      <c r="B774" s="132"/>
      <c r="C774" s="132"/>
      <c r="D774" s="132"/>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c r="AC774" s="133"/>
      <c r="AD774" s="133"/>
      <c r="AE774" s="133"/>
      <c r="AF774" s="133"/>
      <c r="AG774" s="133"/>
      <c r="AH774" s="133"/>
      <c r="AI774" s="133"/>
      <c r="AJ774" s="133"/>
      <c r="AK774" s="133"/>
      <c r="AL774" s="132"/>
      <c r="AM774" s="132"/>
      <c r="AN774" s="104"/>
      <c r="AO774" s="104"/>
      <c r="AP774" s="104"/>
    </row>
    <row r="775">
      <c r="A775" s="132"/>
      <c r="B775" s="132"/>
      <c r="C775" s="132"/>
      <c r="D775" s="132"/>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c r="AE775" s="133"/>
      <c r="AF775" s="133"/>
      <c r="AG775" s="133"/>
      <c r="AH775" s="133"/>
      <c r="AI775" s="133"/>
      <c r="AJ775" s="133"/>
      <c r="AK775" s="133"/>
      <c r="AL775" s="132"/>
      <c r="AM775" s="132"/>
      <c r="AN775" s="104"/>
      <c r="AO775" s="104"/>
      <c r="AP775" s="104"/>
    </row>
    <row r="776">
      <c r="A776" s="132"/>
      <c r="B776" s="132"/>
      <c r="C776" s="132"/>
      <c r="D776" s="132"/>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c r="AE776" s="133"/>
      <c r="AF776" s="133"/>
      <c r="AG776" s="133"/>
      <c r="AH776" s="133"/>
      <c r="AI776" s="133"/>
      <c r="AJ776" s="133"/>
      <c r="AK776" s="133"/>
      <c r="AL776" s="132"/>
      <c r="AM776" s="132"/>
      <c r="AN776" s="104"/>
      <c r="AO776" s="104"/>
      <c r="AP776" s="104"/>
    </row>
    <row r="777">
      <c r="A777" s="132"/>
      <c r="B777" s="132"/>
      <c r="C777" s="132"/>
      <c r="D777" s="132"/>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c r="AE777" s="133"/>
      <c r="AF777" s="133"/>
      <c r="AG777" s="133"/>
      <c r="AH777" s="133"/>
      <c r="AI777" s="133"/>
      <c r="AJ777" s="133"/>
      <c r="AK777" s="133"/>
      <c r="AL777" s="132"/>
      <c r="AM777" s="132"/>
      <c r="AN777" s="104"/>
      <c r="AO777" s="104"/>
      <c r="AP777" s="104"/>
    </row>
    <row r="778">
      <c r="A778" s="132"/>
      <c r="B778" s="132"/>
      <c r="C778" s="132"/>
      <c r="D778" s="132"/>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c r="AE778" s="133"/>
      <c r="AF778" s="133"/>
      <c r="AG778" s="133"/>
      <c r="AH778" s="133"/>
      <c r="AI778" s="133"/>
      <c r="AJ778" s="133"/>
      <c r="AK778" s="133"/>
      <c r="AL778" s="132"/>
      <c r="AM778" s="132"/>
      <c r="AN778" s="104"/>
      <c r="AO778" s="104"/>
      <c r="AP778" s="104"/>
    </row>
    <row r="779">
      <c r="A779" s="132"/>
      <c r="B779" s="132"/>
      <c r="C779" s="132"/>
      <c r="D779" s="132"/>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c r="AE779" s="133"/>
      <c r="AF779" s="133"/>
      <c r="AG779" s="133"/>
      <c r="AH779" s="133"/>
      <c r="AI779" s="133"/>
      <c r="AJ779" s="133"/>
      <c r="AK779" s="133"/>
      <c r="AL779" s="132"/>
      <c r="AM779" s="132"/>
      <c r="AN779" s="104"/>
      <c r="AO779" s="104"/>
      <c r="AP779" s="104"/>
    </row>
    <row r="780">
      <c r="A780" s="132"/>
      <c r="B780" s="132"/>
      <c r="C780" s="132"/>
      <c r="D780" s="132"/>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c r="AE780" s="133"/>
      <c r="AF780" s="133"/>
      <c r="AG780" s="133"/>
      <c r="AH780" s="133"/>
      <c r="AI780" s="133"/>
      <c r="AJ780" s="133"/>
      <c r="AK780" s="133"/>
      <c r="AL780" s="132"/>
      <c r="AM780" s="132"/>
      <c r="AN780" s="104"/>
      <c r="AO780" s="104"/>
      <c r="AP780" s="104"/>
    </row>
    <row r="781">
      <c r="A781" s="132"/>
      <c r="B781" s="132"/>
      <c r="C781" s="132"/>
      <c r="D781" s="132"/>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c r="AC781" s="133"/>
      <c r="AD781" s="133"/>
      <c r="AE781" s="133"/>
      <c r="AF781" s="133"/>
      <c r="AG781" s="133"/>
      <c r="AH781" s="133"/>
      <c r="AI781" s="133"/>
      <c r="AJ781" s="133"/>
      <c r="AK781" s="133"/>
      <c r="AL781" s="132"/>
      <c r="AM781" s="132"/>
      <c r="AN781" s="104"/>
      <c r="AO781" s="104"/>
      <c r="AP781" s="104"/>
    </row>
    <row r="782">
      <c r="A782" s="132"/>
      <c r="B782" s="132"/>
      <c r="C782" s="132"/>
      <c r="D782" s="132"/>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c r="AC782" s="133"/>
      <c r="AD782" s="133"/>
      <c r="AE782" s="133"/>
      <c r="AF782" s="133"/>
      <c r="AG782" s="133"/>
      <c r="AH782" s="133"/>
      <c r="AI782" s="133"/>
      <c r="AJ782" s="133"/>
      <c r="AK782" s="133"/>
      <c r="AL782" s="132"/>
      <c r="AM782" s="132"/>
      <c r="AN782" s="104"/>
      <c r="AO782" s="104"/>
      <c r="AP782" s="104"/>
    </row>
    <row r="783">
      <c r="A783" s="132"/>
      <c r="B783" s="132"/>
      <c r="C783" s="132"/>
      <c r="D783" s="132"/>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c r="AC783" s="133"/>
      <c r="AD783" s="133"/>
      <c r="AE783" s="133"/>
      <c r="AF783" s="133"/>
      <c r="AG783" s="133"/>
      <c r="AH783" s="133"/>
      <c r="AI783" s="133"/>
      <c r="AJ783" s="133"/>
      <c r="AK783" s="133"/>
      <c r="AL783" s="132"/>
      <c r="AM783" s="132"/>
      <c r="AN783" s="104"/>
      <c r="AO783" s="104"/>
      <c r="AP783" s="104"/>
    </row>
    <row r="784">
      <c r="A784" s="132"/>
      <c r="B784" s="132"/>
      <c r="C784" s="132"/>
      <c r="D784" s="132"/>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c r="AC784" s="133"/>
      <c r="AD784" s="133"/>
      <c r="AE784" s="133"/>
      <c r="AF784" s="133"/>
      <c r="AG784" s="133"/>
      <c r="AH784" s="133"/>
      <c r="AI784" s="133"/>
      <c r="AJ784" s="133"/>
      <c r="AK784" s="133"/>
      <c r="AL784" s="132"/>
      <c r="AM784" s="132"/>
      <c r="AN784" s="104"/>
      <c r="AO784" s="104"/>
      <c r="AP784" s="104"/>
    </row>
    <row r="785">
      <c r="A785" s="132"/>
      <c r="B785" s="132"/>
      <c r="C785" s="132"/>
      <c r="D785" s="132"/>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c r="AC785" s="133"/>
      <c r="AD785" s="133"/>
      <c r="AE785" s="133"/>
      <c r="AF785" s="133"/>
      <c r="AG785" s="133"/>
      <c r="AH785" s="133"/>
      <c r="AI785" s="133"/>
      <c r="AJ785" s="133"/>
      <c r="AK785" s="133"/>
      <c r="AL785" s="132"/>
      <c r="AM785" s="132"/>
      <c r="AN785" s="104"/>
      <c r="AO785" s="104"/>
      <c r="AP785" s="104"/>
    </row>
    <row r="786">
      <c r="A786" s="132"/>
      <c r="B786" s="132"/>
      <c r="C786" s="132"/>
      <c r="D786" s="132"/>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c r="AE786" s="133"/>
      <c r="AF786" s="133"/>
      <c r="AG786" s="133"/>
      <c r="AH786" s="133"/>
      <c r="AI786" s="133"/>
      <c r="AJ786" s="133"/>
      <c r="AK786" s="133"/>
      <c r="AL786" s="132"/>
      <c r="AM786" s="132"/>
      <c r="AN786" s="104"/>
      <c r="AO786" s="104"/>
      <c r="AP786" s="104"/>
    </row>
    <row r="787">
      <c r="A787" s="132"/>
      <c r="B787" s="132"/>
      <c r="C787" s="132"/>
      <c r="D787" s="132"/>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c r="AC787" s="133"/>
      <c r="AD787" s="133"/>
      <c r="AE787" s="133"/>
      <c r="AF787" s="133"/>
      <c r="AG787" s="133"/>
      <c r="AH787" s="133"/>
      <c r="AI787" s="133"/>
      <c r="AJ787" s="133"/>
      <c r="AK787" s="133"/>
      <c r="AL787" s="132"/>
      <c r="AM787" s="132"/>
      <c r="AN787" s="104"/>
      <c r="AO787" s="104"/>
      <c r="AP787" s="104"/>
    </row>
    <row r="788">
      <c r="A788" s="132"/>
      <c r="B788" s="132"/>
      <c r="C788" s="132"/>
      <c r="D788" s="132"/>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c r="AC788" s="133"/>
      <c r="AD788" s="133"/>
      <c r="AE788" s="133"/>
      <c r="AF788" s="133"/>
      <c r="AG788" s="133"/>
      <c r="AH788" s="133"/>
      <c r="AI788" s="133"/>
      <c r="AJ788" s="133"/>
      <c r="AK788" s="133"/>
      <c r="AL788" s="132"/>
      <c r="AM788" s="132"/>
      <c r="AN788" s="104"/>
      <c r="AO788" s="104"/>
      <c r="AP788" s="104"/>
    </row>
    <row r="789">
      <c r="A789" s="132"/>
      <c r="B789" s="132"/>
      <c r="C789" s="132"/>
      <c r="D789" s="132"/>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c r="AC789" s="133"/>
      <c r="AD789" s="133"/>
      <c r="AE789" s="133"/>
      <c r="AF789" s="133"/>
      <c r="AG789" s="133"/>
      <c r="AH789" s="133"/>
      <c r="AI789" s="133"/>
      <c r="AJ789" s="133"/>
      <c r="AK789" s="133"/>
      <c r="AL789" s="132"/>
      <c r="AM789" s="132"/>
      <c r="AN789" s="104"/>
      <c r="AO789" s="104"/>
      <c r="AP789" s="104"/>
    </row>
    <row r="790">
      <c r="A790" s="132"/>
      <c r="B790" s="132"/>
      <c r="C790" s="132"/>
      <c r="D790" s="132"/>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c r="AC790" s="133"/>
      <c r="AD790" s="133"/>
      <c r="AE790" s="133"/>
      <c r="AF790" s="133"/>
      <c r="AG790" s="133"/>
      <c r="AH790" s="133"/>
      <c r="AI790" s="133"/>
      <c r="AJ790" s="133"/>
      <c r="AK790" s="133"/>
      <c r="AL790" s="132"/>
      <c r="AM790" s="132"/>
      <c r="AN790" s="104"/>
      <c r="AO790" s="104"/>
      <c r="AP790" s="104"/>
    </row>
    <row r="791">
      <c r="A791" s="132"/>
      <c r="B791" s="132"/>
      <c r="C791" s="132"/>
      <c r="D791" s="132"/>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c r="AC791" s="133"/>
      <c r="AD791" s="133"/>
      <c r="AE791" s="133"/>
      <c r="AF791" s="133"/>
      <c r="AG791" s="133"/>
      <c r="AH791" s="133"/>
      <c r="AI791" s="133"/>
      <c r="AJ791" s="133"/>
      <c r="AK791" s="133"/>
      <c r="AL791" s="132"/>
      <c r="AM791" s="132"/>
      <c r="AN791" s="104"/>
      <c r="AO791" s="104"/>
      <c r="AP791" s="104"/>
    </row>
    <row r="792">
      <c r="A792" s="132"/>
      <c r="B792" s="132"/>
      <c r="C792" s="132"/>
      <c r="D792" s="132"/>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c r="AC792" s="133"/>
      <c r="AD792" s="133"/>
      <c r="AE792" s="133"/>
      <c r="AF792" s="133"/>
      <c r="AG792" s="133"/>
      <c r="AH792" s="133"/>
      <c r="AI792" s="133"/>
      <c r="AJ792" s="133"/>
      <c r="AK792" s="133"/>
      <c r="AL792" s="132"/>
      <c r="AM792" s="132"/>
      <c r="AN792" s="104"/>
      <c r="AO792" s="104"/>
      <c r="AP792" s="104"/>
    </row>
    <row r="793">
      <c r="A793" s="132"/>
      <c r="B793" s="132"/>
      <c r="C793" s="132"/>
      <c r="D793" s="132"/>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c r="AC793" s="133"/>
      <c r="AD793" s="133"/>
      <c r="AE793" s="133"/>
      <c r="AF793" s="133"/>
      <c r="AG793" s="133"/>
      <c r="AH793" s="133"/>
      <c r="AI793" s="133"/>
      <c r="AJ793" s="133"/>
      <c r="AK793" s="133"/>
      <c r="AL793" s="132"/>
      <c r="AM793" s="132"/>
      <c r="AN793" s="104"/>
      <c r="AO793" s="104"/>
      <c r="AP793" s="104"/>
    </row>
    <row r="794">
      <c r="A794" s="132"/>
      <c r="B794" s="132"/>
      <c r="C794" s="132"/>
      <c r="D794" s="132"/>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c r="AC794" s="133"/>
      <c r="AD794" s="133"/>
      <c r="AE794" s="133"/>
      <c r="AF794" s="133"/>
      <c r="AG794" s="133"/>
      <c r="AH794" s="133"/>
      <c r="AI794" s="133"/>
      <c r="AJ794" s="133"/>
      <c r="AK794" s="133"/>
      <c r="AL794" s="132"/>
      <c r="AM794" s="132"/>
      <c r="AN794" s="104"/>
      <c r="AO794" s="104"/>
      <c r="AP794" s="104"/>
    </row>
    <row r="795">
      <c r="A795" s="132"/>
      <c r="B795" s="132"/>
      <c r="C795" s="132"/>
      <c r="D795" s="132"/>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c r="AC795" s="133"/>
      <c r="AD795" s="133"/>
      <c r="AE795" s="133"/>
      <c r="AF795" s="133"/>
      <c r="AG795" s="133"/>
      <c r="AH795" s="133"/>
      <c r="AI795" s="133"/>
      <c r="AJ795" s="133"/>
      <c r="AK795" s="133"/>
      <c r="AL795" s="132"/>
      <c r="AM795" s="132"/>
      <c r="AN795" s="104"/>
      <c r="AO795" s="104"/>
      <c r="AP795" s="104"/>
    </row>
    <row r="796">
      <c r="A796" s="132"/>
      <c r="B796" s="132"/>
      <c r="C796" s="132"/>
      <c r="D796" s="132"/>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c r="AC796" s="133"/>
      <c r="AD796" s="133"/>
      <c r="AE796" s="133"/>
      <c r="AF796" s="133"/>
      <c r="AG796" s="133"/>
      <c r="AH796" s="133"/>
      <c r="AI796" s="133"/>
      <c r="AJ796" s="133"/>
      <c r="AK796" s="133"/>
      <c r="AL796" s="132"/>
      <c r="AM796" s="132"/>
      <c r="AN796" s="104"/>
      <c r="AO796" s="104"/>
      <c r="AP796" s="104"/>
    </row>
    <row r="797">
      <c r="A797" s="132"/>
      <c r="B797" s="132"/>
      <c r="C797" s="132"/>
      <c r="D797" s="132"/>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c r="AC797" s="133"/>
      <c r="AD797" s="133"/>
      <c r="AE797" s="133"/>
      <c r="AF797" s="133"/>
      <c r="AG797" s="133"/>
      <c r="AH797" s="133"/>
      <c r="AI797" s="133"/>
      <c r="AJ797" s="133"/>
      <c r="AK797" s="133"/>
      <c r="AL797" s="132"/>
      <c r="AM797" s="132"/>
      <c r="AN797" s="104"/>
      <c r="AO797" s="104"/>
      <c r="AP797" s="104"/>
    </row>
    <row r="798">
      <c r="A798" s="132"/>
      <c r="B798" s="132"/>
      <c r="C798" s="132"/>
      <c r="D798" s="132"/>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c r="AE798" s="133"/>
      <c r="AF798" s="133"/>
      <c r="AG798" s="133"/>
      <c r="AH798" s="133"/>
      <c r="AI798" s="133"/>
      <c r="AJ798" s="133"/>
      <c r="AK798" s="133"/>
      <c r="AL798" s="132"/>
      <c r="AM798" s="132"/>
      <c r="AN798" s="104"/>
      <c r="AO798" s="104"/>
      <c r="AP798" s="104"/>
    </row>
    <row r="799">
      <c r="A799" s="132"/>
      <c r="B799" s="132"/>
      <c r="C799" s="132"/>
      <c r="D799" s="132"/>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c r="AC799" s="133"/>
      <c r="AD799" s="133"/>
      <c r="AE799" s="133"/>
      <c r="AF799" s="133"/>
      <c r="AG799" s="133"/>
      <c r="AH799" s="133"/>
      <c r="AI799" s="133"/>
      <c r="AJ799" s="133"/>
      <c r="AK799" s="133"/>
      <c r="AL799" s="132"/>
      <c r="AM799" s="132"/>
      <c r="AN799" s="104"/>
      <c r="AO799" s="104"/>
      <c r="AP799" s="104"/>
    </row>
    <row r="800">
      <c r="A800" s="132"/>
      <c r="B800" s="132"/>
      <c r="C800" s="132"/>
      <c r="D800" s="132"/>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c r="AC800" s="133"/>
      <c r="AD800" s="133"/>
      <c r="AE800" s="133"/>
      <c r="AF800" s="133"/>
      <c r="AG800" s="133"/>
      <c r="AH800" s="133"/>
      <c r="AI800" s="133"/>
      <c r="AJ800" s="133"/>
      <c r="AK800" s="133"/>
      <c r="AL800" s="132"/>
      <c r="AM800" s="132"/>
      <c r="AN800" s="104"/>
      <c r="AO800" s="104"/>
      <c r="AP800" s="104"/>
    </row>
    <row r="801">
      <c r="A801" s="132"/>
      <c r="B801" s="132"/>
      <c r="C801" s="132"/>
      <c r="D801" s="132"/>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c r="AC801" s="133"/>
      <c r="AD801" s="133"/>
      <c r="AE801" s="133"/>
      <c r="AF801" s="133"/>
      <c r="AG801" s="133"/>
      <c r="AH801" s="133"/>
      <c r="AI801" s="133"/>
      <c r="AJ801" s="133"/>
      <c r="AK801" s="133"/>
      <c r="AL801" s="132"/>
      <c r="AM801" s="132"/>
      <c r="AN801" s="104"/>
      <c r="AO801" s="104"/>
      <c r="AP801" s="104"/>
    </row>
    <row r="802">
      <c r="A802" s="132"/>
      <c r="B802" s="132"/>
      <c r="C802" s="132"/>
      <c r="D802" s="132"/>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c r="AE802" s="133"/>
      <c r="AF802" s="133"/>
      <c r="AG802" s="133"/>
      <c r="AH802" s="133"/>
      <c r="AI802" s="133"/>
      <c r="AJ802" s="133"/>
      <c r="AK802" s="133"/>
      <c r="AL802" s="132"/>
      <c r="AM802" s="132"/>
      <c r="AN802" s="104"/>
      <c r="AO802" s="104"/>
      <c r="AP802" s="104"/>
    </row>
    <row r="803">
      <c r="A803" s="132"/>
      <c r="B803" s="132"/>
      <c r="C803" s="132"/>
      <c r="D803" s="132"/>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c r="AE803" s="133"/>
      <c r="AF803" s="133"/>
      <c r="AG803" s="133"/>
      <c r="AH803" s="133"/>
      <c r="AI803" s="133"/>
      <c r="AJ803" s="133"/>
      <c r="AK803" s="133"/>
      <c r="AL803" s="132"/>
      <c r="AM803" s="132"/>
      <c r="AN803" s="104"/>
      <c r="AO803" s="104"/>
      <c r="AP803" s="104"/>
    </row>
    <row r="804">
      <c r="A804" s="132"/>
      <c r="B804" s="132"/>
      <c r="C804" s="132"/>
      <c r="D804" s="132"/>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c r="AG804" s="133"/>
      <c r="AH804" s="133"/>
      <c r="AI804" s="133"/>
      <c r="AJ804" s="133"/>
      <c r="AK804" s="133"/>
      <c r="AL804" s="132"/>
      <c r="AM804" s="132"/>
      <c r="AN804" s="104"/>
      <c r="AO804" s="104"/>
      <c r="AP804" s="104"/>
    </row>
    <row r="805">
      <c r="A805" s="132"/>
      <c r="B805" s="132"/>
      <c r="C805" s="132"/>
      <c r="D805" s="132"/>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c r="AE805" s="133"/>
      <c r="AF805" s="133"/>
      <c r="AG805" s="133"/>
      <c r="AH805" s="133"/>
      <c r="AI805" s="133"/>
      <c r="AJ805" s="133"/>
      <c r="AK805" s="133"/>
      <c r="AL805" s="132"/>
      <c r="AM805" s="132"/>
      <c r="AN805" s="104"/>
      <c r="AO805" s="104"/>
      <c r="AP805" s="104"/>
    </row>
    <row r="806">
      <c r="A806" s="132"/>
      <c r="B806" s="132"/>
      <c r="C806" s="132"/>
      <c r="D806" s="132"/>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c r="AE806" s="133"/>
      <c r="AF806" s="133"/>
      <c r="AG806" s="133"/>
      <c r="AH806" s="133"/>
      <c r="AI806" s="133"/>
      <c r="AJ806" s="133"/>
      <c r="AK806" s="133"/>
      <c r="AL806" s="132"/>
      <c r="AM806" s="132"/>
      <c r="AN806" s="104"/>
      <c r="AO806" s="104"/>
      <c r="AP806" s="104"/>
    </row>
    <row r="807">
      <c r="A807" s="132"/>
      <c r="B807" s="132"/>
      <c r="C807" s="132"/>
      <c r="D807" s="132"/>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c r="AE807" s="133"/>
      <c r="AF807" s="133"/>
      <c r="AG807" s="133"/>
      <c r="AH807" s="133"/>
      <c r="AI807" s="133"/>
      <c r="AJ807" s="133"/>
      <c r="AK807" s="133"/>
      <c r="AL807" s="132"/>
      <c r="AM807" s="132"/>
      <c r="AN807" s="104"/>
      <c r="AO807" s="104"/>
      <c r="AP807" s="104"/>
    </row>
    <row r="808">
      <c r="A808" s="132"/>
      <c r="B808" s="132"/>
      <c r="C808" s="132"/>
      <c r="D808" s="132"/>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c r="AE808" s="133"/>
      <c r="AF808" s="133"/>
      <c r="AG808" s="133"/>
      <c r="AH808" s="133"/>
      <c r="AI808" s="133"/>
      <c r="AJ808" s="133"/>
      <c r="AK808" s="133"/>
      <c r="AL808" s="132"/>
      <c r="AM808" s="132"/>
      <c r="AN808" s="104"/>
      <c r="AO808" s="104"/>
      <c r="AP808" s="104"/>
    </row>
    <row r="809">
      <c r="A809" s="132"/>
      <c r="B809" s="132"/>
      <c r="C809" s="132"/>
      <c r="D809" s="132"/>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c r="AE809" s="133"/>
      <c r="AF809" s="133"/>
      <c r="AG809" s="133"/>
      <c r="AH809" s="133"/>
      <c r="AI809" s="133"/>
      <c r="AJ809" s="133"/>
      <c r="AK809" s="133"/>
      <c r="AL809" s="132"/>
      <c r="AM809" s="132"/>
      <c r="AN809" s="104"/>
      <c r="AO809" s="104"/>
      <c r="AP809" s="104"/>
    </row>
    <row r="810">
      <c r="A810" s="132"/>
      <c r="B810" s="132"/>
      <c r="C810" s="132"/>
      <c r="D810" s="132"/>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c r="AE810" s="133"/>
      <c r="AF810" s="133"/>
      <c r="AG810" s="133"/>
      <c r="AH810" s="133"/>
      <c r="AI810" s="133"/>
      <c r="AJ810" s="133"/>
      <c r="AK810" s="133"/>
      <c r="AL810" s="132"/>
      <c r="AM810" s="132"/>
      <c r="AN810" s="104"/>
      <c r="AO810" s="104"/>
      <c r="AP810" s="104"/>
    </row>
    <row r="811">
      <c r="A811" s="132"/>
      <c r="B811" s="132"/>
      <c r="C811" s="132"/>
      <c r="D811" s="132"/>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c r="AE811" s="133"/>
      <c r="AF811" s="133"/>
      <c r="AG811" s="133"/>
      <c r="AH811" s="133"/>
      <c r="AI811" s="133"/>
      <c r="AJ811" s="133"/>
      <c r="AK811" s="133"/>
      <c r="AL811" s="132"/>
      <c r="AM811" s="132"/>
      <c r="AN811" s="104"/>
      <c r="AO811" s="104"/>
      <c r="AP811" s="104"/>
    </row>
    <row r="812">
      <c r="A812" s="132"/>
      <c r="B812" s="132"/>
      <c r="C812" s="132"/>
      <c r="D812" s="132"/>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c r="AE812" s="133"/>
      <c r="AF812" s="133"/>
      <c r="AG812" s="133"/>
      <c r="AH812" s="133"/>
      <c r="AI812" s="133"/>
      <c r="AJ812" s="133"/>
      <c r="AK812" s="133"/>
      <c r="AL812" s="132"/>
      <c r="AM812" s="132"/>
      <c r="AN812" s="104"/>
      <c r="AO812" s="104"/>
      <c r="AP812" s="104"/>
    </row>
    <row r="813">
      <c r="A813" s="132"/>
      <c r="B813" s="132"/>
      <c r="C813" s="132"/>
      <c r="D813" s="132"/>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c r="AC813" s="133"/>
      <c r="AD813" s="133"/>
      <c r="AE813" s="133"/>
      <c r="AF813" s="133"/>
      <c r="AG813" s="133"/>
      <c r="AH813" s="133"/>
      <c r="AI813" s="133"/>
      <c r="AJ813" s="133"/>
      <c r="AK813" s="133"/>
      <c r="AL813" s="132"/>
      <c r="AM813" s="132"/>
      <c r="AN813" s="104"/>
      <c r="AO813" s="104"/>
      <c r="AP813" s="104"/>
    </row>
    <row r="814">
      <c r="A814" s="132"/>
      <c r="B814" s="132"/>
      <c r="C814" s="132"/>
      <c r="D814" s="132"/>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c r="AC814" s="133"/>
      <c r="AD814" s="133"/>
      <c r="AE814" s="133"/>
      <c r="AF814" s="133"/>
      <c r="AG814" s="133"/>
      <c r="AH814" s="133"/>
      <c r="AI814" s="133"/>
      <c r="AJ814" s="133"/>
      <c r="AK814" s="133"/>
      <c r="AL814" s="132"/>
      <c r="AM814" s="132"/>
      <c r="AN814" s="104"/>
      <c r="AO814" s="104"/>
      <c r="AP814" s="104"/>
    </row>
    <row r="815">
      <c r="A815" s="132"/>
      <c r="B815" s="132"/>
      <c r="C815" s="132"/>
      <c r="D815" s="132"/>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c r="AC815" s="133"/>
      <c r="AD815" s="133"/>
      <c r="AE815" s="133"/>
      <c r="AF815" s="133"/>
      <c r="AG815" s="133"/>
      <c r="AH815" s="133"/>
      <c r="AI815" s="133"/>
      <c r="AJ815" s="133"/>
      <c r="AK815" s="133"/>
      <c r="AL815" s="132"/>
      <c r="AM815" s="132"/>
      <c r="AN815" s="104"/>
      <c r="AO815" s="104"/>
      <c r="AP815" s="104"/>
    </row>
    <row r="816">
      <c r="A816" s="132"/>
      <c r="B816" s="132"/>
      <c r="C816" s="132"/>
      <c r="D816" s="132"/>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c r="AC816" s="133"/>
      <c r="AD816" s="133"/>
      <c r="AE816" s="133"/>
      <c r="AF816" s="133"/>
      <c r="AG816" s="133"/>
      <c r="AH816" s="133"/>
      <c r="AI816" s="133"/>
      <c r="AJ816" s="133"/>
      <c r="AK816" s="133"/>
      <c r="AL816" s="132"/>
      <c r="AM816" s="132"/>
      <c r="AN816" s="104"/>
      <c r="AO816" s="104"/>
      <c r="AP816" s="104"/>
    </row>
    <row r="817">
      <c r="A817" s="132"/>
      <c r="B817" s="132"/>
      <c r="C817" s="132"/>
      <c r="D817" s="132"/>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c r="AC817" s="133"/>
      <c r="AD817" s="133"/>
      <c r="AE817" s="133"/>
      <c r="AF817" s="133"/>
      <c r="AG817" s="133"/>
      <c r="AH817" s="133"/>
      <c r="AI817" s="133"/>
      <c r="AJ817" s="133"/>
      <c r="AK817" s="133"/>
      <c r="AL817" s="132"/>
      <c r="AM817" s="132"/>
      <c r="AN817" s="104"/>
      <c r="AO817" s="104"/>
      <c r="AP817" s="104"/>
    </row>
    <row r="818">
      <c r="A818" s="132"/>
      <c r="B818" s="132"/>
      <c r="C818" s="132"/>
      <c r="D818" s="132"/>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c r="AC818" s="133"/>
      <c r="AD818" s="133"/>
      <c r="AE818" s="133"/>
      <c r="AF818" s="133"/>
      <c r="AG818" s="133"/>
      <c r="AH818" s="133"/>
      <c r="AI818" s="133"/>
      <c r="AJ818" s="133"/>
      <c r="AK818" s="133"/>
      <c r="AL818" s="132"/>
      <c r="AM818" s="132"/>
      <c r="AN818" s="104"/>
      <c r="AO818" s="104"/>
      <c r="AP818" s="104"/>
    </row>
    <row r="819">
      <c r="A819" s="132"/>
      <c r="B819" s="132"/>
      <c r="C819" s="132"/>
      <c r="D819" s="132"/>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c r="AC819" s="133"/>
      <c r="AD819" s="133"/>
      <c r="AE819" s="133"/>
      <c r="AF819" s="133"/>
      <c r="AG819" s="133"/>
      <c r="AH819" s="133"/>
      <c r="AI819" s="133"/>
      <c r="AJ819" s="133"/>
      <c r="AK819" s="133"/>
      <c r="AL819" s="132"/>
      <c r="AM819" s="132"/>
      <c r="AN819" s="104"/>
      <c r="AO819" s="104"/>
      <c r="AP819" s="104"/>
    </row>
    <row r="820">
      <c r="A820" s="132"/>
      <c r="B820" s="132"/>
      <c r="C820" s="132"/>
      <c r="D820" s="132"/>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c r="AC820" s="133"/>
      <c r="AD820" s="133"/>
      <c r="AE820" s="133"/>
      <c r="AF820" s="133"/>
      <c r="AG820" s="133"/>
      <c r="AH820" s="133"/>
      <c r="AI820" s="133"/>
      <c r="AJ820" s="133"/>
      <c r="AK820" s="133"/>
      <c r="AL820" s="132"/>
      <c r="AM820" s="132"/>
      <c r="AN820" s="104"/>
      <c r="AO820" s="104"/>
      <c r="AP820" s="104"/>
    </row>
    <row r="821">
      <c r="A821" s="132"/>
      <c r="B821" s="132"/>
      <c r="C821" s="132"/>
      <c r="D821" s="132"/>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c r="AE821" s="133"/>
      <c r="AF821" s="133"/>
      <c r="AG821" s="133"/>
      <c r="AH821" s="133"/>
      <c r="AI821" s="133"/>
      <c r="AJ821" s="133"/>
      <c r="AK821" s="133"/>
      <c r="AL821" s="132"/>
      <c r="AM821" s="132"/>
      <c r="AN821" s="104"/>
      <c r="AO821" s="104"/>
      <c r="AP821" s="104"/>
    </row>
    <row r="822">
      <c r="A822" s="132"/>
      <c r="B822" s="132"/>
      <c r="C822" s="132"/>
      <c r="D822" s="132"/>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c r="AE822" s="133"/>
      <c r="AF822" s="133"/>
      <c r="AG822" s="133"/>
      <c r="AH822" s="133"/>
      <c r="AI822" s="133"/>
      <c r="AJ822" s="133"/>
      <c r="AK822" s="133"/>
      <c r="AL822" s="132"/>
      <c r="AM822" s="132"/>
      <c r="AN822" s="104"/>
      <c r="AO822" s="104"/>
      <c r="AP822" s="104"/>
    </row>
    <row r="823">
      <c r="A823" s="132"/>
      <c r="B823" s="132"/>
      <c r="C823" s="132"/>
      <c r="D823" s="132"/>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c r="AC823" s="133"/>
      <c r="AD823" s="133"/>
      <c r="AE823" s="133"/>
      <c r="AF823" s="133"/>
      <c r="AG823" s="133"/>
      <c r="AH823" s="133"/>
      <c r="AI823" s="133"/>
      <c r="AJ823" s="133"/>
      <c r="AK823" s="133"/>
      <c r="AL823" s="132"/>
      <c r="AM823" s="132"/>
      <c r="AN823" s="104"/>
      <c r="AO823" s="104"/>
      <c r="AP823" s="104"/>
    </row>
    <row r="824">
      <c r="A824" s="132"/>
      <c r="B824" s="132"/>
      <c r="C824" s="132"/>
      <c r="D824" s="132"/>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c r="AC824" s="133"/>
      <c r="AD824" s="133"/>
      <c r="AE824" s="133"/>
      <c r="AF824" s="133"/>
      <c r="AG824" s="133"/>
      <c r="AH824" s="133"/>
      <c r="AI824" s="133"/>
      <c r="AJ824" s="133"/>
      <c r="AK824" s="133"/>
      <c r="AL824" s="132"/>
      <c r="AM824" s="132"/>
      <c r="AN824" s="104"/>
      <c r="AO824" s="104"/>
      <c r="AP824" s="104"/>
    </row>
    <row r="825">
      <c r="A825" s="132"/>
      <c r="B825" s="132"/>
      <c r="C825" s="132"/>
      <c r="D825" s="132"/>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c r="AC825" s="133"/>
      <c r="AD825" s="133"/>
      <c r="AE825" s="133"/>
      <c r="AF825" s="133"/>
      <c r="AG825" s="133"/>
      <c r="AH825" s="133"/>
      <c r="AI825" s="133"/>
      <c r="AJ825" s="133"/>
      <c r="AK825" s="133"/>
      <c r="AL825" s="132"/>
      <c r="AM825" s="132"/>
      <c r="AN825" s="104"/>
      <c r="AO825" s="104"/>
      <c r="AP825" s="104"/>
    </row>
    <row r="826">
      <c r="A826" s="132"/>
      <c r="B826" s="132"/>
      <c r="C826" s="132"/>
      <c r="D826" s="132"/>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c r="AC826" s="133"/>
      <c r="AD826" s="133"/>
      <c r="AE826" s="133"/>
      <c r="AF826" s="133"/>
      <c r="AG826" s="133"/>
      <c r="AH826" s="133"/>
      <c r="AI826" s="133"/>
      <c r="AJ826" s="133"/>
      <c r="AK826" s="133"/>
      <c r="AL826" s="132"/>
      <c r="AM826" s="132"/>
      <c r="AN826" s="104"/>
      <c r="AO826" s="104"/>
      <c r="AP826" s="104"/>
    </row>
    <row r="827">
      <c r="A827" s="132"/>
      <c r="B827" s="132"/>
      <c r="C827" s="132"/>
      <c r="D827" s="132"/>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c r="AC827" s="133"/>
      <c r="AD827" s="133"/>
      <c r="AE827" s="133"/>
      <c r="AF827" s="133"/>
      <c r="AG827" s="133"/>
      <c r="AH827" s="133"/>
      <c r="AI827" s="133"/>
      <c r="AJ827" s="133"/>
      <c r="AK827" s="133"/>
      <c r="AL827" s="132"/>
      <c r="AM827" s="132"/>
      <c r="AN827" s="104"/>
      <c r="AO827" s="104"/>
      <c r="AP827" s="104"/>
    </row>
    <row r="828">
      <c r="A828" s="132"/>
      <c r="B828" s="132"/>
      <c r="C828" s="132"/>
      <c r="D828" s="132"/>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c r="AC828" s="133"/>
      <c r="AD828" s="133"/>
      <c r="AE828" s="133"/>
      <c r="AF828" s="133"/>
      <c r="AG828" s="133"/>
      <c r="AH828" s="133"/>
      <c r="AI828" s="133"/>
      <c r="AJ828" s="133"/>
      <c r="AK828" s="133"/>
      <c r="AL828" s="132"/>
      <c r="AM828" s="132"/>
      <c r="AN828" s="104"/>
      <c r="AO828" s="104"/>
      <c r="AP828" s="104"/>
    </row>
    <row r="829">
      <c r="A829" s="132"/>
      <c r="B829" s="132"/>
      <c r="C829" s="132"/>
      <c r="D829" s="132"/>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c r="AC829" s="133"/>
      <c r="AD829" s="133"/>
      <c r="AE829" s="133"/>
      <c r="AF829" s="133"/>
      <c r="AG829" s="133"/>
      <c r="AH829" s="133"/>
      <c r="AI829" s="133"/>
      <c r="AJ829" s="133"/>
      <c r="AK829" s="133"/>
      <c r="AL829" s="132"/>
      <c r="AM829" s="132"/>
      <c r="AN829" s="104"/>
      <c r="AO829" s="104"/>
      <c r="AP829" s="104"/>
    </row>
    <row r="830">
      <c r="A830" s="132"/>
      <c r="B830" s="132"/>
      <c r="C830" s="132"/>
      <c r="D830" s="132"/>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c r="AC830" s="133"/>
      <c r="AD830" s="133"/>
      <c r="AE830" s="133"/>
      <c r="AF830" s="133"/>
      <c r="AG830" s="133"/>
      <c r="AH830" s="133"/>
      <c r="AI830" s="133"/>
      <c r="AJ830" s="133"/>
      <c r="AK830" s="133"/>
      <c r="AL830" s="132"/>
      <c r="AM830" s="132"/>
      <c r="AN830" s="104"/>
      <c r="AO830" s="104"/>
      <c r="AP830" s="104"/>
    </row>
    <row r="831">
      <c r="A831" s="132"/>
      <c r="B831" s="132"/>
      <c r="C831" s="132"/>
      <c r="D831" s="132"/>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c r="AC831" s="133"/>
      <c r="AD831" s="133"/>
      <c r="AE831" s="133"/>
      <c r="AF831" s="133"/>
      <c r="AG831" s="133"/>
      <c r="AH831" s="133"/>
      <c r="AI831" s="133"/>
      <c r="AJ831" s="133"/>
      <c r="AK831" s="133"/>
      <c r="AL831" s="132"/>
      <c r="AM831" s="132"/>
      <c r="AN831" s="104"/>
      <c r="AO831" s="104"/>
      <c r="AP831" s="104"/>
    </row>
    <row r="832">
      <c r="A832" s="132"/>
      <c r="B832" s="132"/>
      <c r="C832" s="132"/>
      <c r="D832" s="132"/>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c r="AC832" s="133"/>
      <c r="AD832" s="133"/>
      <c r="AE832" s="133"/>
      <c r="AF832" s="133"/>
      <c r="AG832" s="133"/>
      <c r="AH832" s="133"/>
      <c r="AI832" s="133"/>
      <c r="AJ832" s="133"/>
      <c r="AK832" s="133"/>
      <c r="AL832" s="132"/>
      <c r="AM832" s="132"/>
      <c r="AN832" s="104"/>
      <c r="AO832" s="104"/>
      <c r="AP832" s="104"/>
    </row>
    <row r="833">
      <c r="A833" s="132"/>
      <c r="B833" s="132"/>
      <c r="C833" s="132"/>
      <c r="D833" s="132"/>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c r="AC833" s="133"/>
      <c r="AD833" s="133"/>
      <c r="AE833" s="133"/>
      <c r="AF833" s="133"/>
      <c r="AG833" s="133"/>
      <c r="AH833" s="133"/>
      <c r="AI833" s="133"/>
      <c r="AJ833" s="133"/>
      <c r="AK833" s="133"/>
      <c r="AL833" s="132"/>
      <c r="AM833" s="132"/>
      <c r="AN833" s="104"/>
      <c r="AO833" s="104"/>
      <c r="AP833" s="104"/>
    </row>
    <row r="834">
      <c r="A834" s="132"/>
      <c r="B834" s="132"/>
      <c r="C834" s="132"/>
      <c r="D834" s="132"/>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c r="AC834" s="133"/>
      <c r="AD834" s="133"/>
      <c r="AE834" s="133"/>
      <c r="AF834" s="133"/>
      <c r="AG834" s="133"/>
      <c r="AH834" s="133"/>
      <c r="AI834" s="133"/>
      <c r="AJ834" s="133"/>
      <c r="AK834" s="133"/>
      <c r="AL834" s="132"/>
      <c r="AM834" s="132"/>
      <c r="AN834" s="104"/>
      <c r="AO834" s="104"/>
      <c r="AP834" s="104"/>
    </row>
    <row r="835">
      <c r="A835" s="132"/>
      <c r="B835" s="132"/>
      <c r="C835" s="132"/>
      <c r="D835" s="132"/>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c r="AC835" s="133"/>
      <c r="AD835" s="133"/>
      <c r="AE835" s="133"/>
      <c r="AF835" s="133"/>
      <c r="AG835" s="133"/>
      <c r="AH835" s="133"/>
      <c r="AI835" s="133"/>
      <c r="AJ835" s="133"/>
      <c r="AK835" s="133"/>
      <c r="AL835" s="132"/>
      <c r="AM835" s="132"/>
      <c r="AN835" s="104"/>
      <c r="AO835" s="104"/>
      <c r="AP835" s="104"/>
    </row>
    <row r="836">
      <c r="A836" s="132"/>
      <c r="B836" s="132"/>
      <c r="C836" s="132"/>
      <c r="D836" s="132"/>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c r="AC836" s="133"/>
      <c r="AD836" s="133"/>
      <c r="AE836" s="133"/>
      <c r="AF836" s="133"/>
      <c r="AG836" s="133"/>
      <c r="AH836" s="133"/>
      <c r="AI836" s="133"/>
      <c r="AJ836" s="133"/>
      <c r="AK836" s="133"/>
      <c r="AL836" s="132"/>
      <c r="AM836" s="132"/>
      <c r="AN836" s="104"/>
      <c r="AO836" s="104"/>
      <c r="AP836" s="104"/>
    </row>
    <row r="837">
      <c r="A837" s="132"/>
      <c r="B837" s="132"/>
      <c r="C837" s="132"/>
      <c r="D837" s="132"/>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c r="AC837" s="133"/>
      <c r="AD837" s="133"/>
      <c r="AE837" s="133"/>
      <c r="AF837" s="133"/>
      <c r="AG837" s="133"/>
      <c r="AH837" s="133"/>
      <c r="AI837" s="133"/>
      <c r="AJ837" s="133"/>
      <c r="AK837" s="133"/>
      <c r="AL837" s="132"/>
      <c r="AM837" s="132"/>
      <c r="AN837" s="104"/>
      <c r="AO837" s="104"/>
      <c r="AP837" s="104"/>
    </row>
    <row r="838">
      <c r="A838" s="132"/>
      <c r="B838" s="132"/>
      <c r="C838" s="132"/>
      <c r="D838" s="132"/>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c r="AC838" s="133"/>
      <c r="AD838" s="133"/>
      <c r="AE838" s="133"/>
      <c r="AF838" s="133"/>
      <c r="AG838" s="133"/>
      <c r="AH838" s="133"/>
      <c r="AI838" s="133"/>
      <c r="AJ838" s="133"/>
      <c r="AK838" s="133"/>
      <c r="AL838" s="132"/>
      <c r="AM838" s="132"/>
      <c r="AN838" s="104"/>
      <c r="AO838" s="104"/>
      <c r="AP838" s="104"/>
    </row>
    <row r="839">
      <c r="A839" s="132"/>
      <c r="B839" s="132"/>
      <c r="C839" s="132"/>
      <c r="D839" s="132"/>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c r="AC839" s="133"/>
      <c r="AD839" s="133"/>
      <c r="AE839" s="133"/>
      <c r="AF839" s="133"/>
      <c r="AG839" s="133"/>
      <c r="AH839" s="133"/>
      <c r="AI839" s="133"/>
      <c r="AJ839" s="133"/>
      <c r="AK839" s="133"/>
      <c r="AL839" s="132"/>
      <c r="AM839" s="132"/>
      <c r="AN839" s="104"/>
      <c r="AO839" s="104"/>
      <c r="AP839" s="104"/>
    </row>
    <row r="840">
      <c r="A840" s="132"/>
      <c r="B840" s="132"/>
      <c r="C840" s="132"/>
      <c r="D840" s="132"/>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c r="AC840" s="133"/>
      <c r="AD840" s="133"/>
      <c r="AE840" s="133"/>
      <c r="AF840" s="133"/>
      <c r="AG840" s="133"/>
      <c r="AH840" s="133"/>
      <c r="AI840" s="133"/>
      <c r="AJ840" s="133"/>
      <c r="AK840" s="133"/>
      <c r="AL840" s="132"/>
      <c r="AM840" s="132"/>
      <c r="AN840" s="104"/>
      <c r="AO840" s="104"/>
      <c r="AP840" s="104"/>
    </row>
    <row r="841">
      <c r="A841" s="132"/>
      <c r="B841" s="132"/>
      <c r="C841" s="132"/>
      <c r="D841" s="132"/>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c r="AC841" s="133"/>
      <c r="AD841" s="133"/>
      <c r="AE841" s="133"/>
      <c r="AF841" s="133"/>
      <c r="AG841" s="133"/>
      <c r="AH841" s="133"/>
      <c r="AI841" s="133"/>
      <c r="AJ841" s="133"/>
      <c r="AK841" s="133"/>
      <c r="AL841" s="132"/>
      <c r="AM841" s="132"/>
      <c r="AN841" s="104"/>
      <c r="AO841" s="104"/>
      <c r="AP841" s="104"/>
    </row>
    <row r="842">
      <c r="A842" s="132"/>
      <c r="B842" s="132"/>
      <c r="C842" s="132"/>
      <c r="D842" s="132"/>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c r="AC842" s="133"/>
      <c r="AD842" s="133"/>
      <c r="AE842" s="133"/>
      <c r="AF842" s="133"/>
      <c r="AG842" s="133"/>
      <c r="AH842" s="133"/>
      <c r="AI842" s="133"/>
      <c r="AJ842" s="133"/>
      <c r="AK842" s="133"/>
      <c r="AL842" s="132"/>
      <c r="AM842" s="132"/>
      <c r="AN842" s="104"/>
      <c r="AO842" s="104"/>
      <c r="AP842" s="104"/>
    </row>
    <row r="843">
      <c r="A843" s="132"/>
      <c r="B843" s="132"/>
      <c r="C843" s="132"/>
      <c r="D843" s="132"/>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c r="AC843" s="133"/>
      <c r="AD843" s="133"/>
      <c r="AE843" s="133"/>
      <c r="AF843" s="133"/>
      <c r="AG843" s="133"/>
      <c r="AH843" s="133"/>
      <c r="AI843" s="133"/>
      <c r="AJ843" s="133"/>
      <c r="AK843" s="133"/>
      <c r="AL843" s="132"/>
      <c r="AM843" s="132"/>
      <c r="AN843" s="104"/>
      <c r="AO843" s="104"/>
      <c r="AP843" s="104"/>
    </row>
    <row r="844">
      <c r="A844" s="132"/>
      <c r="B844" s="132"/>
      <c r="C844" s="132"/>
      <c r="D844" s="132"/>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c r="AE844" s="133"/>
      <c r="AF844" s="133"/>
      <c r="AG844" s="133"/>
      <c r="AH844" s="133"/>
      <c r="AI844" s="133"/>
      <c r="AJ844" s="133"/>
      <c r="AK844" s="133"/>
      <c r="AL844" s="132"/>
      <c r="AM844" s="132"/>
      <c r="AN844" s="104"/>
      <c r="AO844" s="104"/>
      <c r="AP844" s="104"/>
    </row>
    <row r="845">
      <c r="A845" s="132"/>
      <c r="B845" s="132"/>
      <c r="C845" s="132"/>
      <c r="D845" s="132"/>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c r="AE845" s="133"/>
      <c r="AF845" s="133"/>
      <c r="AG845" s="133"/>
      <c r="AH845" s="133"/>
      <c r="AI845" s="133"/>
      <c r="AJ845" s="133"/>
      <c r="AK845" s="133"/>
      <c r="AL845" s="132"/>
      <c r="AM845" s="132"/>
      <c r="AN845" s="104"/>
      <c r="AO845" s="104"/>
      <c r="AP845" s="104"/>
    </row>
    <row r="846">
      <c r="A846" s="132"/>
      <c r="B846" s="132"/>
      <c r="C846" s="132"/>
      <c r="D846" s="132"/>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c r="AE846" s="133"/>
      <c r="AF846" s="133"/>
      <c r="AG846" s="133"/>
      <c r="AH846" s="133"/>
      <c r="AI846" s="133"/>
      <c r="AJ846" s="133"/>
      <c r="AK846" s="133"/>
      <c r="AL846" s="132"/>
      <c r="AM846" s="132"/>
      <c r="AN846" s="104"/>
      <c r="AO846" s="104"/>
      <c r="AP846" s="104"/>
    </row>
    <row r="847">
      <c r="A847" s="132"/>
      <c r="B847" s="132"/>
      <c r="C847" s="132"/>
      <c r="D847" s="132"/>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c r="AE847" s="133"/>
      <c r="AF847" s="133"/>
      <c r="AG847" s="133"/>
      <c r="AH847" s="133"/>
      <c r="AI847" s="133"/>
      <c r="AJ847" s="133"/>
      <c r="AK847" s="133"/>
      <c r="AL847" s="132"/>
      <c r="AM847" s="132"/>
      <c r="AN847" s="104"/>
      <c r="AO847" s="104"/>
      <c r="AP847" s="104"/>
    </row>
    <row r="848">
      <c r="A848" s="132"/>
      <c r="B848" s="132"/>
      <c r="C848" s="132"/>
      <c r="D848" s="132"/>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c r="AE848" s="133"/>
      <c r="AF848" s="133"/>
      <c r="AG848" s="133"/>
      <c r="AH848" s="133"/>
      <c r="AI848" s="133"/>
      <c r="AJ848" s="133"/>
      <c r="AK848" s="133"/>
      <c r="AL848" s="132"/>
      <c r="AM848" s="132"/>
      <c r="AN848" s="104"/>
      <c r="AO848" s="104"/>
      <c r="AP848" s="104"/>
    </row>
    <row r="849">
      <c r="A849" s="132"/>
      <c r="B849" s="132"/>
      <c r="C849" s="132"/>
      <c r="D849" s="132"/>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c r="AC849" s="133"/>
      <c r="AD849" s="133"/>
      <c r="AE849" s="133"/>
      <c r="AF849" s="133"/>
      <c r="AG849" s="133"/>
      <c r="AH849" s="133"/>
      <c r="AI849" s="133"/>
      <c r="AJ849" s="133"/>
      <c r="AK849" s="133"/>
      <c r="AL849" s="132"/>
      <c r="AM849" s="132"/>
      <c r="AN849" s="104"/>
      <c r="AO849" s="104"/>
      <c r="AP849" s="104"/>
    </row>
    <row r="850">
      <c r="A850" s="132"/>
      <c r="B850" s="132"/>
      <c r="C850" s="132"/>
      <c r="D850" s="132"/>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c r="AC850" s="133"/>
      <c r="AD850" s="133"/>
      <c r="AE850" s="133"/>
      <c r="AF850" s="133"/>
      <c r="AG850" s="133"/>
      <c r="AH850" s="133"/>
      <c r="AI850" s="133"/>
      <c r="AJ850" s="133"/>
      <c r="AK850" s="133"/>
      <c r="AL850" s="132"/>
      <c r="AM850" s="132"/>
      <c r="AN850" s="104"/>
      <c r="AO850" s="104"/>
      <c r="AP850" s="104"/>
    </row>
    <row r="851">
      <c r="A851" s="132"/>
      <c r="B851" s="132"/>
      <c r="C851" s="132"/>
      <c r="D851" s="132"/>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c r="AC851" s="133"/>
      <c r="AD851" s="133"/>
      <c r="AE851" s="133"/>
      <c r="AF851" s="133"/>
      <c r="AG851" s="133"/>
      <c r="AH851" s="133"/>
      <c r="AI851" s="133"/>
      <c r="AJ851" s="133"/>
      <c r="AK851" s="133"/>
      <c r="AL851" s="132"/>
      <c r="AM851" s="132"/>
      <c r="AN851" s="104"/>
      <c r="AO851" s="104"/>
      <c r="AP851" s="104"/>
    </row>
    <row r="852">
      <c r="A852" s="132"/>
      <c r="B852" s="132"/>
      <c r="C852" s="132"/>
      <c r="D852" s="132"/>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c r="AC852" s="133"/>
      <c r="AD852" s="133"/>
      <c r="AE852" s="133"/>
      <c r="AF852" s="133"/>
      <c r="AG852" s="133"/>
      <c r="AH852" s="133"/>
      <c r="AI852" s="133"/>
      <c r="AJ852" s="133"/>
      <c r="AK852" s="133"/>
      <c r="AL852" s="132"/>
      <c r="AM852" s="132"/>
      <c r="AN852" s="104"/>
      <c r="AO852" s="104"/>
      <c r="AP852" s="104"/>
    </row>
    <row r="853">
      <c r="A853" s="132"/>
      <c r="B853" s="132"/>
      <c r="C853" s="132"/>
      <c r="D853" s="132"/>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c r="AC853" s="133"/>
      <c r="AD853" s="133"/>
      <c r="AE853" s="133"/>
      <c r="AF853" s="133"/>
      <c r="AG853" s="133"/>
      <c r="AH853" s="133"/>
      <c r="AI853" s="133"/>
      <c r="AJ853" s="133"/>
      <c r="AK853" s="133"/>
      <c r="AL853" s="132"/>
      <c r="AM853" s="132"/>
      <c r="AN853" s="104"/>
      <c r="AO853" s="104"/>
      <c r="AP853" s="104"/>
    </row>
    <row r="854">
      <c r="A854" s="132"/>
      <c r="B854" s="132"/>
      <c r="C854" s="132"/>
      <c r="D854" s="132"/>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c r="AC854" s="133"/>
      <c r="AD854" s="133"/>
      <c r="AE854" s="133"/>
      <c r="AF854" s="133"/>
      <c r="AG854" s="133"/>
      <c r="AH854" s="133"/>
      <c r="AI854" s="133"/>
      <c r="AJ854" s="133"/>
      <c r="AK854" s="133"/>
      <c r="AL854" s="132"/>
      <c r="AM854" s="132"/>
      <c r="AN854" s="104"/>
      <c r="AO854" s="104"/>
      <c r="AP854" s="104"/>
    </row>
    <row r="855">
      <c r="A855" s="132"/>
      <c r="B855" s="132"/>
      <c r="C855" s="132"/>
      <c r="D855" s="132"/>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c r="AC855" s="133"/>
      <c r="AD855" s="133"/>
      <c r="AE855" s="133"/>
      <c r="AF855" s="133"/>
      <c r="AG855" s="133"/>
      <c r="AH855" s="133"/>
      <c r="AI855" s="133"/>
      <c r="AJ855" s="133"/>
      <c r="AK855" s="133"/>
      <c r="AL855" s="132"/>
      <c r="AM855" s="132"/>
      <c r="AN855" s="104"/>
      <c r="AO855" s="104"/>
      <c r="AP855" s="104"/>
    </row>
    <row r="856">
      <c r="A856" s="132"/>
      <c r="B856" s="132"/>
      <c r="C856" s="132"/>
      <c r="D856" s="132"/>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c r="AC856" s="133"/>
      <c r="AD856" s="133"/>
      <c r="AE856" s="133"/>
      <c r="AF856" s="133"/>
      <c r="AG856" s="133"/>
      <c r="AH856" s="133"/>
      <c r="AI856" s="133"/>
      <c r="AJ856" s="133"/>
      <c r="AK856" s="133"/>
      <c r="AL856" s="132"/>
      <c r="AM856" s="132"/>
      <c r="AN856" s="104"/>
      <c r="AO856" s="104"/>
      <c r="AP856" s="104"/>
    </row>
    <row r="857">
      <c r="A857" s="132"/>
      <c r="B857" s="132"/>
      <c r="C857" s="132"/>
      <c r="D857" s="132"/>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c r="AC857" s="133"/>
      <c r="AD857" s="133"/>
      <c r="AE857" s="133"/>
      <c r="AF857" s="133"/>
      <c r="AG857" s="133"/>
      <c r="AH857" s="133"/>
      <c r="AI857" s="133"/>
      <c r="AJ857" s="133"/>
      <c r="AK857" s="133"/>
      <c r="AL857" s="132"/>
      <c r="AM857" s="132"/>
      <c r="AN857" s="104"/>
      <c r="AO857" s="104"/>
      <c r="AP857" s="104"/>
    </row>
    <row r="858">
      <c r="A858" s="132"/>
      <c r="B858" s="132"/>
      <c r="C858" s="132"/>
      <c r="D858" s="132"/>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c r="AC858" s="133"/>
      <c r="AD858" s="133"/>
      <c r="AE858" s="133"/>
      <c r="AF858" s="133"/>
      <c r="AG858" s="133"/>
      <c r="AH858" s="133"/>
      <c r="AI858" s="133"/>
      <c r="AJ858" s="133"/>
      <c r="AK858" s="133"/>
      <c r="AL858" s="132"/>
      <c r="AM858" s="132"/>
      <c r="AN858" s="104"/>
      <c r="AO858" s="104"/>
      <c r="AP858" s="104"/>
    </row>
    <row r="859">
      <c r="A859" s="132"/>
      <c r="B859" s="132"/>
      <c r="C859" s="132"/>
      <c r="D859" s="132"/>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c r="AC859" s="133"/>
      <c r="AD859" s="133"/>
      <c r="AE859" s="133"/>
      <c r="AF859" s="133"/>
      <c r="AG859" s="133"/>
      <c r="AH859" s="133"/>
      <c r="AI859" s="133"/>
      <c r="AJ859" s="133"/>
      <c r="AK859" s="133"/>
      <c r="AL859" s="132"/>
      <c r="AM859" s="132"/>
      <c r="AN859" s="104"/>
      <c r="AO859" s="104"/>
      <c r="AP859" s="104"/>
    </row>
    <row r="860">
      <c r="A860" s="132"/>
      <c r="B860" s="132"/>
      <c r="C860" s="132"/>
      <c r="D860" s="132"/>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c r="AC860" s="133"/>
      <c r="AD860" s="133"/>
      <c r="AE860" s="133"/>
      <c r="AF860" s="133"/>
      <c r="AG860" s="133"/>
      <c r="AH860" s="133"/>
      <c r="AI860" s="133"/>
      <c r="AJ860" s="133"/>
      <c r="AK860" s="133"/>
      <c r="AL860" s="132"/>
      <c r="AM860" s="132"/>
      <c r="AN860" s="104"/>
      <c r="AO860" s="104"/>
      <c r="AP860" s="104"/>
    </row>
    <row r="861">
      <c r="A861" s="132"/>
      <c r="B861" s="132"/>
      <c r="C861" s="132"/>
      <c r="D861" s="132"/>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c r="AC861" s="133"/>
      <c r="AD861" s="133"/>
      <c r="AE861" s="133"/>
      <c r="AF861" s="133"/>
      <c r="AG861" s="133"/>
      <c r="AH861" s="133"/>
      <c r="AI861" s="133"/>
      <c r="AJ861" s="133"/>
      <c r="AK861" s="133"/>
      <c r="AL861" s="132"/>
      <c r="AM861" s="132"/>
      <c r="AN861" s="104"/>
      <c r="AO861" s="104"/>
      <c r="AP861" s="104"/>
    </row>
    <row r="862">
      <c r="A862" s="132"/>
      <c r="B862" s="132"/>
      <c r="C862" s="132"/>
      <c r="D862" s="132"/>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c r="AC862" s="133"/>
      <c r="AD862" s="133"/>
      <c r="AE862" s="133"/>
      <c r="AF862" s="133"/>
      <c r="AG862" s="133"/>
      <c r="AH862" s="133"/>
      <c r="AI862" s="133"/>
      <c r="AJ862" s="133"/>
      <c r="AK862" s="133"/>
      <c r="AL862" s="132"/>
      <c r="AM862" s="132"/>
      <c r="AN862" s="104"/>
      <c r="AO862" s="104"/>
      <c r="AP862" s="104"/>
    </row>
    <row r="863">
      <c r="A863" s="132"/>
      <c r="B863" s="132"/>
      <c r="C863" s="132"/>
      <c r="D863" s="132"/>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c r="AC863" s="133"/>
      <c r="AD863" s="133"/>
      <c r="AE863" s="133"/>
      <c r="AF863" s="133"/>
      <c r="AG863" s="133"/>
      <c r="AH863" s="133"/>
      <c r="AI863" s="133"/>
      <c r="AJ863" s="133"/>
      <c r="AK863" s="133"/>
      <c r="AL863" s="132"/>
      <c r="AM863" s="132"/>
      <c r="AN863" s="104"/>
      <c r="AO863" s="104"/>
      <c r="AP863" s="104"/>
    </row>
    <row r="864">
      <c r="A864" s="132"/>
      <c r="B864" s="132"/>
      <c r="C864" s="132"/>
      <c r="D864" s="132"/>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c r="AC864" s="133"/>
      <c r="AD864" s="133"/>
      <c r="AE864" s="133"/>
      <c r="AF864" s="133"/>
      <c r="AG864" s="133"/>
      <c r="AH864" s="133"/>
      <c r="AI864" s="133"/>
      <c r="AJ864" s="133"/>
      <c r="AK864" s="133"/>
      <c r="AL864" s="132"/>
      <c r="AM864" s="132"/>
      <c r="AN864" s="104"/>
      <c r="AO864" s="104"/>
      <c r="AP864" s="104"/>
    </row>
    <row r="865">
      <c r="A865" s="132"/>
      <c r="B865" s="132"/>
      <c r="C865" s="132"/>
      <c r="D865" s="132"/>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c r="AC865" s="133"/>
      <c r="AD865" s="133"/>
      <c r="AE865" s="133"/>
      <c r="AF865" s="133"/>
      <c r="AG865" s="133"/>
      <c r="AH865" s="133"/>
      <c r="AI865" s="133"/>
      <c r="AJ865" s="133"/>
      <c r="AK865" s="133"/>
      <c r="AL865" s="132"/>
      <c r="AM865" s="132"/>
      <c r="AN865" s="104"/>
      <c r="AO865" s="104"/>
      <c r="AP865" s="104"/>
    </row>
    <row r="866">
      <c r="A866" s="132"/>
      <c r="B866" s="132"/>
      <c r="C866" s="132"/>
      <c r="D866" s="132"/>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c r="AA866" s="133"/>
      <c r="AB866" s="133"/>
      <c r="AC866" s="133"/>
      <c r="AD866" s="133"/>
      <c r="AE866" s="133"/>
      <c r="AF866" s="133"/>
      <c r="AG866" s="133"/>
      <c r="AH866" s="133"/>
      <c r="AI866" s="133"/>
      <c r="AJ866" s="133"/>
      <c r="AK866" s="133"/>
      <c r="AL866" s="132"/>
      <c r="AM866" s="132"/>
      <c r="AN866" s="104"/>
      <c r="AO866" s="104"/>
      <c r="AP866" s="104"/>
    </row>
    <row r="867">
      <c r="A867" s="132"/>
      <c r="B867" s="132"/>
      <c r="C867" s="132"/>
      <c r="D867" s="132"/>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c r="AA867" s="133"/>
      <c r="AB867" s="133"/>
      <c r="AC867" s="133"/>
      <c r="AD867" s="133"/>
      <c r="AE867" s="133"/>
      <c r="AF867" s="133"/>
      <c r="AG867" s="133"/>
      <c r="AH867" s="133"/>
      <c r="AI867" s="133"/>
      <c r="AJ867" s="133"/>
      <c r="AK867" s="133"/>
      <c r="AL867" s="132"/>
      <c r="AM867" s="132"/>
      <c r="AN867" s="104"/>
      <c r="AO867" s="104"/>
      <c r="AP867" s="104"/>
    </row>
    <row r="868">
      <c r="A868" s="132"/>
      <c r="B868" s="132"/>
      <c r="C868" s="132"/>
      <c r="D868" s="132"/>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c r="AA868" s="133"/>
      <c r="AB868" s="133"/>
      <c r="AC868" s="133"/>
      <c r="AD868" s="133"/>
      <c r="AE868" s="133"/>
      <c r="AF868" s="133"/>
      <c r="AG868" s="133"/>
      <c r="AH868" s="133"/>
      <c r="AI868" s="133"/>
      <c r="AJ868" s="133"/>
      <c r="AK868" s="133"/>
      <c r="AL868" s="132"/>
      <c r="AM868" s="132"/>
      <c r="AN868" s="104"/>
      <c r="AO868" s="104"/>
      <c r="AP868" s="104"/>
    </row>
    <row r="869">
      <c r="A869" s="132"/>
      <c r="B869" s="132"/>
      <c r="C869" s="132"/>
      <c r="D869" s="132"/>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c r="AA869" s="133"/>
      <c r="AB869" s="133"/>
      <c r="AC869" s="133"/>
      <c r="AD869" s="133"/>
      <c r="AE869" s="133"/>
      <c r="AF869" s="133"/>
      <c r="AG869" s="133"/>
      <c r="AH869" s="133"/>
      <c r="AI869" s="133"/>
      <c r="AJ869" s="133"/>
      <c r="AK869" s="133"/>
      <c r="AL869" s="132"/>
      <c r="AM869" s="132"/>
      <c r="AN869" s="104"/>
      <c r="AO869" s="104"/>
      <c r="AP869" s="104"/>
    </row>
    <row r="870">
      <c r="A870" s="132"/>
      <c r="B870" s="132"/>
      <c r="C870" s="132"/>
      <c r="D870" s="132"/>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c r="AA870" s="133"/>
      <c r="AB870" s="133"/>
      <c r="AC870" s="133"/>
      <c r="AD870" s="133"/>
      <c r="AE870" s="133"/>
      <c r="AF870" s="133"/>
      <c r="AG870" s="133"/>
      <c r="AH870" s="133"/>
      <c r="AI870" s="133"/>
      <c r="AJ870" s="133"/>
      <c r="AK870" s="133"/>
      <c r="AL870" s="132"/>
      <c r="AM870" s="132"/>
      <c r="AN870" s="104"/>
      <c r="AO870" s="104"/>
      <c r="AP870" s="104"/>
    </row>
    <row r="871">
      <c r="A871" s="132"/>
      <c r="B871" s="132"/>
      <c r="C871" s="132"/>
      <c r="D871" s="132"/>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c r="AA871" s="133"/>
      <c r="AB871" s="133"/>
      <c r="AC871" s="133"/>
      <c r="AD871" s="133"/>
      <c r="AE871" s="133"/>
      <c r="AF871" s="133"/>
      <c r="AG871" s="133"/>
      <c r="AH871" s="133"/>
      <c r="AI871" s="133"/>
      <c r="AJ871" s="133"/>
      <c r="AK871" s="133"/>
      <c r="AL871" s="132"/>
      <c r="AM871" s="132"/>
      <c r="AN871" s="104"/>
      <c r="AO871" s="104"/>
      <c r="AP871" s="104"/>
    </row>
    <row r="872">
      <c r="A872" s="132"/>
      <c r="B872" s="132"/>
      <c r="C872" s="132"/>
      <c r="D872" s="132"/>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c r="AA872" s="133"/>
      <c r="AB872" s="133"/>
      <c r="AC872" s="133"/>
      <c r="AD872" s="133"/>
      <c r="AE872" s="133"/>
      <c r="AF872" s="133"/>
      <c r="AG872" s="133"/>
      <c r="AH872" s="133"/>
      <c r="AI872" s="133"/>
      <c r="AJ872" s="133"/>
      <c r="AK872" s="133"/>
      <c r="AL872" s="132"/>
      <c r="AM872" s="132"/>
      <c r="AN872" s="104"/>
      <c r="AO872" s="104"/>
      <c r="AP872" s="104"/>
    </row>
    <row r="873">
      <c r="A873" s="132"/>
      <c r="B873" s="132"/>
      <c r="C873" s="132"/>
      <c r="D873" s="132"/>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c r="AA873" s="133"/>
      <c r="AB873" s="133"/>
      <c r="AC873" s="133"/>
      <c r="AD873" s="133"/>
      <c r="AE873" s="133"/>
      <c r="AF873" s="133"/>
      <c r="AG873" s="133"/>
      <c r="AH873" s="133"/>
      <c r="AI873" s="133"/>
      <c r="AJ873" s="133"/>
      <c r="AK873" s="133"/>
      <c r="AL873" s="132"/>
      <c r="AM873" s="132"/>
      <c r="AN873" s="104"/>
      <c r="AO873" s="104"/>
      <c r="AP873" s="104"/>
    </row>
    <row r="874">
      <c r="A874" s="132"/>
      <c r="B874" s="132"/>
      <c r="C874" s="132"/>
      <c r="D874" s="132"/>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c r="AC874" s="133"/>
      <c r="AD874" s="133"/>
      <c r="AE874" s="133"/>
      <c r="AF874" s="133"/>
      <c r="AG874" s="133"/>
      <c r="AH874" s="133"/>
      <c r="AI874" s="133"/>
      <c r="AJ874" s="133"/>
      <c r="AK874" s="133"/>
      <c r="AL874" s="132"/>
      <c r="AM874" s="132"/>
      <c r="AN874" s="104"/>
      <c r="AO874" s="104"/>
      <c r="AP874" s="104"/>
    </row>
    <row r="875">
      <c r="A875" s="132"/>
      <c r="B875" s="132"/>
      <c r="C875" s="132"/>
      <c r="D875" s="132"/>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c r="AA875" s="133"/>
      <c r="AB875" s="133"/>
      <c r="AC875" s="133"/>
      <c r="AD875" s="133"/>
      <c r="AE875" s="133"/>
      <c r="AF875" s="133"/>
      <c r="AG875" s="133"/>
      <c r="AH875" s="133"/>
      <c r="AI875" s="133"/>
      <c r="AJ875" s="133"/>
      <c r="AK875" s="133"/>
      <c r="AL875" s="132"/>
      <c r="AM875" s="132"/>
      <c r="AN875" s="104"/>
      <c r="AO875" s="104"/>
      <c r="AP875" s="104"/>
    </row>
    <row r="876">
      <c r="A876" s="132"/>
      <c r="B876" s="132"/>
      <c r="C876" s="132"/>
      <c r="D876" s="132"/>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c r="AA876" s="133"/>
      <c r="AB876" s="133"/>
      <c r="AC876" s="133"/>
      <c r="AD876" s="133"/>
      <c r="AE876" s="133"/>
      <c r="AF876" s="133"/>
      <c r="AG876" s="133"/>
      <c r="AH876" s="133"/>
      <c r="AI876" s="133"/>
      <c r="AJ876" s="133"/>
      <c r="AK876" s="133"/>
      <c r="AL876" s="132"/>
      <c r="AM876" s="132"/>
      <c r="AN876" s="104"/>
      <c r="AO876" s="104"/>
      <c r="AP876" s="104"/>
    </row>
    <row r="877">
      <c r="A877" s="132"/>
      <c r="B877" s="132"/>
      <c r="C877" s="132"/>
      <c r="D877" s="132"/>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c r="AA877" s="133"/>
      <c r="AB877" s="133"/>
      <c r="AC877" s="133"/>
      <c r="AD877" s="133"/>
      <c r="AE877" s="133"/>
      <c r="AF877" s="133"/>
      <c r="AG877" s="133"/>
      <c r="AH877" s="133"/>
      <c r="AI877" s="133"/>
      <c r="AJ877" s="133"/>
      <c r="AK877" s="133"/>
      <c r="AL877" s="132"/>
      <c r="AM877" s="132"/>
      <c r="AN877" s="104"/>
      <c r="AO877" s="104"/>
      <c r="AP877" s="104"/>
    </row>
    <row r="878">
      <c r="A878" s="132"/>
      <c r="B878" s="132"/>
      <c r="C878" s="132"/>
      <c r="D878" s="132"/>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c r="AA878" s="133"/>
      <c r="AB878" s="133"/>
      <c r="AC878" s="133"/>
      <c r="AD878" s="133"/>
      <c r="AE878" s="133"/>
      <c r="AF878" s="133"/>
      <c r="AG878" s="133"/>
      <c r="AH878" s="133"/>
      <c r="AI878" s="133"/>
      <c r="AJ878" s="133"/>
      <c r="AK878" s="133"/>
      <c r="AL878" s="132"/>
      <c r="AM878" s="132"/>
      <c r="AN878" s="104"/>
      <c r="AO878" s="104"/>
      <c r="AP878" s="104"/>
    </row>
    <row r="879">
      <c r="A879" s="132"/>
      <c r="B879" s="132"/>
      <c r="C879" s="132"/>
      <c r="D879" s="132"/>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c r="AA879" s="133"/>
      <c r="AB879" s="133"/>
      <c r="AC879" s="133"/>
      <c r="AD879" s="133"/>
      <c r="AE879" s="133"/>
      <c r="AF879" s="133"/>
      <c r="AG879" s="133"/>
      <c r="AH879" s="133"/>
      <c r="AI879" s="133"/>
      <c r="AJ879" s="133"/>
      <c r="AK879" s="133"/>
      <c r="AL879" s="132"/>
      <c r="AM879" s="132"/>
      <c r="AN879" s="104"/>
      <c r="AO879" s="104"/>
      <c r="AP879" s="104"/>
    </row>
    <row r="880">
      <c r="A880" s="132"/>
      <c r="B880" s="132"/>
      <c r="C880" s="132"/>
      <c r="D880" s="132"/>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c r="AA880" s="133"/>
      <c r="AB880" s="133"/>
      <c r="AC880" s="133"/>
      <c r="AD880" s="133"/>
      <c r="AE880" s="133"/>
      <c r="AF880" s="133"/>
      <c r="AG880" s="133"/>
      <c r="AH880" s="133"/>
      <c r="AI880" s="133"/>
      <c r="AJ880" s="133"/>
      <c r="AK880" s="133"/>
      <c r="AL880" s="132"/>
      <c r="AM880" s="132"/>
      <c r="AN880" s="104"/>
      <c r="AO880" s="104"/>
      <c r="AP880" s="104"/>
    </row>
    <row r="881">
      <c r="A881" s="132"/>
      <c r="B881" s="132"/>
      <c r="C881" s="132"/>
      <c r="D881" s="132"/>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c r="AA881" s="133"/>
      <c r="AB881" s="133"/>
      <c r="AC881" s="133"/>
      <c r="AD881" s="133"/>
      <c r="AE881" s="133"/>
      <c r="AF881" s="133"/>
      <c r="AG881" s="133"/>
      <c r="AH881" s="133"/>
      <c r="AI881" s="133"/>
      <c r="AJ881" s="133"/>
      <c r="AK881" s="133"/>
      <c r="AL881" s="132"/>
      <c r="AM881" s="132"/>
      <c r="AN881" s="104"/>
      <c r="AO881" s="104"/>
      <c r="AP881" s="104"/>
    </row>
    <row r="882">
      <c r="A882" s="132"/>
      <c r="B882" s="132"/>
      <c r="C882" s="132"/>
      <c r="D882" s="132"/>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c r="AA882" s="133"/>
      <c r="AB882" s="133"/>
      <c r="AC882" s="133"/>
      <c r="AD882" s="133"/>
      <c r="AE882" s="133"/>
      <c r="AF882" s="133"/>
      <c r="AG882" s="133"/>
      <c r="AH882" s="133"/>
      <c r="AI882" s="133"/>
      <c r="AJ882" s="133"/>
      <c r="AK882" s="133"/>
      <c r="AL882" s="132"/>
      <c r="AM882" s="132"/>
      <c r="AN882" s="104"/>
      <c r="AO882" s="104"/>
      <c r="AP882" s="104"/>
    </row>
    <row r="883">
      <c r="A883" s="132"/>
      <c r="B883" s="132"/>
      <c r="C883" s="132"/>
      <c r="D883" s="132"/>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c r="AA883" s="133"/>
      <c r="AB883" s="133"/>
      <c r="AC883" s="133"/>
      <c r="AD883" s="133"/>
      <c r="AE883" s="133"/>
      <c r="AF883" s="133"/>
      <c r="AG883" s="133"/>
      <c r="AH883" s="133"/>
      <c r="AI883" s="133"/>
      <c r="AJ883" s="133"/>
      <c r="AK883" s="133"/>
      <c r="AL883" s="132"/>
      <c r="AM883" s="132"/>
      <c r="AN883" s="104"/>
      <c r="AO883" s="104"/>
      <c r="AP883" s="104"/>
    </row>
    <row r="884">
      <c r="A884" s="132"/>
      <c r="B884" s="132"/>
      <c r="C884" s="132"/>
      <c r="D884" s="132"/>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c r="AA884" s="133"/>
      <c r="AB884" s="133"/>
      <c r="AC884" s="133"/>
      <c r="AD884" s="133"/>
      <c r="AE884" s="133"/>
      <c r="AF884" s="133"/>
      <c r="AG884" s="133"/>
      <c r="AH884" s="133"/>
      <c r="AI884" s="133"/>
      <c r="AJ884" s="133"/>
      <c r="AK884" s="133"/>
      <c r="AL884" s="132"/>
      <c r="AM884" s="132"/>
      <c r="AN884" s="104"/>
      <c r="AO884" s="104"/>
      <c r="AP884" s="104"/>
    </row>
    <row r="885">
      <c r="A885" s="132"/>
      <c r="B885" s="132"/>
      <c r="C885" s="132"/>
      <c r="D885" s="132"/>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c r="AA885" s="133"/>
      <c r="AB885" s="133"/>
      <c r="AC885" s="133"/>
      <c r="AD885" s="133"/>
      <c r="AE885" s="133"/>
      <c r="AF885" s="133"/>
      <c r="AG885" s="133"/>
      <c r="AH885" s="133"/>
      <c r="AI885" s="133"/>
      <c r="AJ885" s="133"/>
      <c r="AK885" s="133"/>
      <c r="AL885" s="132"/>
      <c r="AM885" s="132"/>
      <c r="AN885" s="104"/>
      <c r="AO885" s="104"/>
      <c r="AP885" s="104"/>
    </row>
    <row r="886">
      <c r="A886" s="132"/>
      <c r="B886" s="132"/>
      <c r="C886" s="132"/>
      <c r="D886" s="132"/>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c r="AA886" s="133"/>
      <c r="AB886" s="133"/>
      <c r="AC886" s="133"/>
      <c r="AD886" s="133"/>
      <c r="AE886" s="133"/>
      <c r="AF886" s="133"/>
      <c r="AG886" s="133"/>
      <c r="AH886" s="133"/>
      <c r="AI886" s="133"/>
      <c r="AJ886" s="133"/>
      <c r="AK886" s="133"/>
      <c r="AL886" s="132"/>
      <c r="AM886" s="132"/>
      <c r="AN886" s="104"/>
      <c r="AO886" s="104"/>
      <c r="AP886" s="104"/>
    </row>
    <row r="887">
      <c r="A887" s="132"/>
      <c r="B887" s="132"/>
      <c r="C887" s="132"/>
      <c r="D887" s="132"/>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c r="AC887" s="133"/>
      <c r="AD887" s="133"/>
      <c r="AE887" s="133"/>
      <c r="AF887" s="133"/>
      <c r="AG887" s="133"/>
      <c r="AH887" s="133"/>
      <c r="AI887" s="133"/>
      <c r="AJ887" s="133"/>
      <c r="AK887" s="133"/>
      <c r="AL887" s="132"/>
      <c r="AM887" s="132"/>
      <c r="AN887" s="104"/>
      <c r="AO887" s="104"/>
      <c r="AP887" s="104"/>
    </row>
    <row r="888">
      <c r="A888" s="132"/>
      <c r="B888" s="132"/>
      <c r="C888" s="132"/>
      <c r="D888" s="132"/>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c r="AA888" s="133"/>
      <c r="AB888" s="133"/>
      <c r="AC888" s="133"/>
      <c r="AD888" s="133"/>
      <c r="AE888" s="133"/>
      <c r="AF888" s="133"/>
      <c r="AG888" s="133"/>
      <c r="AH888" s="133"/>
      <c r="AI888" s="133"/>
      <c r="AJ888" s="133"/>
      <c r="AK888" s="133"/>
      <c r="AL888" s="132"/>
      <c r="AM888" s="132"/>
      <c r="AN888" s="104"/>
      <c r="AO888" s="104"/>
      <c r="AP888" s="104"/>
    </row>
    <row r="889">
      <c r="A889" s="132"/>
      <c r="B889" s="132"/>
      <c r="C889" s="132"/>
      <c r="D889" s="132"/>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c r="AA889" s="133"/>
      <c r="AB889" s="133"/>
      <c r="AC889" s="133"/>
      <c r="AD889" s="133"/>
      <c r="AE889" s="133"/>
      <c r="AF889" s="133"/>
      <c r="AG889" s="133"/>
      <c r="AH889" s="133"/>
      <c r="AI889" s="133"/>
      <c r="AJ889" s="133"/>
      <c r="AK889" s="133"/>
      <c r="AL889" s="132"/>
      <c r="AM889" s="132"/>
      <c r="AN889" s="104"/>
      <c r="AO889" s="104"/>
      <c r="AP889" s="104"/>
    </row>
    <row r="890">
      <c r="A890" s="132"/>
      <c r="B890" s="132"/>
      <c r="C890" s="132"/>
      <c r="D890" s="132"/>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c r="AA890" s="133"/>
      <c r="AB890" s="133"/>
      <c r="AC890" s="133"/>
      <c r="AD890" s="133"/>
      <c r="AE890" s="133"/>
      <c r="AF890" s="133"/>
      <c r="AG890" s="133"/>
      <c r="AH890" s="133"/>
      <c r="AI890" s="133"/>
      <c r="AJ890" s="133"/>
      <c r="AK890" s="133"/>
      <c r="AL890" s="132"/>
      <c r="AM890" s="132"/>
      <c r="AN890" s="104"/>
      <c r="AO890" s="104"/>
      <c r="AP890" s="104"/>
    </row>
    <row r="891">
      <c r="A891" s="132"/>
      <c r="B891" s="132"/>
      <c r="C891" s="132"/>
      <c r="D891" s="132"/>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c r="AC891" s="133"/>
      <c r="AD891" s="133"/>
      <c r="AE891" s="133"/>
      <c r="AF891" s="133"/>
      <c r="AG891" s="133"/>
      <c r="AH891" s="133"/>
      <c r="AI891" s="133"/>
      <c r="AJ891" s="133"/>
      <c r="AK891" s="133"/>
      <c r="AL891" s="132"/>
      <c r="AM891" s="132"/>
      <c r="AN891" s="104"/>
      <c r="AO891" s="104"/>
      <c r="AP891" s="104"/>
    </row>
    <row r="892">
      <c r="A892" s="132"/>
      <c r="B892" s="132"/>
      <c r="C892" s="132"/>
      <c r="D892" s="132"/>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c r="AA892" s="133"/>
      <c r="AB892" s="133"/>
      <c r="AC892" s="133"/>
      <c r="AD892" s="133"/>
      <c r="AE892" s="133"/>
      <c r="AF892" s="133"/>
      <c r="AG892" s="133"/>
      <c r="AH892" s="133"/>
      <c r="AI892" s="133"/>
      <c r="AJ892" s="133"/>
      <c r="AK892" s="133"/>
      <c r="AL892" s="132"/>
      <c r="AM892" s="132"/>
      <c r="AN892" s="104"/>
      <c r="AO892" s="104"/>
      <c r="AP892" s="104"/>
    </row>
    <row r="893">
      <c r="A893" s="132"/>
      <c r="B893" s="132"/>
      <c r="C893" s="132"/>
      <c r="D893" s="132"/>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c r="AA893" s="133"/>
      <c r="AB893" s="133"/>
      <c r="AC893" s="133"/>
      <c r="AD893" s="133"/>
      <c r="AE893" s="133"/>
      <c r="AF893" s="133"/>
      <c r="AG893" s="133"/>
      <c r="AH893" s="133"/>
      <c r="AI893" s="133"/>
      <c r="AJ893" s="133"/>
      <c r="AK893" s="133"/>
      <c r="AL893" s="132"/>
      <c r="AM893" s="132"/>
      <c r="AN893" s="104"/>
      <c r="AO893" s="104"/>
      <c r="AP893" s="104"/>
    </row>
    <row r="894">
      <c r="A894" s="132"/>
      <c r="B894" s="132"/>
      <c r="C894" s="132"/>
      <c r="D894" s="132"/>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c r="AA894" s="133"/>
      <c r="AB894" s="133"/>
      <c r="AC894" s="133"/>
      <c r="AD894" s="133"/>
      <c r="AE894" s="133"/>
      <c r="AF894" s="133"/>
      <c r="AG894" s="133"/>
      <c r="AH894" s="133"/>
      <c r="AI894" s="133"/>
      <c r="AJ894" s="133"/>
      <c r="AK894" s="133"/>
      <c r="AL894" s="132"/>
      <c r="AM894" s="132"/>
      <c r="AN894" s="104"/>
      <c r="AO894" s="104"/>
      <c r="AP894" s="104"/>
    </row>
    <row r="895">
      <c r="A895" s="132"/>
      <c r="B895" s="132"/>
      <c r="C895" s="132"/>
      <c r="D895" s="132"/>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c r="AA895" s="133"/>
      <c r="AB895" s="133"/>
      <c r="AC895" s="133"/>
      <c r="AD895" s="133"/>
      <c r="AE895" s="133"/>
      <c r="AF895" s="133"/>
      <c r="AG895" s="133"/>
      <c r="AH895" s="133"/>
      <c r="AI895" s="133"/>
      <c r="AJ895" s="133"/>
      <c r="AK895" s="133"/>
      <c r="AL895" s="132"/>
      <c r="AM895" s="132"/>
      <c r="AN895" s="104"/>
      <c r="AO895" s="104"/>
      <c r="AP895" s="104"/>
    </row>
    <row r="896">
      <c r="A896" s="132"/>
      <c r="B896" s="132"/>
      <c r="C896" s="132"/>
      <c r="D896" s="132"/>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c r="AA896" s="133"/>
      <c r="AB896" s="133"/>
      <c r="AC896" s="133"/>
      <c r="AD896" s="133"/>
      <c r="AE896" s="133"/>
      <c r="AF896" s="133"/>
      <c r="AG896" s="133"/>
      <c r="AH896" s="133"/>
      <c r="AI896" s="133"/>
      <c r="AJ896" s="133"/>
      <c r="AK896" s="133"/>
      <c r="AL896" s="132"/>
      <c r="AM896" s="132"/>
      <c r="AN896" s="104"/>
      <c r="AO896" s="104"/>
      <c r="AP896" s="104"/>
    </row>
    <row r="897">
      <c r="A897" s="132"/>
      <c r="B897" s="132"/>
      <c r="C897" s="132"/>
      <c r="D897" s="132"/>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c r="AA897" s="133"/>
      <c r="AB897" s="133"/>
      <c r="AC897" s="133"/>
      <c r="AD897" s="133"/>
      <c r="AE897" s="133"/>
      <c r="AF897" s="133"/>
      <c r="AG897" s="133"/>
      <c r="AH897" s="133"/>
      <c r="AI897" s="133"/>
      <c r="AJ897" s="133"/>
      <c r="AK897" s="133"/>
      <c r="AL897" s="132"/>
      <c r="AM897" s="132"/>
      <c r="AN897" s="104"/>
      <c r="AO897" s="104"/>
      <c r="AP897" s="104"/>
    </row>
    <row r="898">
      <c r="A898" s="132"/>
      <c r="B898" s="132"/>
      <c r="C898" s="132"/>
      <c r="D898" s="132"/>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c r="AA898" s="133"/>
      <c r="AB898" s="133"/>
      <c r="AC898" s="133"/>
      <c r="AD898" s="133"/>
      <c r="AE898" s="133"/>
      <c r="AF898" s="133"/>
      <c r="AG898" s="133"/>
      <c r="AH898" s="133"/>
      <c r="AI898" s="133"/>
      <c r="AJ898" s="133"/>
      <c r="AK898" s="133"/>
      <c r="AL898" s="132"/>
      <c r="AM898" s="132"/>
      <c r="AN898" s="104"/>
      <c r="AO898" s="104"/>
      <c r="AP898" s="104"/>
    </row>
    <row r="899">
      <c r="A899" s="132"/>
      <c r="B899" s="132"/>
      <c r="C899" s="132"/>
      <c r="D899" s="132"/>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c r="AA899" s="133"/>
      <c r="AB899" s="133"/>
      <c r="AC899" s="133"/>
      <c r="AD899" s="133"/>
      <c r="AE899" s="133"/>
      <c r="AF899" s="133"/>
      <c r="AG899" s="133"/>
      <c r="AH899" s="133"/>
      <c r="AI899" s="133"/>
      <c r="AJ899" s="133"/>
      <c r="AK899" s="133"/>
      <c r="AL899" s="132"/>
      <c r="AM899" s="132"/>
      <c r="AN899" s="104"/>
      <c r="AO899" s="104"/>
      <c r="AP899" s="104"/>
    </row>
    <row r="900">
      <c r="A900" s="132"/>
      <c r="B900" s="132"/>
      <c r="C900" s="132"/>
      <c r="D900" s="132"/>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c r="AC900" s="133"/>
      <c r="AD900" s="133"/>
      <c r="AE900" s="133"/>
      <c r="AF900" s="133"/>
      <c r="AG900" s="133"/>
      <c r="AH900" s="133"/>
      <c r="AI900" s="133"/>
      <c r="AJ900" s="133"/>
      <c r="AK900" s="133"/>
      <c r="AL900" s="132"/>
      <c r="AM900" s="132"/>
      <c r="AN900" s="104"/>
      <c r="AO900" s="104"/>
      <c r="AP900" s="104"/>
    </row>
    <row r="901">
      <c r="A901" s="132"/>
      <c r="B901" s="132"/>
      <c r="C901" s="132"/>
      <c r="D901" s="132"/>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c r="AC901" s="133"/>
      <c r="AD901" s="133"/>
      <c r="AE901" s="133"/>
      <c r="AF901" s="133"/>
      <c r="AG901" s="133"/>
      <c r="AH901" s="133"/>
      <c r="AI901" s="133"/>
      <c r="AJ901" s="133"/>
      <c r="AK901" s="133"/>
      <c r="AL901" s="132"/>
      <c r="AM901" s="132"/>
      <c r="AN901" s="104"/>
      <c r="AO901" s="104"/>
      <c r="AP901" s="104"/>
    </row>
    <row r="902">
      <c r="A902" s="132"/>
      <c r="B902" s="132"/>
      <c r="C902" s="132"/>
      <c r="D902" s="132"/>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c r="AC902" s="133"/>
      <c r="AD902" s="133"/>
      <c r="AE902" s="133"/>
      <c r="AF902" s="133"/>
      <c r="AG902" s="133"/>
      <c r="AH902" s="133"/>
      <c r="AI902" s="133"/>
      <c r="AJ902" s="133"/>
      <c r="AK902" s="133"/>
      <c r="AL902" s="132"/>
      <c r="AM902" s="132"/>
      <c r="AN902" s="104"/>
      <c r="AO902" s="104"/>
      <c r="AP902" s="104"/>
    </row>
    <row r="903">
      <c r="A903" s="132"/>
      <c r="B903" s="132"/>
      <c r="C903" s="132"/>
      <c r="D903" s="132"/>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c r="AC903" s="133"/>
      <c r="AD903" s="133"/>
      <c r="AE903" s="133"/>
      <c r="AF903" s="133"/>
      <c r="AG903" s="133"/>
      <c r="AH903" s="133"/>
      <c r="AI903" s="133"/>
      <c r="AJ903" s="133"/>
      <c r="AK903" s="133"/>
      <c r="AL903" s="132"/>
      <c r="AM903" s="132"/>
      <c r="AN903" s="104"/>
      <c r="AO903" s="104"/>
      <c r="AP903" s="104"/>
    </row>
    <row r="904">
      <c r="A904" s="132"/>
      <c r="B904" s="132"/>
      <c r="C904" s="132"/>
      <c r="D904" s="132"/>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c r="AC904" s="133"/>
      <c r="AD904" s="133"/>
      <c r="AE904" s="133"/>
      <c r="AF904" s="133"/>
      <c r="AG904" s="133"/>
      <c r="AH904" s="133"/>
      <c r="AI904" s="133"/>
      <c r="AJ904" s="133"/>
      <c r="AK904" s="133"/>
      <c r="AL904" s="132"/>
      <c r="AM904" s="132"/>
      <c r="AN904" s="104"/>
      <c r="AO904" s="104"/>
      <c r="AP904" s="104"/>
    </row>
    <row r="905">
      <c r="A905" s="132"/>
      <c r="B905" s="132"/>
      <c r="C905" s="132"/>
      <c r="D905" s="132"/>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c r="AC905" s="133"/>
      <c r="AD905" s="133"/>
      <c r="AE905" s="133"/>
      <c r="AF905" s="133"/>
      <c r="AG905" s="133"/>
      <c r="AH905" s="133"/>
      <c r="AI905" s="133"/>
      <c r="AJ905" s="133"/>
      <c r="AK905" s="133"/>
      <c r="AL905" s="132"/>
      <c r="AM905" s="132"/>
      <c r="AN905" s="104"/>
      <c r="AO905" s="104"/>
      <c r="AP905" s="104"/>
    </row>
    <row r="906">
      <c r="A906" s="132"/>
      <c r="B906" s="132"/>
      <c r="C906" s="132"/>
      <c r="D906" s="132"/>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c r="AG906" s="133"/>
      <c r="AH906" s="133"/>
      <c r="AI906" s="133"/>
      <c r="AJ906" s="133"/>
      <c r="AK906" s="133"/>
      <c r="AL906" s="132"/>
      <c r="AM906" s="132"/>
      <c r="AN906" s="104"/>
      <c r="AO906" s="104"/>
      <c r="AP906" s="104"/>
    </row>
    <row r="907">
      <c r="A907" s="132"/>
      <c r="B907" s="132"/>
      <c r="C907" s="132"/>
      <c r="D907" s="132"/>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c r="AC907" s="133"/>
      <c r="AD907" s="133"/>
      <c r="AE907" s="133"/>
      <c r="AF907" s="133"/>
      <c r="AG907" s="133"/>
      <c r="AH907" s="133"/>
      <c r="AI907" s="133"/>
      <c r="AJ907" s="133"/>
      <c r="AK907" s="133"/>
      <c r="AL907" s="132"/>
      <c r="AM907" s="132"/>
      <c r="AN907" s="104"/>
      <c r="AO907" s="104"/>
      <c r="AP907" s="104"/>
    </row>
    <row r="908">
      <c r="A908" s="132"/>
      <c r="B908" s="132"/>
      <c r="C908" s="132"/>
      <c r="D908" s="132"/>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c r="AC908" s="133"/>
      <c r="AD908" s="133"/>
      <c r="AE908" s="133"/>
      <c r="AF908" s="133"/>
      <c r="AG908" s="133"/>
      <c r="AH908" s="133"/>
      <c r="AI908" s="133"/>
      <c r="AJ908" s="133"/>
      <c r="AK908" s="133"/>
      <c r="AL908" s="132"/>
      <c r="AM908" s="132"/>
      <c r="AN908" s="104"/>
      <c r="AO908" s="104"/>
      <c r="AP908" s="104"/>
    </row>
    <row r="909">
      <c r="A909" s="132"/>
      <c r="B909" s="132"/>
      <c r="C909" s="132"/>
      <c r="D909" s="132"/>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c r="AC909" s="133"/>
      <c r="AD909" s="133"/>
      <c r="AE909" s="133"/>
      <c r="AF909" s="133"/>
      <c r="AG909" s="133"/>
      <c r="AH909" s="133"/>
      <c r="AI909" s="133"/>
      <c r="AJ909" s="133"/>
      <c r="AK909" s="133"/>
      <c r="AL909" s="132"/>
      <c r="AM909" s="132"/>
      <c r="AN909" s="104"/>
      <c r="AO909" s="104"/>
      <c r="AP909" s="104"/>
    </row>
    <row r="910">
      <c r="A910" s="132"/>
      <c r="B910" s="132"/>
      <c r="C910" s="132"/>
      <c r="D910" s="132"/>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c r="AC910" s="133"/>
      <c r="AD910" s="133"/>
      <c r="AE910" s="133"/>
      <c r="AF910" s="133"/>
      <c r="AG910" s="133"/>
      <c r="AH910" s="133"/>
      <c r="AI910" s="133"/>
      <c r="AJ910" s="133"/>
      <c r="AK910" s="133"/>
      <c r="AL910" s="132"/>
      <c r="AM910" s="132"/>
      <c r="AN910" s="104"/>
      <c r="AO910" s="104"/>
      <c r="AP910" s="104"/>
    </row>
    <row r="911">
      <c r="A911" s="132"/>
      <c r="B911" s="132"/>
      <c r="C911" s="132"/>
      <c r="D911" s="132"/>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c r="AC911" s="133"/>
      <c r="AD911" s="133"/>
      <c r="AE911" s="133"/>
      <c r="AF911" s="133"/>
      <c r="AG911" s="133"/>
      <c r="AH911" s="133"/>
      <c r="AI911" s="133"/>
      <c r="AJ911" s="133"/>
      <c r="AK911" s="133"/>
      <c r="AL911" s="132"/>
      <c r="AM911" s="132"/>
      <c r="AN911" s="104"/>
      <c r="AO911" s="104"/>
      <c r="AP911" s="104"/>
    </row>
    <row r="912">
      <c r="A912" s="132"/>
      <c r="B912" s="132"/>
      <c r="C912" s="132"/>
      <c r="D912" s="132"/>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c r="AC912" s="133"/>
      <c r="AD912" s="133"/>
      <c r="AE912" s="133"/>
      <c r="AF912" s="133"/>
      <c r="AG912" s="133"/>
      <c r="AH912" s="133"/>
      <c r="AI912" s="133"/>
      <c r="AJ912" s="133"/>
      <c r="AK912" s="133"/>
      <c r="AL912" s="132"/>
      <c r="AM912" s="132"/>
      <c r="AN912" s="104"/>
      <c r="AO912" s="104"/>
      <c r="AP912" s="104"/>
    </row>
    <row r="913">
      <c r="A913" s="132"/>
      <c r="B913" s="132"/>
      <c r="C913" s="132"/>
      <c r="D913" s="132"/>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c r="AC913" s="133"/>
      <c r="AD913" s="133"/>
      <c r="AE913" s="133"/>
      <c r="AF913" s="133"/>
      <c r="AG913" s="133"/>
      <c r="AH913" s="133"/>
      <c r="AI913" s="133"/>
      <c r="AJ913" s="133"/>
      <c r="AK913" s="133"/>
      <c r="AL913" s="132"/>
      <c r="AM913" s="132"/>
      <c r="AN913" s="104"/>
      <c r="AO913" s="104"/>
      <c r="AP913" s="104"/>
    </row>
    <row r="914">
      <c r="A914" s="132"/>
      <c r="B914" s="132"/>
      <c r="C914" s="132"/>
      <c r="D914" s="132"/>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c r="AC914" s="133"/>
      <c r="AD914" s="133"/>
      <c r="AE914" s="133"/>
      <c r="AF914" s="133"/>
      <c r="AG914" s="133"/>
      <c r="AH914" s="133"/>
      <c r="AI914" s="133"/>
      <c r="AJ914" s="133"/>
      <c r="AK914" s="133"/>
      <c r="AL914" s="132"/>
      <c r="AM914" s="132"/>
      <c r="AN914" s="104"/>
      <c r="AO914" s="104"/>
      <c r="AP914" s="104"/>
    </row>
    <row r="915">
      <c r="A915" s="132"/>
      <c r="B915" s="132"/>
      <c r="C915" s="132"/>
      <c r="D915" s="132"/>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c r="AC915" s="133"/>
      <c r="AD915" s="133"/>
      <c r="AE915" s="133"/>
      <c r="AF915" s="133"/>
      <c r="AG915" s="133"/>
      <c r="AH915" s="133"/>
      <c r="AI915" s="133"/>
      <c r="AJ915" s="133"/>
      <c r="AK915" s="133"/>
      <c r="AL915" s="132"/>
      <c r="AM915" s="132"/>
      <c r="AN915" s="104"/>
      <c r="AO915" s="104"/>
      <c r="AP915" s="104"/>
    </row>
    <row r="916">
      <c r="A916" s="132"/>
      <c r="B916" s="132"/>
      <c r="C916" s="132"/>
      <c r="D916" s="132"/>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c r="AC916" s="133"/>
      <c r="AD916" s="133"/>
      <c r="AE916" s="133"/>
      <c r="AF916" s="133"/>
      <c r="AG916" s="133"/>
      <c r="AH916" s="133"/>
      <c r="AI916" s="133"/>
      <c r="AJ916" s="133"/>
      <c r="AK916" s="133"/>
      <c r="AL916" s="132"/>
      <c r="AM916" s="132"/>
      <c r="AN916" s="104"/>
      <c r="AO916" s="104"/>
      <c r="AP916" s="104"/>
    </row>
    <row r="917">
      <c r="A917" s="132"/>
      <c r="B917" s="132"/>
      <c r="C917" s="132"/>
      <c r="D917" s="132"/>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c r="AC917" s="133"/>
      <c r="AD917" s="133"/>
      <c r="AE917" s="133"/>
      <c r="AF917" s="133"/>
      <c r="AG917" s="133"/>
      <c r="AH917" s="133"/>
      <c r="AI917" s="133"/>
      <c r="AJ917" s="133"/>
      <c r="AK917" s="133"/>
      <c r="AL917" s="132"/>
      <c r="AM917" s="132"/>
      <c r="AN917" s="104"/>
      <c r="AO917" s="104"/>
      <c r="AP917" s="104"/>
    </row>
    <row r="918">
      <c r="A918" s="132"/>
      <c r="B918" s="132"/>
      <c r="C918" s="132"/>
      <c r="D918" s="132"/>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c r="AC918" s="133"/>
      <c r="AD918" s="133"/>
      <c r="AE918" s="133"/>
      <c r="AF918" s="133"/>
      <c r="AG918" s="133"/>
      <c r="AH918" s="133"/>
      <c r="AI918" s="133"/>
      <c r="AJ918" s="133"/>
      <c r="AK918" s="133"/>
      <c r="AL918" s="132"/>
      <c r="AM918" s="132"/>
      <c r="AN918" s="104"/>
      <c r="AO918" s="104"/>
      <c r="AP918" s="104"/>
    </row>
    <row r="919">
      <c r="A919" s="132"/>
      <c r="B919" s="132"/>
      <c r="C919" s="132"/>
      <c r="D919" s="132"/>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c r="AC919" s="133"/>
      <c r="AD919" s="133"/>
      <c r="AE919" s="133"/>
      <c r="AF919" s="133"/>
      <c r="AG919" s="133"/>
      <c r="AH919" s="133"/>
      <c r="AI919" s="133"/>
      <c r="AJ919" s="133"/>
      <c r="AK919" s="133"/>
      <c r="AL919" s="132"/>
      <c r="AM919" s="132"/>
      <c r="AN919" s="104"/>
      <c r="AO919" s="104"/>
      <c r="AP919" s="104"/>
    </row>
    <row r="920">
      <c r="A920" s="132"/>
      <c r="B920" s="132"/>
      <c r="C920" s="132"/>
      <c r="D920" s="132"/>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c r="AC920" s="133"/>
      <c r="AD920" s="133"/>
      <c r="AE920" s="133"/>
      <c r="AF920" s="133"/>
      <c r="AG920" s="133"/>
      <c r="AH920" s="133"/>
      <c r="AI920" s="133"/>
      <c r="AJ920" s="133"/>
      <c r="AK920" s="133"/>
      <c r="AL920" s="132"/>
      <c r="AM920" s="132"/>
      <c r="AN920" s="104"/>
      <c r="AO920" s="104"/>
      <c r="AP920" s="104"/>
    </row>
    <row r="921">
      <c r="A921" s="132"/>
      <c r="B921" s="132"/>
      <c r="C921" s="132"/>
      <c r="D921" s="132"/>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c r="AC921" s="133"/>
      <c r="AD921" s="133"/>
      <c r="AE921" s="133"/>
      <c r="AF921" s="133"/>
      <c r="AG921" s="133"/>
      <c r="AH921" s="133"/>
      <c r="AI921" s="133"/>
      <c r="AJ921" s="133"/>
      <c r="AK921" s="133"/>
      <c r="AL921" s="132"/>
      <c r="AM921" s="132"/>
      <c r="AN921" s="104"/>
      <c r="AO921" s="104"/>
      <c r="AP921" s="104"/>
    </row>
    <row r="922">
      <c r="A922" s="132"/>
      <c r="B922" s="132"/>
      <c r="C922" s="132"/>
      <c r="D922" s="132"/>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c r="AC922" s="133"/>
      <c r="AD922" s="133"/>
      <c r="AE922" s="133"/>
      <c r="AF922" s="133"/>
      <c r="AG922" s="133"/>
      <c r="AH922" s="133"/>
      <c r="AI922" s="133"/>
      <c r="AJ922" s="133"/>
      <c r="AK922" s="133"/>
      <c r="AL922" s="132"/>
      <c r="AM922" s="132"/>
      <c r="AN922" s="104"/>
      <c r="AO922" s="104"/>
      <c r="AP922" s="104"/>
    </row>
    <row r="923">
      <c r="A923" s="132"/>
      <c r="B923" s="132"/>
      <c r="C923" s="132"/>
      <c r="D923" s="132"/>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c r="AC923" s="133"/>
      <c r="AD923" s="133"/>
      <c r="AE923" s="133"/>
      <c r="AF923" s="133"/>
      <c r="AG923" s="133"/>
      <c r="AH923" s="133"/>
      <c r="AI923" s="133"/>
      <c r="AJ923" s="133"/>
      <c r="AK923" s="133"/>
      <c r="AL923" s="132"/>
      <c r="AM923" s="132"/>
      <c r="AN923" s="104"/>
      <c r="AO923" s="104"/>
      <c r="AP923" s="104"/>
    </row>
    <row r="924">
      <c r="A924" s="132"/>
      <c r="B924" s="132"/>
      <c r="C924" s="132"/>
      <c r="D924" s="132"/>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c r="AC924" s="133"/>
      <c r="AD924" s="133"/>
      <c r="AE924" s="133"/>
      <c r="AF924" s="133"/>
      <c r="AG924" s="133"/>
      <c r="AH924" s="133"/>
      <c r="AI924" s="133"/>
      <c r="AJ924" s="133"/>
      <c r="AK924" s="133"/>
      <c r="AL924" s="132"/>
      <c r="AM924" s="132"/>
      <c r="AN924" s="104"/>
      <c r="AO924" s="104"/>
      <c r="AP924" s="104"/>
    </row>
    <row r="925">
      <c r="A925" s="132"/>
      <c r="B925" s="132"/>
      <c r="C925" s="132"/>
      <c r="D925" s="132"/>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c r="AC925" s="133"/>
      <c r="AD925" s="133"/>
      <c r="AE925" s="133"/>
      <c r="AF925" s="133"/>
      <c r="AG925" s="133"/>
      <c r="AH925" s="133"/>
      <c r="AI925" s="133"/>
      <c r="AJ925" s="133"/>
      <c r="AK925" s="133"/>
      <c r="AL925" s="132"/>
      <c r="AM925" s="132"/>
      <c r="AN925" s="104"/>
      <c r="AO925" s="104"/>
      <c r="AP925" s="104"/>
    </row>
    <row r="926">
      <c r="A926" s="132"/>
      <c r="B926" s="132"/>
      <c r="C926" s="132"/>
      <c r="D926" s="132"/>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c r="AC926" s="133"/>
      <c r="AD926" s="133"/>
      <c r="AE926" s="133"/>
      <c r="AF926" s="133"/>
      <c r="AG926" s="133"/>
      <c r="AH926" s="133"/>
      <c r="AI926" s="133"/>
      <c r="AJ926" s="133"/>
      <c r="AK926" s="133"/>
      <c r="AL926" s="132"/>
      <c r="AM926" s="132"/>
      <c r="AN926" s="104"/>
      <c r="AO926" s="104"/>
      <c r="AP926" s="104"/>
    </row>
    <row r="927">
      <c r="A927" s="132"/>
      <c r="B927" s="132"/>
      <c r="C927" s="132"/>
      <c r="D927" s="132"/>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c r="AC927" s="133"/>
      <c r="AD927" s="133"/>
      <c r="AE927" s="133"/>
      <c r="AF927" s="133"/>
      <c r="AG927" s="133"/>
      <c r="AH927" s="133"/>
      <c r="AI927" s="133"/>
      <c r="AJ927" s="133"/>
      <c r="AK927" s="133"/>
      <c r="AL927" s="132"/>
      <c r="AM927" s="132"/>
      <c r="AN927" s="104"/>
      <c r="AO927" s="104"/>
      <c r="AP927" s="104"/>
    </row>
    <row r="928">
      <c r="A928" s="132"/>
      <c r="B928" s="132"/>
      <c r="C928" s="132"/>
      <c r="D928" s="132"/>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c r="AC928" s="133"/>
      <c r="AD928" s="133"/>
      <c r="AE928" s="133"/>
      <c r="AF928" s="133"/>
      <c r="AG928" s="133"/>
      <c r="AH928" s="133"/>
      <c r="AI928" s="133"/>
      <c r="AJ928" s="133"/>
      <c r="AK928" s="133"/>
      <c r="AL928" s="132"/>
      <c r="AM928" s="132"/>
      <c r="AN928" s="104"/>
      <c r="AO928" s="104"/>
      <c r="AP928" s="104"/>
    </row>
    <row r="929">
      <c r="A929" s="132"/>
      <c r="B929" s="132"/>
      <c r="C929" s="132"/>
      <c r="D929" s="132"/>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c r="AC929" s="133"/>
      <c r="AD929" s="133"/>
      <c r="AE929" s="133"/>
      <c r="AF929" s="133"/>
      <c r="AG929" s="133"/>
      <c r="AH929" s="133"/>
      <c r="AI929" s="133"/>
      <c r="AJ929" s="133"/>
      <c r="AK929" s="133"/>
      <c r="AL929" s="132"/>
      <c r="AM929" s="132"/>
      <c r="AN929" s="104"/>
      <c r="AO929" s="104"/>
      <c r="AP929" s="104"/>
    </row>
    <row r="930">
      <c r="A930" s="132"/>
      <c r="B930" s="132"/>
      <c r="C930" s="132"/>
      <c r="D930" s="132"/>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c r="AA930" s="133"/>
      <c r="AB930" s="133"/>
      <c r="AC930" s="133"/>
      <c r="AD930" s="133"/>
      <c r="AE930" s="133"/>
      <c r="AF930" s="133"/>
      <c r="AG930" s="133"/>
      <c r="AH930" s="133"/>
      <c r="AI930" s="133"/>
      <c r="AJ930" s="133"/>
      <c r="AK930" s="133"/>
      <c r="AL930" s="132"/>
      <c r="AM930" s="132"/>
      <c r="AN930" s="104"/>
      <c r="AO930" s="104"/>
      <c r="AP930" s="104"/>
    </row>
    <row r="931">
      <c r="A931" s="132"/>
      <c r="B931" s="132"/>
      <c r="C931" s="132"/>
      <c r="D931" s="132"/>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c r="AA931" s="133"/>
      <c r="AB931" s="133"/>
      <c r="AC931" s="133"/>
      <c r="AD931" s="133"/>
      <c r="AE931" s="133"/>
      <c r="AF931" s="133"/>
      <c r="AG931" s="133"/>
      <c r="AH931" s="133"/>
      <c r="AI931" s="133"/>
      <c r="AJ931" s="133"/>
      <c r="AK931" s="133"/>
      <c r="AL931" s="132"/>
      <c r="AM931" s="132"/>
      <c r="AN931" s="104"/>
      <c r="AO931" s="104"/>
      <c r="AP931" s="104"/>
    </row>
    <row r="932">
      <c r="A932" s="132"/>
      <c r="B932" s="132"/>
      <c r="C932" s="132"/>
      <c r="D932" s="132"/>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c r="AA932" s="133"/>
      <c r="AB932" s="133"/>
      <c r="AC932" s="133"/>
      <c r="AD932" s="133"/>
      <c r="AE932" s="133"/>
      <c r="AF932" s="133"/>
      <c r="AG932" s="133"/>
      <c r="AH932" s="133"/>
      <c r="AI932" s="133"/>
      <c r="AJ932" s="133"/>
      <c r="AK932" s="133"/>
      <c r="AL932" s="132"/>
      <c r="AM932" s="132"/>
      <c r="AN932" s="104"/>
      <c r="AO932" s="104"/>
      <c r="AP932" s="104"/>
    </row>
    <row r="933">
      <c r="A933" s="132"/>
      <c r="B933" s="132"/>
      <c r="C933" s="132"/>
      <c r="D933" s="132"/>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c r="AA933" s="133"/>
      <c r="AB933" s="133"/>
      <c r="AC933" s="133"/>
      <c r="AD933" s="133"/>
      <c r="AE933" s="133"/>
      <c r="AF933" s="133"/>
      <c r="AG933" s="133"/>
      <c r="AH933" s="133"/>
      <c r="AI933" s="133"/>
      <c r="AJ933" s="133"/>
      <c r="AK933" s="133"/>
      <c r="AL933" s="132"/>
      <c r="AM933" s="132"/>
      <c r="AN933" s="104"/>
      <c r="AO933" s="104"/>
      <c r="AP933" s="104"/>
    </row>
    <row r="934">
      <c r="A934" s="132"/>
      <c r="B934" s="132"/>
      <c r="C934" s="132"/>
      <c r="D934" s="132"/>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c r="AA934" s="133"/>
      <c r="AB934" s="133"/>
      <c r="AC934" s="133"/>
      <c r="AD934" s="133"/>
      <c r="AE934" s="133"/>
      <c r="AF934" s="133"/>
      <c r="AG934" s="133"/>
      <c r="AH934" s="133"/>
      <c r="AI934" s="133"/>
      <c r="AJ934" s="133"/>
      <c r="AK934" s="133"/>
      <c r="AL934" s="132"/>
      <c r="AM934" s="132"/>
      <c r="AN934" s="104"/>
      <c r="AO934" s="104"/>
      <c r="AP934" s="104"/>
    </row>
    <row r="935">
      <c r="A935" s="132"/>
      <c r="B935" s="132"/>
      <c r="C935" s="132"/>
      <c r="D935" s="132"/>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c r="AA935" s="133"/>
      <c r="AB935" s="133"/>
      <c r="AC935" s="133"/>
      <c r="AD935" s="133"/>
      <c r="AE935" s="133"/>
      <c r="AF935" s="133"/>
      <c r="AG935" s="133"/>
      <c r="AH935" s="133"/>
      <c r="AI935" s="133"/>
      <c r="AJ935" s="133"/>
      <c r="AK935" s="133"/>
      <c r="AL935" s="132"/>
      <c r="AM935" s="132"/>
      <c r="AN935" s="104"/>
      <c r="AO935" s="104"/>
      <c r="AP935" s="104"/>
    </row>
    <row r="936">
      <c r="A936" s="132"/>
      <c r="B936" s="132"/>
      <c r="C936" s="132"/>
      <c r="D936" s="132"/>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c r="AA936" s="133"/>
      <c r="AB936" s="133"/>
      <c r="AC936" s="133"/>
      <c r="AD936" s="133"/>
      <c r="AE936" s="133"/>
      <c r="AF936" s="133"/>
      <c r="AG936" s="133"/>
      <c r="AH936" s="133"/>
      <c r="AI936" s="133"/>
      <c r="AJ936" s="133"/>
      <c r="AK936" s="133"/>
      <c r="AL936" s="132"/>
      <c r="AM936" s="132"/>
      <c r="AN936" s="104"/>
      <c r="AO936" s="104"/>
      <c r="AP936" s="104"/>
    </row>
    <row r="937">
      <c r="A937" s="132"/>
      <c r="B937" s="132"/>
      <c r="C937" s="132"/>
      <c r="D937" s="132"/>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c r="AA937" s="133"/>
      <c r="AB937" s="133"/>
      <c r="AC937" s="133"/>
      <c r="AD937" s="133"/>
      <c r="AE937" s="133"/>
      <c r="AF937" s="133"/>
      <c r="AG937" s="133"/>
      <c r="AH937" s="133"/>
      <c r="AI937" s="133"/>
      <c r="AJ937" s="133"/>
      <c r="AK937" s="133"/>
      <c r="AL937" s="132"/>
      <c r="AM937" s="132"/>
      <c r="AN937" s="104"/>
      <c r="AO937" s="104"/>
      <c r="AP937" s="104"/>
    </row>
    <row r="938">
      <c r="A938" s="132"/>
      <c r="B938" s="132"/>
      <c r="C938" s="132"/>
      <c r="D938" s="132"/>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c r="AC938" s="133"/>
      <c r="AD938" s="133"/>
      <c r="AE938" s="133"/>
      <c r="AF938" s="133"/>
      <c r="AG938" s="133"/>
      <c r="AH938" s="133"/>
      <c r="AI938" s="133"/>
      <c r="AJ938" s="133"/>
      <c r="AK938" s="133"/>
      <c r="AL938" s="132"/>
      <c r="AM938" s="132"/>
      <c r="AN938" s="104"/>
      <c r="AO938" s="104"/>
      <c r="AP938" s="104"/>
    </row>
    <row r="939">
      <c r="A939" s="132"/>
      <c r="B939" s="132"/>
      <c r="C939" s="132"/>
      <c r="D939" s="132"/>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c r="AA939" s="133"/>
      <c r="AB939" s="133"/>
      <c r="AC939" s="133"/>
      <c r="AD939" s="133"/>
      <c r="AE939" s="133"/>
      <c r="AF939" s="133"/>
      <c r="AG939" s="133"/>
      <c r="AH939" s="133"/>
      <c r="AI939" s="133"/>
      <c r="AJ939" s="133"/>
      <c r="AK939" s="133"/>
      <c r="AL939" s="132"/>
      <c r="AM939" s="132"/>
      <c r="AN939" s="104"/>
      <c r="AO939" s="104"/>
      <c r="AP939" s="104"/>
    </row>
    <row r="940">
      <c r="A940" s="132"/>
      <c r="B940" s="132"/>
      <c r="C940" s="132"/>
      <c r="D940" s="132"/>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c r="AC940" s="133"/>
      <c r="AD940" s="133"/>
      <c r="AE940" s="133"/>
      <c r="AF940" s="133"/>
      <c r="AG940" s="133"/>
      <c r="AH940" s="133"/>
      <c r="AI940" s="133"/>
      <c r="AJ940" s="133"/>
      <c r="AK940" s="133"/>
      <c r="AL940" s="132"/>
      <c r="AM940" s="132"/>
      <c r="AN940" s="104"/>
      <c r="AO940" s="104"/>
      <c r="AP940" s="104"/>
    </row>
    <row r="941">
      <c r="A941" s="132"/>
      <c r="B941" s="132"/>
      <c r="C941" s="132"/>
      <c r="D941" s="132"/>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c r="AA941" s="133"/>
      <c r="AB941" s="133"/>
      <c r="AC941" s="133"/>
      <c r="AD941" s="133"/>
      <c r="AE941" s="133"/>
      <c r="AF941" s="133"/>
      <c r="AG941" s="133"/>
      <c r="AH941" s="133"/>
      <c r="AI941" s="133"/>
      <c r="AJ941" s="133"/>
      <c r="AK941" s="133"/>
      <c r="AL941" s="132"/>
      <c r="AM941" s="132"/>
      <c r="AN941" s="104"/>
      <c r="AO941" s="104"/>
      <c r="AP941" s="104"/>
    </row>
    <row r="942">
      <c r="A942" s="132"/>
      <c r="B942" s="132"/>
      <c r="C942" s="132"/>
      <c r="D942" s="132"/>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c r="AA942" s="133"/>
      <c r="AB942" s="133"/>
      <c r="AC942" s="133"/>
      <c r="AD942" s="133"/>
      <c r="AE942" s="133"/>
      <c r="AF942" s="133"/>
      <c r="AG942" s="133"/>
      <c r="AH942" s="133"/>
      <c r="AI942" s="133"/>
      <c r="AJ942" s="133"/>
      <c r="AK942" s="133"/>
      <c r="AL942" s="132"/>
      <c r="AM942" s="132"/>
      <c r="AN942" s="104"/>
      <c r="AO942" s="104"/>
      <c r="AP942" s="104"/>
    </row>
    <row r="943">
      <c r="A943" s="132"/>
      <c r="B943" s="132"/>
      <c r="C943" s="132"/>
      <c r="D943" s="132"/>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c r="AA943" s="133"/>
      <c r="AB943" s="133"/>
      <c r="AC943" s="133"/>
      <c r="AD943" s="133"/>
      <c r="AE943" s="133"/>
      <c r="AF943" s="133"/>
      <c r="AG943" s="133"/>
      <c r="AH943" s="133"/>
      <c r="AI943" s="133"/>
      <c r="AJ943" s="133"/>
      <c r="AK943" s="133"/>
      <c r="AL943" s="132"/>
      <c r="AM943" s="132"/>
      <c r="AN943" s="104"/>
      <c r="AO943" s="104"/>
      <c r="AP943" s="104"/>
    </row>
    <row r="944">
      <c r="A944" s="132"/>
      <c r="B944" s="132"/>
      <c r="C944" s="132"/>
      <c r="D944" s="132"/>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c r="AA944" s="133"/>
      <c r="AB944" s="133"/>
      <c r="AC944" s="133"/>
      <c r="AD944" s="133"/>
      <c r="AE944" s="133"/>
      <c r="AF944" s="133"/>
      <c r="AG944" s="133"/>
      <c r="AH944" s="133"/>
      <c r="AI944" s="133"/>
      <c r="AJ944" s="133"/>
      <c r="AK944" s="133"/>
      <c r="AL944" s="132"/>
      <c r="AM944" s="132"/>
      <c r="AN944" s="104"/>
      <c r="AO944" s="104"/>
      <c r="AP944" s="104"/>
    </row>
    <row r="945">
      <c r="A945" s="132"/>
      <c r="B945" s="132"/>
      <c r="C945" s="132"/>
      <c r="D945" s="132"/>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c r="AA945" s="133"/>
      <c r="AB945" s="133"/>
      <c r="AC945" s="133"/>
      <c r="AD945" s="133"/>
      <c r="AE945" s="133"/>
      <c r="AF945" s="133"/>
      <c r="AG945" s="133"/>
      <c r="AH945" s="133"/>
      <c r="AI945" s="133"/>
      <c r="AJ945" s="133"/>
      <c r="AK945" s="133"/>
      <c r="AL945" s="132"/>
      <c r="AM945" s="132"/>
      <c r="AN945" s="104"/>
      <c r="AO945" s="104"/>
      <c r="AP945" s="104"/>
    </row>
    <row r="946">
      <c r="A946" s="132"/>
      <c r="B946" s="132"/>
      <c r="C946" s="132"/>
      <c r="D946" s="132"/>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c r="AA946" s="133"/>
      <c r="AB946" s="133"/>
      <c r="AC946" s="133"/>
      <c r="AD946" s="133"/>
      <c r="AE946" s="133"/>
      <c r="AF946" s="133"/>
      <c r="AG946" s="133"/>
      <c r="AH946" s="133"/>
      <c r="AI946" s="133"/>
      <c r="AJ946" s="133"/>
      <c r="AK946" s="133"/>
      <c r="AL946" s="132"/>
      <c r="AM946" s="132"/>
      <c r="AN946" s="104"/>
      <c r="AO946" s="104"/>
      <c r="AP946" s="104"/>
    </row>
    <row r="947">
      <c r="A947" s="132"/>
      <c r="B947" s="132"/>
      <c r="C947" s="132"/>
      <c r="D947" s="132"/>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c r="AA947" s="133"/>
      <c r="AB947" s="133"/>
      <c r="AC947" s="133"/>
      <c r="AD947" s="133"/>
      <c r="AE947" s="133"/>
      <c r="AF947" s="133"/>
      <c r="AG947" s="133"/>
      <c r="AH947" s="133"/>
      <c r="AI947" s="133"/>
      <c r="AJ947" s="133"/>
      <c r="AK947" s="133"/>
      <c r="AL947" s="132"/>
      <c r="AM947" s="132"/>
      <c r="AN947" s="104"/>
      <c r="AO947" s="104"/>
      <c r="AP947" s="104"/>
    </row>
    <row r="948">
      <c r="A948" s="132"/>
      <c r="B948" s="132"/>
      <c r="C948" s="132"/>
      <c r="D948" s="132"/>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c r="AA948" s="133"/>
      <c r="AB948" s="133"/>
      <c r="AC948" s="133"/>
      <c r="AD948" s="133"/>
      <c r="AE948" s="133"/>
      <c r="AF948" s="133"/>
      <c r="AG948" s="133"/>
      <c r="AH948" s="133"/>
      <c r="AI948" s="133"/>
      <c r="AJ948" s="133"/>
      <c r="AK948" s="133"/>
      <c r="AL948" s="132"/>
      <c r="AM948" s="132"/>
      <c r="AN948" s="104"/>
      <c r="AO948" s="104"/>
      <c r="AP948" s="104"/>
    </row>
    <row r="949">
      <c r="A949" s="132"/>
      <c r="B949" s="132"/>
      <c r="C949" s="132"/>
      <c r="D949" s="132"/>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c r="AA949" s="133"/>
      <c r="AB949" s="133"/>
      <c r="AC949" s="133"/>
      <c r="AD949" s="133"/>
      <c r="AE949" s="133"/>
      <c r="AF949" s="133"/>
      <c r="AG949" s="133"/>
      <c r="AH949" s="133"/>
      <c r="AI949" s="133"/>
      <c r="AJ949" s="133"/>
      <c r="AK949" s="133"/>
      <c r="AL949" s="132"/>
      <c r="AM949" s="132"/>
      <c r="AN949" s="104"/>
      <c r="AO949" s="104"/>
      <c r="AP949" s="104"/>
    </row>
    <row r="950">
      <c r="A950" s="132"/>
      <c r="B950" s="132"/>
      <c r="C950" s="132"/>
      <c r="D950" s="132"/>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c r="AA950" s="133"/>
      <c r="AB950" s="133"/>
      <c r="AC950" s="133"/>
      <c r="AD950" s="133"/>
      <c r="AE950" s="133"/>
      <c r="AF950" s="133"/>
      <c r="AG950" s="133"/>
      <c r="AH950" s="133"/>
      <c r="AI950" s="133"/>
      <c r="AJ950" s="133"/>
      <c r="AK950" s="133"/>
      <c r="AL950" s="132"/>
      <c r="AM950" s="132"/>
      <c r="AN950" s="104"/>
      <c r="AO950" s="104"/>
      <c r="AP950" s="104"/>
    </row>
    <row r="951">
      <c r="A951" s="132"/>
      <c r="B951" s="132"/>
      <c r="C951" s="132"/>
      <c r="D951" s="132"/>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c r="AA951" s="133"/>
      <c r="AB951" s="133"/>
      <c r="AC951" s="133"/>
      <c r="AD951" s="133"/>
      <c r="AE951" s="133"/>
      <c r="AF951" s="133"/>
      <c r="AG951" s="133"/>
      <c r="AH951" s="133"/>
      <c r="AI951" s="133"/>
      <c r="AJ951" s="133"/>
      <c r="AK951" s="133"/>
      <c r="AL951" s="132"/>
      <c r="AM951" s="132"/>
      <c r="AN951" s="104"/>
      <c r="AO951" s="104"/>
      <c r="AP951" s="104"/>
    </row>
    <row r="952">
      <c r="A952" s="132"/>
      <c r="B952" s="132"/>
      <c r="C952" s="132"/>
      <c r="D952" s="132"/>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c r="AA952" s="133"/>
      <c r="AB952" s="133"/>
      <c r="AC952" s="133"/>
      <c r="AD952" s="133"/>
      <c r="AE952" s="133"/>
      <c r="AF952" s="133"/>
      <c r="AG952" s="133"/>
      <c r="AH952" s="133"/>
      <c r="AI952" s="133"/>
      <c r="AJ952" s="133"/>
      <c r="AK952" s="133"/>
      <c r="AL952" s="132"/>
      <c r="AM952" s="132"/>
      <c r="AN952" s="104"/>
      <c r="AO952" s="104"/>
      <c r="AP952" s="104"/>
    </row>
    <row r="953">
      <c r="A953" s="132"/>
      <c r="B953" s="132"/>
      <c r="C953" s="132"/>
      <c r="D953" s="132"/>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c r="AA953" s="133"/>
      <c r="AB953" s="133"/>
      <c r="AC953" s="133"/>
      <c r="AD953" s="133"/>
      <c r="AE953" s="133"/>
      <c r="AF953" s="133"/>
      <c r="AG953" s="133"/>
      <c r="AH953" s="133"/>
      <c r="AI953" s="133"/>
      <c r="AJ953" s="133"/>
      <c r="AK953" s="133"/>
      <c r="AL953" s="132"/>
      <c r="AM953" s="132"/>
      <c r="AN953" s="104"/>
      <c r="AO953" s="104"/>
      <c r="AP953" s="104"/>
    </row>
    <row r="954">
      <c r="A954" s="132"/>
      <c r="B954" s="132"/>
      <c r="C954" s="132"/>
      <c r="D954" s="132"/>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c r="AA954" s="133"/>
      <c r="AB954" s="133"/>
      <c r="AC954" s="133"/>
      <c r="AD954" s="133"/>
      <c r="AE954" s="133"/>
      <c r="AF954" s="133"/>
      <c r="AG954" s="133"/>
      <c r="AH954" s="133"/>
      <c r="AI954" s="133"/>
      <c r="AJ954" s="133"/>
      <c r="AK954" s="133"/>
      <c r="AL954" s="132"/>
      <c r="AM954" s="132"/>
      <c r="AN954" s="104"/>
      <c r="AO954" s="104"/>
      <c r="AP954" s="104"/>
    </row>
    <row r="955">
      <c r="A955" s="132"/>
      <c r="B955" s="132"/>
      <c r="C955" s="132"/>
      <c r="D955" s="132"/>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c r="AA955" s="133"/>
      <c r="AB955" s="133"/>
      <c r="AC955" s="133"/>
      <c r="AD955" s="133"/>
      <c r="AE955" s="133"/>
      <c r="AF955" s="133"/>
      <c r="AG955" s="133"/>
      <c r="AH955" s="133"/>
      <c r="AI955" s="133"/>
      <c r="AJ955" s="133"/>
      <c r="AK955" s="133"/>
      <c r="AL955" s="132"/>
      <c r="AM955" s="132"/>
      <c r="AN955" s="104"/>
      <c r="AO955" s="104"/>
      <c r="AP955" s="104"/>
    </row>
    <row r="956">
      <c r="A956" s="132"/>
      <c r="B956" s="132"/>
      <c r="C956" s="132"/>
      <c r="D956" s="132"/>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c r="AA956" s="133"/>
      <c r="AB956" s="133"/>
      <c r="AC956" s="133"/>
      <c r="AD956" s="133"/>
      <c r="AE956" s="133"/>
      <c r="AF956" s="133"/>
      <c r="AG956" s="133"/>
      <c r="AH956" s="133"/>
      <c r="AI956" s="133"/>
      <c r="AJ956" s="133"/>
      <c r="AK956" s="133"/>
      <c r="AL956" s="132"/>
      <c r="AM956" s="132"/>
      <c r="AN956" s="104"/>
      <c r="AO956" s="104"/>
      <c r="AP956" s="104"/>
    </row>
    <row r="957">
      <c r="A957" s="132"/>
      <c r="B957" s="132"/>
      <c r="C957" s="132"/>
      <c r="D957" s="132"/>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c r="AA957" s="133"/>
      <c r="AB957" s="133"/>
      <c r="AC957" s="133"/>
      <c r="AD957" s="133"/>
      <c r="AE957" s="133"/>
      <c r="AF957" s="133"/>
      <c r="AG957" s="133"/>
      <c r="AH957" s="133"/>
      <c r="AI957" s="133"/>
      <c r="AJ957" s="133"/>
      <c r="AK957" s="133"/>
      <c r="AL957" s="132"/>
      <c r="AM957" s="132"/>
      <c r="AN957" s="104"/>
      <c r="AO957" s="104"/>
      <c r="AP957" s="104"/>
    </row>
    <row r="958">
      <c r="A958" s="132"/>
      <c r="B958" s="132"/>
      <c r="C958" s="132"/>
      <c r="D958" s="132"/>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c r="AA958" s="133"/>
      <c r="AB958" s="133"/>
      <c r="AC958" s="133"/>
      <c r="AD958" s="133"/>
      <c r="AE958" s="133"/>
      <c r="AF958" s="133"/>
      <c r="AG958" s="133"/>
      <c r="AH958" s="133"/>
      <c r="AI958" s="133"/>
      <c r="AJ958" s="133"/>
      <c r="AK958" s="133"/>
      <c r="AL958" s="132"/>
      <c r="AM958" s="132"/>
      <c r="AN958" s="104"/>
      <c r="AO958" s="104"/>
      <c r="AP958" s="104"/>
    </row>
    <row r="959">
      <c r="A959" s="132"/>
      <c r="B959" s="132"/>
      <c r="C959" s="132"/>
      <c r="D959" s="132"/>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c r="AA959" s="133"/>
      <c r="AB959" s="133"/>
      <c r="AC959" s="133"/>
      <c r="AD959" s="133"/>
      <c r="AE959" s="133"/>
      <c r="AF959" s="133"/>
      <c r="AG959" s="133"/>
      <c r="AH959" s="133"/>
      <c r="AI959" s="133"/>
      <c r="AJ959" s="133"/>
      <c r="AK959" s="133"/>
      <c r="AL959" s="132"/>
      <c r="AM959" s="132"/>
      <c r="AN959" s="104"/>
      <c r="AO959" s="104"/>
      <c r="AP959" s="104"/>
    </row>
    <row r="960">
      <c r="A960" s="132"/>
      <c r="B960" s="132"/>
      <c r="C960" s="132"/>
      <c r="D960" s="132"/>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c r="AA960" s="133"/>
      <c r="AB960" s="133"/>
      <c r="AC960" s="133"/>
      <c r="AD960" s="133"/>
      <c r="AE960" s="133"/>
      <c r="AF960" s="133"/>
      <c r="AG960" s="133"/>
      <c r="AH960" s="133"/>
      <c r="AI960" s="133"/>
      <c r="AJ960" s="133"/>
      <c r="AK960" s="133"/>
      <c r="AL960" s="132"/>
      <c r="AM960" s="132"/>
      <c r="AN960" s="104"/>
      <c r="AO960" s="104"/>
      <c r="AP960" s="104"/>
    </row>
    <row r="961">
      <c r="A961" s="132"/>
      <c r="B961" s="132"/>
      <c r="C961" s="132"/>
      <c r="D961" s="132"/>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c r="AA961" s="133"/>
      <c r="AB961" s="133"/>
      <c r="AC961" s="133"/>
      <c r="AD961" s="133"/>
      <c r="AE961" s="133"/>
      <c r="AF961" s="133"/>
      <c r="AG961" s="133"/>
      <c r="AH961" s="133"/>
      <c r="AI961" s="133"/>
      <c r="AJ961" s="133"/>
      <c r="AK961" s="133"/>
      <c r="AL961" s="132"/>
      <c r="AM961" s="132"/>
      <c r="AN961" s="104"/>
      <c r="AO961" s="104"/>
      <c r="AP961" s="104"/>
    </row>
    <row r="962">
      <c r="A962" s="132"/>
      <c r="B962" s="132"/>
      <c r="C962" s="132"/>
      <c r="D962" s="132"/>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c r="AA962" s="133"/>
      <c r="AB962" s="133"/>
      <c r="AC962" s="133"/>
      <c r="AD962" s="133"/>
      <c r="AE962" s="133"/>
      <c r="AF962" s="133"/>
      <c r="AG962" s="133"/>
      <c r="AH962" s="133"/>
      <c r="AI962" s="133"/>
      <c r="AJ962" s="133"/>
      <c r="AK962" s="133"/>
      <c r="AL962" s="132"/>
      <c r="AM962" s="132"/>
      <c r="AN962" s="104"/>
      <c r="AO962" s="104"/>
      <c r="AP962" s="104"/>
    </row>
    <row r="963">
      <c r="A963" s="132"/>
      <c r="B963" s="132"/>
      <c r="C963" s="132"/>
      <c r="D963" s="132"/>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c r="AA963" s="133"/>
      <c r="AB963" s="133"/>
      <c r="AC963" s="133"/>
      <c r="AD963" s="133"/>
      <c r="AE963" s="133"/>
      <c r="AF963" s="133"/>
      <c r="AG963" s="133"/>
      <c r="AH963" s="133"/>
      <c r="AI963" s="133"/>
      <c r="AJ963" s="133"/>
      <c r="AK963" s="133"/>
      <c r="AL963" s="132"/>
      <c r="AM963" s="132"/>
      <c r="AN963" s="104"/>
      <c r="AO963" s="104"/>
      <c r="AP963" s="104"/>
    </row>
    <row r="964">
      <c r="A964" s="132"/>
      <c r="B964" s="132"/>
      <c r="C964" s="132"/>
      <c r="D964" s="132"/>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c r="AA964" s="133"/>
      <c r="AB964" s="133"/>
      <c r="AC964" s="133"/>
      <c r="AD964" s="133"/>
      <c r="AE964" s="133"/>
      <c r="AF964" s="133"/>
      <c r="AG964" s="133"/>
      <c r="AH964" s="133"/>
      <c r="AI964" s="133"/>
      <c r="AJ964" s="133"/>
      <c r="AK964" s="133"/>
      <c r="AL964" s="132"/>
      <c r="AM964" s="132"/>
      <c r="AN964" s="104"/>
      <c r="AO964" s="104"/>
      <c r="AP964" s="104"/>
    </row>
    <row r="965">
      <c r="A965" s="132"/>
      <c r="B965" s="132"/>
      <c r="C965" s="132"/>
      <c r="D965" s="132"/>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c r="AA965" s="133"/>
      <c r="AB965" s="133"/>
      <c r="AC965" s="133"/>
      <c r="AD965" s="133"/>
      <c r="AE965" s="133"/>
      <c r="AF965" s="133"/>
      <c r="AG965" s="133"/>
      <c r="AH965" s="133"/>
      <c r="AI965" s="133"/>
      <c r="AJ965" s="133"/>
      <c r="AK965" s="133"/>
      <c r="AL965" s="132"/>
      <c r="AM965" s="132"/>
      <c r="AN965" s="104"/>
      <c r="AO965" s="104"/>
      <c r="AP965" s="104"/>
    </row>
    <row r="966">
      <c r="A966" s="132"/>
      <c r="B966" s="132"/>
      <c r="C966" s="132"/>
      <c r="D966" s="132"/>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c r="AA966" s="133"/>
      <c r="AB966" s="133"/>
      <c r="AC966" s="133"/>
      <c r="AD966" s="133"/>
      <c r="AE966" s="133"/>
      <c r="AF966" s="133"/>
      <c r="AG966" s="133"/>
      <c r="AH966" s="133"/>
      <c r="AI966" s="133"/>
      <c r="AJ966" s="133"/>
      <c r="AK966" s="133"/>
      <c r="AL966" s="132"/>
      <c r="AM966" s="132"/>
      <c r="AN966" s="104"/>
      <c r="AO966" s="104"/>
      <c r="AP966" s="104"/>
    </row>
    <row r="967">
      <c r="A967" s="132"/>
      <c r="B967" s="132"/>
      <c r="C967" s="132"/>
      <c r="D967" s="132"/>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c r="AA967" s="133"/>
      <c r="AB967" s="133"/>
      <c r="AC967" s="133"/>
      <c r="AD967" s="133"/>
      <c r="AE967" s="133"/>
      <c r="AF967" s="133"/>
      <c r="AG967" s="133"/>
      <c r="AH967" s="133"/>
      <c r="AI967" s="133"/>
      <c r="AJ967" s="133"/>
      <c r="AK967" s="133"/>
      <c r="AL967" s="132"/>
      <c r="AM967" s="132"/>
      <c r="AN967" s="104"/>
      <c r="AO967" s="104"/>
      <c r="AP967" s="104"/>
    </row>
    <row r="968">
      <c r="A968" s="132"/>
      <c r="B968" s="132"/>
      <c r="C968" s="132"/>
      <c r="D968" s="132"/>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c r="AA968" s="133"/>
      <c r="AB968" s="133"/>
      <c r="AC968" s="133"/>
      <c r="AD968" s="133"/>
      <c r="AE968" s="133"/>
      <c r="AF968" s="133"/>
      <c r="AG968" s="133"/>
      <c r="AH968" s="133"/>
      <c r="AI968" s="133"/>
      <c r="AJ968" s="133"/>
      <c r="AK968" s="133"/>
      <c r="AL968" s="132"/>
      <c r="AM968" s="132"/>
      <c r="AN968" s="104"/>
      <c r="AO968" s="104"/>
      <c r="AP968" s="104"/>
    </row>
    <row r="969">
      <c r="A969" s="132"/>
      <c r="B969" s="132"/>
      <c r="C969" s="132"/>
      <c r="D969" s="132"/>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c r="AA969" s="133"/>
      <c r="AB969" s="133"/>
      <c r="AC969" s="133"/>
      <c r="AD969" s="133"/>
      <c r="AE969" s="133"/>
      <c r="AF969" s="133"/>
      <c r="AG969" s="133"/>
      <c r="AH969" s="133"/>
      <c r="AI969" s="133"/>
      <c r="AJ969" s="133"/>
      <c r="AK969" s="133"/>
      <c r="AL969" s="132"/>
      <c r="AM969" s="132"/>
      <c r="AN969" s="104"/>
      <c r="AO969" s="104"/>
      <c r="AP969" s="104"/>
    </row>
    <row r="970">
      <c r="A970" s="132"/>
      <c r="B970" s="132"/>
      <c r="C970" s="132"/>
      <c r="D970" s="132"/>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c r="AA970" s="133"/>
      <c r="AB970" s="133"/>
      <c r="AC970" s="133"/>
      <c r="AD970" s="133"/>
      <c r="AE970" s="133"/>
      <c r="AF970" s="133"/>
      <c r="AG970" s="133"/>
      <c r="AH970" s="133"/>
      <c r="AI970" s="133"/>
      <c r="AJ970" s="133"/>
      <c r="AK970" s="133"/>
      <c r="AL970" s="132"/>
      <c r="AM970" s="132"/>
      <c r="AN970" s="104"/>
      <c r="AO970" s="104"/>
      <c r="AP970" s="104"/>
    </row>
    <row r="971">
      <c r="A971" s="132"/>
      <c r="B971" s="132"/>
      <c r="C971" s="132"/>
      <c r="D971" s="132"/>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c r="AA971" s="133"/>
      <c r="AB971" s="133"/>
      <c r="AC971" s="133"/>
      <c r="AD971" s="133"/>
      <c r="AE971" s="133"/>
      <c r="AF971" s="133"/>
      <c r="AG971" s="133"/>
      <c r="AH971" s="133"/>
      <c r="AI971" s="133"/>
      <c r="AJ971" s="133"/>
      <c r="AK971" s="133"/>
      <c r="AL971" s="132"/>
      <c r="AM971" s="132"/>
      <c r="AN971" s="104"/>
      <c r="AO971" s="104"/>
      <c r="AP971" s="104"/>
    </row>
    <row r="972">
      <c r="A972" s="132"/>
      <c r="B972" s="132"/>
      <c r="C972" s="132"/>
      <c r="D972" s="132"/>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c r="AA972" s="133"/>
      <c r="AB972" s="133"/>
      <c r="AC972" s="133"/>
      <c r="AD972" s="133"/>
      <c r="AE972" s="133"/>
      <c r="AF972" s="133"/>
      <c r="AG972" s="133"/>
      <c r="AH972" s="133"/>
      <c r="AI972" s="133"/>
      <c r="AJ972" s="133"/>
      <c r="AK972" s="133"/>
      <c r="AL972" s="132"/>
      <c r="AM972" s="132"/>
      <c r="AN972" s="104"/>
      <c r="AO972" s="104"/>
      <c r="AP972" s="104"/>
    </row>
    <row r="973">
      <c r="A973" s="132"/>
      <c r="B973" s="132"/>
      <c r="C973" s="132"/>
      <c r="D973" s="132"/>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c r="AA973" s="133"/>
      <c r="AB973" s="133"/>
      <c r="AC973" s="133"/>
      <c r="AD973" s="133"/>
      <c r="AE973" s="133"/>
      <c r="AF973" s="133"/>
      <c r="AG973" s="133"/>
      <c r="AH973" s="133"/>
      <c r="AI973" s="133"/>
      <c r="AJ973" s="133"/>
      <c r="AK973" s="133"/>
      <c r="AL973" s="132"/>
      <c r="AM973" s="132"/>
      <c r="AN973" s="104"/>
      <c r="AO973" s="104"/>
      <c r="AP973" s="104"/>
    </row>
    <row r="974">
      <c r="A974" s="132"/>
      <c r="B974" s="132"/>
      <c r="C974" s="132"/>
      <c r="D974" s="132"/>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c r="AA974" s="133"/>
      <c r="AB974" s="133"/>
      <c r="AC974" s="133"/>
      <c r="AD974" s="133"/>
      <c r="AE974" s="133"/>
      <c r="AF974" s="133"/>
      <c r="AG974" s="133"/>
      <c r="AH974" s="133"/>
      <c r="AI974" s="133"/>
      <c r="AJ974" s="133"/>
      <c r="AK974" s="133"/>
      <c r="AL974" s="132"/>
      <c r="AM974" s="132"/>
      <c r="AN974" s="104"/>
      <c r="AO974" s="104"/>
      <c r="AP974" s="104"/>
    </row>
    <row r="975">
      <c r="A975" s="132"/>
      <c r="B975" s="132"/>
      <c r="C975" s="132"/>
      <c r="D975" s="132"/>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c r="AA975" s="133"/>
      <c r="AB975" s="133"/>
      <c r="AC975" s="133"/>
      <c r="AD975" s="133"/>
      <c r="AE975" s="133"/>
      <c r="AF975" s="133"/>
      <c r="AG975" s="133"/>
      <c r="AH975" s="133"/>
      <c r="AI975" s="133"/>
      <c r="AJ975" s="133"/>
      <c r="AK975" s="133"/>
      <c r="AL975" s="132"/>
      <c r="AM975" s="132"/>
      <c r="AN975" s="104"/>
      <c r="AO975" s="104"/>
      <c r="AP975" s="104"/>
    </row>
    <row r="976">
      <c r="A976" s="132"/>
      <c r="B976" s="132"/>
      <c r="C976" s="132"/>
      <c r="D976" s="132"/>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c r="AA976" s="133"/>
      <c r="AB976" s="133"/>
      <c r="AC976" s="133"/>
      <c r="AD976" s="133"/>
      <c r="AE976" s="133"/>
      <c r="AF976" s="133"/>
      <c r="AG976" s="133"/>
      <c r="AH976" s="133"/>
      <c r="AI976" s="133"/>
      <c r="AJ976" s="133"/>
      <c r="AK976" s="133"/>
      <c r="AL976" s="132"/>
      <c r="AM976" s="132"/>
      <c r="AN976" s="104"/>
      <c r="AO976" s="104"/>
      <c r="AP976" s="104"/>
    </row>
    <row r="977">
      <c r="A977" s="132"/>
      <c r="B977" s="132"/>
      <c r="C977" s="132"/>
      <c r="D977" s="132"/>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c r="AA977" s="133"/>
      <c r="AB977" s="133"/>
      <c r="AC977" s="133"/>
      <c r="AD977" s="133"/>
      <c r="AE977" s="133"/>
      <c r="AF977" s="133"/>
      <c r="AG977" s="133"/>
      <c r="AH977" s="133"/>
      <c r="AI977" s="133"/>
      <c r="AJ977" s="133"/>
      <c r="AK977" s="133"/>
      <c r="AL977" s="132"/>
      <c r="AM977" s="132"/>
      <c r="AN977" s="104"/>
      <c r="AO977" s="104"/>
      <c r="AP977" s="104"/>
    </row>
    <row r="978">
      <c r="A978" s="132"/>
      <c r="B978" s="132"/>
      <c r="C978" s="132"/>
      <c r="D978" s="132"/>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c r="AA978" s="133"/>
      <c r="AB978" s="133"/>
      <c r="AC978" s="133"/>
      <c r="AD978" s="133"/>
      <c r="AE978" s="133"/>
      <c r="AF978" s="133"/>
      <c r="AG978" s="133"/>
      <c r="AH978" s="133"/>
      <c r="AI978" s="133"/>
      <c r="AJ978" s="133"/>
      <c r="AK978" s="133"/>
      <c r="AL978" s="132"/>
      <c r="AM978" s="132"/>
      <c r="AN978" s="104"/>
      <c r="AO978" s="104"/>
      <c r="AP978" s="104"/>
    </row>
    <row r="979">
      <c r="A979" s="132"/>
      <c r="B979" s="132"/>
      <c r="C979" s="132"/>
      <c r="D979" s="132"/>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c r="AA979" s="133"/>
      <c r="AB979" s="133"/>
      <c r="AC979" s="133"/>
      <c r="AD979" s="133"/>
      <c r="AE979" s="133"/>
      <c r="AF979" s="133"/>
      <c r="AG979" s="133"/>
      <c r="AH979" s="133"/>
      <c r="AI979" s="133"/>
      <c r="AJ979" s="133"/>
      <c r="AK979" s="133"/>
      <c r="AL979" s="132"/>
      <c r="AM979" s="132"/>
      <c r="AN979" s="104"/>
      <c r="AO979" s="104"/>
      <c r="AP979" s="104"/>
    </row>
    <row r="980">
      <c r="A980" s="132"/>
      <c r="B980" s="132"/>
      <c r="C980" s="132"/>
      <c r="D980" s="132"/>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c r="AA980" s="133"/>
      <c r="AB980" s="133"/>
      <c r="AC980" s="133"/>
      <c r="AD980" s="133"/>
      <c r="AE980" s="133"/>
      <c r="AF980" s="133"/>
      <c r="AG980" s="133"/>
      <c r="AH980" s="133"/>
      <c r="AI980" s="133"/>
      <c r="AJ980" s="133"/>
      <c r="AK980" s="133"/>
      <c r="AL980" s="132"/>
      <c r="AM980" s="132"/>
      <c r="AN980" s="104"/>
      <c r="AO980" s="104"/>
      <c r="AP980" s="104"/>
    </row>
    <row r="981">
      <c r="A981" s="132"/>
      <c r="B981" s="132"/>
      <c r="C981" s="132"/>
      <c r="D981" s="132"/>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c r="AA981" s="133"/>
      <c r="AB981" s="133"/>
      <c r="AC981" s="133"/>
      <c r="AD981" s="133"/>
      <c r="AE981" s="133"/>
      <c r="AF981" s="133"/>
      <c r="AG981" s="133"/>
      <c r="AH981" s="133"/>
      <c r="AI981" s="133"/>
      <c r="AJ981" s="133"/>
      <c r="AK981" s="133"/>
      <c r="AL981" s="132"/>
      <c r="AM981" s="132"/>
      <c r="AN981" s="104"/>
      <c r="AO981" s="104"/>
      <c r="AP981" s="104"/>
    </row>
    <row r="982">
      <c r="A982" s="132"/>
      <c r="B982" s="132"/>
      <c r="C982" s="132"/>
      <c r="D982" s="132"/>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c r="AA982" s="133"/>
      <c r="AB982" s="133"/>
      <c r="AC982" s="133"/>
      <c r="AD982" s="133"/>
      <c r="AE982" s="133"/>
      <c r="AF982" s="133"/>
      <c r="AG982" s="133"/>
      <c r="AH982" s="133"/>
      <c r="AI982" s="133"/>
      <c r="AJ982" s="133"/>
      <c r="AK982" s="133"/>
      <c r="AL982" s="132"/>
      <c r="AM982" s="132"/>
      <c r="AN982" s="104"/>
      <c r="AO982" s="104"/>
      <c r="AP982" s="104"/>
    </row>
    <row r="983">
      <c r="A983" s="132"/>
      <c r="B983" s="132"/>
      <c r="C983" s="132"/>
      <c r="D983" s="132"/>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c r="AA983" s="133"/>
      <c r="AB983" s="133"/>
      <c r="AC983" s="133"/>
      <c r="AD983" s="133"/>
      <c r="AE983" s="133"/>
      <c r="AF983" s="133"/>
      <c r="AG983" s="133"/>
      <c r="AH983" s="133"/>
      <c r="AI983" s="133"/>
      <c r="AJ983" s="133"/>
      <c r="AK983" s="133"/>
      <c r="AL983" s="132"/>
      <c r="AM983" s="132"/>
      <c r="AN983" s="104"/>
      <c r="AO983" s="104"/>
      <c r="AP983" s="104"/>
    </row>
    <row r="984">
      <c r="A984" s="132"/>
      <c r="B984" s="132"/>
      <c r="C984" s="132"/>
      <c r="D984" s="132"/>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c r="AA984" s="133"/>
      <c r="AB984" s="133"/>
      <c r="AC984" s="133"/>
      <c r="AD984" s="133"/>
      <c r="AE984" s="133"/>
      <c r="AF984" s="133"/>
      <c r="AG984" s="133"/>
      <c r="AH984" s="133"/>
      <c r="AI984" s="133"/>
      <c r="AJ984" s="133"/>
      <c r="AK984" s="133"/>
      <c r="AL984" s="132"/>
      <c r="AM984" s="132"/>
      <c r="AN984" s="104"/>
      <c r="AO984" s="104"/>
      <c r="AP984" s="104"/>
    </row>
    <row r="985">
      <c r="A985" s="132"/>
      <c r="B985" s="132"/>
      <c r="C985" s="132"/>
      <c r="D985" s="132"/>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c r="AA985" s="133"/>
      <c r="AB985" s="133"/>
      <c r="AC985" s="133"/>
      <c r="AD985" s="133"/>
      <c r="AE985" s="133"/>
      <c r="AF985" s="133"/>
      <c r="AG985" s="133"/>
      <c r="AH985" s="133"/>
      <c r="AI985" s="133"/>
      <c r="AJ985" s="133"/>
      <c r="AK985" s="133"/>
      <c r="AL985" s="132"/>
      <c r="AM985" s="132"/>
      <c r="AN985" s="104"/>
      <c r="AO985" s="104"/>
      <c r="AP985" s="104"/>
    </row>
    <row r="986">
      <c r="A986" s="132"/>
      <c r="B986" s="132"/>
      <c r="C986" s="132"/>
      <c r="D986" s="132"/>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c r="AA986" s="133"/>
      <c r="AB986" s="133"/>
      <c r="AC986" s="133"/>
      <c r="AD986" s="133"/>
      <c r="AE986" s="133"/>
      <c r="AF986" s="133"/>
      <c r="AG986" s="133"/>
      <c r="AH986" s="133"/>
      <c r="AI986" s="133"/>
      <c r="AJ986" s="133"/>
      <c r="AK986" s="133"/>
      <c r="AL986" s="132"/>
      <c r="AM986" s="132"/>
      <c r="AN986" s="104"/>
      <c r="AO986" s="104"/>
      <c r="AP986" s="104"/>
    </row>
    <row r="987">
      <c r="A987" s="132"/>
      <c r="B987" s="132"/>
      <c r="C987" s="132"/>
      <c r="D987" s="132"/>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c r="AA987" s="133"/>
      <c r="AB987" s="133"/>
      <c r="AC987" s="133"/>
      <c r="AD987" s="133"/>
      <c r="AE987" s="133"/>
      <c r="AF987" s="133"/>
      <c r="AG987" s="133"/>
      <c r="AH987" s="133"/>
      <c r="AI987" s="133"/>
      <c r="AJ987" s="133"/>
      <c r="AK987" s="133"/>
      <c r="AL987" s="132"/>
      <c r="AM987" s="132"/>
      <c r="AN987" s="104"/>
      <c r="AO987" s="104"/>
      <c r="AP987" s="104"/>
    </row>
    <row r="988">
      <c r="A988" s="132"/>
      <c r="B988" s="132"/>
      <c r="C988" s="132"/>
      <c r="D988" s="132"/>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c r="AA988" s="133"/>
      <c r="AB988" s="133"/>
      <c r="AC988" s="133"/>
      <c r="AD988" s="133"/>
      <c r="AE988" s="133"/>
      <c r="AF988" s="133"/>
      <c r="AG988" s="133"/>
      <c r="AH988" s="133"/>
      <c r="AI988" s="133"/>
      <c r="AJ988" s="133"/>
      <c r="AK988" s="133"/>
      <c r="AL988" s="132"/>
      <c r="AM988" s="132"/>
      <c r="AN988" s="104"/>
      <c r="AO988" s="104"/>
      <c r="AP988" s="104"/>
    </row>
    <row r="989">
      <c r="A989" s="132"/>
      <c r="B989" s="132"/>
      <c r="C989" s="132"/>
      <c r="D989" s="132"/>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c r="AA989" s="133"/>
      <c r="AB989" s="133"/>
      <c r="AC989" s="133"/>
      <c r="AD989" s="133"/>
      <c r="AE989" s="133"/>
      <c r="AF989" s="133"/>
      <c r="AG989" s="133"/>
      <c r="AH989" s="133"/>
      <c r="AI989" s="133"/>
      <c r="AJ989" s="133"/>
      <c r="AK989" s="133"/>
      <c r="AL989" s="132"/>
      <c r="AM989" s="132"/>
      <c r="AN989" s="104"/>
      <c r="AO989" s="104"/>
      <c r="AP989" s="104"/>
    </row>
    <row r="990">
      <c r="A990" s="132"/>
      <c r="B990" s="132"/>
      <c r="C990" s="132"/>
      <c r="D990" s="132"/>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c r="AA990" s="133"/>
      <c r="AB990" s="133"/>
      <c r="AC990" s="133"/>
      <c r="AD990" s="133"/>
      <c r="AE990" s="133"/>
      <c r="AF990" s="133"/>
      <c r="AG990" s="133"/>
      <c r="AH990" s="133"/>
      <c r="AI990" s="133"/>
      <c r="AJ990" s="133"/>
      <c r="AK990" s="133"/>
      <c r="AL990" s="132"/>
      <c r="AM990" s="132"/>
      <c r="AN990" s="104"/>
      <c r="AO990" s="104"/>
      <c r="AP990" s="104"/>
    </row>
    <row r="991">
      <c r="A991" s="132"/>
      <c r="B991" s="132"/>
      <c r="C991" s="132"/>
      <c r="D991" s="132"/>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c r="AA991" s="133"/>
      <c r="AB991" s="133"/>
      <c r="AC991" s="133"/>
      <c r="AD991" s="133"/>
      <c r="AE991" s="133"/>
      <c r="AF991" s="133"/>
      <c r="AG991" s="133"/>
      <c r="AH991" s="133"/>
      <c r="AI991" s="133"/>
      <c r="AJ991" s="133"/>
      <c r="AK991" s="133"/>
      <c r="AL991" s="132"/>
      <c r="AM991" s="132"/>
      <c r="AN991" s="104"/>
      <c r="AO991" s="104"/>
      <c r="AP991" s="104"/>
    </row>
  </sheetData>
  <dataValidations>
    <dataValidation type="list" allowBlank="1" showDropDown="1" sqref="AN9">
      <formula1>'UF Comp Metrics List'!$B$2:$B$27</formula1>
    </dataValidation>
    <dataValidation type="list" allowBlank="1" showDropDown="1" sqref="AN10:AN11">
      <formula1>'UF Comp Metrics List'!$B$2:$B$25</formula1>
    </dataValidation>
    <dataValidation type="list" allowBlank="1" showDropDown="1" sqref="AN1:AN7 AN12:AN55 AN58:AN991">
      <formula1>'UF Comp Metrics List'!$B$2:$B$26</formula1>
    </dataValidation>
  </dataValidations>
  <hyperlinks>
    <hyperlink r:id="rId1" ref="L105"/>
    <hyperlink r:id="rId2" ref="L106"/>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4" t="s">
        <v>3976</v>
      </c>
      <c r="B1" s="63"/>
      <c r="C1" s="63"/>
      <c r="D1" s="63"/>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63"/>
      <c r="AM1" s="63"/>
      <c r="AN1" s="135"/>
      <c r="AO1" s="135"/>
      <c r="AP1" s="107"/>
    </row>
    <row r="2">
      <c r="A2" s="106">
        <v>142.0</v>
      </c>
      <c r="B2" s="15">
        <v>4.2009093E8</v>
      </c>
      <c r="C2" s="15" t="s">
        <v>3977</v>
      </c>
      <c r="D2" s="15" t="s">
        <v>3978</v>
      </c>
      <c r="E2" s="16" t="s">
        <v>3979</v>
      </c>
      <c r="F2" s="16" t="s">
        <v>3980</v>
      </c>
      <c r="G2" s="16" t="s">
        <v>2315</v>
      </c>
      <c r="H2" s="16" t="s">
        <v>3981</v>
      </c>
      <c r="I2" s="16">
        <v>2013.0</v>
      </c>
      <c r="J2" s="16" t="s">
        <v>3982</v>
      </c>
      <c r="K2" s="16" t="s">
        <v>3983</v>
      </c>
      <c r="L2" s="16" t="s">
        <v>57</v>
      </c>
      <c r="M2" s="16" t="s">
        <v>57</v>
      </c>
      <c r="N2" s="16" t="s">
        <v>2389</v>
      </c>
      <c r="O2" s="16" t="s">
        <v>715</v>
      </c>
      <c r="P2" s="16" t="s">
        <v>3984</v>
      </c>
      <c r="Q2" s="16" t="s">
        <v>93</v>
      </c>
      <c r="R2" s="16" t="s">
        <v>57</v>
      </c>
      <c r="S2" s="16" t="s">
        <v>57</v>
      </c>
      <c r="T2" s="16" t="s">
        <v>74</v>
      </c>
      <c r="U2" s="16" t="s">
        <v>57</v>
      </c>
      <c r="V2" s="16" t="s">
        <v>2394</v>
      </c>
      <c r="W2" s="16" t="s">
        <v>536</v>
      </c>
      <c r="X2" s="16" t="s">
        <v>3985</v>
      </c>
      <c r="Y2" s="16" t="s">
        <v>2397</v>
      </c>
      <c r="Z2" s="16" t="s">
        <v>3986</v>
      </c>
      <c r="AA2" s="16" t="s">
        <v>57</v>
      </c>
      <c r="AB2" s="16" t="s">
        <v>57</v>
      </c>
      <c r="AC2" s="16" t="s">
        <v>74</v>
      </c>
      <c r="AD2" s="16" t="s">
        <v>3987</v>
      </c>
      <c r="AE2" s="16" t="s">
        <v>3988</v>
      </c>
      <c r="AF2" s="16" t="s">
        <v>69</v>
      </c>
      <c r="AG2" s="16" t="s">
        <v>3989</v>
      </c>
      <c r="AH2" s="16" t="s">
        <v>374</v>
      </c>
      <c r="AI2" s="16" t="s">
        <v>129</v>
      </c>
      <c r="AJ2" s="16" t="s">
        <v>57</v>
      </c>
      <c r="AK2" s="16" t="s">
        <v>3990</v>
      </c>
      <c r="AL2" s="15"/>
      <c r="AM2" s="15" t="s">
        <v>1955</v>
      </c>
      <c r="AN2" s="135"/>
      <c r="AO2" s="135"/>
      <c r="AP2" s="107" t="s">
        <v>3991</v>
      </c>
    </row>
    <row r="3">
      <c r="A3" s="106">
        <v>143.0</v>
      </c>
      <c r="B3" s="15">
        <v>4.20090947E8</v>
      </c>
      <c r="C3" s="15" t="s">
        <v>3992</v>
      </c>
      <c r="D3" s="15" t="s">
        <v>3993</v>
      </c>
      <c r="E3" s="16" t="s">
        <v>3994</v>
      </c>
      <c r="F3" s="16" t="s">
        <v>3995</v>
      </c>
      <c r="G3" s="16" t="s">
        <v>2315</v>
      </c>
      <c r="H3" s="16" t="s">
        <v>3996</v>
      </c>
      <c r="I3" s="16">
        <v>1991.0</v>
      </c>
      <c r="J3" s="16" t="s">
        <v>3997</v>
      </c>
      <c r="K3" s="16" t="s">
        <v>3983</v>
      </c>
      <c r="L3" s="16" t="s">
        <v>57</v>
      </c>
      <c r="M3" s="16" t="s">
        <v>57</v>
      </c>
      <c r="N3" s="16" t="s">
        <v>2389</v>
      </c>
      <c r="O3" s="16" t="s">
        <v>3998</v>
      </c>
      <c r="P3" s="16" t="s">
        <v>3999</v>
      </c>
      <c r="Q3" s="16" t="s">
        <v>93</v>
      </c>
      <c r="R3" s="16" t="s">
        <v>57</v>
      </c>
      <c r="S3" s="16" t="s">
        <v>57</v>
      </c>
      <c r="T3" s="16" t="s">
        <v>74</v>
      </c>
      <c r="U3" s="16" t="s">
        <v>57</v>
      </c>
      <c r="V3" s="16" t="s">
        <v>2394</v>
      </c>
      <c r="W3" s="16" t="s">
        <v>536</v>
      </c>
      <c r="X3" s="16" t="s">
        <v>4000</v>
      </c>
      <c r="Y3" s="16" t="s">
        <v>2380</v>
      </c>
      <c r="Z3" s="16" t="s">
        <v>4001</v>
      </c>
      <c r="AA3" s="16">
        <v>1989.0</v>
      </c>
      <c r="AB3" s="16">
        <v>1989.0</v>
      </c>
      <c r="AC3" s="16" t="s">
        <v>74</v>
      </c>
      <c r="AD3" s="16" t="s">
        <v>215</v>
      </c>
      <c r="AE3" s="16" t="s">
        <v>4002</v>
      </c>
      <c r="AF3" s="16" t="s">
        <v>69</v>
      </c>
      <c r="AG3" s="16" t="s">
        <v>129</v>
      </c>
      <c r="AH3" s="16" t="s">
        <v>129</v>
      </c>
      <c r="AI3" s="16" t="s">
        <v>57</v>
      </c>
      <c r="AJ3" s="16" t="s">
        <v>57</v>
      </c>
      <c r="AK3" s="16" t="s">
        <v>4003</v>
      </c>
      <c r="AL3" s="15" t="s">
        <v>4004</v>
      </c>
      <c r="AM3" s="15" t="s">
        <v>109</v>
      </c>
      <c r="AN3" s="135"/>
      <c r="AO3" s="135"/>
      <c r="AP3" s="107" t="s">
        <v>3991</v>
      </c>
    </row>
    <row r="4">
      <c r="A4" s="106">
        <v>145.0</v>
      </c>
      <c r="B4" s="15">
        <v>4.20090892E8</v>
      </c>
      <c r="C4" s="15" t="s">
        <v>4005</v>
      </c>
      <c r="D4" s="15" t="s">
        <v>4006</v>
      </c>
      <c r="E4" s="16" t="s">
        <v>4007</v>
      </c>
      <c r="F4" s="16" t="s">
        <v>4008</v>
      </c>
      <c r="G4" s="16" t="s">
        <v>2315</v>
      </c>
      <c r="H4" s="16" t="s">
        <v>4009</v>
      </c>
      <c r="I4" s="16">
        <v>2022.0</v>
      </c>
      <c r="J4" s="16" t="s">
        <v>4010</v>
      </c>
      <c r="K4" s="16" t="s">
        <v>3983</v>
      </c>
      <c r="L4" s="16" t="s">
        <v>57</v>
      </c>
      <c r="M4" s="16" t="s">
        <v>57</v>
      </c>
      <c r="N4" s="16" t="s">
        <v>2389</v>
      </c>
      <c r="O4" s="16" t="s">
        <v>1775</v>
      </c>
      <c r="P4" s="16" t="s">
        <v>4011</v>
      </c>
      <c r="Q4" s="16" t="s">
        <v>93</v>
      </c>
      <c r="R4" s="16" t="s">
        <v>4012</v>
      </c>
      <c r="S4" s="16" t="s">
        <v>4013</v>
      </c>
      <c r="T4" s="16" t="s">
        <v>69</v>
      </c>
      <c r="U4" s="16" t="s">
        <v>4014</v>
      </c>
      <c r="V4" s="16" t="s">
        <v>2394</v>
      </c>
      <c r="W4" s="16" t="s">
        <v>178</v>
      </c>
      <c r="X4" s="16" t="s">
        <v>4015</v>
      </c>
      <c r="Y4" s="16" t="s">
        <v>4016</v>
      </c>
      <c r="Z4" s="16" t="s">
        <v>4017</v>
      </c>
      <c r="AA4" s="16">
        <v>2018.0</v>
      </c>
      <c r="AB4" s="16">
        <v>2019.0</v>
      </c>
      <c r="AC4" s="16" t="s">
        <v>69</v>
      </c>
      <c r="AD4" s="16" t="s">
        <v>2394</v>
      </c>
      <c r="AE4" s="16" t="s">
        <v>4018</v>
      </c>
      <c r="AF4" s="16" t="s">
        <v>69</v>
      </c>
      <c r="AG4" s="16" t="s">
        <v>2067</v>
      </c>
      <c r="AH4" s="16" t="s">
        <v>2067</v>
      </c>
      <c r="AI4" s="16" t="s">
        <v>57</v>
      </c>
      <c r="AJ4" s="16" t="s">
        <v>57</v>
      </c>
      <c r="AK4" s="16" t="s">
        <v>4019</v>
      </c>
      <c r="AL4" s="15" t="s">
        <v>4020</v>
      </c>
      <c r="AM4" s="15" t="s">
        <v>1955</v>
      </c>
      <c r="AN4" s="135"/>
      <c r="AO4" s="135"/>
      <c r="AP4" s="107" t="s">
        <v>3991</v>
      </c>
    </row>
    <row r="5">
      <c r="A5" s="106">
        <v>146.0</v>
      </c>
      <c r="B5" s="15">
        <v>4.20090892E8</v>
      </c>
      <c r="C5" s="15" t="s">
        <v>4021</v>
      </c>
      <c r="D5" s="15" t="s">
        <v>4006</v>
      </c>
      <c r="E5" s="16" t="s">
        <v>4022</v>
      </c>
      <c r="F5" s="16" t="s">
        <v>4008</v>
      </c>
      <c r="G5" s="16" t="s">
        <v>2315</v>
      </c>
      <c r="H5" s="16" t="s">
        <v>4009</v>
      </c>
      <c r="I5" s="16">
        <v>2022.0</v>
      </c>
      <c r="J5" s="16" t="s">
        <v>4010</v>
      </c>
      <c r="K5" s="16" t="s">
        <v>3983</v>
      </c>
      <c r="L5" s="16" t="s">
        <v>57</v>
      </c>
      <c r="M5" s="16" t="s">
        <v>57</v>
      </c>
      <c r="N5" s="16" t="s">
        <v>2389</v>
      </c>
      <c r="O5" s="16" t="s">
        <v>4023</v>
      </c>
      <c r="P5" s="16" t="s">
        <v>57</v>
      </c>
      <c r="Q5" s="16" t="s">
        <v>93</v>
      </c>
      <c r="R5" s="16" t="s">
        <v>57</v>
      </c>
      <c r="S5" s="16" t="s">
        <v>57</v>
      </c>
      <c r="T5" s="16" t="s">
        <v>74</v>
      </c>
      <c r="U5" s="16" t="s">
        <v>57</v>
      </c>
      <c r="V5" s="16" t="s">
        <v>2430</v>
      </c>
      <c r="W5" s="16" t="s">
        <v>536</v>
      </c>
      <c r="X5" s="16" t="s">
        <v>4024</v>
      </c>
      <c r="Y5" s="16" t="s">
        <v>4016</v>
      </c>
      <c r="Z5" s="16" t="s">
        <v>4025</v>
      </c>
      <c r="AA5" s="16" t="s">
        <v>57</v>
      </c>
      <c r="AB5" s="16" t="s">
        <v>57</v>
      </c>
      <c r="AC5" s="16" t="s">
        <v>74</v>
      </c>
      <c r="AD5" s="16" t="s">
        <v>2394</v>
      </c>
      <c r="AE5" s="16" t="s">
        <v>4026</v>
      </c>
      <c r="AF5" s="16" t="s">
        <v>69</v>
      </c>
      <c r="AG5" s="16" t="s">
        <v>374</v>
      </c>
      <c r="AH5" s="16" t="s">
        <v>374</v>
      </c>
      <c r="AI5" s="16" t="s">
        <v>57</v>
      </c>
      <c r="AJ5" s="16" t="s">
        <v>57</v>
      </c>
      <c r="AK5" s="16" t="s">
        <v>4027</v>
      </c>
      <c r="AL5" s="15" t="s">
        <v>4028</v>
      </c>
      <c r="AM5" s="15" t="s">
        <v>1955</v>
      </c>
      <c r="AN5" s="135"/>
      <c r="AO5" s="135"/>
      <c r="AP5" s="107" t="s">
        <v>3991</v>
      </c>
    </row>
    <row r="6">
      <c r="A6" s="106">
        <v>150.0</v>
      </c>
      <c r="B6" s="15">
        <v>4.20090922E8</v>
      </c>
      <c r="C6" s="15" t="s">
        <v>4029</v>
      </c>
      <c r="D6" s="15" t="s">
        <v>4030</v>
      </c>
      <c r="E6" s="16" t="s">
        <v>4031</v>
      </c>
      <c r="F6" s="16" t="s">
        <v>4032</v>
      </c>
      <c r="G6" s="16" t="s">
        <v>2315</v>
      </c>
      <c r="H6" s="16" t="s">
        <v>4033</v>
      </c>
      <c r="I6" s="16">
        <v>2015.0</v>
      </c>
      <c r="J6" s="16" t="s">
        <v>4034</v>
      </c>
      <c r="K6" s="16" t="s">
        <v>4035</v>
      </c>
      <c r="L6" s="16" t="s">
        <v>57</v>
      </c>
      <c r="M6" s="16" t="s">
        <v>57</v>
      </c>
      <c r="N6" s="16" t="s">
        <v>2389</v>
      </c>
      <c r="O6" s="16" t="s">
        <v>4036</v>
      </c>
      <c r="P6" s="16" t="s">
        <v>4037</v>
      </c>
      <c r="Q6" s="16" t="s">
        <v>93</v>
      </c>
      <c r="R6" s="16" t="s">
        <v>57</v>
      </c>
      <c r="S6" s="16" t="s">
        <v>57</v>
      </c>
      <c r="T6" s="16" t="s">
        <v>74</v>
      </c>
      <c r="U6" s="16" t="s">
        <v>57</v>
      </c>
      <c r="V6" s="16" t="s">
        <v>2394</v>
      </c>
      <c r="W6" s="16" t="s">
        <v>536</v>
      </c>
      <c r="X6" s="16" t="s">
        <v>4038</v>
      </c>
      <c r="Y6" s="16" t="s">
        <v>2397</v>
      </c>
      <c r="Z6" s="16" t="s">
        <v>4039</v>
      </c>
      <c r="AA6" s="16">
        <v>2015.0</v>
      </c>
      <c r="AB6" s="16">
        <v>2015.0</v>
      </c>
      <c r="AC6" s="16" t="s">
        <v>74</v>
      </c>
      <c r="AD6" s="16" t="s">
        <v>215</v>
      </c>
      <c r="AE6" s="16" t="s">
        <v>4040</v>
      </c>
      <c r="AF6" s="16" t="s">
        <v>69</v>
      </c>
      <c r="AG6" s="16" t="s">
        <v>129</v>
      </c>
      <c r="AH6" s="16" t="s">
        <v>129</v>
      </c>
      <c r="AI6" s="16" t="s">
        <v>57</v>
      </c>
      <c r="AJ6" s="16" t="s">
        <v>57</v>
      </c>
      <c r="AK6" s="16" t="s">
        <v>4041</v>
      </c>
      <c r="AL6" s="15"/>
      <c r="AM6" s="15" t="s">
        <v>1955</v>
      </c>
      <c r="AN6" s="135"/>
      <c r="AO6" s="135"/>
      <c r="AP6" s="107" t="s">
        <v>3991</v>
      </c>
    </row>
    <row r="7">
      <c r="A7" s="106">
        <v>151.0</v>
      </c>
      <c r="B7" s="15">
        <v>4.2009091E8</v>
      </c>
      <c r="C7" s="15" t="s">
        <v>4042</v>
      </c>
      <c r="D7" s="15" t="s">
        <v>4043</v>
      </c>
      <c r="E7" s="16" t="s">
        <v>4044</v>
      </c>
      <c r="F7" s="16" t="s">
        <v>4045</v>
      </c>
      <c r="G7" s="16" t="s">
        <v>396</v>
      </c>
      <c r="H7" s="16" t="s">
        <v>4046</v>
      </c>
      <c r="I7" s="16">
        <v>2018.0</v>
      </c>
      <c r="J7" s="16" t="s">
        <v>4047</v>
      </c>
      <c r="K7" s="16" t="s">
        <v>3983</v>
      </c>
      <c r="L7" s="16" t="s">
        <v>57</v>
      </c>
      <c r="M7" s="16" t="s">
        <v>57</v>
      </c>
      <c r="N7" s="16" t="s">
        <v>396</v>
      </c>
      <c r="O7" s="16" t="s">
        <v>1717</v>
      </c>
      <c r="P7" s="16" t="s">
        <v>4048</v>
      </c>
      <c r="Q7" s="16" t="s">
        <v>93</v>
      </c>
      <c r="R7" s="16" t="s">
        <v>57</v>
      </c>
      <c r="S7" s="16" t="s">
        <v>57</v>
      </c>
      <c r="T7" s="16" t="s">
        <v>74</v>
      </c>
      <c r="U7" s="16" t="s">
        <v>57</v>
      </c>
      <c r="V7" s="16" t="s">
        <v>2394</v>
      </c>
      <c r="W7" s="16" t="s">
        <v>64</v>
      </c>
      <c r="X7" s="16" t="s">
        <v>4049</v>
      </c>
      <c r="Y7" s="16" t="s">
        <v>2397</v>
      </c>
      <c r="Z7" s="16" t="s">
        <v>4050</v>
      </c>
      <c r="AA7" s="16">
        <v>2016.0</v>
      </c>
      <c r="AB7" s="16">
        <v>2016.0</v>
      </c>
      <c r="AC7" s="16" t="s">
        <v>74</v>
      </c>
      <c r="AD7" s="16" t="s">
        <v>2394</v>
      </c>
      <c r="AE7" s="16" t="s">
        <v>4051</v>
      </c>
      <c r="AF7" s="16" t="s">
        <v>69</v>
      </c>
      <c r="AG7" s="16" t="s">
        <v>129</v>
      </c>
      <c r="AH7" s="16" t="s">
        <v>129</v>
      </c>
      <c r="AI7" s="16" t="s">
        <v>57</v>
      </c>
      <c r="AJ7" s="16" t="s">
        <v>57</v>
      </c>
      <c r="AK7" s="16" t="s">
        <v>4052</v>
      </c>
      <c r="AL7" s="15" t="s">
        <v>4053</v>
      </c>
      <c r="AM7" s="15" t="s">
        <v>1955</v>
      </c>
      <c r="AN7" s="135"/>
      <c r="AO7" s="135"/>
      <c r="AP7" s="107" t="s">
        <v>3991</v>
      </c>
    </row>
    <row r="8">
      <c r="A8" s="106">
        <v>152.0</v>
      </c>
      <c r="B8" s="15">
        <v>4.20090928E8</v>
      </c>
      <c r="C8" s="15" t="s">
        <v>4054</v>
      </c>
      <c r="D8" s="15" t="s">
        <v>4055</v>
      </c>
      <c r="E8" s="16" t="s">
        <v>4056</v>
      </c>
      <c r="F8" s="16" t="s">
        <v>4057</v>
      </c>
      <c r="G8" s="16" t="s">
        <v>396</v>
      </c>
      <c r="H8" s="16" t="s">
        <v>4058</v>
      </c>
      <c r="I8" s="16">
        <v>2013.0</v>
      </c>
      <c r="J8" s="16" t="s">
        <v>4059</v>
      </c>
      <c r="K8" s="16" t="s">
        <v>3983</v>
      </c>
      <c r="L8" s="16" t="s">
        <v>57</v>
      </c>
      <c r="M8" s="16" t="s">
        <v>57</v>
      </c>
      <c r="N8" s="16" t="s">
        <v>396</v>
      </c>
      <c r="O8" s="16" t="s">
        <v>4060</v>
      </c>
      <c r="P8" s="16" t="s">
        <v>4061</v>
      </c>
      <c r="Q8" s="16" t="s">
        <v>93</v>
      </c>
      <c r="R8" s="16" t="s">
        <v>57</v>
      </c>
      <c r="S8" s="16" t="s">
        <v>57</v>
      </c>
      <c r="T8" s="16" t="s">
        <v>74</v>
      </c>
      <c r="U8" s="16" t="s">
        <v>57</v>
      </c>
      <c r="V8" s="16" t="s">
        <v>193</v>
      </c>
      <c r="W8" s="16" t="s">
        <v>1938</v>
      </c>
      <c r="X8" s="16" t="s">
        <v>4062</v>
      </c>
      <c r="Y8" s="16" t="s">
        <v>4063</v>
      </c>
      <c r="Z8" s="16" t="s">
        <v>4064</v>
      </c>
      <c r="AA8" s="16">
        <v>2008.0</v>
      </c>
      <c r="AB8" s="16">
        <v>2010.0</v>
      </c>
      <c r="AC8" s="16" t="s">
        <v>69</v>
      </c>
      <c r="AD8" s="16" t="s">
        <v>215</v>
      </c>
      <c r="AE8" s="16" t="s">
        <v>4065</v>
      </c>
      <c r="AF8" s="16" t="s">
        <v>69</v>
      </c>
      <c r="AG8" s="16" t="s">
        <v>129</v>
      </c>
      <c r="AH8" s="16" t="s">
        <v>129</v>
      </c>
      <c r="AI8" s="16" t="s">
        <v>57</v>
      </c>
      <c r="AJ8" s="16" t="s">
        <v>57</v>
      </c>
      <c r="AK8" s="16" t="s">
        <v>4066</v>
      </c>
      <c r="AL8" s="15"/>
      <c r="AM8" s="15" t="s">
        <v>1955</v>
      </c>
      <c r="AN8" s="135"/>
      <c r="AO8" s="135"/>
      <c r="AP8" s="107" t="s">
        <v>3991</v>
      </c>
    </row>
    <row r="9">
      <c r="A9" s="106">
        <v>155.0</v>
      </c>
      <c r="B9" s="15">
        <v>4.20090926E8</v>
      </c>
      <c r="C9" s="15" t="s">
        <v>4067</v>
      </c>
      <c r="D9" s="15" t="s">
        <v>4068</v>
      </c>
      <c r="E9" s="16" t="s">
        <v>4069</v>
      </c>
      <c r="F9" s="16" t="s">
        <v>4070</v>
      </c>
      <c r="G9" s="16" t="s">
        <v>2315</v>
      </c>
      <c r="H9" s="16" t="s">
        <v>4071</v>
      </c>
      <c r="I9" s="16">
        <v>2015.0</v>
      </c>
      <c r="J9" s="16" t="s">
        <v>4072</v>
      </c>
      <c r="K9" s="16" t="s">
        <v>3983</v>
      </c>
      <c r="L9" s="16" t="s">
        <v>57</v>
      </c>
      <c r="M9" s="16" t="s">
        <v>57</v>
      </c>
      <c r="N9" s="16" t="s">
        <v>2389</v>
      </c>
      <c r="O9" s="16" t="s">
        <v>3030</v>
      </c>
      <c r="P9" s="16" t="s">
        <v>4073</v>
      </c>
      <c r="Q9" s="16" t="s">
        <v>93</v>
      </c>
      <c r="R9" s="16" t="s">
        <v>57</v>
      </c>
      <c r="S9" s="16" t="s">
        <v>57</v>
      </c>
      <c r="T9" s="16" t="s">
        <v>74</v>
      </c>
      <c r="U9" s="16" t="s">
        <v>57</v>
      </c>
      <c r="V9" s="16" t="s">
        <v>2394</v>
      </c>
      <c r="W9" s="16" t="s">
        <v>536</v>
      </c>
      <c r="X9" s="16" t="s">
        <v>4074</v>
      </c>
      <c r="Y9" s="16" t="s">
        <v>2397</v>
      </c>
      <c r="Z9" s="16" t="s">
        <v>4075</v>
      </c>
      <c r="AA9" s="16">
        <v>2014.0</v>
      </c>
      <c r="AB9" s="16">
        <v>2014.0</v>
      </c>
      <c r="AC9" s="16" t="s">
        <v>74</v>
      </c>
      <c r="AD9" s="16" t="s">
        <v>2394</v>
      </c>
      <c r="AE9" s="16" t="s">
        <v>4076</v>
      </c>
      <c r="AF9" s="16" t="s">
        <v>69</v>
      </c>
      <c r="AG9" s="16" t="s">
        <v>129</v>
      </c>
      <c r="AH9" s="16" t="s">
        <v>129</v>
      </c>
      <c r="AI9" s="16" t="s">
        <v>57</v>
      </c>
      <c r="AJ9" s="16" t="s">
        <v>57</v>
      </c>
      <c r="AK9" s="16" t="s">
        <v>4077</v>
      </c>
      <c r="AL9" s="15"/>
      <c r="AM9" s="15" t="s">
        <v>1955</v>
      </c>
      <c r="AN9" s="135"/>
      <c r="AO9" s="135"/>
      <c r="AP9" s="107" t="s">
        <v>3991</v>
      </c>
    </row>
    <row r="10">
      <c r="A10" s="136">
        <v>158.0</v>
      </c>
      <c r="B10" s="74">
        <v>4.20090941E8</v>
      </c>
      <c r="C10" s="74" t="s">
        <v>4078</v>
      </c>
      <c r="D10" s="74" t="s">
        <v>4079</v>
      </c>
      <c r="E10" s="75" t="s">
        <v>4080</v>
      </c>
      <c r="F10" s="75" t="s">
        <v>4081</v>
      </c>
      <c r="G10" s="75" t="s">
        <v>2315</v>
      </c>
      <c r="H10" s="75" t="s">
        <v>4082</v>
      </c>
      <c r="I10" s="75">
        <v>2007.0</v>
      </c>
      <c r="J10" s="75" t="s">
        <v>4083</v>
      </c>
      <c r="K10" s="75" t="s">
        <v>3983</v>
      </c>
      <c r="L10" s="75" t="s">
        <v>57</v>
      </c>
      <c r="M10" s="75" t="s">
        <v>57</v>
      </c>
      <c r="N10" s="75" t="s">
        <v>2389</v>
      </c>
      <c r="O10" s="75" t="s">
        <v>4084</v>
      </c>
      <c r="P10" s="75" t="s">
        <v>4085</v>
      </c>
      <c r="Q10" s="75" t="s">
        <v>93</v>
      </c>
      <c r="R10" s="75" t="s">
        <v>4086</v>
      </c>
      <c r="S10" s="75" t="s">
        <v>4087</v>
      </c>
      <c r="T10" s="75" t="s">
        <v>74</v>
      </c>
      <c r="U10" s="75" t="s">
        <v>57</v>
      </c>
      <c r="V10" s="75" t="s">
        <v>193</v>
      </c>
      <c r="W10" s="75" t="s">
        <v>64</v>
      </c>
      <c r="X10" s="75" t="s">
        <v>4088</v>
      </c>
      <c r="Y10" s="75" t="s">
        <v>2397</v>
      </c>
      <c r="Z10" s="75" t="s">
        <v>4089</v>
      </c>
      <c r="AA10" s="75" t="s">
        <v>57</v>
      </c>
      <c r="AB10" s="75" t="s">
        <v>57</v>
      </c>
      <c r="AC10" s="75" t="s">
        <v>74</v>
      </c>
      <c r="AD10" s="75" t="s">
        <v>96</v>
      </c>
      <c r="AE10" s="75" t="s">
        <v>4090</v>
      </c>
      <c r="AF10" s="75" t="s">
        <v>69</v>
      </c>
      <c r="AG10" s="75" t="s">
        <v>129</v>
      </c>
      <c r="AH10" s="75" t="s">
        <v>129</v>
      </c>
      <c r="AI10" s="75" t="s">
        <v>57</v>
      </c>
      <c r="AJ10" s="75" t="s">
        <v>57</v>
      </c>
      <c r="AK10" s="75" t="s">
        <v>57</v>
      </c>
      <c r="AL10" s="74" t="s">
        <v>4091</v>
      </c>
      <c r="AM10" s="74" t="s">
        <v>1955</v>
      </c>
      <c r="AN10" s="74"/>
      <c r="AO10" s="74"/>
      <c r="AP10" s="107" t="s">
        <v>3991</v>
      </c>
    </row>
  </sheetData>
  <dataValidations>
    <dataValidation type="list" allowBlank="1" showDropDown="1" sqref="AN1:AN10">
      <formula1>'UF Comp Metrics List'!$B$2:$B$26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cols>
    <col customWidth="1" min="1" max="1" width="3.13"/>
    <col customWidth="1" min="2" max="2" width="10.5"/>
    <col customWidth="1" min="3" max="4" width="9.38"/>
    <col customWidth="1" hidden="1" min="5" max="5" width="9.38"/>
    <col customWidth="1" min="6" max="7" width="9.38"/>
    <col customWidth="1" hidden="1" min="8" max="8" width="9.38"/>
    <col customWidth="1" min="9" max="9" width="9.38"/>
    <col customWidth="1" hidden="1" min="10" max="19" width="9.38"/>
    <col customWidth="1" min="20" max="20" width="21.63"/>
    <col customWidth="1" min="21" max="21" width="52.75"/>
    <col customWidth="1" hidden="1" min="22" max="40" width="9.38"/>
    <col customWidth="1" hidden="1" min="41" max="41" width="20.88"/>
    <col customWidth="1" hidden="1" min="42" max="42" width="25.75"/>
    <col customWidth="1" min="43" max="43" width="36.13"/>
    <col customWidth="1" min="44" max="45" width="9.38"/>
  </cols>
  <sheetData>
    <row r="1">
      <c r="A1" s="4" t="s">
        <v>4</v>
      </c>
      <c r="B1" s="5" t="s">
        <v>5</v>
      </c>
      <c r="C1" s="6" t="s">
        <v>6</v>
      </c>
      <c r="D1" s="6" t="s">
        <v>7</v>
      </c>
      <c r="E1" s="6" t="s">
        <v>8</v>
      </c>
      <c r="F1" s="6" t="s">
        <v>9</v>
      </c>
      <c r="G1" s="6" t="s">
        <v>10</v>
      </c>
      <c r="H1" s="8" t="s">
        <v>11</v>
      </c>
      <c r="I1" s="6" t="s">
        <v>12</v>
      </c>
      <c r="J1" s="6" t="s">
        <v>13</v>
      </c>
      <c r="K1" s="6" t="s">
        <v>14</v>
      </c>
      <c r="L1" s="6" t="s">
        <v>15</v>
      </c>
      <c r="M1" s="6" t="s">
        <v>16</v>
      </c>
      <c r="N1" s="6" t="s">
        <v>17</v>
      </c>
      <c r="O1" s="6" t="s">
        <v>18</v>
      </c>
      <c r="P1" s="6" t="s">
        <v>19</v>
      </c>
      <c r="Q1" s="6" t="s">
        <v>20</v>
      </c>
      <c r="R1" s="6" t="s">
        <v>21</v>
      </c>
      <c r="S1" s="6" t="s">
        <v>22</v>
      </c>
      <c r="T1" s="6" t="s">
        <v>23</v>
      </c>
      <c r="U1" s="6" t="s">
        <v>24</v>
      </c>
      <c r="V1" s="6" t="s">
        <v>25</v>
      </c>
      <c r="W1" s="6" t="s">
        <v>26</v>
      </c>
      <c r="X1" s="9" t="s">
        <v>27</v>
      </c>
      <c r="Y1" s="6" t="s">
        <v>28</v>
      </c>
      <c r="Z1" s="6" t="s">
        <v>29</v>
      </c>
      <c r="AA1" s="6" t="s">
        <v>30</v>
      </c>
      <c r="AB1" s="6" t="s">
        <v>31</v>
      </c>
      <c r="AC1" s="6" t="s">
        <v>32</v>
      </c>
      <c r="AD1" s="6" t="s">
        <v>33</v>
      </c>
      <c r="AE1" s="6" t="s">
        <v>34</v>
      </c>
      <c r="AF1" s="6" t="s">
        <v>35</v>
      </c>
      <c r="AG1" s="6" t="s">
        <v>36</v>
      </c>
      <c r="AH1" s="6" t="s">
        <v>37</v>
      </c>
      <c r="AI1" s="6" t="s">
        <v>38</v>
      </c>
      <c r="AJ1" s="6" t="s">
        <v>39</v>
      </c>
      <c r="AK1" s="6" t="s">
        <v>40</v>
      </c>
      <c r="AL1" s="6" t="s">
        <v>41</v>
      </c>
      <c r="AM1" s="6" t="s">
        <v>42</v>
      </c>
      <c r="AN1" s="6" t="s">
        <v>43</v>
      </c>
      <c r="AO1" s="6" t="s">
        <v>44</v>
      </c>
      <c r="AP1" s="6" t="s">
        <v>45</v>
      </c>
      <c r="AQ1" s="10" t="s">
        <v>46</v>
      </c>
      <c r="AR1" s="11" t="s">
        <v>47</v>
      </c>
      <c r="AS1" s="12" t="s">
        <v>48</v>
      </c>
    </row>
    <row r="2">
      <c r="A2" s="13">
        <v>5.0</v>
      </c>
      <c r="B2" s="14">
        <v>3.64027039E8</v>
      </c>
      <c r="C2" s="15" t="s">
        <v>49</v>
      </c>
      <c r="D2" s="15" t="s">
        <v>50</v>
      </c>
      <c r="E2" s="15" t="s">
        <v>51</v>
      </c>
      <c r="F2" s="15" t="s">
        <v>52</v>
      </c>
      <c r="G2" s="15" t="s">
        <v>53</v>
      </c>
      <c r="H2" s="17">
        <v>2002.0</v>
      </c>
      <c r="I2" s="15" t="s">
        <v>54</v>
      </c>
      <c r="J2" s="15" t="s">
        <v>55</v>
      </c>
      <c r="K2" s="15" t="s">
        <v>56</v>
      </c>
      <c r="L2" s="15" t="s">
        <v>57</v>
      </c>
      <c r="M2" s="15" t="s">
        <v>52</v>
      </c>
      <c r="N2" s="15" t="s">
        <v>58</v>
      </c>
      <c r="O2" s="15" t="s">
        <v>59</v>
      </c>
      <c r="P2" s="15" t="s">
        <v>60</v>
      </c>
      <c r="Q2" s="15" t="s">
        <v>61</v>
      </c>
      <c r="R2" s="15" t="s">
        <v>62</v>
      </c>
      <c r="S2" s="15" t="s">
        <v>63</v>
      </c>
      <c r="T2" s="15" t="s">
        <v>64</v>
      </c>
      <c r="U2" s="15" t="s">
        <v>65</v>
      </c>
      <c r="V2" s="15" t="s">
        <v>66</v>
      </c>
      <c r="W2" s="15" t="s">
        <v>67</v>
      </c>
      <c r="X2" s="18" t="s">
        <v>68</v>
      </c>
      <c r="Y2" s="15" t="s">
        <v>69</v>
      </c>
      <c r="Z2" s="15" t="s">
        <v>70</v>
      </c>
      <c r="AA2" s="15">
        <v>1999.0</v>
      </c>
      <c r="AB2" s="15">
        <v>2000.0</v>
      </c>
      <c r="AC2" s="15" t="s">
        <v>71</v>
      </c>
      <c r="AD2" s="15" t="s">
        <v>72</v>
      </c>
      <c r="AE2" s="15" t="s">
        <v>73</v>
      </c>
      <c r="AF2" s="15" t="s">
        <v>74</v>
      </c>
      <c r="AG2" s="15" t="s">
        <v>75</v>
      </c>
      <c r="AH2" s="15" t="s">
        <v>76</v>
      </c>
      <c r="AI2" s="15" t="s">
        <v>77</v>
      </c>
      <c r="AJ2" s="15" t="s">
        <v>77</v>
      </c>
      <c r="AK2" s="15" t="s">
        <v>78</v>
      </c>
      <c r="AL2" s="15" t="s">
        <v>79</v>
      </c>
      <c r="AM2" s="15" t="s">
        <v>57</v>
      </c>
      <c r="AN2" s="15" t="s">
        <v>80</v>
      </c>
      <c r="AO2" s="19"/>
      <c r="AP2" s="15" t="s">
        <v>81</v>
      </c>
      <c r="AQ2" s="20" t="s">
        <v>4092</v>
      </c>
      <c r="AR2" s="20" t="s">
        <v>1955</v>
      </c>
      <c r="AS2" s="21" t="s">
        <v>4093</v>
      </c>
    </row>
    <row r="3">
      <c r="A3" s="13">
        <v>9.0</v>
      </c>
      <c r="B3" s="14">
        <v>3.64025374E8</v>
      </c>
      <c r="C3" s="15" t="s">
        <v>84</v>
      </c>
      <c r="D3" s="15" t="s">
        <v>85</v>
      </c>
      <c r="E3" s="15" t="s">
        <v>86</v>
      </c>
      <c r="F3" s="15" t="s">
        <v>87</v>
      </c>
      <c r="G3" s="15" t="s">
        <v>88</v>
      </c>
      <c r="H3" s="17">
        <v>2016.0</v>
      </c>
      <c r="I3" s="15" t="s">
        <v>89</v>
      </c>
      <c r="J3" s="15" t="s">
        <v>55</v>
      </c>
      <c r="K3" s="15" t="s">
        <v>90</v>
      </c>
      <c r="L3" s="15" t="s">
        <v>57</v>
      </c>
      <c r="M3" s="15" t="s">
        <v>87</v>
      </c>
      <c r="N3" s="15" t="s">
        <v>91</v>
      </c>
      <c r="O3" s="15" t="s">
        <v>92</v>
      </c>
      <c r="P3" s="15" t="s">
        <v>93</v>
      </c>
      <c r="Q3" s="15" t="s">
        <v>94</v>
      </c>
      <c r="R3" s="15" t="s">
        <v>95</v>
      </c>
      <c r="S3" s="15" t="s">
        <v>96</v>
      </c>
      <c r="T3" s="15" t="s">
        <v>97</v>
      </c>
      <c r="U3" s="15" t="s">
        <v>98</v>
      </c>
      <c r="V3" s="15" t="s">
        <v>99</v>
      </c>
      <c r="W3" s="15" t="s">
        <v>100</v>
      </c>
      <c r="X3" s="18" t="s">
        <v>100</v>
      </c>
      <c r="Y3" s="15" t="s">
        <v>69</v>
      </c>
      <c r="Z3" s="15" t="s">
        <v>101</v>
      </c>
      <c r="AA3" s="15">
        <v>2010.0</v>
      </c>
      <c r="AB3" s="15">
        <v>2014.0</v>
      </c>
      <c r="AC3" s="15" t="s">
        <v>102</v>
      </c>
      <c r="AD3" s="15" t="s">
        <v>103</v>
      </c>
      <c r="AE3" s="15" t="s">
        <v>69</v>
      </c>
      <c r="AF3" s="15" t="s">
        <v>74</v>
      </c>
      <c r="AG3" s="15" t="s">
        <v>104</v>
      </c>
      <c r="AH3" s="15" t="s">
        <v>105</v>
      </c>
      <c r="AI3" s="15" t="s">
        <v>106</v>
      </c>
      <c r="AJ3" s="15" t="s">
        <v>107</v>
      </c>
      <c r="AK3" s="15" t="s">
        <v>108</v>
      </c>
      <c r="AL3" s="15" t="s">
        <v>79</v>
      </c>
      <c r="AM3" s="15" t="s">
        <v>57</v>
      </c>
      <c r="AN3" s="15" t="s">
        <v>80</v>
      </c>
      <c r="AO3" s="19"/>
      <c r="AP3" s="15" t="s">
        <v>109</v>
      </c>
      <c r="AQ3" s="20" t="s">
        <v>4094</v>
      </c>
      <c r="AR3" s="20" t="s">
        <v>1955</v>
      </c>
      <c r="AS3" s="21" t="s">
        <v>4095</v>
      </c>
    </row>
    <row r="4">
      <c r="A4" s="13">
        <v>11.0</v>
      </c>
      <c r="B4" s="14">
        <v>3.64026754E8</v>
      </c>
      <c r="C4" s="15" t="s">
        <v>111</v>
      </c>
      <c r="D4" s="15" t="s">
        <v>112</v>
      </c>
      <c r="E4" s="15" t="s">
        <v>113</v>
      </c>
      <c r="F4" s="15" t="s">
        <v>114</v>
      </c>
      <c r="G4" s="15" t="s">
        <v>115</v>
      </c>
      <c r="H4" s="17">
        <v>2016.0</v>
      </c>
      <c r="I4" s="15" t="s">
        <v>116</v>
      </c>
      <c r="J4" s="15" t="s">
        <v>55</v>
      </c>
      <c r="K4" s="15" t="s">
        <v>117</v>
      </c>
      <c r="L4" s="15" t="s">
        <v>57</v>
      </c>
      <c r="M4" s="15" t="s">
        <v>114</v>
      </c>
      <c r="N4" s="15" t="s">
        <v>118</v>
      </c>
      <c r="O4" s="15" t="s">
        <v>119</v>
      </c>
      <c r="P4" s="15" t="s">
        <v>93</v>
      </c>
      <c r="Q4" s="15" t="s">
        <v>57</v>
      </c>
      <c r="R4" s="15" t="s">
        <v>57</v>
      </c>
      <c r="S4" s="15" t="s">
        <v>63</v>
      </c>
      <c r="T4" s="15" t="s">
        <v>64</v>
      </c>
      <c r="U4" s="15" t="s">
        <v>120</v>
      </c>
      <c r="V4" s="15" t="s">
        <v>99</v>
      </c>
      <c r="W4" s="15" t="s">
        <v>121</v>
      </c>
      <c r="X4" s="18" t="s">
        <v>122</v>
      </c>
      <c r="Y4" s="15" t="s">
        <v>69</v>
      </c>
      <c r="Z4" s="15" t="s">
        <v>123</v>
      </c>
      <c r="AA4" s="15">
        <v>2013.0</v>
      </c>
      <c r="AB4" s="15">
        <v>2015.0</v>
      </c>
      <c r="AC4" s="15" t="s">
        <v>57</v>
      </c>
      <c r="AD4" s="15" t="s">
        <v>57</v>
      </c>
      <c r="AE4" s="15" t="s">
        <v>57</v>
      </c>
      <c r="AF4" s="15" t="s">
        <v>74</v>
      </c>
      <c r="AG4" s="15" t="s">
        <v>124</v>
      </c>
      <c r="AH4" s="15" t="s">
        <v>125</v>
      </c>
      <c r="AI4" s="15" t="s">
        <v>126</v>
      </c>
      <c r="AJ4" s="15" t="s">
        <v>107</v>
      </c>
      <c r="AK4" s="15" t="s">
        <v>127</v>
      </c>
      <c r="AL4" s="15" t="s">
        <v>128</v>
      </c>
      <c r="AM4" s="15" t="s">
        <v>129</v>
      </c>
      <c r="AN4" s="15" t="s">
        <v>130</v>
      </c>
      <c r="AO4" s="19"/>
      <c r="AP4" s="15" t="s">
        <v>81</v>
      </c>
      <c r="AQ4" s="20" t="s">
        <v>4096</v>
      </c>
      <c r="AR4" s="20" t="s">
        <v>1955</v>
      </c>
      <c r="AS4" s="21" t="s">
        <v>4097</v>
      </c>
    </row>
    <row r="5">
      <c r="A5" s="137">
        <v>12.0</v>
      </c>
      <c r="B5" s="138">
        <v>3.64025386E8</v>
      </c>
      <c r="C5" s="139" t="s">
        <v>132</v>
      </c>
      <c r="D5" s="139" t="s">
        <v>133</v>
      </c>
      <c r="E5" s="139" t="s">
        <v>134</v>
      </c>
      <c r="F5" s="139" t="s">
        <v>114</v>
      </c>
      <c r="G5" s="139" t="s">
        <v>135</v>
      </c>
      <c r="H5" s="140">
        <v>2013.0</v>
      </c>
      <c r="I5" s="139" t="s">
        <v>136</v>
      </c>
      <c r="J5" s="139" t="s">
        <v>55</v>
      </c>
      <c r="K5" s="139" t="s">
        <v>137</v>
      </c>
      <c r="L5" s="139" t="s">
        <v>57</v>
      </c>
      <c r="M5" s="139" t="s">
        <v>114</v>
      </c>
      <c r="N5" s="139" t="s">
        <v>138</v>
      </c>
      <c r="O5" s="139" t="s">
        <v>139</v>
      </c>
      <c r="P5" s="139" t="s">
        <v>93</v>
      </c>
      <c r="Q5" s="139" t="s">
        <v>57</v>
      </c>
      <c r="R5" s="139" t="s">
        <v>57</v>
      </c>
      <c r="S5" s="139" t="s">
        <v>96</v>
      </c>
      <c r="T5" s="139" t="s">
        <v>140</v>
      </c>
      <c r="U5" s="139" t="s">
        <v>141</v>
      </c>
      <c r="V5" s="139" t="s">
        <v>99</v>
      </c>
      <c r="W5" s="139" t="s">
        <v>142</v>
      </c>
      <c r="X5" s="141" t="s">
        <v>143</v>
      </c>
      <c r="Y5" s="139" t="s">
        <v>74</v>
      </c>
      <c r="Z5" s="139" t="s">
        <v>57</v>
      </c>
      <c r="AA5" s="139">
        <v>2008.0</v>
      </c>
      <c r="AB5" s="139">
        <v>2009.0</v>
      </c>
      <c r="AC5" s="139" t="s">
        <v>144</v>
      </c>
      <c r="AD5" s="139" t="s">
        <v>102</v>
      </c>
      <c r="AE5" s="139" t="s">
        <v>69</v>
      </c>
      <c r="AF5" s="139" t="s">
        <v>69</v>
      </c>
      <c r="AG5" s="139" t="s">
        <v>75</v>
      </c>
      <c r="AH5" s="139" t="s">
        <v>145</v>
      </c>
      <c r="AI5" s="139" t="s">
        <v>146</v>
      </c>
      <c r="AJ5" s="139" t="s">
        <v>147</v>
      </c>
      <c r="AK5" s="139" t="s">
        <v>148</v>
      </c>
      <c r="AL5" s="139" t="s">
        <v>79</v>
      </c>
      <c r="AM5" s="139" t="s">
        <v>57</v>
      </c>
      <c r="AN5" s="139" t="s">
        <v>57</v>
      </c>
      <c r="AO5" s="139" t="s">
        <v>149</v>
      </c>
      <c r="AP5" s="139" t="s">
        <v>109</v>
      </c>
      <c r="AQ5" s="56" t="s">
        <v>4098</v>
      </c>
      <c r="AR5" s="56" t="s">
        <v>1955</v>
      </c>
      <c r="AS5" s="57"/>
    </row>
    <row r="6">
      <c r="A6" s="137">
        <v>21.0</v>
      </c>
      <c r="B6" s="138">
        <v>3.64025399E8</v>
      </c>
      <c r="C6" s="139" t="s">
        <v>151</v>
      </c>
      <c r="D6" s="139" t="s">
        <v>152</v>
      </c>
      <c r="E6" s="139" t="s">
        <v>153</v>
      </c>
      <c r="F6" s="139" t="s">
        <v>154</v>
      </c>
      <c r="G6" s="139" t="s">
        <v>155</v>
      </c>
      <c r="H6" s="140">
        <v>2006.0</v>
      </c>
      <c r="I6" s="139" t="s">
        <v>156</v>
      </c>
      <c r="J6" s="139" t="s">
        <v>157</v>
      </c>
      <c r="K6" s="139" t="s">
        <v>158</v>
      </c>
      <c r="L6" s="139" t="s">
        <v>57</v>
      </c>
      <c r="M6" s="139" t="s">
        <v>154</v>
      </c>
      <c r="N6" s="139" t="s">
        <v>159</v>
      </c>
      <c r="O6" s="139" t="s">
        <v>160</v>
      </c>
      <c r="P6" s="139" t="s">
        <v>93</v>
      </c>
      <c r="Q6" s="139" t="s">
        <v>57</v>
      </c>
      <c r="R6" s="139" t="s">
        <v>57</v>
      </c>
      <c r="S6" s="139" t="s">
        <v>96</v>
      </c>
      <c r="T6" s="139" t="s">
        <v>161</v>
      </c>
      <c r="U6" s="139" t="s">
        <v>162</v>
      </c>
      <c r="V6" s="139" t="s">
        <v>66</v>
      </c>
      <c r="W6" s="139" t="s">
        <v>163</v>
      </c>
      <c r="X6" s="141" t="s">
        <v>164</v>
      </c>
      <c r="Y6" s="139" t="s">
        <v>74</v>
      </c>
      <c r="Z6" s="139" t="s">
        <v>57</v>
      </c>
      <c r="AA6" s="139">
        <v>1999.0</v>
      </c>
      <c r="AB6" s="139">
        <v>1999.0</v>
      </c>
      <c r="AC6" s="139" t="s">
        <v>57</v>
      </c>
      <c r="AD6" s="139" t="s">
        <v>57</v>
      </c>
      <c r="AE6" s="139" t="s">
        <v>57</v>
      </c>
      <c r="AF6" s="139" t="s">
        <v>74</v>
      </c>
      <c r="AG6" s="139" t="s">
        <v>75</v>
      </c>
      <c r="AH6" s="139" t="s">
        <v>165</v>
      </c>
      <c r="AI6" s="139" t="s">
        <v>166</v>
      </c>
      <c r="AJ6" s="139" t="s">
        <v>166</v>
      </c>
      <c r="AK6" s="139" t="s">
        <v>167</v>
      </c>
      <c r="AL6" s="139" t="s">
        <v>79</v>
      </c>
      <c r="AM6" s="139" t="s">
        <v>57</v>
      </c>
      <c r="AN6" s="139" t="s">
        <v>57</v>
      </c>
      <c r="AO6" s="142"/>
      <c r="AP6" s="139" t="s">
        <v>109</v>
      </c>
      <c r="AQ6" s="56" t="s">
        <v>1909</v>
      </c>
      <c r="AR6" s="56" t="s">
        <v>1955</v>
      </c>
      <c r="AS6" s="57"/>
    </row>
    <row r="7">
      <c r="A7" s="137">
        <v>25.0</v>
      </c>
      <c r="B7" s="143">
        <v>3.64025426E8</v>
      </c>
      <c r="C7" s="139" t="s">
        <v>169</v>
      </c>
      <c r="D7" s="139" t="s">
        <v>170</v>
      </c>
      <c r="E7" s="139" t="s">
        <v>171</v>
      </c>
      <c r="F7" s="139" t="s">
        <v>172</v>
      </c>
      <c r="G7" s="139" t="s">
        <v>173</v>
      </c>
      <c r="H7" s="140">
        <v>2019.0</v>
      </c>
      <c r="I7" s="139" t="s">
        <v>174</v>
      </c>
      <c r="J7" s="139" t="s">
        <v>55</v>
      </c>
      <c r="K7" s="139" t="s">
        <v>175</v>
      </c>
      <c r="L7" s="139" t="s">
        <v>57</v>
      </c>
      <c r="M7" s="139" t="s">
        <v>172</v>
      </c>
      <c r="N7" s="139" t="s">
        <v>176</v>
      </c>
      <c r="O7" s="139" t="s">
        <v>177</v>
      </c>
      <c r="P7" s="139" t="s">
        <v>93</v>
      </c>
      <c r="Q7" s="139" t="s">
        <v>57</v>
      </c>
      <c r="R7" s="139" t="s">
        <v>57</v>
      </c>
      <c r="S7" s="139" t="s">
        <v>96</v>
      </c>
      <c r="T7" s="139" t="s">
        <v>178</v>
      </c>
      <c r="U7" s="139" t="s">
        <v>179</v>
      </c>
      <c r="V7" s="139" t="s">
        <v>99</v>
      </c>
      <c r="W7" s="139" t="s">
        <v>100</v>
      </c>
      <c r="X7" s="141" t="s">
        <v>100</v>
      </c>
      <c r="Y7" s="139" t="s">
        <v>74</v>
      </c>
      <c r="Z7" s="139" t="s">
        <v>57</v>
      </c>
      <c r="AA7" s="139">
        <v>2016.0</v>
      </c>
      <c r="AB7" s="139">
        <v>2016.0</v>
      </c>
      <c r="AC7" s="139" t="s">
        <v>144</v>
      </c>
      <c r="AD7" s="139" t="s">
        <v>180</v>
      </c>
      <c r="AE7" s="139" t="s">
        <v>74</v>
      </c>
      <c r="AF7" s="139" t="s">
        <v>74</v>
      </c>
      <c r="AG7" s="139" t="s">
        <v>104</v>
      </c>
      <c r="AH7" s="139" t="s">
        <v>105</v>
      </c>
      <c r="AI7" s="139" t="s">
        <v>181</v>
      </c>
      <c r="AJ7" s="139" t="s">
        <v>107</v>
      </c>
      <c r="AK7" s="139" t="s">
        <v>182</v>
      </c>
      <c r="AL7" s="139" t="s">
        <v>128</v>
      </c>
      <c r="AM7" s="139" t="s">
        <v>129</v>
      </c>
      <c r="AN7" s="139" t="s">
        <v>183</v>
      </c>
      <c r="AO7" s="142"/>
      <c r="AP7" s="139" t="s">
        <v>184</v>
      </c>
      <c r="AQ7" s="56" t="s">
        <v>185</v>
      </c>
      <c r="AR7" s="56" t="s">
        <v>1955</v>
      </c>
      <c r="AS7" s="58" t="s">
        <v>4099</v>
      </c>
    </row>
    <row r="8">
      <c r="A8" s="32">
        <v>27.0</v>
      </c>
      <c r="B8" s="33">
        <v>3.64025872E8</v>
      </c>
      <c r="C8" s="34" t="s">
        <v>186</v>
      </c>
      <c r="D8" s="34" t="s">
        <v>187</v>
      </c>
      <c r="E8" s="34" t="s">
        <v>188</v>
      </c>
      <c r="F8" s="34" t="s">
        <v>114</v>
      </c>
      <c r="G8" s="34" t="s">
        <v>189</v>
      </c>
      <c r="H8" s="36">
        <v>2005.0</v>
      </c>
      <c r="I8" s="34" t="s">
        <v>136</v>
      </c>
      <c r="J8" s="34" t="s">
        <v>55</v>
      </c>
      <c r="K8" s="34" t="s">
        <v>190</v>
      </c>
      <c r="L8" s="34" t="s">
        <v>57</v>
      </c>
      <c r="M8" s="34" t="s">
        <v>114</v>
      </c>
      <c r="N8" s="34" t="s">
        <v>191</v>
      </c>
      <c r="O8" s="34" t="s">
        <v>192</v>
      </c>
      <c r="P8" s="34" t="s">
        <v>93</v>
      </c>
      <c r="Q8" s="34" t="s">
        <v>57</v>
      </c>
      <c r="R8" s="34" t="s">
        <v>57</v>
      </c>
      <c r="S8" s="34" t="s">
        <v>193</v>
      </c>
      <c r="T8" s="34" t="s">
        <v>194</v>
      </c>
      <c r="U8" s="34" t="s">
        <v>195</v>
      </c>
      <c r="V8" s="34" t="s">
        <v>99</v>
      </c>
      <c r="W8" s="34" t="s">
        <v>100</v>
      </c>
      <c r="X8" s="37" t="s">
        <v>100</v>
      </c>
      <c r="Y8" s="34" t="s">
        <v>74</v>
      </c>
      <c r="Z8" s="34" t="s">
        <v>57</v>
      </c>
      <c r="AA8" s="34">
        <v>2001.0</v>
      </c>
      <c r="AB8" s="34">
        <v>2003.0</v>
      </c>
      <c r="AC8" s="34" t="s">
        <v>103</v>
      </c>
      <c r="AD8" s="34" t="s">
        <v>144</v>
      </c>
      <c r="AE8" s="34" t="s">
        <v>69</v>
      </c>
      <c r="AF8" s="34" t="s">
        <v>69</v>
      </c>
      <c r="AG8" s="34" t="s">
        <v>104</v>
      </c>
      <c r="AH8" s="34" t="s">
        <v>105</v>
      </c>
      <c r="AI8" s="34" t="s">
        <v>196</v>
      </c>
      <c r="AJ8" s="34" t="s">
        <v>147</v>
      </c>
      <c r="AK8" s="38" t="s">
        <v>197</v>
      </c>
      <c r="AL8" s="34" t="s">
        <v>128</v>
      </c>
      <c r="AM8" s="34" t="s">
        <v>198</v>
      </c>
      <c r="AN8" s="34" t="s">
        <v>199</v>
      </c>
      <c r="AO8" s="39"/>
      <c r="AP8" s="39"/>
      <c r="AQ8" s="96"/>
      <c r="AR8" s="96"/>
      <c r="AS8" s="44"/>
    </row>
    <row r="9">
      <c r="A9" s="32">
        <v>28.0</v>
      </c>
      <c r="B9" s="33">
        <v>3.64025874E8</v>
      </c>
      <c r="C9" s="34" t="s">
        <v>203</v>
      </c>
      <c r="D9" s="34" t="s">
        <v>204</v>
      </c>
      <c r="E9" s="34" t="s">
        <v>205</v>
      </c>
      <c r="F9" s="34" t="s">
        <v>114</v>
      </c>
      <c r="G9" s="34" t="s">
        <v>206</v>
      </c>
      <c r="H9" s="36">
        <v>2013.0</v>
      </c>
      <c r="I9" s="34" t="s">
        <v>207</v>
      </c>
      <c r="J9" s="34" t="s">
        <v>55</v>
      </c>
      <c r="K9" s="34" t="s">
        <v>57</v>
      </c>
      <c r="L9" s="34" t="s">
        <v>57</v>
      </c>
      <c r="M9" s="34" t="s">
        <v>114</v>
      </c>
      <c r="N9" s="34" t="s">
        <v>208</v>
      </c>
      <c r="O9" s="34" t="s">
        <v>209</v>
      </c>
      <c r="P9" s="34" t="s">
        <v>93</v>
      </c>
      <c r="Q9" s="34" t="s">
        <v>57</v>
      </c>
      <c r="R9" s="34" t="s">
        <v>57</v>
      </c>
      <c r="S9" s="34" t="s">
        <v>63</v>
      </c>
      <c r="T9" s="34" t="s">
        <v>210</v>
      </c>
      <c r="U9" s="34" t="s">
        <v>211</v>
      </c>
      <c r="V9" s="34" t="s">
        <v>66</v>
      </c>
      <c r="W9" s="34" t="s">
        <v>212</v>
      </c>
      <c r="X9" s="42" t="s">
        <v>213</v>
      </c>
      <c r="Y9" s="34" t="s">
        <v>74</v>
      </c>
      <c r="Z9" s="34" t="s">
        <v>57</v>
      </c>
      <c r="AA9" s="34">
        <v>2008.0</v>
      </c>
      <c r="AB9" s="34">
        <v>2009.0</v>
      </c>
      <c r="AC9" s="34" t="s">
        <v>214</v>
      </c>
      <c r="AD9" s="34" t="s">
        <v>102</v>
      </c>
      <c r="AE9" s="34" t="s">
        <v>69</v>
      </c>
      <c r="AF9" s="34" t="s">
        <v>69</v>
      </c>
      <c r="AG9" s="34" t="s">
        <v>215</v>
      </c>
      <c r="AH9" s="34" t="s">
        <v>76</v>
      </c>
      <c r="AI9" s="34" t="s">
        <v>216</v>
      </c>
      <c r="AJ9" s="34" t="s">
        <v>216</v>
      </c>
      <c r="AK9" s="38" t="s">
        <v>217</v>
      </c>
      <c r="AL9" s="34" t="s">
        <v>128</v>
      </c>
      <c r="AM9" s="34" t="s">
        <v>129</v>
      </c>
      <c r="AN9" s="34" t="s">
        <v>218</v>
      </c>
      <c r="AO9" s="39"/>
      <c r="AP9" s="34" t="s">
        <v>184</v>
      </c>
      <c r="AQ9" s="96"/>
      <c r="AR9" s="96"/>
      <c r="AS9" s="44"/>
    </row>
    <row r="10">
      <c r="A10" s="32">
        <v>30.0</v>
      </c>
      <c r="B10" s="33">
        <v>3.64025922E8</v>
      </c>
      <c r="C10" s="34" t="s">
        <v>221</v>
      </c>
      <c r="D10" s="34" t="s">
        <v>222</v>
      </c>
      <c r="E10" s="34" t="s">
        <v>223</v>
      </c>
      <c r="F10" s="34" t="s">
        <v>114</v>
      </c>
      <c r="G10" s="34" t="s">
        <v>224</v>
      </c>
      <c r="H10" s="36">
        <v>2018.0</v>
      </c>
      <c r="I10" s="34" t="s">
        <v>225</v>
      </c>
      <c r="J10" s="34" t="s">
        <v>55</v>
      </c>
      <c r="K10" s="34" t="s">
        <v>226</v>
      </c>
      <c r="L10" s="34" t="s">
        <v>57</v>
      </c>
      <c r="M10" s="34" t="s">
        <v>114</v>
      </c>
      <c r="N10" s="34" t="s">
        <v>227</v>
      </c>
      <c r="O10" s="34" t="s">
        <v>228</v>
      </c>
      <c r="P10" s="34" t="s">
        <v>93</v>
      </c>
      <c r="Q10" s="34" t="s">
        <v>57</v>
      </c>
      <c r="R10" s="34" t="s">
        <v>57</v>
      </c>
      <c r="S10" s="34" t="s">
        <v>96</v>
      </c>
      <c r="T10" s="34" t="s">
        <v>229</v>
      </c>
      <c r="U10" s="34" t="s">
        <v>230</v>
      </c>
      <c r="V10" s="34" t="s">
        <v>66</v>
      </c>
      <c r="W10" s="34" t="s">
        <v>231</v>
      </c>
      <c r="X10" s="37" t="s">
        <v>232</v>
      </c>
      <c r="Y10" s="34" t="s">
        <v>74</v>
      </c>
      <c r="Z10" s="34" t="s">
        <v>57</v>
      </c>
      <c r="AA10" s="34">
        <v>2001.0</v>
      </c>
      <c r="AB10" s="34">
        <v>2002.0</v>
      </c>
      <c r="AC10" s="34" t="s">
        <v>214</v>
      </c>
      <c r="AD10" s="34" t="s">
        <v>180</v>
      </c>
      <c r="AE10" s="34" t="s">
        <v>69</v>
      </c>
      <c r="AF10" s="34" t="s">
        <v>69</v>
      </c>
      <c r="AG10" s="34" t="s">
        <v>215</v>
      </c>
      <c r="AH10" s="34" t="s">
        <v>233</v>
      </c>
      <c r="AI10" s="34" t="s">
        <v>234</v>
      </c>
      <c r="AJ10" s="34" t="s">
        <v>107</v>
      </c>
      <c r="AK10" s="34" t="s">
        <v>235</v>
      </c>
      <c r="AL10" s="34" t="s">
        <v>128</v>
      </c>
      <c r="AM10" s="34" t="s">
        <v>129</v>
      </c>
      <c r="AN10" s="34" t="s">
        <v>236</v>
      </c>
      <c r="AO10" s="39"/>
      <c r="AP10" s="34" t="s">
        <v>184</v>
      </c>
      <c r="AQ10" s="96"/>
      <c r="AR10" s="96"/>
      <c r="AS10" s="44"/>
    </row>
    <row r="11">
      <c r="A11" s="32">
        <v>31.0</v>
      </c>
      <c r="B11" s="33">
        <v>3.6402575E8</v>
      </c>
      <c r="C11" s="34" t="s">
        <v>239</v>
      </c>
      <c r="D11" s="34" t="s">
        <v>240</v>
      </c>
      <c r="E11" s="34" t="s">
        <v>241</v>
      </c>
      <c r="F11" s="34" t="s">
        <v>114</v>
      </c>
      <c r="G11" s="34" t="s">
        <v>242</v>
      </c>
      <c r="H11" s="36">
        <v>2018.0</v>
      </c>
      <c r="I11" s="34" t="s">
        <v>207</v>
      </c>
      <c r="J11" s="34" t="s">
        <v>55</v>
      </c>
      <c r="K11" s="34" t="s">
        <v>243</v>
      </c>
      <c r="L11" s="34" t="s">
        <v>57</v>
      </c>
      <c r="M11" s="34" t="s">
        <v>114</v>
      </c>
      <c r="N11" s="34" t="s">
        <v>191</v>
      </c>
      <c r="O11" s="34" t="s">
        <v>244</v>
      </c>
      <c r="P11" s="34" t="s">
        <v>93</v>
      </c>
      <c r="Q11" s="34" t="s">
        <v>57</v>
      </c>
      <c r="R11" s="34" t="s">
        <v>57</v>
      </c>
      <c r="S11" s="34" t="s">
        <v>63</v>
      </c>
      <c r="T11" s="34" t="s">
        <v>64</v>
      </c>
      <c r="U11" s="34" t="s">
        <v>245</v>
      </c>
      <c r="V11" s="34">
        <v>1.0</v>
      </c>
      <c r="W11" s="34" t="s">
        <v>246</v>
      </c>
      <c r="X11" s="37" t="s">
        <v>247</v>
      </c>
      <c r="Y11" s="34" t="s">
        <v>74</v>
      </c>
      <c r="Z11" s="34" t="s">
        <v>57</v>
      </c>
      <c r="AA11" s="34">
        <v>2011.0</v>
      </c>
      <c r="AB11" s="34">
        <v>2011.0</v>
      </c>
      <c r="AC11" s="34" t="s">
        <v>214</v>
      </c>
      <c r="AD11" s="34" t="s">
        <v>102</v>
      </c>
      <c r="AE11" s="34" t="s">
        <v>74</v>
      </c>
      <c r="AF11" s="34" t="s">
        <v>69</v>
      </c>
      <c r="AG11" s="34" t="s">
        <v>75</v>
      </c>
      <c r="AH11" s="34" t="s">
        <v>248</v>
      </c>
      <c r="AI11" s="34" t="s">
        <v>249</v>
      </c>
      <c r="AJ11" s="34" t="s">
        <v>147</v>
      </c>
      <c r="AK11" s="34" t="s">
        <v>250</v>
      </c>
      <c r="AL11" s="34" t="s">
        <v>79</v>
      </c>
      <c r="AM11" s="34" t="s">
        <v>57</v>
      </c>
      <c r="AN11" s="34" t="s">
        <v>57</v>
      </c>
      <c r="AO11" s="39"/>
      <c r="AP11" s="34" t="s">
        <v>81</v>
      </c>
      <c r="AQ11" s="96"/>
      <c r="AR11" s="96"/>
      <c r="AS11" s="44"/>
    </row>
    <row r="12">
      <c r="A12" s="32">
        <v>32.0</v>
      </c>
      <c r="B12" s="33">
        <v>3.64026065E8</v>
      </c>
      <c r="C12" s="34" t="s">
        <v>253</v>
      </c>
      <c r="D12" s="34" t="s">
        <v>254</v>
      </c>
      <c r="E12" s="34" t="s">
        <v>255</v>
      </c>
      <c r="F12" s="34" t="s">
        <v>114</v>
      </c>
      <c r="G12" s="34" t="s">
        <v>256</v>
      </c>
      <c r="H12" s="36">
        <v>2015.0</v>
      </c>
      <c r="I12" s="34" t="s">
        <v>207</v>
      </c>
      <c r="J12" s="34" t="s">
        <v>55</v>
      </c>
      <c r="K12" s="34" t="s">
        <v>257</v>
      </c>
      <c r="L12" s="34" t="s">
        <v>57</v>
      </c>
      <c r="M12" s="34" t="s">
        <v>114</v>
      </c>
      <c r="N12" s="34" t="s">
        <v>258</v>
      </c>
      <c r="O12" s="34" t="s">
        <v>259</v>
      </c>
      <c r="P12" s="34" t="s">
        <v>93</v>
      </c>
      <c r="Q12" s="34" t="s">
        <v>260</v>
      </c>
      <c r="R12" s="34" t="s">
        <v>261</v>
      </c>
      <c r="S12" s="34" t="s">
        <v>63</v>
      </c>
      <c r="T12" s="34" t="s">
        <v>262</v>
      </c>
      <c r="U12" s="34" t="s">
        <v>263</v>
      </c>
      <c r="V12" s="34" t="s">
        <v>99</v>
      </c>
      <c r="W12" s="34" t="s">
        <v>57</v>
      </c>
      <c r="X12" s="37" t="s">
        <v>57</v>
      </c>
      <c r="Y12" s="34" t="s">
        <v>74</v>
      </c>
      <c r="Z12" s="34" t="s">
        <v>57</v>
      </c>
      <c r="AA12" s="34">
        <v>2012.0</v>
      </c>
      <c r="AB12" s="34">
        <v>2013.0</v>
      </c>
      <c r="AC12" s="34" t="s">
        <v>264</v>
      </c>
      <c r="AD12" s="34" t="s">
        <v>103</v>
      </c>
      <c r="AE12" s="34" t="s">
        <v>74</v>
      </c>
      <c r="AF12" s="34" t="s">
        <v>69</v>
      </c>
      <c r="AG12" s="34" t="s">
        <v>57</v>
      </c>
      <c r="AH12" s="34" t="s">
        <v>57</v>
      </c>
      <c r="AI12" s="34" t="s">
        <v>57</v>
      </c>
      <c r="AJ12" s="34" t="s">
        <v>57</v>
      </c>
      <c r="AK12" s="34" t="s">
        <v>265</v>
      </c>
      <c r="AL12" s="34" t="s">
        <v>128</v>
      </c>
      <c r="AM12" s="34" t="s">
        <v>129</v>
      </c>
      <c r="AN12" s="34" t="s">
        <v>266</v>
      </c>
      <c r="AO12" s="34" t="s">
        <v>267</v>
      </c>
      <c r="AP12" s="34" t="s">
        <v>184</v>
      </c>
      <c r="AQ12" s="96"/>
      <c r="AR12" s="96"/>
      <c r="AS12" s="44"/>
    </row>
    <row r="13">
      <c r="A13" s="32">
        <v>34.0</v>
      </c>
      <c r="B13" s="33">
        <v>3.64025615E8</v>
      </c>
      <c r="C13" s="34" t="s">
        <v>270</v>
      </c>
      <c r="D13" s="34" t="s">
        <v>271</v>
      </c>
      <c r="E13" s="34" t="s">
        <v>272</v>
      </c>
      <c r="F13" s="34" t="s">
        <v>273</v>
      </c>
      <c r="G13" s="34" t="s">
        <v>274</v>
      </c>
      <c r="H13" s="36">
        <v>2001.0</v>
      </c>
      <c r="I13" s="34" t="s">
        <v>275</v>
      </c>
      <c r="J13" s="34" t="s">
        <v>55</v>
      </c>
      <c r="K13" s="34" t="s">
        <v>276</v>
      </c>
      <c r="L13" s="34" t="s">
        <v>57</v>
      </c>
      <c r="M13" s="34" t="s">
        <v>273</v>
      </c>
      <c r="N13" s="34" t="s">
        <v>277</v>
      </c>
      <c r="O13" s="34" t="s">
        <v>278</v>
      </c>
      <c r="P13" s="34" t="s">
        <v>93</v>
      </c>
      <c r="Q13" s="34" t="s">
        <v>279</v>
      </c>
      <c r="R13" s="34" t="s">
        <v>280</v>
      </c>
      <c r="S13" s="34" t="s">
        <v>63</v>
      </c>
      <c r="T13" s="34" t="s">
        <v>281</v>
      </c>
      <c r="U13" s="34" t="s">
        <v>282</v>
      </c>
      <c r="V13" s="34" t="s">
        <v>99</v>
      </c>
      <c r="W13" s="34" t="s">
        <v>283</v>
      </c>
      <c r="X13" s="37" t="s">
        <v>284</v>
      </c>
      <c r="Y13" s="34" t="s">
        <v>74</v>
      </c>
      <c r="Z13" s="34" t="s">
        <v>57</v>
      </c>
      <c r="AA13" s="34">
        <v>1998.0</v>
      </c>
      <c r="AB13" s="34">
        <v>1998.0</v>
      </c>
      <c r="AC13" s="34" t="s">
        <v>144</v>
      </c>
      <c r="AD13" s="34" t="s">
        <v>72</v>
      </c>
      <c r="AE13" s="34" t="s">
        <v>74</v>
      </c>
      <c r="AF13" s="34" t="s">
        <v>74</v>
      </c>
      <c r="AG13" s="34" t="s">
        <v>104</v>
      </c>
      <c r="AH13" s="34" t="s">
        <v>285</v>
      </c>
      <c r="AI13" s="34" t="s">
        <v>286</v>
      </c>
      <c r="AJ13" s="34" t="s">
        <v>286</v>
      </c>
      <c r="AK13" s="34" t="s">
        <v>287</v>
      </c>
      <c r="AL13" s="34" t="s">
        <v>128</v>
      </c>
      <c r="AM13" s="34" t="s">
        <v>129</v>
      </c>
      <c r="AN13" s="34" t="s">
        <v>288</v>
      </c>
      <c r="AO13" s="39"/>
      <c r="AP13" s="34" t="s">
        <v>81</v>
      </c>
      <c r="AQ13" s="96"/>
      <c r="AR13" s="96"/>
      <c r="AS13" s="44"/>
    </row>
    <row r="14">
      <c r="A14" s="32">
        <v>36.0</v>
      </c>
      <c r="B14" s="33">
        <v>3.64026199E8</v>
      </c>
      <c r="C14" s="34" t="s">
        <v>290</v>
      </c>
      <c r="D14" s="34" t="s">
        <v>291</v>
      </c>
      <c r="E14" s="34" t="s">
        <v>292</v>
      </c>
      <c r="F14" s="34" t="s">
        <v>293</v>
      </c>
      <c r="G14" s="34" t="s">
        <v>294</v>
      </c>
      <c r="H14" s="36">
        <v>2017.0</v>
      </c>
      <c r="I14" s="34" t="s">
        <v>295</v>
      </c>
      <c r="J14" s="34" t="s">
        <v>55</v>
      </c>
      <c r="K14" s="34" t="s">
        <v>296</v>
      </c>
      <c r="L14" s="34" t="s">
        <v>57</v>
      </c>
      <c r="M14" s="34" t="s">
        <v>293</v>
      </c>
      <c r="N14" s="34" t="s">
        <v>297</v>
      </c>
      <c r="O14" s="34" t="s">
        <v>298</v>
      </c>
      <c r="P14" s="34" t="s">
        <v>93</v>
      </c>
      <c r="Q14" s="34" t="s">
        <v>299</v>
      </c>
      <c r="R14" s="34" t="s">
        <v>300</v>
      </c>
      <c r="S14" s="34" t="s">
        <v>301</v>
      </c>
      <c r="T14" s="34" t="s">
        <v>302</v>
      </c>
      <c r="U14" s="34" t="s">
        <v>303</v>
      </c>
      <c r="V14" s="34" t="s">
        <v>66</v>
      </c>
      <c r="W14" s="34" t="s">
        <v>304</v>
      </c>
      <c r="X14" s="37" t="s">
        <v>68</v>
      </c>
      <c r="Y14" s="34" t="s">
        <v>69</v>
      </c>
      <c r="Z14" s="34" t="s">
        <v>305</v>
      </c>
      <c r="AA14" s="34">
        <v>1991.0</v>
      </c>
      <c r="AB14" s="34">
        <v>2012.0</v>
      </c>
      <c r="AC14" s="34" t="s">
        <v>103</v>
      </c>
      <c r="AD14" s="34" t="s">
        <v>144</v>
      </c>
      <c r="AE14" s="34" t="s">
        <v>69</v>
      </c>
      <c r="AF14" s="34" t="s">
        <v>69</v>
      </c>
      <c r="AG14" s="34" t="s">
        <v>75</v>
      </c>
      <c r="AH14" s="34" t="s">
        <v>76</v>
      </c>
      <c r="AI14" s="34" t="s">
        <v>216</v>
      </c>
      <c r="AJ14" s="34" t="s">
        <v>216</v>
      </c>
      <c r="AK14" s="34" t="s">
        <v>306</v>
      </c>
      <c r="AL14" s="34" t="s">
        <v>128</v>
      </c>
      <c r="AM14" s="34" t="s">
        <v>307</v>
      </c>
      <c r="AN14" s="34" t="s">
        <v>308</v>
      </c>
      <c r="AO14" s="39"/>
      <c r="AP14" s="34" t="s">
        <v>184</v>
      </c>
      <c r="AQ14" s="96"/>
      <c r="AR14" s="96"/>
      <c r="AS14" s="44"/>
    </row>
    <row r="15">
      <c r="A15" s="32">
        <v>39.0</v>
      </c>
      <c r="B15" s="33">
        <v>3.64026331E8</v>
      </c>
      <c r="C15" s="34" t="s">
        <v>311</v>
      </c>
      <c r="D15" s="34" t="s">
        <v>312</v>
      </c>
      <c r="E15" s="34" t="s">
        <v>313</v>
      </c>
      <c r="F15" s="34" t="s">
        <v>114</v>
      </c>
      <c r="G15" s="34" t="s">
        <v>314</v>
      </c>
      <c r="H15" s="36">
        <v>2012.0</v>
      </c>
      <c r="I15" s="34" t="s">
        <v>207</v>
      </c>
      <c r="J15" s="34" t="s">
        <v>315</v>
      </c>
      <c r="K15" s="34" t="s">
        <v>316</v>
      </c>
      <c r="L15" s="34" t="s">
        <v>57</v>
      </c>
      <c r="M15" s="34" t="s">
        <v>114</v>
      </c>
      <c r="N15" s="34" t="s">
        <v>317</v>
      </c>
      <c r="O15" s="34" t="s">
        <v>318</v>
      </c>
      <c r="P15" s="34" t="s">
        <v>93</v>
      </c>
      <c r="Q15" s="34" t="s">
        <v>57</v>
      </c>
      <c r="R15" s="34" t="s">
        <v>57</v>
      </c>
      <c r="S15" s="34" t="s">
        <v>193</v>
      </c>
      <c r="T15" s="34" t="s">
        <v>319</v>
      </c>
      <c r="U15" s="34" t="s">
        <v>320</v>
      </c>
      <c r="V15" s="34" t="s">
        <v>99</v>
      </c>
      <c r="W15" s="34" t="s">
        <v>100</v>
      </c>
      <c r="X15" s="37" t="s">
        <v>100</v>
      </c>
      <c r="Y15" s="34" t="s">
        <v>69</v>
      </c>
      <c r="Z15" s="34" t="s">
        <v>321</v>
      </c>
      <c r="AA15" s="34">
        <v>2007.0</v>
      </c>
      <c r="AB15" s="34">
        <v>2008.0</v>
      </c>
      <c r="AC15" s="34" t="s">
        <v>144</v>
      </c>
      <c r="AD15" s="34" t="s">
        <v>72</v>
      </c>
      <c r="AE15" s="34" t="s">
        <v>128</v>
      </c>
      <c r="AF15" s="34" t="s">
        <v>69</v>
      </c>
      <c r="AG15" s="34" t="s">
        <v>104</v>
      </c>
      <c r="AH15" s="34" t="s">
        <v>165</v>
      </c>
      <c r="AI15" s="34" t="s">
        <v>322</v>
      </c>
      <c r="AJ15" s="34" t="s">
        <v>107</v>
      </c>
      <c r="AK15" s="34" t="s">
        <v>323</v>
      </c>
      <c r="AL15" s="34" t="s">
        <v>79</v>
      </c>
      <c r="AM15" s="34" t="s">
        <v>57</v>
      </c>
      <c r="AN15" s="34" t="s">
        <v>57</v>
      </c>
      <c r="AO15" s="39"/>
      <c r="AP15" s="34" t="s">
        <v>81</v>
      </c>
      <c r="AQ15" s="96"/>
      <c r="AR15" s="96"/>
      <c r="AS15" s="44"/>
    </row>
    <row r="16">
      <c r="A16" s="32">
        <v>42.0</v>
      </c>
      <c r="B16" s="33">
        <v>3.64026786E8</v>
      </c>
      <c r="C16" s="34" t="s">
        <v>326</v>
      </c>
      <c r="D16" s="34" t="s">
        <v>327</v>
      </c>
      <c r="E16" s="34" t="s">
        <v>328</v>
      </c>
      <c r="F16" s="34" t="s">
        <v>273</v>
      </c>
      <c r="G16" s="34" t="s">
        <v>329</v>
      </c>
      <c r="H16" s="36">
        <v>2014.0</v>
      </c>
      <c r="I16" s="34" t="s">
        <v>330</v>
      </c>
      <c r="J16" s="34" t="s">
        <v>315</v>
      </c>
      <c r="K16" s="34" t="s">
        <v>331</v>
      </c>
      <c r="L16" s="34" t="s">
        <v>57</v>
      </c>
      <c r="M16" s="34" t="s">
        <v>273</v>
      </c>
      <c r="N16" s="34" t="s">
        <v>332</v>
      </c>
      <c r="O16" s="34" t="s">
        <v>333</v>
      </c>
      <c r="P16" s="34" t="s">
        <v>93</v>
      </c>
      <c r="Q16" s="34" t="s">
        <v>57</v>
      </c>
      <c r="R16" s="34" t="s">
        <v>57</v>
      </c>
      <c r="S16" s="34" t="s">
        <v>193</v>
      </c>
      <c r="T16" s="34" t="s">
        <v>334</v>
      </c>
      <c r="U16" s="34" t="s">
        <v>335</v>
      </c>
      <c r="V16" s="34" t="s">
        <v>99</v>
      </c>
      <c r="W16" s="34" t="s">
        <v>100</v>
      </c>
      <c r="X16" s="37" t="s">
        <v>100</v>
      </c>
      <c r="Y16" s="34" t="s">
        <v>74</v>
      </c>
      <c r="Z16" s="34" t="s">
        <v>57</v>
      </c>
      <c r="AA16" s="34" t="s">
        <v>57</v>
      </c>
      <c r="AB16" s="34" t="s">
        <v>57</v>
      </c>
      <c r="AC16" s="34" t="s">
        <v>103</v>
      </c>
      <c r="AD16" s="34" t="s">
        <v>180</v>
      </c>
      <c r="AE16" s="34" t="s">
        <v>69</v>
      </c>
      <c r="AF16" s="34" t="s">
        <v>69</v>
      </c>
      <c r="AG16" s="34" t="s">
        <v>104</v>
      </c>
      <c r="AH16" s="34" t="s">
        <v>105</v>
      </c>
      <c r="AI16" s="34" t="s">
        <v>336</v>
      </c>
      <c r="AJ16" s="34" t="s">
        <v>336</v>
      </c>
      <c r="AK16" s="34" t="s">
        <v>337</v>
      </c>
      <c r="AL16" s="34" t="s">
        <v>128</v>
      </c>
      <c r="AM16" s="34" t="s">
        <v>129</v>
      </c>
      <c r="AN16" s="34" t="s">
        <v>338</v>
      </c>
      <c r="AO16" s="39"/>
      <c r="AP16" s="34" t="s">
        <v>184</v>
      </c>
      <c r="AQ16" s="96"/>
      <c r="AR16" s="96"/>
      <c r="AS16" s="44"/>
    </row>
    <row r="17">
      <c r="A17" s="32">
        <v>44.0</v>
      </c>
      <c r="B17" s="33">
        <v>3.64025824E8</v>
      </c>
      <c r="C17" s="34" t="s">
        <v>341</v>
      </c>
      <c r="D17" s="34" t="s">
        <v>342</v>
      </c>
      <c r="E17" s="34" t="s">
        <v>343</v>
      </c>
      <c r="F17" s="34" t="s">
        <v>172</v>
      </c>
      <c r="G17" s="34" t="s">
        <v>344</v>
      </c>
      <c r="H17" s="36">
        <v>2007.0</v>
      </c>
      <c r="I17" s="34" t="s">
        <v>345</v>
      </c>
      <c r="J17" s="34" t="s">
        <v>315</v>
      </c>
      <c r="K17" s="34" t="s">
        <v>346</v>
      </c>
      <c r="L17" s="34" t="s">
        <v>57</v>
      </c>
      <c r="M17" s="34" t="s">
        <v>172</v>
      </c>
      <c r="N17" s="34" t="s">
        <v>347</v>
      </c>
      <c r="O17" s="34" t="s">
        <v>348</v>
      </c>
      <c r="P17" s="34" t="s">
        <v>93</v>
      </c>
      <c r="Q17" s="34" t="s">
        <v>349</v>
      </c>
      <c r="R17" s="34" t="s">
        <v>350</v>
      </c>
      <c r="S17" s="34" t="s">
        <v>63</v>
      </c>
      <c r="T17" s="34" t="s">
        <v>351</v>
      </c>
      <c r="U17" s="34" t="s">
        <v>352</v>
      </c>
      <c r="V17" s="34" t="s">
        <v>99</v>
      </c>
      <c r="W17" s="34" t="s">
        <v>100</v>
      </c>
      <c r="X17" s="37" t="s">
        <v>100</v>
      </c>
      <c r="Y17" s="34" t="s">
        <v>74</v>
      </c>
      <c r="Z17" s="34" t="s">
        <v>57</v>
      </c>
      <c r="AA17" s="34">
        <v>1999.0</v>
      </c>
      <c r="AB17" s="34">
        <v>2004.0</v>
      </c>
      <c r="AC17" s="34" t="s">
        <v>103</v>
      </c>
      <c r="AD17" s="34" t="s">
        <v>72</v>
      </c>
      <c r="AE17" s="34" t="s">
        <v>74</v>
      </c>
      <c r="AF17" s="34" t="s">
        <v>69</v>
      </c>
      <c r="AG17" s="34" t="s">
        <v>104</v>
      </c>
      <c r="AH17" s="34" t="s">
        <v>105</v>
      </c>
      <c r="AI17" s="34" t="s">
        <v>166</v>
      </c>
      <c r="AJ17" s="34" t="s">
        <v>166</v>
      </c>
      <c r="AK17" s="34" t="s">
        <v>353</v>
      </c>
      <c r="AL17" s="34" t="s">
        <v>128</v>
      </c>
      <c r="AM17" s="34" t="s">
        <v>129</v>
      </c>
      <c r="AN17" s="34" t="s">
        <v>354</v>
      </c>
      <c r="AO17" s="39"/>
      <c r="AP17" s="34" t="s">
        <v>184</v>
      </c>
      <c r="AQ17" s="96"/>
      <c r="AR17" s="96"/>
      <c r="AS17" s="44"/>
    </row>
    <row r="18">
      <c r="A18" s="32">
        <v>45.0</v>
      </c>
      <c r="B18" s="33">
        <v>3.64026043E8</v>
      </c>
      <c r="C18" s="34" t="s">
        <v>357</v>
      </c>
      <c r="D18" s="34" t="s">
        <v>358</v>
      </c>
      <c r="E18" s="34" t="s">
        <v>359</v>
      </c>
      <c r="F18" s="34" t="s">
        <v>114</v>
      </c>
      <c r="G18" s="34" t="s">
        <v>360</v>
      </c>
      <c r="H18" s="36">
        <v>2016.0</v>
      </c>
      <c r="I18" s="34" t="s">
        <v>361</v>
      </c>
      <c r="J18" s="34" t="s">
        <v>315</v>
      </c>
      <c r="K18" s="34" t="s">
        <v>57</v>
      </c>
      <c r="L18" s="34" t="s">
        <v>57</v>
      </c>
      <c r="M18" s="34" t="s">
        <v>114</v>
      </c>
      <c r="N18" s="34" t="s">
        <v>362</v>
      </c>
      <c r="O18" s="34" t="s">
        <v>363</v>
      </c>
      <c r="P18" s="34" t="s">
        <v>93</v>
      </c>
      <c r="Q18" s="34" t="s">
        <v>364</v>
      </c>
      <c r="R18" s="34" t="s">
        <v>365</v>
      </c>
      <c r="S18" s="34" t="s">
        <v>63</v>
      </c>
      <c r="T18" s="34" t="s">
        <v>366</v>
      </c>
      <c r="U18" s="34" t="s">
        <v>367</v>
      </c>
      <c r="V18" s="34" t="s">
        <v>66</v>
      </c>
      <c r="W18" s="34" t="s">
        <v>368</v>
      </c>
      <c r="X18" s="37" t="s">
        <v>369</v>
      </c>
      <c r="Y18" s="34" t="s">
        <v>74</v>
      </c>
      <c r="Z18" s="34" t="s">
        <v>57</v>
      </c>
      <c r="AA18" s="34">
        <v>1973.0</v>
      </c>
      <c r="AB18" s="34">
        <v>2013.0</v>
      </c>
      <c r="AC18" s="34" t="s">
        <v>144</v>
      </c>
      <c r="AD18" s="34" t="s">
        <v>370</v>
      </c>
      <c r="AE18" s="34" t="s">
        <v>69</v>
      </c>
      <c r="AF18" s="34" t="s">
        <v>69</v>
      </c>
      <c r="AG18" s="34" t="s">
        <v>75</v>
      </c>
      <c r="AH18" s="34" t="s">
        <v>371</v>
      </c>
      <c r="AI18" s="34" t="s">
        <v>372</v>
      </c>
      <c r="AJ18" s="34" t="s">
        <v>147</v>
      </c>
      <c r="AK18" s="34" t="s">
        <v>373</v>
      </c>
      <c r="AL18" s="34" t="s">
        <v>128</v>
      </c>
      <c r="AM18" s="34" t="s">
        <v>374</v>
      </c>
      <c r="AN18" s="34" t="s">
        <v>375</v>
      </c>
      <c r="AO18" s="39"/>
      <c r="AP18" s="34" t="s">
        <v>184</v>
      </c>
      <c r="AQ18" s="96"/>
      <c r="AR18" s="96"/>
      <c r="AS18" s="44"/>
    </row>
    <row r="19">
      <c r="A19" s="32">
        <v>46.0</v>
      </c>
      <c r="B19" s="33">
        <v>3.64025505E8</v>
      </c>
      <c r="C19" s="34" t="s">
        <v>378</v>
      </c>
      <c r="D19" s="34" t="s">
        <v>379</v>
      </c>
      <c r="E19" s="34" t="s">
        <v>380</v>
      </c>
      <c r="F19" s="34" t="s">
        <v>381</v>
      </c>
      <c r="G19" s="34" t="s">
        <v>382</v>
      </c>
      <c r="H19" s="36">
        <v>2004.0</v>
      </c>
      <c r="I19" s="34" t="s">
        <v>54</v>
      </c>
      <c r="J19" s="34" t="s">
        <v>315</v>
      </c>
      <c r="K19" s="34" t="s">
        <v>383</v>
      </c>
      <c r="L19" s="34" t="s">
        <v>57</v>
      </c>
      <c r="M19" s="34" t="s">
        <v>381</v>
      </c>
      <c r="N19" s="34" t="s">
        <v>384</v>
      </c>
      <c r="O19" s="34" t="s">
        <v>385</v>
      </c>
      <c r="P19" s="34" t="s">
        <v>93</v>
      </c>
      <c r="Q19" s="34" t="s">
        <v>57</v>
      </c>
      <c r="R19" s="34" t="s">
        <v>57</v>
      </c>
      <c r="S19" s="34" t="s">
        <v>63</v>
      </c>
      <c r="T19" s="34" t="s">
        <v>386</v>
      </c>
      <c r="U19" s="34" t="s">
        <v>387</v>
      </c>
      <c r="V19" s="34" t="s">
        <v>66</v>
      </c>
      <c r="W19" s="34" t="s">
        <v>388</v>
      </c>
      <c r="X19" s="37" t="s">
        <v>389</v>
      </c>
      <c r="Y19" s="34" t="s">
        <v>74</v>
      </c>
      <c r="Z19" s="34" t="s">
        <v>57</v>
      </c>
      <c r="AA19" s="34">
        <v>1997.0</v>
      </c>
      <c r="AB19" s="34">
        <v>2003.0</v>
      </c>
      <c r="AC19" s="34" t="s">
        <v>57</v>
      </c>
      <c r="AD19" s="34" t="s">
        <v>57</v>
      </c>
      <c r="AE19" s="34" t="s">
        <v>69</v>
      </c>
      <c r="AF19" s="34" t="s">
        <v>69</v>
      </c>
      <c r="AG19" s="34" t="s">
        <v>75</v>
      </c>
      <c r="AH19" s="34" t="s">
        <v>125</v>
      </c>
      <c r="AI19" s="34" t="s">
        <v>77</v>
      </c>
      <c r="AJ19" s="34" t="s">
        <v>77</v>
      </c>
      <c r="AK19" s="34" t="s">
        <v>390</v>
      </c>
      <c r="AL19" s="34" t="s">
        <v>79</v>
      </c>
      <c r="AM19" s="34" t="s">
        <v>57</v>
      </c>
      <c r="AN19" s="34" t="s">
        <v>57</v>
      </c>
      <c r="AO19" s="39"/>
      <c r="AP19" s="34" t="s">
        <v>81</v>
      </c>
      <c r="AQ19" s="96"/>
      <c r="AR19" s="96"/>
      <c r="AS19" s="44"/>
    </row>
    <row r="20">
      <c r="A20" s="32">
        <v>48.0</v>
      </c>
      <c r="B20" s="33">
        <v>3.64025482E8</v>
      </c>
      <c r="C20" s="34" t="s">
        <v>393</v>
      </c>
      <c r="D20" s="34" t="s">
        <v>394</v>
      </c>
      <c r="E20" s="38" t="s">
        <v>395</v>
      </c>
      <c r="F20" s="34" t="s">
        <v>396</v>
      </c>
      <c r="G20" s="38" t="s">
        <v>397</v>
      </c>
      <c r="H20" s="36">
        <v>1993.0</v>
      </c>
      <c r="I20" s="34" t="s">
        <v>156</v>
      </c>
      <c r="J20" s="34" t="s">
        <v>55</v>
      </c>
      <c r="K20" s="34" t="s">
        <v>398</v>
      </c>
      <c r="L20" s="34" t="s">
        <v>57</v>
      </c>
      <c r="M20" s="34" t="s">
        <v>399</v>
      </c>
      <c r="N20" s="34" t="s">
        <v>400</v>
      </c>
      <c r="O20" s="34" t="s">
        <v>401</v>
      </c>
      <c r="P20" s="34" t="s">
        <v>93</v>
      </c>
      <c r="Q20" s="34" t="s">
        <v>57</v>
      </c>
      <c r="R20" s="34" t="s">
        <v>57</v>
      </c>
      <c r="S20" s="34" t="s">
        <v>96</v>
      </c>
      <c r="T20" s="34" t="s">
        <v>366</v>
      </c>
      <c r="U20" s="34" t="s">
        <v>402</v>
      </c>
      <c r="V20" s="34" t="s">
        <v>99</v>
      </c>
      <c r="W20" s="34" t="s">
        <v>100</v>
      </c>
      <c r="X20" s="37" t="s">
        <v>100</v>
      </c>
      <c r="Y20" s="34" t="s">
        <v>74</v>
      </c>
      <c r="Z20" s="34" t="s">
        <v>57</v>
      </c>
      <c r="AA20" s="34">
        <v>1988.0</v>
      </c>
      <c r="AB20" s="34">
        <v>1989.0</v>
      </c>
      <c r="AC20" s="34" t="s">
        <v>403</v>
      </c>
      <c r="AD20" s="34" t="s">
        <v>144</v>
      </c>
      <c r="AE20" s="34" t="s">
        <v>69</v>
      </c>
      <c r="AF20" s="34" t="s">
        <v>74</v>
      </c>
      <c r="AG20" s="34" t="s">
        <v>215</v>
      </c>
      <c r="AH20" s="34" t="s">
        <v>105</v>
      </c>
      <c r="AI20" s="34" t="s">
        <v>166</v>
      </c>
      <c r="AJ20" s="34" t="s">
        <v>166</v>
      </c>
      <c r="AK20" s="34" t="s">
        <v>404</v>
      </c>
      <c r="AL20" s="34" t="s">
        <v>79</v>
      </c>
      <c r="AM20" s="34" t="s">
        <v>57</v>
      </c>
      <c r="AN20" s="34" t="s">
        <v>57</v>
      </c>
      <c r="AO20" s="39"/>
      <c r="AP20" s="34" t="s">
        <v>109</v>
      </c>
      <c r="AQ20" s="96"/>
      <c r="AR20" s="96"/>
      <c r="AS20" s="44"/>
    </row>
    <row r="21">
      <c r="A21" s="32">
        <v>49.0</v>
      </c>
      <c r="B21" s="33">
        <v>3.64026317E8</v>
      </c>
      <c r="C21" s="34" t="s">
        <v>407</v>
      </c>
      <c r="D21" s="34" t="s">
        <v>408</v>
      </c>
      <c r="E21" s="34" t="s">
        <v>409</v>
      </c>
      <c r="F21" s="34" t="s">
        <v>114</v>
      </c>
      <c r="G21" s="34" t="s">
        <v>410</v>
      </c>
      <c r="H21" s="36">
        <v>2002.0</v>
      </c>
      <c r="I21" s="34" t="s">
        <v>411</v>
      </c>
      <c r="J21" s="34" t="s">
        <v>55</v>
      </c>
      <c r="K21" s="34" t="s">
        <v>276</v>
      </c>
      <c r="L21" s="34" t="s">
        <v>57</v>
      </c>
      <c r="M21" s="34" t="s">
        <v>273</v>
      </c>
      <c r="N21" s="34" t="s">
        <v>277</v>
      </c>
      <c r="O21" s="34" t="s">
        <v>277</v>
      </c>
      <c r="P21" s="34" t="s">
        <v>93</v>
      </c>
      <c r="Q21" s="34" t="s">
        <v>57</v>
      </c>
      <c r="R21" s="34" t="s">
        <v>57</v>
      </c>
      <c r="S21" s="34" t="s">
        <v>96</v>
      </c>
      <c r="T21" s="34" t="s">
        <v>412</v>
      </c>
      <c r="U21" s="34" t="s">
        <v>413</v>
      </c>
      <c r="V21" s="34" t="s">
        <v>99</v>
      </c>
      <c r="W21" s="34" t="s">
        <v>100</v>
      </c>
      <c r="X21" s="37" t="s">
        <v>100</v>
      </c>
      <c r="Y21" s="34" t="s">
        <v>74</v>
      </c>
      <c r="Z21" s="34" t="s">
        <v>57</v>
      </c>
      <c r="AA21" s="34">
        <v>1997.0</v>
      </c>
      <c r="AB21" s="34">
        <v>1998.0</v>
      </c>
      <c r="AC21" s="34" t="s">
        <v>103</v>
      </c>
      <c r="AD21" s="34" t="s">
        <v>180</v>
      </c>
      <c r="AE21" s="34" t="s">
        <v>69</v>
      </c>
      <c r="AF21" s="34" t="s">
        <v>69</v>
      </c>
      <c r="AG21" s="34" t="s">
        <v>104</v>
      </c>
      <c r="AH21" s="34" t="s">
        <v>105</v>
      </c>
      <c r="AI21" s="34" t="s">
        <v>414</v>
      </c>
      <c r="AJ21" s="34" t="s">
        <v>107</v>
      </c>
      <c r="AK21" s="34" t="s">
        <v>415</v>
      </c>
      <c r="AL21" s="34" t="s">
        <v>128</v>
      </c>
      <c r="AM21" s="34" t="s">
        <v>374</v>
      </c>
      <c r="AN21" s="34" t="s">
        <v>416</v>
      </c>
      <c r="AO21" s="39"/>
      <c r="AP21" s="34" t="s">
        <v>184</v>
      </c>
      <c r="AQ21" s="96"/>
      <c r="AR21" s="96"/>
      <c r="AS21" s="44"/>
    </row>
    <row r="22">
      <c r="A22" s="32">
        <v>51.0</v>
      </c>
      <c r="B22" s="33">
        <v>7.99026014E8</v>
      </c>
      <c r="C22" s="34" t="s">
        <v>419</v>
      </c>
      <c r="D22" s="34" t="s">
        <v>420</v>
      </c>
      <c r="E22" s="34" t="s">
        <v>421</v>
      </c>
      <c r="F22" s="34" t="s">
        <v>396</v>
      </c>
      <c r="G22" s="34" t="s">
        <v>422</v>
      </c>
      <c r="H22" s="36">
        <v>2006.0</v>
      </c>
      <c r="I22" s="34" t="s">
        <v>423</v>
      </c>
      <c r="J22" s="34" t="s">
        <v>55</v>
      </c>
      <c r="K22" s="34" t="s">
        <v>424</v>
      </c>
      <c r="L22" s="34" t="s">
        <v>57</v>
      </c>
      <c r="M22" s="34" t="s">
        <v>425</v>
      </c>
      <c r="N22" s="34" t="s">
        <v>426</v>
      </c>
      <c r="O22" s="34" t="s">
        <v>427</v>
      </c>
      <c r="P22" s="34" t="s">
        <v>93</v>
      </c>
      <c r="Q22" s="34" t="s">
        <v>428</v>
      </c>
      <c r="R22" s="34" t="s">
        <v>429</v>
      </c>
      <c r="S22" s="34" t="s">
        <v>96</v>
      </c>
      <c r="T22" s="34" t="s">
        <v>64</v>
      </c>
      <c r="U22" s="34" t="s">
        <v>430</v>
      </c>
      <c r="V22" s="34" t="s">
        <v>99</v>
      </c>
      <c r="W22" s="34" t="s">
        <v>100</v>
      </c>
      <c r="X22" s="37" t="s">
        <v>100</v>
      </c>
      <c r="Y22" s="34" t="s">
        <v>74</v>
      </c>
      <c r="Z22" s="34" t="s">
        <v>57</v>
      </c>
      <c r="AA22" s="34">
        <v>2004.0</v>
      </c>
      <c r="AB22" s="34">
        <v>2004.0</v>
      </c>
      <c r="AC22" s="34" t="s">
        <v>103</v>
      </c>
      <c r="AD22" s="34" t="s">
        <v>370</v>
      </c>
      <c r="AE22" s="34" t="s">
        <v>74</v>
      </c>
      <c r="AF22" s="34" t="s">
        <v>69</v>
      </c>
      <c r="AG22" s="34" t="s">
        <v>104</v>
      </c>
      <c r="AH22" s="34" t="s">
        <v>285</v>
      </c>
      <c r="AI22" s="34" t="s">
        <v>431</v>
      </c>
      <c r="AJ22" s="34" t="s">
        <v>431</v>
      </c>
      <c r="AK22" s="34" t="s">
        <v>432</v>
      </c>
      <c r="AL22" s="34" t="s">
        <v>128</v>
      </c>
      <c r="AM22" s="34" t="s">
        <v>129</v>
      </c>
      <c r="AN22" s="34" t="s">
        <v>433</v>
      </c>
      <c r="AO22" s="39"/>
      <c r="AP22" s="34" t="s">
        <v>184</v>
      </c>
      <c r="AQ22" s="96"/>
      <c r="AR22" s="96"/>
      <c r="AS22" s="44"/>
    </row>
    <row r="23">
      <c r="A23" s="32">
        <v>53.0</v>
      </c>
      <c r="B23" s="33">
        <v>3.64026463E8</v>
      </c>
      <c r="C23" s="34" t="s">
        <v>436</v>
      </c>
      <c r="D23" s="34" t="s">
        <v>437</v>
      </c>
      <c r="E23" s="34" t="s">
        <v>438</v>
      </c>
      <c r="F23" s="34" t="s">
        <v>439</v>
      </c>
      <c r="G23" s="34" t="s">
        <v>440</v>
      </c>
      <c r="H23" s="36">
        <v>2015.0</v>
      </c>
      <c r="I23" s="34" t="s">
        <v>207</v>
      </c>
      <c r="J23" s="34" t="s">
        <v>441</v>
      </c>
      <c r="K23" s="34" t="s">
        <v>442</v>
      </c>
      <c r="L23" s="34" t="s">
        <v>57</v>
      </c>
      <c r="M23" s="34" t="s">
        <v>443</v>
      </c>
      <c r="N23" s="34" t="s">
        <v>444</v>
      </c>
      <c r="O23" s="34" t="s">
        <v>445</v>
      </c>
      <c r="P23" s="34" t="s">
        <v>93</v>
      </c>
      <c r="Q23" s="34" t="s">
        <v>57</v>
      </c>
      <c r="R23" s="34" t="s">
        <v>57</v>
      </c>
      <c r="S23" s="34" t="s">
        <v>193</v>
      </c>
      <c r="T23" s="34" t="s">
        <v>446</v>
      </c>
      <c r="U23" s="34" t="s">
        <v>447</v>
      </c>
      <c r="V23" s="34" t="s">
        <v>99</v>
      </c>
      <c r="W23" s="34" t="s">
        <v>100</v>
      </c>
      <c r="X23" s="37" t="s">
        <v>100</v>
      </c>
      <c r="Y23" s="34" t="s">
        <v>74</v>
      </c>
      <c r="Z23" s="34" t="s">
        <v>57</v>
      </c>
      <c r="AA23" s="34">
        <v>2012.0</v>
      </c>
      <c r="AB23" s="34">
        <v>2012.0</v>
      </c>
      <c r="AC23" s="34" t="s">
        <v>103</v>
      </c>
      <c r="AD23" s="34" t="s">
        <v>403</v>
      </c>
      <c r="AE23" s="34" t="s">
        <v>69</v>
      </c>
      <c r="AF23" s="34" t="s">
        <v>69</v>
      </c>
      <c r="AG23" s="34" t="s">
        <v>104</v>
      </c>
      <c r="AH23" s="34" t="s">
        <v>105</v>
      </c>
      <c r="AI23" s="34" t="s">
        <v>448</v>
      </c>
      <c r="AJ23" s="34" t="s">
        <v>107</v>
      </c>
      <c r="AK23" s="34" t="s">
        <v>449</v>
      </c>
      <c r="AL23" s="34" t="s">
        <v>128</v>
      </c>
      <c r="AM23" s="34" t="s">
        <v>129</v>
      </c>
      <c r="AN23" s="34" t="s">
        <v>450</v>
      </c>
      <c r="AO23" s="39"/>
      <c r="AP23" s="34" t="s">
        <v>184</v>
      </c>
      <c r="AQ23" s="96"/>
      <c r="AR23" s="96"/>
      <c r="AS23" s="44"/>
    </row>
    <row r="24">
      <c r="A24" s="32">
        <v>57.0</v>
      </c>
      <c r="B24" s="33">
        <v>3.64026428E8</v>
      </c>
      <c r="C24" s="34" t="s">
        <v>453</v>
      </c>
      <c r="D24" s="34" t="s">
        <v>454</v>
      </c>
      <c r="E24" s="34" t="s">
        <v>455</v>
      </c>
      <c r="F24" s="34" t="s">
        <v>456</v>
      </c>
      <c r="G24" s="34" t="s">
        <v>457</v>
      </c>
      <c r="H24" s="36">
        <v>2022.0</v>
      </c>
      <c r="I24" s="34" t="s">
        <v>207</v>
      </c>
      <c r="J24" s="34" t="s">
        <v>441</v>
      </c>
      <c r="K24" s="34" t="s">
        <v>458</v>
      </c>
      <c r="L24" s="34" t="s">
        <v>57</v>
      </c>
      <c r="M24" s="34" t="s">
        <v>456</v>
      </c>
      <c r="N24" s="34" t="s">
        <v>459</v>
      </c>
      <c r="O24" s="34" t="s">
        <v>460</v>
      </c>
      <c r="P24" s="34" t="s">
        <v>93</v>
      </c>
      <c r="Q24" s="34" t="s">
        <v>461</v>
      </c>
      <c r="R24" s="34" t="s">
        <v>462</v>
      </c>
      <c r="S24" s="34" t="s">
        <v>63</v>
      </c>
      <c r="T24" s="34" t="s">
        <v>463</v>
      </c>
      <c r="U24" s="34" t="s">
        <v>464</v>
      </c>
      <c r="V24" s="34" t="s">
        <v>99</v>
      </c>
      <c r="W24" s="34" t="s">
        <v>100</v>
      </c>
      <c r="X24" s="37" t="s">
        <v>100</v>
      </c>
      <c r="Y24" s="34" t="s">
        <v>74</v>
      </c>
      <c r="Z24" s="34" t="s">
        <v>57</v>
      </c>
      <c r="AA24" s="34">
        <v>2018.0</v>
      </c>
      <c r="AB24" s="34">
        <v>2019.0</v>
      </c>
      <c r="AC24" s="34" t="s">
        <v>214</v>
      </c>
      <c r="AD24" s="34" t="s">
        <v>264</v>
      </c>
      <c r="AE24" s="34" t="s">
        <v>69</v>
      </c>
      <c r="AF24" s="34" t="s">
        <v>69</v>
      </c>
      <c r="AG24" s="34" t="s">
        <v>104</v>
      </c>
      <c r="AH24" s="34" t="s">
        <v>105</v>
      </c>
      <c r="AI24" s="34" t="s">
        <v>465</v>
      </c>
      <c r="AJ24" s="34" t="s">
        <v>465</v>
      </c>
      <c r="AK24" s="34" t="s">
        <v>466</v>
      </c>
      <c r="AL24" s="34" t="s">
        <v>128</v>
      </c>
      <c r="AM24" s="34" t="s">
        <v>129</v>
      </c>
      <c r="AN24" s="34" t="s">
        <v>467</v>
      </c>
      <c r="AO24" s="39"/>
      <c r="AP24" s="34" t="s">
        <v>184</v>
      </c>
      <c r="AQ24" s="96"/>
      <c r="AR24" s="96"/>
      <c r="AS24" s="44"/>
    </row>
    <row r="25">
      <c r="A25" s="32">
        <v>58.0</v>
      </c>
      <c r="B25" s="33">
        <v>3.64026891E8</v>
      </c>
      <c r="C25" s="34" t="s">
        <v>470</v>
      </c>
      <c r="D25" s="34" t="s">
        <v>471</v>
      </c>
      <c r="E25" s="34" t="s">
        <v>472</v>
      </c>
      <c r="F25" s="34" t="s">
        <v>456</v>
      </c>
      <c r="G25" s="34" t="s">
        <v>473</v>
      </c>
      <c r="H25" s="36">
        <v>2014.0</v>
      </c>
      <c r="I25" s="34" t="s">
        <v>474</v>
      </c>
      <c r="J25" s="34" t="s">
        <v>441</v>
      </c>
      <c r="K25" s="34" t="s">
        <v>475</v>
      </c>
      <c r="L25" s="34" t="s">
        <v>57</v>
      </c>
      <c r="M25" s="34" t="s">
        <v>456</v>
      </c>
      <c r="N25" s="34" t="s">
        <v>476</v>
      </c>
      <c r="O25" s="34" t="s">
        <v>477</v>
      </c>
      <c r="P25" s="34" t="s">
        <v>93</v>
      </c>
      <c r="Q25" s="34" t="s">
        <v>478</v>
      </c>
      <c r="R25" s="34" t="s">
        <v>479</v>
      </c>
      <c r="S25" s="34" t="s">
        <v>96</v>
      </c>
      <c r="T25" s="34" t="s">
        <v>64</v>
      </c>
      <c r="U25" s="34" t="s">
        <v>480</v>
      </c>
      <c r="V25" s="34" t="s">
        <v>66</v>
      </c>
      <c r="W25" s="34" t="s">
        <v>481</v>
      </c>
      <c r="X25" s="37" t="s">
        <v>482</v>
      </c>
      <c r="Y25" s="34" t="s">
        <v>74</v>
      </c>
      <c r="Z25" s="34" t="s">
        <v>57</v>
      </c>
      <c r="AA25" s="34">
        <v>2007.0</v>
      </c>
      <c r="AB25" s="34">
        <v>2007.0</v>
      </c>
      <c r="AC25" s="34" t="s">
        <v>71</v>
      </c>
      <c r="AD25" s="34" t="s">
        <v>144</v>
      </c>
      <c r="AE25" s="34" t="s">
        <v>74</v>
      </c>
      <c r="AF25" s="34" t="s">
        <v>69</v>
      </c>
      <c r="AG25" s="34" t="s">
        <v>215</v>
      </c>
      <c r="AH25" s="34" t="s">
        <v>76</v>
      </c>
      <c r="AI25" s="34" t="s">
        <v>483</v>
      </c>
      <c r="AJ25" s="34" t="s">
        <v>147</v>
      </c>
      <c r="AK25" s="34" t="s">
        <v>484</v>
      </c>
      <c r="AL25" s="34" t="s">
        <v>79</v>
      </c>
      <c r="AM25" s="34" t="s">
        <v>57</v>
      </c>
      <c r="AN25" s="34" t="s">
        <v>57</v>
      </c>
      <c r="AO25" s="39"/>
      <c r="AP25" s="34" t="s">
        <v>184</v>
      </c>
      <c r="AQ25" s="96"/>
      <c r="AR25" s="96"/>
      <c r="AS25" s="44"/>
    </row>
    <row r="26">
      <c r="A26" s="32">
        <v>60.0</v>
      </c>
      <c r="B26" s="33">
        <v>3.64025503E8</v>
      </c>
      <c r="C26" s="34" t="s">
        <v>486</v>
      </c>
      <c r="D26" s="34" t="s">
        <v>487</v>
      </c>
      <c r="E26" s="38" t="s">
        <v>488</v>
      </c>
      <c r="F26" s="34" t="s">
        <v>489</v>
      </c>
      <c r="G26" s="38" t="s">
        <v>490</v>
      </c>
      <c r="H26" s="36">
        <v>2017.0</v>
      </c>
      <c r="I26" s="34" t="s">
        <v>491</v>
      </c>
      <c r="J26" s="34" t="s">
        <v>441</v>
      </c>
      <c r="K26" s="34" t="s">
        <v>492</v>
      </c>
      <c r="L26" s="34" t="s">
        <v>57</v>
      </c>
      <c r="M26" s="34" t="s">
        <v>489</v>
      </c>
      <c r="N26" s="34" t="s">
        <v>493</v>
      </c>
      <c r="O26" s="34" t="s">
        <v>494</v>
      </c>
      <c r="P26" s="34" t="s">
        <v>93</v>
      </c>
      <c r="Q26" s="34" t="s">
        <v>57</v>
      </c>
      <c r="R26" s="34" t="s">
        <v>57</v>
      </c>
      <c r="S26" s="34" t="s">
        <v>63</v>
      </c>
      <c r="T26" s="34" t="s">
        <v>64</v>
      </c>
      <c r="U26" s="34" t="s">
        <v>495</v>
      </c>
      <c r="V26" s="34" t="s">
        <v>66</v>
      </c>
      <c r="W26" s="34" t="s">
        <v>496</v>
      </c>
      <c r="X26" s="37" t="s">
        <v>497</v>
      </c>
      <c r="Y26" s="34" t="s">
        <v>74</v>
      </c>
      <c r="Z26" s="34" t="s">
        <v>57</v>
      </c>
      <c r="AA26" s="34">
        <v>2009.0</v>
      </c>
      <c r="AB26" s="34">
        <v>2016.0</v>
      </c>
      <c r="AC26" s="34" t="s">
        <v>57</v>
      </c>
      <c r="AD26" s="34" t="s">
        <v>57</v>
      </c>
      <c r="AE26" s="34" t="s">
        <v>74</v>
      </c>
      <c r="AF26" s="34" t="s">
        <v>69</v>
      </c>
      <c r="AG26" s="34" t="s">
        <v>215</v>
      </c>
      <c r="AH26" s="34" t="s">
        <v>498</v>
      </c>
      <c r="AI26" s="34" t="s">
        <v>499</v>
      </c>
      <c r="AJ26" s="34" t="s">
        <v>107</v>
      </c>
      <c r="AK26" s="34" t="s">
        <v>500</v>
      </c>
      <c r="AL26" s="34" t="s">
        <v>79</v>
      </c>
      <c r="AM26" s="34" t="s">
        <v>57</v>
      </c>
      <c r="AN26" s="34" t="s">
        <v>57</v>
      </c>
      <c r="AO26" s="39"/>
      <c r="AP26" s="34" t="s">
        <v>109</v>
      </c>
      <c r="AQ26" s="96"/>
      <c r="AR26" s="96"/>
      <c r="AS26" s="44"/>
    </row>
    <row r="27">
      <c r="A27" s="32">
        <v>61.0</v>
      </c>
      <c r="B27" s="33">
        <v>3.64025516E8</v>
      </c>
      <c r="C27" s="34" t="s">
        <v>502</v>
      </c>
      <c r="D27" s="34" t="s">
        <v>503</v>
      </c>
      <c r="E27" s="38" t="s">
        <v>504</v>
      </c>
      <c r="F27" s="34" t="s">
        <v>381</v>
      </c>
      <c r="G27" s="38" t="s">
        <v>505</v>
      </c>
      <c r="H27" s="36">
        <v>2004.0</v>
      </c>
      <c r="I27" s="34" t="s">
        <v>506</v>
      </c>
      <c r="J27" s="34" t="s">
        <v>441</v>
      </c>
      <c r="K27" s="34" t="s">
        <v>507</v>
      </c>
      <c r="L27" s="34" t="s">
        <v>57</v>
      </c>
      <c r="M27" s="34" t="s">
        <v>381</v>
      </c>
      <c r="N27" s="34" t="s">
        <v>384</v>
      </c>
      <c r="O27" s="34" t="s">
        <v>508</v>
      </c>
      <c r="P27" s="34" t="s">
        <v>93</v>
      </c>
      <c r="Q27" s="34" t="s">
        <v>57</v>
      </c>
      <c r="R27" s="34" t="s">
        <v>57</v>
      </c>
      <c r="S27" s="34" t="s">
        <v>96</v>
      </c>
      <c r="T27" s="34" t="s">
        <v>229</v>
      </c>
      <c r="U27" s="34" t="s">
        <v>509</v>
      </c>
      <c r="V27" s="34" t="s">
        <v>66</v>
      </c>
      <c r="W27" s="34" t="s">
        <v>388</v>
      </c>
      <c r="X27" s="46" t="s">
        <v>389</v>
      </c>
      <c r="Y27" s="34" t="s">
        <v>74</v>
      </c>
      <c r="Z27" s="34" t="s">
        <v>57</v>
      </c>
      <c r="AA27" s="34">
        <v>1997.0</v>
      </c>
      <c r="AB27" s="34">
        <v>2000.0</v>
      </c>
      <c r="AC27" s="34" t="s">
        <v>57</v>
      </c>
      <c r="AD27" s="34" t="s">
        <v>57</v>
      </c>
      <c r="AE27" s="34" t="s">
        <v>57</v>
      </c>
      <c r="AF27" s="34" t="s">
        <v>74</v>
      </c>
      <c r="AG27" s="34" t="s">
        <v>215</v>
      </c>
      <c r="AH27" s="34" t="s">
        <v>105</v>
      </c>
      <c r="AI27" s="34" t="s">
        <v>166</v>
      </c>
      <c r="AJ27" s="34" t="s">
        <v>166</v>
      </c>
      <c r="AK27" s="34" t="s">
        <v>510</v>
      </c>
      <c r="AL27" s="34" t="s">
        <v>79</v>
      </c>
      <c r="AM27" s="34" t="s">
        <v>57</v>
      </c>
      <c r="AN27" s="34" t="s">
        <v>57</v>
      </c>
      <c r="AO27" s="39"/>
      <c r="AP27" s="34" t="s">
        <v>109</v>
      </c>
      <c r="AQ27" s="96"/>
      <c r="AR27" s="96"/>
      <c r="AS27" s="44"/>
    </row>
    <row r="28">
      <c r="A28" s="32">
        <v>65.0</v>
      </c>
      <c r="B28" s="33">
        <v>3.64025552E8</v>
      </c>
      <c r="C28" s="34" t="s">
        <v>513</v>
      </c>
      <c r="D28" s="34" t="s">
        <v>514</v>
      </c>
      <c r="E28" s="38" t="s">
        <v>515</v>
      </c>
      <c r="F28" s="34" t="s">
        <v>381</v>
      </c>
      <c r="G28" s="38" t="s">
        <v>516</v>
      </c>
      <c r="H28" s="36">
        <v>2010.0</v>
      </c>
      <c r="I28" s="34" t="s">
        <v>517</v>
      </c>
      <c r="J28" s="34" t="s">
        <v>518</v>
      </c>
      <c r="K28" s="34" t="s">
        <v>519</v>
      </c>
      <c r="L28" s="34" t="s">
        <v>57</v>
      </c>
      <c r="M28" s="34" t="s">
        <v>381</v>
      </c>
      <c r="N28" s="34" t="s">
        <v>520</v>
      </c>
      <c r="O28" s="34" t="s">
        <v>521</v>
      </c>
      <c r="P28" s="34" t="s">
        <v>93</v>
      </c>
      <c r="Q28" s="34" t="s">
        <v>57</v>
      </c>
      <c r="R28" s="34" t="s">
        <v>57</v>
      </c>
      <c r="S28" s="34" t="s">
        <v>63</v>
      </c>
      <c r="T28" s="34" t="s">
        <v>302</v>
      </c>
      <c r="U28" s="34" t="s">
        <v>522</v>
      </c>
      <c r="V28" s="34" t="s">
        <v>66</v>
      </c>
      <c r="W28" s="34" t="s">
        <v>523</v>
      </c>
      <c r="X28" s="37" t="s">
        <v>68</v>
      </c>
      <c r="Y28" s="34" t="s">
        <v>69</v>
      </c>
      <c r="Z28" s="34" t="s">
        <v>524</v>
      </c>
      <c r="AA28" s="34">
        <v>2004.0</v>
      </c>
      <c r="AB28" s="34">
        <v>2004.0</v>
      </c>
      <c r="AC28" s="34" t="s">
        <v>103</v>
      </c>
      <c r="AD28" s="34" t="s">
        <v>103</v>
      </c>
      <c r="AE28" s="34" t="s">
        <v>57</v>
      </c>
      <c r="AF28" s="34" t="s">
        <v>74</v>
      </c>
      <c r="AG28" s="34" t="s">
        <v>215</v>
      </c>
      <c r="AH28" s="34" t="s">
        <v>76</v>
      </c>
      <c r="AI28" s="34" t="s">
        <v>77</v>
      </c>
      <c r="AJ28" s="34" t="s">
        <v>77</v>
      </c>
      <c r="AK28" s="34" t="s">
        <v>525</v>
      </c>
      <c r="AL28" s="34" t="s">
        <v>79</v>
      </c>
      <c r="AM28" s="34" t="s">
        <v>57</v>
      </c>
      <c r="AN28" s="34" t="s">
        <v>57</v>
      </c>
      <c r="AO28" s="39"/>
      <c r="AP28" s="34" t="s">
        <v>109</v>
      </c>
      <c r="AQ28" s="96"/>
      <c r="AR28" s="96"/>
      <c r="AS28" s="44"/>
    </row>
    <row r="29">
      <c r="A29" s="32">
        <v>66.0</v>
      </c>
      <c r="B29" s="33">
        <v>3.64025555E8</v>
      </c>
      <c r="C29" s="34" t="s">
        <v>528</v>
      </c>
      <c r="D29" s="34" t="s">
        <v>529</v>
      </c>
      <c r="E29" s="38" t="s">
        <v>530</v>
      </c>
      <c r="F29" s="34" t="s">
        <v>443</v>
      </c>
      <c r="G29" s="38" t="s">
        <v>531</v>
      </c>
      <c r="H29" s="36">
        <v>2013.0</v>
      </c>
      <c r="I29" s="34" t="s">
        <v>532</v>
      </c>
      <c r="J29" s="34" t="s">
        <v>533</v>
      </c>
      <c r="K29" s="34" t="s">
        <v>534</v>
      </c>
      <c r="L29" s="34" t="s">
        <v>57</v>
      </c>
      <c r="M29" s="34" t="s">
        <v>443</v>
      </c>
      <c r="N29" s="34" t="s">
        <v>444</v>
      </c>
      <c r="O29" s="34" t="s">
        <v>535</v>
      </c>
      <c r="P29" s="34" t="s">
        <v>93</v>
      </c>
      <c r="Q29" s="34" t="s">
        <v>57</v>
      </c>
      <c r="R29" s="34" t="s">
        <v>57</v>
      </c>
      <c r="S29" s="34" t="s">
        <v>63</v>
      </c>
      <c r="T29" s="34" t="s">
        <v>536</v>
      </c>
      <c r="U29" s="34" t="s">
        <v>537</v>
      </c>
      <c r="V29" s="34" t="s">
        <v>538</v>
      </c>
      <c r="W29" s="34" t="s">
        <v>539</v>
      </c>
      <c r="X29" s="46" t="s">
        <v>540</v>
      </c>
      <c r="Y29" s="34" t="s">
        <v>69</v>
      </c>
      <c r="Z29" s="34" t="s">
        <v>541</v>
      </c>
      <c r="AA29" s="34">
        <v>2006.0</v>
      </c>
      <c r="AB29" s="34">
        <v>2011.0</v>
      </c>
      <c r="AC29" s="34" t="s">
        <v>542</v>
      </c>
      <c r="AD29" s="34" t="s">
        <v>370</v>
      </c>
      <c r="AE29" s="34" t="s">
        <v>69</v>
      </c>
      <c r="AF29" s="34" t="s">
        <v>74</v>
      </c>
      <c r="AG29" s="34" t="s">
        <v>215</v>
      </c>
      <c r="AH29" s="34" t="s">
        <v>105</v>
      </c>
      <c r="AI29" s="34" t="s">
        <v>166</v>
      </c>
      <c r="AJ29" s="34" t="s">
        <v>166</v>
      </c>
      <c r="AK29" s="34" t="s">
        <v>543</v>
      </c>
      <c r="AL29" s="34" t="s">
        <v>79</v>
      </c>
      <c r="AM29" s="34" t="s">
        <v>57</v>
      </c>
      <c r="AN29" s="34" t="s">
        <v>57</v>
      </c>
      <c r="AO29" s="39"/>
      <c r="AP29" s="34" t="s">
        <v>109</v>
      </c>
      <c r="AQ29" s="96"/>
      <c r="AR29" s="96"/>
      <c r="AS29" s="44"/>
    </row>
    <row r="30">
      <c r="A30" s="32">
        <v>67.0</v>
      </c>
      <c r="B30" s="33">
        <v>3.64026459E8</v>
      </c>
      <c r="C30" s="34" t="s">
        <v>545</v>
      </c>
      <c r="D30" s="34" t="s">
        <v>546</v>
      </c>
      <c r="E30" s="34" t="s">
        <v>547</v>
      </c>
      <c r="F30" s="34" t="s">
        <v>548</v>
      </c>
      <c r="G30" s="34" t="s">
        <v>549</v>
      </c>
      <c r="H30" s="36">
        <v>2018.0</v>
      </c>
      <c r="I30" s="34" t="s">
        <v>550</v>
      </c>
      <c r="J30" s="34" t="s">
        <v>518</v>
      </c>
      <c r="K30" s="34" t="s">
        <v>551</v>
      </c>
      <c r="L30" s="34" t="s">
        <v>57</v>
      </c>
      <c r="M30" s="34" t="s">
        <v>548</v>
      </c>
      <c r="N30" s="34" t="s">
        <v>552</v>
      </c>
      <c r="O30" s="34" t="s">
        <v>553</v>
      </c>
      <c r="P30" s="34" t="s">
        <v>554</v>
      </c>
      <c r="Q30" s="34" t="s">
        <v>555</v>
      </c>
      <c r="R30" s="34" t="s">
        <v>556</v>
      </c>
      <c r="S30" s="34" t="s">
        <v>63</v>
      </c>
      <c r="T30" s="34" t="s">
        <v>210</v>
      </c>
      <c r="U30" s="34" t="s">
        <v>557</v>
      </c>
      <c r="V30" s="34" t="s">
        <v>99</v>
      </c>
      <c r="W30" s="34" t="s">
        <v>100</v>
      </c>
      <c r="X30" s="37" t="s">
        <v>100</v>
      </c>
      <c r="Y30" s="34" t="s">
        <v>69</v>
      </c>
      <c r="Z30" s="34" t="s">
        <v>558</v>
      </c>
      <c r="AA30" s="34">
        <v>2013.0</v>
      </c>
      <c r="AB30" s="34">
        <v>2013.0</v>
      </c>
      <c r="AC30" s="34" t="s">
        <v>102</v>
      </c>
      <c r="AD30" s="34" t="s">
        <v>102</v>
      </c>
      <c r="AE30" s="34" t="s">
        <v>74</v>
      </c>
      <c r="AF30" s="34" t="s">
        <v>69</v>
      </c>
      <c r="AG30" s="34" t="s">
        <v>104</v>
      </c>
      <c r="AH30" s="34" t="s">
        <v>165</v>
      </c>
      <c r="AI30" s="34" t="s">
        <v>559</v>
      </c>
      <c r="AJ30" s="34" t="s">
        <v>147</v>
      </c>
      <c r="AK30" s="34" t="s">
        <v>560</v>
      </c>
      <c r="AL30" s="34" t="s">
        <v>128</v>
      </c>
      <c r="AM30" s="34" t="s">
        <v>374</v>
      </c>
      <c r="AN30" s="34" t="s">
        <v>561</v>
      </c>
      <c r="AO30" s="39"/>
      <c r="AP30" s="34" t="s">
        <v>184</v>
      </c>
      <c r="AQ30" s="96"/>
      <c r="AR30" s="96"/>
      <c r="AS30" s="44"/>
    </row>
    <row r="31">
      <c r="A31" s="32">
        <v>68.0</v>
      </c>
      <c r="B31" s="33">
        <v>3.64026739E8</v>
      </c>
      <c r="C31" s="34" t="s">
        <v>564</v>
      </c>
      <c r="D31" s="34" t="s">
        <v>565</v>
      </c>
      <c r="E31" s="38" t="s">
        <v>566</v>
      </c>
      <c r="F31" s="34" t="s">
        <v>548</v>
      </c>
      <c r="G31" s="34" t="s">
        <v>567</v>
      </c>
      <c r="H31" s="36">
        <v>2021.0</v>
      </c>
      <c r="I31" s="34" t="s">
        <v>207</v>
      </c>
      <c r="J31" s="34" t="s">
        <v>518</v>
      </c>
      <c r="K31" s="34" t="s">
        <v>568</v>
      </c>
      <c r="L31" s="34" t="s">
        <v>57</v>
      </c>
      <c r="M31" s="34" t="s">
        <v>548</v>
      </c>
      <c r="N31" s="34" t="s">
        <v>569</v>
      </c>
      <c r="O31" s="34" t="s">
        <v>570</v>
      </c>
      <c r="P31" s="34" t="s">
        <v>554</v>
      </c>
      <c r="Q31" s="34" t="s">
        <v>571</v>
      </c>
      <c r="R31" s="34" t="s">
        <v>572</v>
      </c>
      <c r="S31" s="34" t="s">
        <v>96</v>
      </c>
      <c r="T31" s="34" t="s">
        <v>229</v>
      </c>
      <c r="U31" s="34" t="s">
        <v>573</v>
      </c>
      <c r="V31" s="34" t="s">
        <v>99</v>
      </c>
      <c r="W31" s="34" t="s">
        <v>100</v>
      </c>
      <c r="X31" s="37" t="s">
        <v>100</v>
      </c>
      <c r="Y31" s="34" t="s">
        <v>74</v>
      </c>
      <c r="Z31" s="34" t="s">
        <v>57</v>
      </c>
      <c r="AA31" s="34">
        <v>2016.0</v>
      </c>
      <c r="AB31" s="34">
        <v>2017.0</v>
      </c>
      <c r="AC31" s="34" t="s">
        <v>102</v>
      </c>
      <c r="AD31" s="34" t="s">
        <v>102</v>
      </c>
      <c r="AE31" s="34" t="s">
        <v>74</v>
      </c>
      <c r="AF31" s="34" t="s">
        <v>69</v>
      </c>
      <c r="AG31" s="34" t="s">
        <v>104</v>
      </c>
      <c r="AH31" s="34" t="s">
        <v>105</v>
      </c>
      <c r="AI31" s="34" t="s">
        <v>336</v>
      </c>
      <c r="AJ31" s="34" t="s">
        <v>336</v>
      </c>
      <c r="AK31" s="34" t="s">
        <v>574</v>
      </c>
      <c r="AL31" s="34" t="s">
        <v>128</v>
      </c>
      <c r="AM31" s="34" t="s">
        <v>129</v>
      </c>
      <c r="AN31" s="34" t="s">
        <v>575</v>
      </c>
      <c r="AO31" s="39"/>
      <c r="AP31" s="34" t="s">
        <v>184</v>
      </c>
      <c r="AQ31" s="96"/>
      <c r="AR31" s="96"/>
      <c r="AS31" s="44"/>
    </row>
    <row r="32">
      <c r="A32" s="32">
        <v>71.0</v>
      </c>
      <c r="B32" s="33">
        <v>3.64026585E8</v>
      </c>
      <c r="C32" s="34" t="s">
        <v>578</v>
      </c>
      <c r="D32" s="34" t="s">
        <v>579</v>
      </c>
      <c r="E32" s="34" t="s">
        <v>580</v>
      </c>
      <c r="F32" s="34" t="s">
        <v>581</v>
      </c>
      <c r="G32" s="34" t="s">
        <v>582</v>
      </c>
      <c r="H32" s="36">
        <v>2020.0</v>
      </c>
      <c r="I32" s="34" t="s">
        <v>583</v>
      </c>
      <c r="J32" s="34" t="s">
        <v>55</v>
      </c>
      <c r="K32" s="34" t="s">
        <v>584</v>
      </c>
      <c r="L32" s="34" t="s">
        <v>57</v>
      </c>
      <c r="M32" s="34" t="s">
        <v>581</v>
      </c>
      <c r="N32" s="34" t="s">
        <v>585</v>
      </c>
      <c r="O32" s="34" t="s">
        <v>586</v>
      </c>
      <c r="P32" s="34" t="s">
        <v>554</v>
      </c>
      <c r="Q32" s="34" t="s">
        <v>57</v>
      </c>
      <c r="R32" s="34" t="s">
        <v>57</v>
      </c>
      <c r="S32" s="34" t="s">
        <v>63</v>
      </c>
      <c r="T32" s="34" t="s">
        <v>587</v>
      </c>
      <c r="U32" s="34" t="s">
        <v>588</v>
      </c>
      <c r="V32" s="34" t="s">
        <v>99</v>
      </c>
      <c r="W32" s="34" t="s">
        <v>100</v>
      </c>
      <c r="X32" s="37" t="s">
        <v>100</v>
      </c>
      <c r="Y32" s="34" t="s">
        <v>69</v>
      </c>
      <c r="Z32" s="34" t="s">
        <v>589</v>
      </c>
      <c r="AA32" s="34">
        <v>2016.0</v>
      </c>
      <c r="AB32" s="34">
        <v>2016.0</v>
      </c>
      <c r="AC32" s="34" t="s">
        <v>57</v>
      </c>
      <c r="AD32" s="34" t="s">
        <v>57</v>
      </c>
      <c r="AE32" s="34" t="s">
        <v>74</v>
      </c>
      <c r="AF32" s="34" t="s">
        <v>69</v>
      </c>
      <c r="AG32" s="34" t="s">
        <v>104</v>
      </c>
      <c r="AH32" s="34" t="s">
        <v>105</v>
      </c>
      <c r="AI32" s="34" t="s">
        <v>465</v>
      </c>
      <c r="AJ32" s="34" t="s">
        <v>465</v>
      </c>
      <c r="AK32" s="34" t="s">
        <v>590</v>
      </c>
      <c r="AL32" s="34" t="s">
        <v>128</v>
      </c>
      <c r="AM32" s="34" t="s">
        <v>129</v>
      </c>
      <c r="AN32" s="34" t="s">
        <v>591</v>
      </c>
      <c r="AO32" s="39"/>
      <c r="AP32" s="34" t="s">
        <v>184</v>
      </c>
      <c r="AQ32" s="96"/>
      <c r="AR32" s="96"/>
      <c r="AS32" s="44"/>
    </row>
    <row r="33">
      <c r="A33" s="32">
        <v>73.0</v>
      </c>
      <c r="B33" s="33">
        <v>3.64025595E8</v>
      </c>
      <c r="C33" s="34" t="s">
        <v>594</v>
      </c>
      <c r="D33" s="38" t="s">
        <v>595</v>
      </c>
      <c r="E33" s="38" t="s">
        <v>596</v>
      </c>
      <c r="F33" s="34" t="s">
        <v>597</v>
      </c>
      <c r="G33" s="38" t="s">
        <v>598</v>
      </c>
      <c r="H33" s="36">
        <v>2005.0</v>
      </c>
      <c r="I33" s="34" t="s">
        <v>599</v>
      </c>
      <c r="J33" s="34" t="s">
        <v>55</v>
      </c>
      <c r="K33" s="34" t="s">
        <v>600</v>
      </c>
      <c r="L33" s="34" t="s">
        <v>57</v>
      </c>
      <c r="M33" s="34" t="s">
        <v>601</v>
      </c>
      <c r="N33" s="34" t="s">
        <v>400</v>
      </c>
      <c r="O33" s="34" t="s">
        <v>602</v>
      </c>
      <c r="P33" s="34" t="s">
        <v>93</v>
      </c>
      <c r="Q33" s="34" t="s">
        <v>57</v>
      </c>
      <c r="R33" s="34" t="s">
        <v>57</v>
      </c>
      <c r="S33" s="34" t="s">
        <v>301</v>
      </c>
      <c r="T33" s="34" t="s">
        <v>229</v>
      </c>
      <c r="U33" s="34" t="s">
        <v>603</v>
      </c>
      <c r="V33" s="34" t="s">
        <v>99</v>
      </c>
      <c r="W33" s="34" t="s">
        <v>100</v>
      </c>
      <c r="X33" s="37" t="s">
        <v>100</v>
      </c>
      <c r="Y33" s="34" t="s">
        <v>74</v>
      </c>
      <c r="Z33" s="34" t="s">
        <v>57</v>
      </c>
      <c r="AA33" s="34">
        <v>2001.0</v>
      </c>
      <c r="AB33" s="34">
        <v>2001.0</v>
      </c>
      <c r="AC33" s="34" t="s">
        <v>144</v>
      </c>
      <c r="AD33" s="34" t="s">
        <v>180</v>
      </c>
      <c r="AE33" s="34" t="s">
        <v>69</v>
      </c>
      <c r="AF33" s="34" t="s">
        <v>69</v>
      </c>
      <c r="AG33" s="34" t="s">
        <v>75</v>
      </c>
      <c r="AH33" s="34" t="s">
        <v>604</v>
      </c>
      <c r="AI33" s="34" t="s">
        <v>77</v>
      </c>
      <c r="AJ33" s="34" t="s">
        <v>77</v>
      </c>
      <c r="AK33" s="34" t="s">
        <v>605</v>
      </c>
      <c r="AL33" s="34" t="s">
        <v>79</v>
      </c>
      <c r="AM33" s="34" t="s">
        <v>57</v>
      </c>
      <c r="AN33" s="34" t="s">
        <v>57</v>
      </c>
      <c r="AO33" s="39"/>
      <c r="AP33" s="34" t="s">
        <v>109</v>
      </c>
      <c r="AQ33" s="96"/>
      <c r="AR33" s="96"/>
      <c r="AS33" s="44"/>
    </row>
    <row r="34">
      <c r="A34" s="32">
        <v>74.0</v>
      </c>
      <c r="B34" s="33">
        <v>3.64026208E8</v>
      </c>
      <c r="C34" s="34" t="s">
        <v>608</v>
      </c>
      <c r="D34" s="34" t="s">
        <v>609</v>
      </c>
      <c r="E34" s="34" t="s">
        <v>610</v>
      </c>
      <c r="F34" s="34" t="s">
        <v>114</v>
      </c>
      <c r="G34" s="34" t="s">
        <v>611</v>
      </c>
      <c r="H34" s="36">
        <v>2007.0</v>
      </c>
      <c r="I34" s="34" t="s">
        <v>295</v>
      </c>
      <c r="J34" s="34" t="s">
        <v>55</v>
      </c>
      <c r="K34" s="34" t="s">
        <v>612</v>
      </c>
      <c r="L34" s="34" t="s">
        <v>57</v>
      </c>
      <c r="M34" s="34" t="s">
        <v>114</v>
      </c>
      <c r="N34" s="34" t="s">
        <v>613</v>
      </c>
      <c r="O34" s="34" t="s">
        <v>614</v>
      </c>
      <c r="P34" s="34" t="s">
        <v>93</v>
      </c>
      <c r="Q34" s="34" t="s">
        <v>57</v>
      </c>
      <c r="R34" s="34" t="s">
        <v>57</v>
      </c>
      <c r="S34" s="34" t="s">
        <v>301</v>
      </c>
      <c r="T34" s="34" t="s">
        <v>161</v>
      </c>
      <c r="U34" s="34" t="s">
        <v>615</v>
      </c>
      <c r="V34" s="34" t="s">
        <v>99</v>
      </c>
      <c r="W34" s="34" t="s">
        <v>100</v>
      </c>
      <c r="X34" s="37" t="s">
        <v>100</v>
      </c>
      <c r="Y34" s="34" t="s">
        <v>69</v>
      </c>
      <c r="Z34" s="34" t="s">
        <v>616</v>
      </c>
      <c r="AA34" s="34">
        <v>2002.0</v>
      </c>
      <c r="AB34" s="34">
        <v>2003.0</v>
      </c>
      <c r="AC34" s="34" t="s">
        <v>144</v>
      </c>
      <c r="AD34" s="34" t="s">
        <v>180</v>
      </c>
      <c r="AE34" s="34" t="s">
        <v>69</v>
      </c>
      <c r="AF34" s="34" t="s">
        <v>69</v>
      </c>
      <c r="AG34" s="34" t="s">
        <v>104</v>
      </c>
      <c r="AH34" s="34" t="s">
        <v>105</v>
      </c>
      <c r="AI34" s="34" t="s">
        <v>166</v>
      </c>
      <c r="AJ34" s="34" t="s">
        <v>166</v>
      </c>
      <c r="AK34" s="34" t="s">
        <v>617</v>
      </c>
      <c r="AL34" s="34" t="s">
        <v>128</v>
      </c>
      <c r="AM34" s="34" t="s">
        <v>129</v>
      </c>
      <c r="AN34" s="34" t="s">
        <v>618</v>
      </c>
      <c r="AO34" s="39"/>
      <c r="AP34" s="34" t="s">
        <v>81</v>
      </c>
      <c r="AQ34" s="96"/>
      <c r="AR34" s="96"/>
      <c r="AS34" s="44"/>
    </row>
    <row r="35">
      <c r="A35" s="32">
        <v>75.0</v>
      </c>
      <c r="B35" s="33">
        <v>3.640256E8</v>
      </c>
      <c r="C35" s="34" t="s">
        <v>621</v>
      </c>
      <c r="D35" s="34" t="s">
        <v>622</v>
      </c>
      <c r="E35" s="38" t="s">
        <v>623</v>
      </c>
      <c r="F35" s="34" t="s">
        <v>396</v>
      </c>
      <c r="G35" s="38" t="s">
        <v>624</v>
      </c>
      <c r="H35" s="36">
        <v>2009.0</v>
      </c>
      <c r="I35" s="34" t="s">
        <v>625</v>
      </c>
      <c r="J35" s="34" t="s">
        <v>55</v>
      </c>
      <c r="K35" s="34" t="s">
        <v>626</v>
      </c>
      <c r="L35" s="34" t="s">
        <v>57</v>
      </c>
      <c r="M35" s="34" t="s">
        <v>396</v>
      </c>
      <c r="N35" s="34" t="s">
        <v>627</v>
      </c>
      <c r="O35" s="34" t="s">
        <v>628</v>
      </c>
      <c r="P35" s="34" t="s">
        <v>93</v>
      </c>
      <c r="Q35" s="34" t="s">
        <v>57</v>
      </c>
      <c r="R35" s="34" t="s">
        <v>57</v>
      </c>
      <c r="S35" s="34" t="s">
        <v>63</v>
      </c>
      <c r="T35" s="34" t="s">
        <v>161</v>
      </c>
      <c r="U35" s="34" t="s">
        <v>629</v>
      </c>
      <c r="V35" s="34" t="s">
        <v>99</v>
      </c>
      <c r="W35" s="34" t="s">
        <v>630</v>
      </c>
      <c r="X35" s="37" t="s">
        <v>631</v>
      </c>
      <c r="Y35" s="34" t="s">
        <v>74</v>
      </c>
      <c r="Z35" s="34" t="s">
        <v>57</v>
      </c>
      <c r="AA35" s="34">
        <v>2005.0</v>
      </c>
      <c r="AB35" s="34">
        <v>2007.0</v>
      </c>
      <c r="AC35" s="34" t="s">
        <v>214</v>
      </c>
      <c r="AD35" s="34" t="s">
        <v>72</v>
      </c>
      <c r="AE35" s="34" t="s">
        <v>69</v>
      </c>
      <c r="AF35" s="34" t="s">
        <v>74</v>
      </c>
      <c r="AG35" s="34" t="s">
        <v>215</v>
      </c>
      <c r="AH35" s="34" t="s">
        <v>76</v>
      </c>
      <c r="AI35" s="34" t="s">
        <v>632</v>
      </c>
      <c r="AJ35" s="34" t="s">
        <v>107</v>
      </c>
      <c r="AK35" s="34" t="s">
        <v>633</v>
      </c>
      <c r="AL35" s="34" t="s">
        <v>79</v>
      </c>
      <c r="AM35" s="34" t="s">
        <v>57</v>
      </c>
      <c r="AN35" s="34" t="s">
        <v>57</v>
      </c>
      <c r="AO35" s="39"/>
      <c r="AP35" s="34" t="s">
        <v>109</v>
      </c>
      <c r="AQ35" s="96"/>
      <c r="AR35" s="96"/>
      <c r="AS35" s="44"/>
    </row>
    <row r="36">
      <c r="A36" s="32">
        <v>78.0</v>
      </c>
      <c r="B36" s="33">
        <v>3.64026266E8</v>
      </c>
      <c r="C36" s="34" t="s">
        <v>636</v>
      </c>
      <c r="D36" s="34" t="s">
        <v>637</v>
      </c>
      <c r="E36" s="34" t="s">
        <v>638</v>
      </c>
      <c r="F36" s="34" t="s">
        <v>639</v>
      </c>
      <c r="G36" s="34" t="s">
        <v>640</v>
      </c>
      <c r="H36" s="36">
        <v>2018.0</v>
      </c>
      <c r="I36" s="34" t="s">
        <v>345</v>
      </c>
      <c r="J36" s="34" t="s">
        <v>55</v>
      </c>
      <c r="K36" s="34" t="s">
        <v>641</v>
      </c>
      <c r="L36" s="34" t="s">
        <v>57</v>
      </c>
      <c r="M36" s="34" t="s">
        <v>639</v>
      </c>
      <c r="N36" s="34" t="s">
        <v>642</v>
      </c>
      <c r="O36" s="34" t="s">
        <v>643</v>
      </c>
      <c r="P36" s="34" t="s">
        <v>93</v>
      </c>
      <c r="Q36" s="34" t="s">
        <v>57</v>
      </c>
      <c r="R36" s="34" t="s">
        <v>57</v>
      </c>
      <c r="S36" s="34" t="s">
        <v>301</v>
      </c>
      <c r="T36" s="34" t="s">
        <v>64</v>
      </c>
      <c r="U36" s="34" t="s">
        <v>644</v>
      </c>
      <c r="V36" s="34" t="s">
        <v>99</v>
      </c>
      <c r="W36" s="34" t="s">
        <v>100</v>
      </c>
      <c r="X36" s="37" t="s">
        <v>100</v>
      </c>
      <c r="Y36" s="34" t="s">
        <v>74</v>
      </c>
      <c r="Z36" s="34" t="s">
        <v>57</v>
      </c>
      <c r="AA36" s="34">
        <v>2013.0</v>
      </c>
      <c r="AB36" s="34">
        <v>2014.0</v>
      </c>
      <c r="AC36" s="34" t="s">
        <v>72</v>
      </c>
      <c r="AD36" s="34" t="s">
        <v>71</v>
      </c>
      <c r="AE36" s="34" t="s">
        <v>69</v>
      </c>
      <c r="AF36" s="34" t="s">
        <v>69</v>
      </c>
      <c r="AG36" s="34" t="s">
        <v>104</v>
      </c>
      <c r="AH36" s="34" t="s">
        <v>105</v>
      </c>
      <c r="AI36" s="34" t="s">
        <v>336</v>
      </c>
      <c r="AJ36" s="34" t="s">
        <v>336</v>
      </c>
      <c r="AK36" s="34" t="s">
        <v>645</v>
      </c>
      <c r="AL36" s="34" t="s">
        <v>79</v>
      </c>
      <c r="AM36" s="34" t="s">
        <v>57</v>
      </c>
      <c r="AN36" s="34" t="s">
        <v>57</v>
      </c>
      <c r="AO36" s="39"/>
      <c r="AP36" s="34" t="s">
        <v>184</v>
      </c>
      <c r="AQ36" s="96"/>
      <c r="AR36" s="96"/>
      <c r="AS36" s="44"/>
    </row>
    <row r="37">
      <c r="A37" s="32">
        <v>79.0</v>
      </c>
      <c r="B37" s="33">
        <v>3.64025648E8</v>
      </c>
      <c r="C37" s="34" t="s">
        <v>647</v>
      </c>
      <c r="D37" s="34" t="s">
        <v>648</v>
      </c>
      <c r="E37" s="34" t="s">
        <v>649</v>
      </c>
      <c r="F37" s="34" t="s">
        <v>650</v>
      </c>
      <c r="G37" s="34" t="s">
        <v>651</v>
      </c>
      <c r="H37" s="36">
        <v>2004.0</v>
      </c>
      <c r="I37" s="34" t="s">
        <v>345</v>
      </c>
      <c r="J37" s="34" t="s">
        <v>55</v>
      </c>
      <c r="K37" s="34" t="s">
        <v>652</v>
      </c>
      <c r="L37" s="34" t="s">
        <v>57</v>
      </c>
      <c r="M37" s="34" t="s">
        <v>650</v>
      </c>
      <c r="N37" s="34" t="s">
        <v>653</v>
      </c>
      <c r="O37" s="34" t="s">
        <v>654</v>
      </c>
      <c r="P37" s="34" t="s">
        <v>93</v>
      </c>
      <c r="Q37" s="34" t="s">
        <v>57</v>
      </c>
      <c r="R37" s="34" t="s">
        <v>57</v>
      </c>
      <c r="S37" s="34" t="s">
        <v>63</v>
      </c>
      <c r="T37" s="34" t="s">
        <v>64</v>
      </c>
      <c r="U37" s="34" t="s">
        <v>655</v>
      </c>
      <c r="V37" s="34" t="s">
        <v>66</v>
      </c>
      <c r="W37" s="34" t="s">
        <v>656</v>
      </c>
      <c r="X37" s="37" t="s">
        <v>657</v>
      </c>
      <c r="Y37" s="34" t="s">
        <v>69</v>
      </c>
      <c r="Z37" s="34" t="s">
        <v>658</v>
      </c>
      <c r="AA37" s="34">
        <v>2001.0</v>
      </c>
      <c r="AB37" s="34">
        <v>2002.0</v>
      </c>
      <c r="AC37" s="34" t="s">
        <v>103</v>
      </c>
      <c r="AD37" s="34" t="s">
        <v>144</v>
      </c>
      <c r="AE37" s="34" t="s">
        <v>69</v>
      </c>
      <c r="AF37" s="34" t="s">
        <v>69</v>
      </c>
      <c r="AG37" s="34" t="s">
        <v>215</v>
      </c>
      <c r="AH37" s="34" t="s">
        <v>659</v>
      </c>
      <c r="AI37" s="34" t="s">
        <v>660</v>
      </c>
      <c r="AJ37" s="34" t="s">
        <v>147</v>
      </c>
      <c r="AK37" s="34" t="s">
        <v>661</v>
      </c>
      <c r="AL37" s="34" t="s">
        <v>128</v>
      </c>
      <c r="AM37" s="34" t="s">
        <v>129</v>
      </c>
      <c r="AN37" s="34" t="s">
        <v>662</v>
      </c>
      <c r="AO37" s="39"/>
      <c r="AP37" s="34" t="s">
        <v>184</v>
      </c>
      <c r="AQ37" s="96"/>
      <c r="AR37" s="96"/>
      <c r="AS37" s="44"/>
    </row>
    <row r="38">
      <c r="A38" s="32">
        <v>80.0</v>
      </c>
      <c r="B38" s="33">
        <v>3.64025617E8</v>
      </c>
      <c r="C38" s="34" t="s">
        <v>665</v>
      </c>
      <c r="D38" s="34" t="s">
        <v>666</v>
      </c>
      <c r="E38" s="38" t="s">
        <v>667</v>
      </c>
      <c r="F38" s="34" t="s">
        <v>396</v>
      </c>
      <c r="G38" s="38" t="s">
        <v>668</v>
      </c>
      <c r="H38" s="36">
        <v>2008.0</v>
      </c>
      <c r="I38" s="34" t="s">
        <v>669</v>
      </c>
      <c r="J38" s="34" t="s">
        <v>55</v>
      </c>
      <c r="K38" s="34" t="s">
        <v>626</v>
      </c>
      <c r="L38" s="34" t="s">
        <v>57</v>
      </c>
      <c r="M38" s="34" t="s">
        <v>396</v>
      </c>
      <c r="N38" s="34" t="s">
        <v>670</v>
      </c>
      <c r="O38" s="34" t="s">
        <v>671</v>
      </c>
      <c r="P38" s="34" t="s">
        <v>93</v>
      </c>
      <c r="Q38" s="34" t="s">
        <v>57</v>
      </c>
      <c r="R38" s="34" t="s">
        <v>57</v>
      </c>
      <c r="S38" s="34" t="s">
        <v>63</v>
      </c>
      <c r="T38" s="34" t="s">
        <v>672</v>
      </c>
      <c r="U38" s="34" t="s">
        <v>673</v>
      </c>
      <c r="V38" s="34" t="s">
        <v>99</v>
      </c>
      <c r="W38" s="34" t="s">
        <v>674</v>
      </c>
      <c r="X38" s="37" t="s">
        <v>631</v>
      </c>
      <c r="Y38" s="34" t="s">
        <v>74</v>
      </c>
      <c r="Z38" s="34" t="s">
        <v>57</v>
      </c>
      <c r="AA38" s="34">
        <v>2003.0</v>
      </c>
      <c r="AB38" s="34">
        <v>2005.0</v>
      </c>
      <c r="AC38" s="34" t="s">
        <v>214</v>
      </c>
      <c r="AD38" s="34" t="s">
        <v>72</v>
      </c>
      <c r="AE38" s="34" t="s">
        <v>69</v>
      </c>
      <c r="AF38" s="34" t="s">
        <v>69</v>
      </c>
      <c r="AG38" s="34" t="s">
        <v>215</v>
      </c>
      <c r="AH38" s="34" t="s">
        <v>675</v>
      </c>
      <c r="AI38" s="34" t="s">
        <v>676</v>
      </c>
      <c r="AJ38" s="34" t="s">
        <v>147</v>
      </c>
      <c r="AK38" s="34" t="s">
        <v>677</v>
      </c>
      <c r="AL38" s="34" t="s">
        <v>128</v>
      </c>
      <c r="AM38" s="34" t="s">
        <v>129</v>
      </c>
      <c r="AN38" s="34" t="s">
        <v>678</v>
      </c>
      <c r="AO38" s="39"/>
      <c r="AP38" s="34" t="s">
        <v>109</v>
      </c>
      <c r="AQ38" s="96"/>
      <c r="AR38" s="96"/>
      <c r="AS38" s="44"/>
    </row>
    <row r="39">
      <c r="A39" s="32">
        <v>81.0</v>
      </c>
      <c r="B39" s="33">
        <v>3.64026752E8</v>
      </c>
      <c r="C39" s="34" t="s">
        <v>681</v>
      </c>
      <c r="D39" s="34" t="s">
        <v>682</v>
      </c>
      <c r="E39" s="34" t="s">
        <v>683</v>
      </c>
      <c r="F39" s="34" t="s">
        <v>684</v>
      </c>
      <c r="G39" s="34" t="s">
        <v>685</v>
      </c>
      <c r="H39" s="36">
        <v>2010.0</v>
      </c>
      <c r="I39" s="34" t="s">
        <v>686</v>
      </c>
      <c r="J39" s="34" t="s">
        <v>55</v>
      </c>
      <c r="K39" s="34" t="s">
        <v>687</v>
      </c>
      <c r="L39" s="34" t="s">
        <v>57</v>
      </c>
      <c r="M39" s="34" t="s">
        <v>684</v>
      </c>
      <c r="N39" s="34" t="s">
        <v>688</v>
      </c>
      <c r="O39" s="34" t="s">
        <v>689</v>
      </c>
      <c r="P39" s="34" t="s">
        <v>554</v>
      </c>
      <c r="Q39" s="34" t="s">
        <v>57</v>
      </c>
      <c r="R39" s="34" t="s">
        <v>57</v>
      </c>
      <c r="S39" s="34" t="s">
        <v>96</v>
      </c>
      <c r="T39" s="34" t="s">
        <v>210</v>
      </c>
      <c r="U39" s="34" t="s">
        <v>690</v>
      </c>
      <c r="V39" s="34" t="s">
        <v>99</v>
      </c>
      <c r="W39" s="34" t="s">
        <v>100</v>
      </c>
      <c r="X39" s="37" t="s">
        <v>100</v>
      </c>
      <c r="Y39" s="34" t="s">
        <v>69</v>
      </c>
      <c r="Z39" s="34" t="s">
        <v>691</v>
      </c>
      <c r="AA39" s="34">
        <v>2008.0</v>
      </c>
      <c r="AB39" s="34">
        <v>2009.0</v>
      </c>
      <c r="AC39" s="34" t="s">
        <v>692</v>
      </c>
      <c r="AD39" s="34" t="s">
        <v>542</v>
      </c>
      <c r="AE39" s="34" t="s">
        <v>74</v>
      </c>
      <c r="AF39" s="34" t="s">
        <v>69</v>
      </c>
      <c r="AG39" s="34" t="s">
        <v>104</v>
      </c>
      <c r="AH39" s="34" t="s">
        <v>165</v>
      </c>
      <c r="AI39" s="34" t="s">
        <v>465</v>
      </c>
      <c r="AJ39" s="34" t="s">
        <v>465</v>
      </c>
      <c r="AK39" s="34" t="s">
        <v>693</v>
      </c>
      <c r="AL39" s="34" t="s">
        <v>128</v>
      </c>
      <c r="AM39" s="34" t="s">
        <v>129</v>
      </c>
      <c r="AN39" s="34" t="s">
        <v>694</v>
      </c>
      <c r="AO39" s="39"/>
      <c r="AP39" s="34" t="s">
        <v>184</v>
      </c>
      <c r="AQ39" s="96"/>
      <c r="AR39" s="96"/>
      <c r="AS39" s="44"/>
    </row>
    <row r="40">
      <c r="A40" s="32">
        <v>84.0</v>
      </c>
      <c r="B40" s="33">
        <v>3.64025658E8</v>
      </c>
      <c r="C40" s="34" t="s">
        <v>697</v>
      </c>
      <c r="D40" s="34" t="s">
        <v>698</v>
      </c>
      <c r="E40" s="38" t="s">
        <v>699</v>
      </c>
      <c r="F40" s="34" t="s">
        <v>273</v>
      </c>
      <c r="G40" s="38" t="s">
        <v>700</v>
      </c>
      <c r="H40" s="36">
        <v>1997.0</v>
      </c>
      <c r="I40" s="34" t="s">
        <v>136</v>
      </c>
      <c r="J40" s="34" t="s">
        <v>55</v>
      </c>
      <c r="K40" s="34" t="s">
        <v>57</v>
      </c>
      <c r="L40" s="34" t="s">
        <v>57</v>
      </c>
      <c r="M40" s="34" t="s">
        <v>273</v>
      </c>
      <c r="N40" s="34" t="s">
        <v>701</v>
      </c>
      <c r="O40" s="34" t="s">
        <v>702</v>
      </c>
      <c r="P40" s="34" t="s">
        <v>93</v>
      </c>
      <c r="Q40" s="34" t="s">
        <v>57</v>
      </c>
      <c r="R40" s="34" t="s">
        <v>57</v>
      </c>
      <c r="S40" s="34" t="s">
        <v>63</v>
      </c>
      <c r="T40" s="34" t="s">
        <v>229</v>
      </c>
      <c r="U40" s="34" t="s">
        <v>703</v>
      </c>
      <c r="V40" s="34" t="s">
        <v>66</v>
      </c>
      <c r="W40" s="34" t="s">
        <v>704</v>
      </c>
      <c r="X40" s="46" t="s">
        <v>705</v>
      </c>
      <c r="Y40" s="34" t="s">
        <v>74</v>
      </c>
      <c r="Z40" s="34" t="s">
        <v>57</v>
      </c>
      <c r="AA40" s="34">
        <v>1992.0</v>
      </c>
      <c r="AB40" s="34">
        <v>1994.0</v>
      </c>
      <c r="AC40" s="34" t="s">
        <v>57</v>
      </c>
      <c r="AD40" s="34" t="s">
        <v>57</v>
      </c>
      <c r="AE40" s="34" t="s">
        <v>57</v>
      </c>
      <c r="AF40" s="34" t="s">
        <v>74</v>
      </c>
      <c r="AG40" s="34" t="s">
        <v>215</v>
      </c>
      <c r="AH40" s="34" t="s">
        <v>498</v>
      </c>
      <c r="AI40" s="34" t="s">
        <v>706</v>
      </c>
      <c r="AJ40" s="34" t="s">
        <v>107</v>
      </c>
      <c r="AK40" s="34" t="s">
        <v>707</v>
      </c>
      <c r="AL40" s="34" t="s">
        <v>79</v>
      </c>
      <c r="AM40" s="34" t="s">
        <v>57</v>
      </c>
      <c r="AN40" s="34" t="s">
        <v>57</v>
      </c>
      <c r="AO40" s="39"/>
      <c r="AP40" s="34" t="s">
        <v>109</v>
      </c>
      <c r="AQ40" s="96"/>
      <c r="AR40" s="96"/>
      <c r="AS40" s="44"/>
    </row>
    <row r="41">
      <c r="A41" s="32">
        <v>85.0</v>
      </c>
      <c r="B41" s="33">
        <v>3.64025679E8</v>
      </c>
      <c r="C41" s="34" t="s">
        <v>710</v>
      </c>
      <c r="D41" s="34" t="s">
        <v>711</v>
      </c>
      <c r="E41" s="34" t="s">
        <v>712</v>
      </c>
      <c r="F41" s="34" t="s">
        <v>114</v>
      </c>
      <c r="G41" s="34" t="s">
        <v>713</v>
      </c>
      <c r="H41" s="36">
        <v>2005.0</v>
      </c>
      <c r="I41" s="34" t="s">
        <v>136</v>
      </c>
      <c r="J41" s="34" t="s">
        <v>55</v>
      </c>
      <c r="K41" s="34" t="s">
        <v>714</v>
      </c>
      <c r="L41" s="34" t="s">
        <v>57</v>
      </c>
      <c r="M41" s="34" t="s">
        <v>114</v>
      </c>
      <c r="N41" s="34" t="s">
        <v>715</v>
      </c>
      <c r="O41" s="34" t="s">
        <v>716</v>
      </c>
      <c r="P41" s="34" t="s">
        <v>93</v>
      </c>
      <c r="Q41" s="34" t="s">
        <v>57</v>
      </c>
      <c r="R41" s="34" t="s">
        <v>57</v>
      </c>
      <c r="S41" s="34" t="s">
        <v>63</v>
      </c>
      <c r="T41" s="34" t="s">
        <v>161</v>
      </c>
      <c r="U41" s="34" t="s">
        <v>717</v>
      </c>
      <c r="V41" s="34" t="s">
        <v>99</v>
      </c>
      <c r="W41" s="34" t="s">
        <v>718</v>
      </c>
      <c r="X41" s="37" t="s">
        <v>719</v>
      </c>
      <c r="Y41" s="34" t="s">
        <v>74</v>
      </c>
      <c r="Z41" s="34" t="s">
        <v>57</v>
      </c>
      <c r="AA41" s="34">
        <v>2001.0</v>
      </c>
      <c r="AB41" s="34">
        <v>2001.0</v>
      </c>
      <c r="AC41" s="34" t="s">
        <v>103</v>
      </c>
      <c r="AD41" s="34" t="s">
        <v>72</v>
      </c>
      <c r="AE41" s="34" t="s">
        <v>74</v>
      </c>
      <c r="AF41" s="34" t="s">
        <v>69</v>
      </c>
      <c r="AG41" s="34" t="s">
        <v>104</v>
      </c>
      <c r="AH41" s="34" t="s">
        <v>498</v>
      </c>
      <c r="AI41" s="34" t="s">
        <v>720</v>
      </c>
      <c r="AJ41" s="34" t="s">
        <v>147</v>
      </c>
      <c r="AK41" s="34" t="s">
        <v>721</v>
      </c>
      <c r="AL41" s="34" t="s">
        <v>128</v>
      </c>
      <c r="AM41" s="34" t="s">
        <v>129</v>
      </c>
      <c r="AN41" s="34" t="s">
        <v>722</v>
      </c>
      <c r="AO41" s="39"/>
      <c r="AP41" s="34" t="s">
        <v>184</v>
      </c>
      <c r="AQ41" s="96"/>
      <c r="AR41" s="96"/>
      <c r="AS41" s="44"/>
    </row>
    <row r="42">
      <c r="A42" s="32">
        <v>86.0</v>
      </c>
      <c r="B42" s="33">
        <v>3.64025683E8</v>
      </c>
      <c r="C42" s="34" t="s">
        <v>725</v>
      </c>
      <c r="D42" s="34" t="s">
        <v>726</v>
      </c>
      <c r="E42" s="38" t="s">
        <v>727</v>
      </c>
      <c r="F42" s="34" t="s">
        <v>114</v>
      </c>
      <c r="G42" s="38" t="s">
        <v>728</v>
      </c>
      <c r="H42" s="36">
        <v>2011.0</v>
      </c>
      <c r="I42" s="34" t="s">
        <v>729</v>
      </c>
      <c r="J42" s="34" t="s">
        <v>730</v>
      </c>
      <c r="K42" s="34" t="s">
        <v>731</v>
      </c>
      <c r="L42" s="34" t="s">
        <v>57</v>
      </c>
      <c r="M42" s="34" t="s">
        <v>114</v>
      </c>
      <c r="N42" s="34" t="s">
        <v>732</v>
      </c>
      <c r="O42" s="34" t="s">
        <v>733</v>
      </c>
      <c r="P42" s="34" t="s">
        <v>93</v>
      </c>
      <c r="Q42" s="34" t="s">
        <v>734</v>
      </c>
      <c r="R42" s="34" t="s">
        <v>735</v>
      </c>
      <c r="S42" s="34" t="s">
        <v>96</v>
      </c>
      <c r="T42" s="34" t="s">
        <v>161</v>
      </c>
      <c r="U42" s="34" t="s">
        <v>736</v>
      </c>
      <c r="V42" s="34" t="s">
        <v>99</v>
      </c>
      <c r="W42" s="34" t="s">
        <v>100</v>
      </c>
      <c r="X42" s="37" t="s">
        <v>100</v>
      </c>
      <c r="Y42" s="34" t="s">
        <v>74</v>
      </c>
      <c r="Z42" s="34" t="s">
        <v>57</v>
      </c>
      <c r="AA42" s="34">
        <v>2009.0</v>
      </c>
      <c r="AB42" s="34">
        <v>2009.0</v>
      </c>
      <c r="AC42" s="34" t="s">
        <v>102</v>
      </c>
      <c r="AD42" s="34" t="s">
        <v>403</v>
      </c>
      <c r="AE42" s="34" t="s">
        <v>69</v>
      </c>
      <c r="AF42" s="34" t="s">
        <v>74</v>
      </c>
      <c r="AG42" s="34" t="s">
        <v>215</v>
      </c>
      <c r="AH42" s="34" t="s">
        <v>659</v>
      </c>
      <c r="AI42" s="34" t="s">
        <v>660</v>
      </c>
      <c r="AJ42" s="34" t="s">
        <v>107</v>
      </c>
      <c r="AK42" s="34" t="s">
        <v>737</v>
      </c>
      <c r="AL42" s="34" t="s">
        <v>128</v>
      </c>
      <c r="AM42" s="34" t="s">
        <v>129</v>
      </c>
      <c r="AN42" s="34" t="s">
        <v>738</v>
      </c>
      <c r="AO42" s="39"/>
      <c r="AP42" s="34" t="s">
        <v>109</v>
      </c>
      <c r="AQ42" s="96"/>
      <c r="AR42" s="96"/>
      <c r="AS42" s="44"/>
    </row>
    <row r="43">
      <c r="A43" s="32">
        <v>87.0</v>
      </c>
      <c r="B43" s="33">
        <v>3.64025685E8</v>
      </c>
      <c r="C43" s="34" t="s">
        <v>741</v>
      </c>
      <c r="D43" s="34" t="s">
        <v>742</v>
      </c>
      <c r="E43" s="38" t="s">
        <v>743</v>
      </c>
      <c r="F43" s="34" t="s">
        <v>114</v>
      </c>
      <c r="G43" s="38" t="s">
        <v>744</v>
      </c>
      <c r="H43" s="36">
        <v>2006.0</v>
      </c>
      <c r="I43" s="34" t="s">
        <v>745</v>
      </c>
      <c r="J43" s="34" t="s">
        <v>730</v>
      </c>
      <c r="K43" s="34" t="s">
        <v>746</v>
      </c>
      <c r="L43" s="34" t="s">
        <v>57</v>
      </c>
      <c r="M43" s="34" t="s">
        <v>114</v>
      </c>
      <c r="N43" s="34" t="s">
        <v>747</v>
      </c>
      <c r="O43" s="34" t="s">
        <v>748</v>
      </c>
      <c r="P43" s="34" t="s">
        <v>93</v>
      </c>
      <c r="Q43" s="34" t="s">
        <v>57</v>
      </c>
      <c r="R43" s="34" t="s">
        <v>57</v>
      </c>
      <c r="S43" s="34" t="s">
        <v>96</v>
      </c>
      <c r="T43" s="34" t="s">
        <v>749</v>
      </c>
      <c r="U43" s="34" t="s">
        <v>750</v>
      </c>
      <c r="V43" s="34" t="s">
        <v>66</v>
      </c>
      <c r="W43" s="34" t="s">
        <v>751</v>
      </c>
      <c r="X43" s="37" t="s">
        <v>752</v>
      </c>
      <c r="Y43" s="34" t="s">
        <v>74</v>
      </c>
      <c r="Z43" s="34" t="s">
        <v>57</v>
      </c>
      <c r="AA43" s="34">
        <v>2001.0</v>
      </c>
      <c r="AB43" s="34">
        <v>2002.0</v>
      </c>
      <c r="AC43" s="34" t="s">
        <v>144</v>
      </c>
      <c r="AD43" s="34" t="s">
        <v>370</v>
      </c>
      <c r="AE43" s="34" t="s">
        <v>69</v>
      </c>
      <c r="AF43" s="34" t="s">
        <v>74</v>
      </c>
      <c r="AG43" s="34" t="s">
        <v>215</v>
      </c>
      <c r="AH43" s="34" t="s">
        <v>105</v>
      </c>
      <c r="AI43" s="34" t="s">
        <v>166</v>
      </c>
      <c r="AJ43" s="34" t="s">
        <v>166</v>
      </c>
      <c r="AK43" s="34" t="s">
        <v>753</v>
      </c>
      <c r="AL43" s="34" t="s">
        <v>128</v>
      </c>
      <c r="AM43" s="34" t="s">
        <v>129</v>
      </c>
      <c r="AN43" s="34" t="s">
        <v>754</v>
      </c>
      <c r="AO43" s="39"/>
      <c r="AP43" s="34" t="s">
        <v>109</v>
      </c>
      <c r="AQ43" s="96"/>
      <c r="AR43" s="96"/>
      <c r="AS43" s="44"/>
    </row>
    <row r="44">
      <c r="A44" s="32">
        <v>88.0</v>
      </c>
      <c r="B44" s="33">
        <v>3.64025665E8</v>
      </c>
      <c r="C44" s="34" t="s">
        <v>757</v>
      </c>
      <c r="D44" s="34" t="s">
        <v>758</v>
      </c>
      <c r="E44" s="38" t="s">
        <v>759</v>
      </c>
      <c r="F44" s="34" t="s">
        <v>760</v>
      </c>
      <c r="G44" s="38" t="s">
        <v>761</v>
      </c>
      <c r="H44" s="36">
        <v>2013.0</v>
      </c>
      <c r="I44" s="38" t="s">
        <v>762</v>
      </c>
      <c r="J44" s="34" t="s">
        <v>730</v>
      </c>
      <c r="K44" s="34" t="s">
        <v>763</v>
      </c>
      <c r="L44" s="34" t="s">
        <v>57</v>
      </c>
      <c r="M44" s="34" t="s">
        <v>760</v>
      </c>
      <c r="N44" s="34" t="s">
        <v>764</v>
      </c>
      <c r="O44" s="34" t="s">
        <v>765</v>
      </c>
      <c r="P44" s="34" t="s">
        <v>93</v>
      </c>
      <c r="Q44" s="34" t="s">
        <v>57</v>
      </c>
      <c r="R44" s="34" t="s">
        <v>57</v>
      </c>
      <c r="S44" s="34" t="s">
        <v>96</v>
      </c>
      <c r="T44" s="34" t="s">
        <v>766</v>
      </c>
      <c r="U44" s="34" t="s">
        <v>767</v>
      </c>
      <c r="V44" s="34" t="s">
        <v>66</v>
      </c>
      <c r="W44" s="34" t="s">
        <v>768</v>
      </c>
      <c r="X44" s="46" t="s">
        <v>769</v>
      </c>
      <c r="Y44" s="34" t="s">
        <v>74</v>
      </c>
      <c r="Z44" s="34" t="s">
        <v>57</v>
      </c>
      <c r="AA44" s="34">
        <v>2006.0</v>
      </c>
      <c r="AB44" s="34">
        <v>2010.0</v>
      </c>
      <c r="AC44" s="34" t="s">
        <v>57</v>
      </c>
      <c r="AD44" s="34" t="s">
        <v>57</v>
      </c>
      <c r="AE44" s="34" t="s">
        <v>69</v>
      </c>
      <c r="AF44" s="34" t="s">
        <v>74</v>
      </c>
      <c r="AG44" s="34" t="s">
        <v>104</v>
      </c>
      <c r="AH44" s="34" t="s">
        <v>770</v>
      </c>
      <c r="AI44" s="34" t="s">
        <v>771</v>
      </c>
      <c r="AJ44" s="34" t="s">
        <v>107</v>
      </c>
      <c r="AK44" s="34" t="s">
        <v>772</v>
      </c>
      <c r="AL44" s="34" t="s">
        <v>79</v>
      </c>
      <c r="AM44" s="34" t="s">
        <v>57</v>
      </c>
      <c r="AN44" s="34" t="s">
        <v>57</v>
      </c>
      <c r="AO44" s="39"/>
      <c r="AP44" s="34" t="s">
        <v>109</v>
      </c>
      <c r="AQ44" s="96"/>
      <c r="AR44" s="96"/>
      <c r="AS44" s="44"/>
    </row>
    <row r="45">
      <c r="A45" s="32">
        <v>96.0</v>
      </c>
      <c r="B45" s="33">
        <v>3.64025694E8</v>
      </c>
      <c r="C45" s="34" t="s">
        <v>775</v>
      </c>
      <c r="D45" s="34" t="s">
        <v>776</v>
      </c>
      <c r="E45" s="38" t="s">
        <v>777</v>
      </c>
      <c r="F45" s="34" t="s">
        <v>87</v>
      </c>
      <c r="G45" s="38" t="s">
        <v>778</v>
      </c>
      <c r="H45" s="36">
        <v>2017.0</v>
      </c>
      <c r="I45" s="34" t="s">
        <v>779</v>
      </c>
      <c r="J45" s="34" t="s">
        <v>730</v>
      </c>
      <c r="K45" s="34" t="s">
        <v>780</v>
      </c>
      <c r="L45" s="34" t="s">
        <v>57</v>
      </c>
      <c r="M45" s="34" t="s">
        <v>87</v>
      </c>
      <c r="N45" s="34" t="s">
        <v>781</v>
      </c>
      <c r="O45" s="34" t="s">
        <v>782</v>
      </c>
      <c r="P45" s="34" t="s">
        <v>93</v>
      </c>
      <c r="Q45" s="38" t="s">
        <v>783</v>
      </c>
      <c r="R45" s="38" t="s">
        <v>784</v>
      </c>
      <c r="S45" s="34" t="s">
        <v>96</v>
      </c>
      <c r="T45" s="34" t="s">
        <v>229</v>
      </c>
      <c r="U45" s="34" t="s">
        <v>785</v>
      </c>
      <c r="V45" s="34" t="s">
        <v>99</v>
      </c>
      <c r="W45" s="34" t="s">
        <v>786</v>
      </c>
      <c r="X45" s="46" t="s">
        <v>787</v>
      </c>
      <c r="Y45" s="34" t="s">
        <v>74</v>
      </c>
      <c r="Z45" s="34" t="s">
        <v>57</v>
      </c>
      <c r="AA45" s="34">
        <v>2014.0</v>
      </c>
      <c r="AB45" s="34">
        <v>2015.0</v>
      </c>
      <c r="AC45" s="34" t="s">
        <v>144</v>
      </c>
      <c r="AD45" s="34" t="s">
        <v>71</v>
      </c>
      <c r="AE45" s="34" t="s">
        <v>69</v>
      </c>
      <c r="AF45" s="34" t="s">
        <v>69</v>
      </c>
      <c r="AG45" s="34" t="s">
        <v>215</v>
      </c>
      <c r="AH45" s="34" t="s">
        <v>285</v>
      </c>
      <c r="AI45" s="34" t="s">
        <v>431</v>
      </c>
      <c r="AJ45" s="34" t="s">
        <v>788</v>
      </c>
      <c r="AK45" s="34" t="s">
        <v>789</v>
      </c>
      <c r="AL45" s="34" t="s">
        <v>128</v>
      </c>
      <c r="AM45" s="34" t="s">
        <v>129</v>
      </c>
      <c r="AN45" s="34" t="s">
        <v>790</v>
      </c>
      <c r="AO45" s="39"/>
      <c r="AP45" s="34" t="s">
        <v>109</v>
      </c>
      <c r="AQ45" s="96"/>
      <c r="AR45" s="96"/>
      <c r="AS45" s="44"/>
    </row>
    <row r="46">
      <c r="A46" s="32">
        <v>97.0</v>
      </c>
      <c r="B46" s="33">
        <v>3.64026721E8</v>
      </c>
      <c r="C46" s="34" t="s">
        <v>792</v>
      </c>
      <c r="D46" s="34" t="s">
        <v>793</v>
      </c>
      <c r="E46" s="34" t="s">
        <v>794</v>
      </c>
      <c r="F46" s="34" t="s">
        <v>87</v>
      </c>
      <c r="G46" s="34" t="s">
        <v>795</v>
      </c>
      <c r="H46" s="36">
        <v>2016.0</v>
      </c>
      <c r="I46" s="34" t="s">
        <v>796</v>
      </c>
      <c r="J46" s="34" t="s">
        <v>730</v>
      </c>
      <c r="K46" s="34" t="s">
        <v>797</v>
      </c>
      <c r="L46" s="34" t="s">
        <v>57</v>
      </c>
      <c r="M46" s="34" t="s">
        <v>87</v>
      </c>
      <c r="N46" s="34" t="s">
        <v>798</v>
      </c>
      <c r="O46" s="34" t="s">
        <v>799</v>
      </c>
      <c r="P46" s="34" t="s">
        <v>93</v>
      </c>
      <c r="Q46" s="34" t="s">
        <v>800</v>
      </c>
      <c r="R46" s="34" t="s">
        <v>801</v>
      </c>
      <c r="S46" s="34" t="s">
        <v>96</v>
      </c>
      <c r="T46" s="34" t="s">
        <v>802</v>
      </c>
      <c r="U46" s="34" t="s">
        <v>803</v>
      </c>
      <c r="V46" s="34" t="s">
        <v>99</v>
      </c>
      <c r="W46" s="34" t="s">
        <v>804</v>
      </c>
      <c r="X46" s="37" t="s">
        <v>804</v>
      </c>
      <c r="Y46" s="34" t="s">
        <v>69</v>
      </c>
      <c r="Z46" s="34" t="s">
        <v>805</v>
      </c>
      <c r="AA46" s="34">
        <v>2011.0</v>
      </c>
      <c r="AB46" s="34">
        <v>2011.0</v>
      </c>
      <c r="AC46" s="34" t="s">
        <v>144</v>
      </c>
      <c r="AD46" s="34" t="s">
        <v>370</v>
      </c>
      <c r="AE46" s="34" t="s">
        <v>69</v>
      </c>
      <c r="AF46" s="34" t="s">
        <v>69</v>
      </c>
      <c r="AG46" s="34" t="s">
        <v>104</v>
      </c>
      <c r="AH46" s="34" t="s">
        <v>105</v>
      </c>
      <c r="AI46" s="34" t="s">
        <v>106</v>
      </c>
      <c r="AJ46" s="34" t="s">
        <v>107</v>
      </c>
      <c r="AK46" s="34" t="s">
        <v>806</v>
      </c>
      <c r="AL46" s="34" t="s">
        <v>128</v>
      </c>
      <c r="AM46" s="34" t="s">
        <v>129</v>
      </c>
      <c r="AN46" s="34" t="s">
        <v>807</v>
      </c>
      <c r="AO46" s="39"/>
      <c r="AP46" s="34" t="s">
        <v>184</v>
      </c>
      <c r="AQ46" s="96"/>
      <c r="AR46" s="96"/>
      <c r="AS46" s="44"/>
    </row>
    <row r="47">
      <c r="A47" s="32">
        <v>98.0</v>
      </c>
      <c r="B47" s="33">
        <v>3.64025792E8</v>
      </c>
      <c r="C47" s="34" t="s">
        <v>810</v>
      </c>
      <c r="D47" s="34" t="s">
        <v>811</v>
      </c>
      <c r="E47" s="38" t="s">
        <v>812</v>
      </c>
      <c r="F47" s="34" t="s">
        <v>489</v>
      </c>
      <c r="G47" s="38" t="s">
        <v>813</v>
      </c>
      <c r="H47" s="36">
        <v>2007.0</v>
      </c>
      <c r="I47" s="34" t="s">
        <v>295</v>
      </c>
      <c r="J47" s="34" t="s">
        <v>730</v>
      </c>
      <c r="K47" s="34" t="s">
        <v>814</v>
      </c>
      <c r="L47" s="34" t="s">
        <v>57</v>
      </c>
      <c r="M47" s="34" t="s">
        <v>489</v>
      </c>
      <c r="N47" s="34" t="s">
        <v>815</v>
      </c>
      <c r="O47" s="34" t="s">
        <v>816</v>
      </c>
      <c r="P47" s="34" t="s">
        <v>93</v>
      </c>
      <c r="Q47" s="34" t="s">
        <v>57</v>
      </c>
      <c r="R47" s="34" t="s">
        <v>57</v>
      </c>
      <c r="S47" s="34" t="s">
        <v>63</v>
      </c>
      <c r="T47" s="34" t="s">
        <v>210</v>
      </c>
      <c r="U47" s="34" t="s">
        <v>817</v>
      </c>
      <c r="V47" s="34" t="s">
        <v>66</v>
      </c>
      <c r="W47" s="34" t="s">
        <v>818</v>
      </c>
      <c r="X47" s="37" t="s">
        <v>819</v>
      </c>
      <c r="Y47" s="34" t="s">
        <v>74</v>
      </c>
      <c r="Z47" s="34" t="s">
        <v>57</v>
      </c>
      <c r="AA47" s="34">
        <v>2004.0</v>
      </c>
      <c r="AB47" s="34">
        <v>2004.0</v>
      </c>
      <c r="AC47" s="34" t="s">
        <v>542</v>
      </c>
      <c r="AD47" s="34" t="s">
        <v>71</v>
      </c>
      <c r="AE47" s="34" t="s">
        <v>69</v>
      </c>
      <c r="AF47" s="34" t="s">
        <v>74</v>
      </c>
      <c r="AG47" s="34" t="s">
        <v>215</v>
      </c>
      <c r="AH47" s="34" t="s">
        <v>498</v>
      </c>
      <c r="AI47" s="34" t="s">
        <v>820</v>
      </c>
      <c r="AJ47" s="34" t="s">
        <v>107</v>
      </c>
      <c r="AK47" s="34" t="s">
        <v>821</v>
      </c>
      <c r="AL47" s="34" t="s">
        <v>128</v>
      </c>
      <c r="AM47" s="34" t="s">
        <v>129</v>
      </c>
      <c r="AN47" s="38" t="s">
        <v>822</v>
      </c>
      <c r="AO47" s="39"/>
      <c r="AP47" s="34" t="s">
        <v>109</v>
      </c>
      <c r="AQ47" s="96"/>
      <c r="AR47" s="96"/>
      <c r="AS47" s="44"/>
    </row>
    <row r="48">
      <c r="A48" s="32">
        <v>99.0</v>
      </c>
      <c r="B48" s="33">
        <v>3.64025832E8</v>
      </c>
      <c r="C48" s="34" t="s">
        <v>825</v>
      </c>
      <c r="D48" s="34" t="s">
        <v>826</v>
      </c>
      <c r="E48" s="38" t="s">
        <v>827</v>
      </c>
      <c r="F48" s="34" t="s">
        <v>273</v>
      </c>
      <c r="G48" s="38" t="s">
        <v>828</v>
      </c>
      <c r="H48" s="36">
        <v>2002.0</v>
      </c>
      <c r="I48" s="34" t="s">
        <v>829</v>
      </c>
      <c r="J48" s="34" t="s">
        <v>730</v>
      </c>
      <c r="K48" s="34" t="s">
        <v>276</v>
      </c>
      <c r="L48" s="34" t="s">
        <v>57</v>
      </c>
      <c r="M48" s="34" t="s">
        <v>273</v>
      </c>
      <c r="N48" s="34" t="s">
        <v>277</v>
      </c>
      <c r="O48" s="34" t="s">
        <v>830</v>
      </c>
      <c r="P48" s="34" t="s">
        <v>93</v>
      </c>
      <c r="Q48" s="34" t="s">
        <v>57</v>
      </c>
      <c r="R48" s="34" t="s">
        <v>57</v>
      </c>
      <c r="S48" s="34" t="s">
        <v>96</v>
      </c>
      <c r="T48" s="34" t="s">
        <v>831</v>
      </c>
      <c r="U48" s="34" t="s">
        <v>832</v>
      </c>
      <c r="V48" s="34" t="s">
        <v>99</v>
      </c>
      <c r="W48" s="34" t="s">
        <v>833</v>
      </c>
      <c r="X48" s="37" t="s">
        <v>834</v>
      </c>
      <c r="Y48" s="34" t="s">
        <v>74</v>
      </c>
      <c r="Z48" s="34" t="s">
        <v>57</v>
      </c>
      <c r="AA48" s="34">
        <v>1998.0</v>
      </c>
      <c r="AB48" s="34">
        <v>1998.0</v>
      </c>
      <c r="AC48" s="34" t="s">
        <v>57</v>
      </c>
      <c r="AD48" s="34" t="s">
        <v>57</v>
      </c>
      <c r="AE48" s="34" t="s">
        <v>69</v>
      </c>
      <c r="AF48" s="34" t="s">
        <v>74</v>
      </c>
      <c r="AG48" s="34" t="s">
        <v>104</v>
      </c>
      <c r="AH48" s="34" t="s">
        <v>105</v>
      </c>
      <c r="AI48" s="34" t="s">
        <v>835</v>
      </c>
      <c r="AJ48" s="34" t="s">
        <v>107</v>
      </c>
      <c r="AK48" s="34" t="s">
        <v>836</v>
      </c>
      <c r="AL48" s="34" t="s">
        <v>79</v>
      </c>
      <c r="AM48" s="34" t="s">
        <v>57</v>
      </c>
      <c r="AN48" s="34" t="s">
        <v>57</v>
      </c>
      <c r="AO48" s="39"/>
      <c r="AP48" s="34" t="s">
        <v>109</v>
      </c>
      <c r="AQ48" s="96"/>
      <c r="AR48" s="96"/>
      <c r="AS48" s="44"/>
    </row>
    <row r="49">
      <c r="A49" s="32">
        <v>100.0</v>
      </c>
      <c r="B49" s="33">
        <v>3.64026742E8</v>
      </c>
      <c r="C49" s="34" t="s">
        <v>839</v>
      </c>
      <c r="D49" s="34" t="s">
        <v>840</v>
      </c>
      <c r="E49" s="34" t="s">
        <v>841</v>
      </c>
      <c r="F49" s="34" t="s">
        <v>842</v>
      </c>
      <c r="G49" s="34" t="s">
        <v>843</v>
      </c>
      <c r="H49" s="36">
        <v>2010.0</v>
      </c>
      <c r="I49" s="34" t="s">
        <v>844</v>
      </c>
      <c r="J49" s="34" t="s">
        <v>55</v>
      </c>
      <c r="K49" s="34" t="s">
        <v>845</v>
      </c>
      <c r="L49" s="34" t="s">
        <v>57</v>
      </c>
      <c r="M49" s="34" t="s">
        <v>842</v>
      </c>
      <c r="N49" s="34" t="s">
        <v>846</v>
      </c>
      <c r="O49" s="34" t="s">
        <v>847</v>
      </c>
      <c r="P49" s="34" t="s">
        <v>93</v>
      </c>
      <c r="Q49" s="34" t="s">
        <v>57</v>
      </c>
      <c r="R49" s="34" t="s">
        <v>57</v>
      </c>
      <c r="S49" s="34" t="s">
        <v>301</v>
      </c>
      <c r="T49" s="34" t="s">
        <v>848</v>
      </c>
      <c r="U49" s="34" t="s">
        <v>849</v>
      </c>
      <c r="V49" s="34" t="s">
        <v>99</v>
      </c>
      <c r="W49" s="34" t="s">
        <v>804</v>
      </c>
      <c r="X49" s="37" t="s">
        <v>804</v>
      </c>
      <c r="Y49" s="34" t="s">
        <v>69</v>
      </c>
      <c r="Z49" s="34" t="s">
        <v>850</v>
      </c>
      <c r="AA49" s="34">
        <v>2006.0</v>
      </c>
      <c r="AB49" s="34">
        <v>2008.0</v>
      </c>
      <c r="AC49" s="34" t="s">
        <v>103</v>
      </c>
      <c r="AD49" s="34" t="s">
        <v>180</v>
      </c>
      <c r="AE49" s="34" t="s">
        <v>69</v>
      </c>
      <c r="AF49" s="34" t="s">
        <v>69</v>
      </c>
      <c r="AG49" s="34" t="s">
        <v>104</v>
      </c>
      <c r="AH49" s="34" t="s">
        <v>851</v>
      </c>
      <c r="AI49" s="34" t="s">
        <v>852</v>
      </c>
      <c r="AJ49" s="34" t="s">
        <v>147</v>
      </c>
      <c r="AK49" s="34" t="s">
        <v>853</v>
      </c>
      <c r="AL49" s="34" t="s">
        <v>79</v>
      </c>
      <c r="AM49" s="34" t="s">
        <v>57</v>
      </c>
      <c r="AN49" s="34" t="s">
        <v>57</v>
      </c>
      <c r="AO49" s="39"/>
      <c r="AP49" s="34" t="s">
        <v>81</v>
      </c>
      <c r="AQ49" s="96"/>
      <c r="AR49" s="96"/>
      <c r="AS49" s="44"/>
    </row>
    <row r="50">
      <c r="A50" s="32">
        <v>101.0</v>
      </c>
      <c r="B50" s="33">
        <v>3.64026452E8</v>
      </c>
      <c r="C50" s="34" t="s">
        <v>856</v>
      </c>
      <c r="D50" s="34" t="s">
        <v>857</v>
      </c>
      <c r="E50" s="34" t="s">
        <v>858</v>
      </c>
      <c r="F50" s="34" t="s">
        <v>859</v>
      </c>
      <c r="G50" s="38" t="s">
        <v>860</v>
      </c>
      <c r="H50" s="36">
        <v>2015.0</v>
      </c>
      <c r="I50" s="34" t="s">
        <v>796</v>
      </c>
      <c r="J50" s="34" t="s">
        <v>55</v>
      </c>
      <c r="K50" s="34" t="s">
        <v>861</v>
      </c>
      <c r="L50" s="34" t="s">
        <v>57</v>
      </c>
      <c r="M50" s="34" t="s">
        <v>859</v>
      </c>
      <c r="N50" s="34" t="s">
        <v>862</v>
      </c>
      <c r="O50" s="34" t="s">
        <v>863</v>
      </c>
      <c r="P50" s="34" t="s">
        <v>93</v>
      </c>
      <c r="Q50" s="34" t="s">
        <v>864</v>
      </c>
      <c r="R50" s="34" t="s">
        <v>865</v>
      </c>
      <c r="S50" s="34" t="s">
        <v>63</v>
      </c>
      <c r="T50" s="34" t="s">
        <v>866</v>
      </c>
      <c r="U50" s="34" t="s">
        <v>867</v>
      </c>
      <c r="V50" s="34" t="s">
        <v>99</v>
      </c>
      <c r="W50" s="34" t="s">
        <v>100</v>
      </c>
      <c r="X50" s="37" t="s">
        <v>100</v>
      </c>
      <c r="Y50" s="34" t="s">
        <v>74</v>
      </c>
      <c r="Z50" s="34" t="s">
        <v>57</v>
      </c>
      <c r="AA50" s="34">
        <v>2012.0</v>
      </c>
      <c r="AB50" s="34">
        <v>2012.0</v>
      </c>
      <c r="AC50" s="34" t="s">
        <v>144</v>
      </c>
      <c r="AD50" s="34" t="s">
        <v>692</v>
      </c>
      <c r="AE50" s="34" t="s">
        <v>74</v>
      </c>
      <c r="AF50" s="34" t="s">
        <v>69</v>
      </c>
      <c r="AG50" s="34" t="s">
        <v>104</v>
      </c>
      <c r="AH50" s="34" t="s">
        <v>851</v>
      </c>
      <c r="AI50" s="34" t="s">
        <v>166</v>
      </c>
      <c r="AJ50" s="34" t="s">
        <v>166</v>
      </c>
      <c r="AK50" s="34" t="s">
        <v>868</v>
      </c>
      <c r="AL50" s="34" t="s">
        <v>128</v>
      </c>
      <c r="AM50" s="34" t="s">
        <v>129</v>
      </c>
      <c r="AN50" s="34" t="s">
        <v>869</v>
      </c>
      <c r="AO50" s="39"/>
      <c r="AP50" s="34" t="s">
        <v>81</v>
      </c>
      <c r="AQ50" s="96"/>
      <c r="AR50" s="96"/>
      <c r="AS50" s="44"/>
    </row>
    <row r="51">
      <c r="A51" s="32">
        <v>103.0</v>
      </c>
      <c r="B51" s="33">
        <v>3.64026356E8</v>
      </c>
      <c r="C51" s="34" t="s">
        <v>872</v>
      </c>
      <c r="D51" s="34" t="s">
        <v>873</v>
      </c>
      <c r="E51" s="34" t="s">
        <v>874</v>
      </c>
      <c r="F51" s="34" t="s">
        <v>859</v>
      </c>
      <c r="G51" s="34" t="s">
        <v>875</v>
      </c>
      <c r="H51" s="36">
        <v>2021.0</v>
      </c>
      <c r="I51" s="34" t="s">
        <v>796</v>
      </c>
      <c r="J51" s="34" t="s">
        <v>55</v>
      </c>
      <c r="K51" s="34" t="s">
        <v>876</v>
      </c>
      <c r="L51" s="34" t="s">
        <v>57</v>
      </c>
      <c r="M51" s="34" t="s">
        <v>859</v>
      </c>
      <c r="N51" s="34" t="s">
        <v>862</v>
      </c>
      <c r="O51" s="34" t="s">
        <v>877</v>
      </c>
      <c r="P51" s="34" t="s">
        <v>93</v>
      </c>
      <c r="Q51" s="34" t="s">
        <v>57</v>
      </c>
      <c r="R51" s="34" t="s">
        <v>57</v>
      </c>
      <c r="S51" s="34" t="s">
        <v>63</v>
      </c>
      <c r="T51" s="34" t="s">
        <v>366</v>
      </c>
      <c r="U51" s="34" t="s">
        <v>878</v>
      </c>
      <c r="V51" s="34" t="s">
        <v>99</v>
      </c>
      <c r="W51" s="34" t="s">
        <v>100</v>
      </c>
      <c r="X51" s="37" t="s">
        <v>100</v>
      </c>
      <c r="Y51" s="34" t="s">
        <v>69</v>
      </c>
      <c r="Z51" s="34" t="s">
        <v>879</v>
      </c>
      <c r="AA51" s="34">
        <v>2019.0</v>
      </c>
      <c r="AB51" s="34">
        <v>2019.0</v>
      </c>
      <c r="AC51" s="34" t="s">
        <v>103</v>
      </c>
      <c r="AD51" s="34" t="s">
        <v>692</v>
      </c>
      <c r="AE51" s="34" t="s">
        <v>74</v>
      </c>
      <c r="AF51" s="34" t="s">
        <v>69</v>
      </c>
      <c r="AG51" s="34" t="s">
        <v>104</v>
      </c>
      <c r="AH51" s="34" t="s">
        <v>105</v>
      </c>
      <c r="AI51" s="34" t="s">
        <v>106</v>
      </c>
      <c r="AJ51" s="34" t="s">
        <v>107</v>
      </c>
      <c r="AK51" s="38" t="s">
        <v>880</v>
      </c>
      <c r="AL51" s="34" t="s">
        <v>79</v>
      </c>
      <c r="AM51" s="34" t="s">
        <v>57</v>
      </c>
      <c r="AN51" s="34" t="s">
        <v>57</v>
      </c>
      <c r="AO51" s="39"/>
      <c r="AP51" s="34" t="s">
        <v>81</v>
      </c>
      <c r="AQ51" s="96"/>
      <c r="AR51" s="96"/>
      <c r="AS51" s="44"/>
    </row>
    <row r="52">
      <c r="A52" s="32">
        <v>105.0</v>
      </c>
      <c r="B52" s="33">
        <v>3.64027038E8</v>
      </c>
      <c r="C52" s="34" t="s">
        <v>883</v>
      </c>
      <c r="D52" s="34" t="s">
        <v>884</v>
      </c>
      <c r="E52" s="34" t="s">
        <v>885</v>
      </c>
      <c r="F52" s="34" t="s">
        <v>886</v>
      </c>
      <c r="G52" s="34" t="s">
        <v>887</v>
      </c>
      <c r="H52" s="36">
        <v>2022.0</v>
      </c>
      <c r="I52" s="34" t="s">
        <v>888</v>
      </c>
      <c r="J52" s="34" t="s">
        <v>55</v>
      </c>
      <c r="K52" s="34" t="s">
        <v>889</v>
      </c>
      <c r="L52" s="34" t="s">
        <v>57</v>
      </c>
      <c r="M52" s="34" t="s">
        <v>886</v>
      </c>
      <c r="N52" s="34" t="s">
        <v>890</v>
      </c>
      <c r="O52" s="34" t="s">
        <v>891</v>
      </c>
      <c r="P52" s="34" t="s">
        <v>93</v>
      </c>
      <c r="Q52" s="34" t="s">
        <v>57</v>
      </c>
      <c r="R52" s="34" t="s">
        <v>57</v>
      </c>
      <c r="S52" s="34" t="s">
        <v>63</v>
      </c>
      <c r="T52" s="34" t="s">
        <v>892</v>
      </c>
      <c r="U52" s="34" t="s">
        <v>893</v>
      </c>
      <c r="V52" s="34" t="s">
        <v>99</v>
      </c>
      <c r="W52" s="34" t="s">
        <v>100</v>
      </c>
      <c r="X52" s="37" t="s">
        <v>100</v>
      </c>
      <c r="Y52" s="34" t="s">
        <v>74</v>
      </c>
      <c r="Z52" s="34" t="s">
        <v>57</v>
      </c>
      <c r="AA52" s="34">
        <v>2019.0</v>
      </c>
      <c r="AB52" s="34">
        <v>2019.0</v>
      </c>
      <c r="AC52" s="34" t="s">
        <v>144</v>
      </c>
      <c r="AD52" s="34" t="s">
        <v>370</v>
      </c>
      <c r="AE52" s="34" t="s">
        <v>69</v>
      </c>
      <c r="AF52" s="34" t="s">
        <v>69</v>
      </c>
      <c r="AG52" s="34" t="s">
        <v>104</v>
      </c>
      <c r="AH52" s="34" t="s">
        <v>105</v>
      </c>
      <c r="AI52" s="34" t="s">
        <v>414</v>
      </c>
      <c r="AJ52" s="34" t="s">
        <v>107</v>
      </c>
      <c r="AK52" s="38" t="s">
        <v>894</v>
      </c>
      <c r="AL52" s="34" t="s">
        <v>128</v>
      </c>
      <c r="AM52" s="34" t="s">
        <v>895</v>
      </c>
      <c r="AN52" s="34" t="s">
        <v>896</v>
      </c>
      <c r="AO52" s="39"/>
      <c r="AP52" s="34" t="s">
        <v>184</v>
      </c>
      <c r="AQ52" s="96"/>
      <c r="AR52" s="96"/>
      <c r="AS52" s="44"/>
    </row>
    <row r="53">
      <c r="A53" s="32">
        <v>106.0</v>
      </c>
      <c r="B53" s="33">
        <v>3.64027035E8</v>
      </c>
      <c r="C53" s="34" t="s">
        <v>898</v>
      </c>
      <c r="D53" s="34" t="s">
        <v>899</v>
      </c>
      <c r="E53" s="34" t="s">
        <v>900</v>
      </c>
      <c r="F53" s="34" t="s">
        <v>114</v>
      </c>
      <c r="G53" s="34" t="s">
        <v>901</v>
      </c>
      <c r="H53" s="36">
        <v>2009.0</v>
      </c>
      <c r="I53" s="34" t="s">
        <v>207</v>
      </c>
      <c r="J53" s="34" t="s">
        <v>55</v>
      </c>
      <c r="K53" s="34" t="s">
        <v>902</v>
      </c>
      <c r="L53" s="34" t="s">
        <v>57</v>
      </c>
      <c r="M53" s="34" t="s">
        <v>114</v>
      </c>
      <c r="N53" s="34" t="s">
        <v>903</v>
      </c>
      <c r="O53" s="34" t="s">
        <v>904</v>
      </c>
      <c r="P53" s="34" t="s">
        <v>93</v>
      </c>
      <c r="Q53" s="34" t="s">
        <v>57</v>
      </c>
      <c r="R53" s="34" t="s">
        <v>57</v>
      </c>
      <c r="S53" s="34" t="s">
        <v>63</v>
      </c>
      <c r="T53" s="34" t="s">
        <v>210</v>
      </c>
      <c r="U53" s="34" t="s">
        <v>905</v>
      </c>
      <c r="V53" s="34" t="s">
        <v>99</v>
      </c>
      <c r="W53" s="34" t="s">
        <v>100</v>
      </c>
      <c r="X53" s="37" t="s">
        <v>100</v>
      </c>
      <c r="Y53" s="34" t="s">
        <v>69</v>
      </c>
      <c r="Z53" s="34" t="s">
        <v>906</v>
      </c>
      <c r="AA53" s="34">
        <v>2000.0</v>
      </c>
      <c r="AB53" s="34">
        <v>2002.0</v>
      </c>
      <c r="AC53" s="34" t="s">
        <v>180</v>
      </c>
      <c r="AD53" s="34" t="s">
        <v>180</v>
      </c>
      <c r="AE53" s="34" t="s">
        <v>69</v>
      </c>
      <c r="AF53" s="34" t="s">
        <v>69</v>
      </c>
      <c r="AG53" s="34" t="s">
        <v>104</v>
      </c>
      <c r="AH53" s="34" t="s">
        <v>907</v>
      </c>
      <c r="AI53" s="34" t="s">
        <v>908</v>
      </c>
      <c r="AJ53" s="34" t="s">
        <v>147</v>
      </c>
      <c r="AK53" s="34" t="s">
        <v>909</v>
      </c>
      <c r="AL53" s="34" t="s">
        <v>128</v>
      </c>
      <c r="AM53" s="34" t="s">
        <v>374</v>
      </c>
      <c r="AN53" s="34" t="s">
        <v>910</v>
      </c>
      <c r="AO53" s="39"/>
      <c r="AP53" s="34" t="s">
        <v>184</v>
      </c>
      <c r="AQ53" s="96"/>
      <c r="AR53" s="96"/>
      <c r="AS53" s="44"/>
    </row>
    <row r="54">
      <c r="A54" s="32">
        <v>108.0</v>
      </c>
      <c r="B54" s="33">
        <v>3.64027024E8</v>
      </c>
      <c r="C54" s="34" t="s">
        <v>913</v>
      </c>
      <c r="D54" s="34" t="s">
        <v>914</v>
      </c>
      <c r="E54" s="34" t="s">
        <v>915</v>
      </c>
      <c r="F54" s="34" t="s">
        <v>916</v>
      </c>
      <c r="G54" s="34" t="s">
        <v>917</v>
      </c>
      <c r="H54" s="36">
        <v>2017.0</v>
      </c>
      <c r="I54" s="34" t="s">
        <v>918</v>
      </c>
      <c r="J54" s="34" t="s">
        <v>55</v>
      </c>
      <c r="K54" s="34" t="s">
        <v>919</v>
      </c>
      <c r="L54" s="34" t="s">
        <v>57</v>
      </c>
      <c r="M54" s="34" t="s">
        <v>916</v>
      </c>
      <c r="N54" s="34" t="s">
        <v>920</v>
      </c>
      <c r="O54" s="34" t="s">
        <v>921</v>
      </c>
      <c r="P54" s="34" t="s">
        <v>93</v>
      </c>
      <c r="Q54" s="34" t="s">
        <v>57</v>
      </c>
      <c r="R54" s="34" t="s">
        <v>57</v>
      </c>
      <c r="S54" s="34" t="s">
        <v>96</v>
      </c>
      <c r="T54" s="34" t="s">
        <v>922</v>
      </c>
      <c r="U54" s="34" t="s">
        <v>923</v>
      </c>
      <c r="V54" s="34" t="s">
        <v>99</v>
      </c>
      <c r="W54" s="34" t="s">
        <v>100</v>
      </c>
      <c r="X54" s="37" t="s">
        <v>100</v>
      </c>
      <c r="Y54" s="34" t="s">
        <v>74</v>
      </c>
      <c r="Z54" s="34" t="s">
        <v>57</v>
      </c>
      <c r="AA54" s="34">
        <v>2016.0</v>
      </c>
      <c r="AB54" s="34">
        <v>2016.0</v>
      </c>
      <c r="AC54" s="34" t="s">
        <v>180</v>
      </c>
      <c r="AD54" s="34" t="s">
        <v>180</v>
      </c>
      <c r="AE54" s="34" t="s">
        <v>74</v>
      </c>
      <c r="AF54" s="34" t="s">
        <v>69</v>
      </c>
      <c r="AG54" s="34" t="s">
        <v>104</v>
      </c>
      <c r="AH54" s="34" t="s">
        <v>105</v>
      </c>
      <c r="AI54" s="34" t="s">
        <v>465</v>
      </c>
      <c r="AJ54" s="34" t="s">
        <v>465</v>
      </c>
      <c r="AK54" s="34" t="s">
        <v>924</v>
      </c>
      <c r="AL54" s="34" t="s">
        <v>79</v>
      </c>
      <c r="AM54" s="34" t="s">
        <v>57</v>
      </c>
      <c r="AN54" s="34" t="s">
        <v>57</v>
      </c>
      <c r="AO54" s="39"/>
      <c r="AP54" s="34" t="s">
        <v>184</v>
      </c>
      <c r="AQ54" s="96"/>
      <c r="AR54" s="96"/>
      <c r="AS54" s="44"/>
    </row>
    <row r="55">
      <c r="A55" s="32">
        <v>112.0</v>
      </c>
      <c r="B55" s="33">
        <v>3.64026657E8</v>
      </c>
      <c r="C55" s="34" t="s">
        <v>927</v>
      </c>
      <c r="D55" s="34" t="s">
        <v>928</v>
      </c>
      <c r="E55" s="34" t="s">
        <v>929</v>
      </c>
      <c r="F55" s="34" t="s">
        <v>859</v>
      </c>
      <c r="G55" s="34" t="s">
        <v>930</v>
      </c>
      <c r="H55" s="36">
        <v>2018.0</v>
      </c>
      <c r="I55" s="34" t="s">
        <v>796</v>
      </c>
      <c r="J55" s="34" t="s">
        <v>518</v>
      </c>
      <c r="K55" s="34" t="s">
        <v>931</v>
      </c>
      <c r="L55" s="34" t="s">
        <v>57</v>
      </c>
      <c r="M55" s="34" t="s">
        <v>859</v>
      </c>
      <c r="N55" s="34" t="s">
        <v>862</v>
      </c>
      <c r="O55" s="34" t="s">
        <v>863</v>
      </c>
      <c r="P55" s="34" t="s">
        <v>93</v>
      </c>
      <c r="Q55" s="34" t="s">
        <v>57</v>
      </c>
      <c r="R55" s="34" t="s">
        <v>57</v>
      </c>
      <c r="S55" s="34" t="s">
        <v>63</v>
      </c>
      <c r="T55" s="34" t="s">
        <v>932</v>
      </c>
      <c r="U55" s="34" t="s">
        <v>933</v>
      </c>
      <c r="V55" s="34" t="s">
        <v>99</v>
      </c>
      <c r="W55" s="34" t="s">
        <v>99</v>
      </c>
      <c r="X55" s="37" t="s">
        <v>99</v>
      </c>
      <c r="Y55" s="34" t="s">
        <v>69</v>
      </c>
      <c r="Z55" s="34" t="s">
        <v>934</v>
      </c>
      <c r="AA55" s="34">
        <v>1987.0</v>
      </c>
      <c r="AB55" s="34">
        <v>2014.0</v>
      </c>
      <c r="AC55" s="34" t="s">
        <v>57</v>
      </c>
      <c r="AD55" s="34" t="s">
        <v>57</v>
      </c>
      <c r="AE55" s="34" t="s">
        <v>69</v>
      </c>
      <c r="AF55" s="34" t="s">
        <v>69</v>
      </c>
      <c r="AG55" s="34" t="s">
        <v>104</v>
      </c>
      <c r="AH55" s="34" t="s">
        <v>851</v>
      </c>
      <c r="AI55" s="34" t="s">
        <v>935</v>
      </c>
      <c r="AJ55" s="34" t="s">
        <v>935</v>
      </c>
      <c r="AK55" s="34" t="s">
        <v>936</v>
      </c>
      <c r="AL55" s="34" t="s">
        <v>79</v>
      </c>
      <c r="AM55" s="34" t="s">
        <v>57</v>
      </c>
      <c r="AN55" s="34" t="s">
        <v>57</v>
      </c>
      <c r="AO55" s="39"/>
      <c r="AP55" s="34" t="s">
        <v>81</v>
      </c>
      <c r="AQ55" s="96"/>
      <c r="AR55" s="96"/>
      <c r="AS55" s="44"/>
    </row>
    <row r="56">
      <c r="A56" s="32">
        <v>115.0</v>
      </c>
      <c r="B56" s="33">
        <v>3.64026993E8</v>
      </c>
      <c r="C56" s="34" t="s">
        <v>939</v>
      </c>
      <c r="D56" s="34" t="s">
        <v>4100</v>
      </c>
      <c r="E56" s="34" t="s">
        <v>941</v>
      </c>
      <c r="F56" s="34" t="s">
        <v>114</v>
      </c>
      <c r="G56" s="34" t="s">
        <v>942</v>
      </c>
      <c r="H56" s="36">
        <v>1986.0</v>
      </c>
      <c r="I56" s="34" t="s">
        <v>943</v>
      </c>
      <c r="J56" s="34" t="s">
        <v>55</v>
      </c>
      <c r="K56" s="34" t="s">
        <v>57</v>
      </c>
      <c r="L56" s="34" t="s">
        <v>57</v>
      </c>
      <c r="M56" s="34" t="s">
        <v>114</v>
      </c>
      <c r="N56" s="34" t="s">
        <v>944</v>
      </c>
      <c r="O56" s="34" t="s">
        <v>945</v>
      </c>
      <c r="P56" s="34" t="s">
        <v>93</v>
      </c>
      <c r="Q56" s="34" t="s">
        <v>57</v>
      </c>
      <c r="R56" s="34" t="s">
        <v>57</v>
      </c>
      <c r="S56" s="34" t="s">
        <v>63</v>
      </c>
      <c r="T56" s="34" t="s">
        <v>64</v>
      </c>
      <c r="U56" s="34" t="s">
        <v>946</v>
      </c>
      <c r="V56" s="34" t="s">
        <v>99</v>
      </c>
      <c r="W56" s="34" t="s">
        <v>100</v>
      </c>
      <c r="X56" s="37" t="s">
        <v>100</v>
      </c>
      <c r="Y56" s="34" t="s">
        <v>74</v>
      </c>
      <c r="Z56" s="34" t="s">
        <v>57</v>
      </c>
      <c r="AA56" s="34">
        <v>1975.0</v>
      </c>
      <c r="AB56" s="34">
        <v>1979.0</v>
      </c>
      <c r="AC56" s="34" t="s">
        <v>180</v>
      </c>
      <c r="AD56" s="34" t="s">
        <v>180</v>
      </c>
      <c r="AE56" s="34" t="s">
        <v>69</v>
      </c>
      <c r="AF56" s="34" t="s">
        <v>69</v>
      </c>
      <c r="AG56" s="34" t="s">
        <v>104</v>
      </c>
      <c r="AH56" s="34" t="s">
        <v>907</v>
      </c>
      <c r="AI56" s="34" t="s">
        <v>947</v>
      </c>
      <c r="AJ56" s="34" t="s">
        <v>107</v>
      </c>
      <c r="AK56" s="34" t="s">
        <v>948</v>
      </c>
      <c r="AL56" s="34" t="s">
        <v>128</v>
      </c>
      <c r="AM56" s="34" t="s">
        <v>129</v>
      </c>
      <c r="AN56" s="34" t="s">
        <v>949</v>
      </c>
      <c r="AO56" s="39"/>
      <c r="AP56" s="34" t="s">
        <v>184</v>
      </c>
      <c r="AQ56" s="96"/>
      <c r="AR56" s="96"/>
      <c r="AS56" s="44"/>
    </row>
    <row r="57">
      <c r="A57" s="32">
        <v>116.0</v>
      </c>
      <c r="B57" s="33">
        <v>3.64026991E8</v>
      </c>
      <c r="C57" s="34" t="s">
        <v>952</v>
      </c>
      <c r="D57" s="34" t="s">
        <v>953</v>
      </c>
      <c r="E57" s="34" t="s">
        <v>954</v>
      </c>
      <c r="F57" s="34" t="s">
        <v>114</v>
      </c>
      <c r="G57" s="34" t="s">
        <v>955</v>
      </c>
      <c r="H57" s="36">
        <v>1991.0</v>
      </c>
      <c r="I57" s="34" t="s">
        <v>295</v>
      </c>
      <c r="J57" s="34" t="s">
        <v>55</v>
      </c>
      <c r="K57" s="34" t="s">
        <v>956</v>
      </c>
      <c r="L57" s="34" t="s">
        <v>57</v>
      </c>
      <c r="M57" s="34" t="s">
        <v>114</v>
      </c>
      <c r="N57" s="34" t="s">
        <v>944</v>
      </c>
      <c r="O57" s="34" t="s">
        <v>945</v>
      </c>
      <c r="P57" s="34" t="s">
        <v>93</v>
      </c>
      <c r="Q57" s="34" t="s">
        <v>57</v>
      </c>
      <c r="R57" s="34" t="s">
        <v>57</v>
      </c>
      <c r="S57" s="34" t="s">
        <v>63</v>
      </c>
      <c r="T57" s="34" t="s">
        <v>64</v>
      </c>
      <c r="U57" s="34" t="s">
        <v>957</v>
      </c>
      <c r="V57" s="34" t="s">
        <v>99</v>
      </c>
      <c r="W57" s="34" t="s">
        <v>100</v>
      </c>
      <c r="X57" s="37" t="s">
        <v>100</v>
      </c>
      <c r="Y57" s="34" t="s">
        <v>74</v>
      </c>
      <c r="Z57" s="34" t="s">
        <v>57</v>
      </c>
      <c r="AA57" s="34">
        <v>1976.0</v>
      </c>
      <c r="AB57" s="34">
        <v>1980.0</v>
      </c>
      <c r="AC57" s="34" t="s">
        <v>542</v>
      </c>
      <c r="AD57" s="34" t="s">
        <v>542</v>
      </c>
      <c r="AE57" s="34" t="s">
        <v>69</v>
      </c>
      <c r="AF57" s="34" t="s">
        <v>69</v>
      </c>
      <c r="AG57" s="34" t="s">
        <v>104</v>
      </c>
      <c r="AH57" s="34" t="s">
        <v>105</v>
      </c>
      <c r="AI57" s="34" t="s">
        <v>958</v>
      </c>
      <c r="AJ57" s="34" t="s">
        <v>147</v>
      </c>
      <c r="AK57" s="34" t="s">
        <v>959</v>
      </c>
      <c r="AL57" s="34" t="s">
        <v>128</v>
      </c>
      <c r="AM57" s="34" t="s">
        <v>129</v>
      </c>
      <c r="AN57" s="34" t="s">
        <v>960</v>
      </c>
      <c r="AO57" s="39"/>
      <c r="AP57" s="34" t="s">
        <v>184</v>
      </c>
      <c r="AQ57" s="96"/>
      <c r="AR57" s="96"/>
      <c r="AS57" s="44"/>
    </row>
    <row r="58">
      <c r="A58" s="32">
        <v>117.0</v>
      </c>
      <c r="B58" s="33">
        <v>3.64026988E8</v>
      </c>
      <c r="C58" s="34" t="s">
        <v>962</v>
      </c>
      <c r="D58" s="34" t="s">
        <v>963</v>
      </c>
      <c r="E58" s="34" t="s">
        <v>964</v>
      </c>
      <c r="F58" s="34" t="s">
        <v>114</v>
      </c>
      <c r="G58" s="34" t="s">
        <v>965</v>
      </c>
      <c r="H58" s="36">
        <v>2018.0</v>
      </c>
      <c r="I58" s="34" t="s">
        <v>762</v>
      </c>
      <c r="J58" s="34" t="s">
        <v>55</v>
      </c>
      <c r="K58" s="34" t="s">
        <v>966</v>
      </c>
      <c r="L58" s="34" t="s">
        <v>57</v>
      </c>
      <c r="M58" s="34" t="s">
        <v>114</v>
      </c>
      <c r="N58" s="34" t="s">
        <v>967</v>
      </c>
      <c r="O58" s="34" t="s">
        <v>968</v>
      </c>
      <c r="P58" s="34" t="s">
        <v>93</v>
      </c>
      <c r="Q58" s="34" t="s">
        <v>57</v>
      </c>
      <c r="R58" s="34" t="s">
        <v>57</v>
      </c>
      <c r="S58" s="34" t="s">
        <v>63</v>
      </c>
      <c r="T58" s="34" t="s">
        <v>969</v>
      </c>
      <c r="U58" s="34" t="s">
        <v>970</v>
      </c>
      <c r="V58" s="34" t="s">
        <v>66</v>
      </c>
      <c r="W58" s="34" t="s">
        <v>971</v>
      </c>
      <c r="X58" s="37" t="s">
        <v>972</v>
      </c>
      <c r="Y58" s="34" t="s">
        <v>74</v>
      </c>
      <c r="Z58" s="34" t="s">
        <v>57</v>
      </c>
      <c r="AA58" s="34" t="s">
        <v>57</v>
      </c>
      <c r="AB58" s="34" t="s">
        <v>57</v>
      </c>
      <c r="AC58" s="34" t="s">
        <v>57</v>
      </c>
      <c r="AD58" s="34" t="s">
        <v>57</v>
      </c>
      <c r="AE58" s="34" t="s">
        <v>57</v>
      </c>
      <c r="AF58" s="34" t="s">
        <v>74</v>
      </c>
      <c r="AG58" s="34" t="s">
        <v>75</v>
      </c>
      <c r="AH58" s="34" t="s">
        <v>285</v>
      </c>
      <c r="AI58" s="34" t="s">
        <v>431</v>
      </c>
      <c r="AJ58" s="34" t="s">
        <v>431</v>
      </c>
      <c r="AK58" s="34" t="s">
        <v>973</v>
      </c>
      <c r="AL58" s="34" t="s">
        <v>79</v>
      </c>
      <c r="AM58" s="34" t="s">
        <v>57</v>
      </c>
      <c r="AN58" s="34" t="s">
        <v>57</v>
      </c>
      <c r="AO58" s="34" t="s">
        <v>974</v>
      </c>
      <c r="AP58" s="34" t="s">
        <v>184</v>
      </c>
      <c r="AQ58" s="96"/>
      <c r="AR58" s="96"/>
      <c r="AS58" s="44"/>
    </row>
    <row r="59">
      <c r="A59" s="32">
        <v>121.0</v>
      </c>
      <c r="B59" s="33">
        <v>3.64025837E8</v>
      </c>
      <c r="C59" s="34" t="s">
        <v>977</v>
      </c>
      <c r="D59" s="34" t="s">
        <v>978</v>
      </c>
      <c r="E59" s="38" t="s">
        <v>979</v>
      </c>
      <c r="F59" s="34" t="s">
        <v>114</v>
      </c>
      <c r="G59" s="38" t="s">
        <v>980</v>
      </c>
      <c r="H59" s="36">
        <v>2019.0</v>
      </c>
      <c r="I59" s="34" t="s">
        <v>779</v>
      </c>
      <c r="J59" s="34" t="s">
        <v>55</v>
      </c>
      <c r="K59" s="34" t="s">
        <v>981</v>
      </c>
      <c r="L59" s="34" t="s">
        <v>57</v>
      </c>
      <c r="M59" s="34" t="s">
        <v>114</v>
      </c>
      <c r="N59" s="34" t="s">
        <v>57</v>
      </c>
      <c r="O59" s="34" t="s">
        <v>982</v>
      </c>
      <c r="P59" s="34" t="s">
        <v>93</v>
      </c>
      <c r="Q59" s="34" t="s">
        <v>57</v>
      </c>
      <c r="R59" s="34" t="s">
        <v>57</v>
      </c>
      <c r="S59" s="34" t="s">
        <v>63</v>
      </c>
      <c r="T59" s="34" t="s">
        <v>366</v>
      </c>
      <c r="U59" s="34" t="s">
        <v>983</v>
      </c>
      <c r="V59" s="34" t="s">
        <v>66</v>
      </c>
      <c r="W59" s="34" t="s">
        <v>984</v>
      </c>
      <c r="X59" s="37" t="s">
        <v>985</v>
      </c>
      <c r="Y59" s="34" t="s">
        <v>74</v>
      </c>
      <c r="Z59" s="34" t="s">
        <v>57</v>
      </c>
      <c r="AA59" s="34">
        <v>2018.0</v>
      </c>
      <c r="AB59" s="34">
        <v>2018.0</v>
      </c>
      <c r="AC59" s="34" t="s">
        <v>542</v>
      </c>
      <c r="AD59" s="34" t="s">
        <v>103</v>
      </c>
      <c r="AE59" s="34" t="s">
        <v>69</v>
      </c>
      <c r="AF59" s="34" t="s">
        <v>69</v>
      </c>
      <c r="AG59" s="34" t="s">
        <v>215</v>
      </c>
      <c r="AH59" s="34" t="s">
        <v>105</v>
      </c>
      <c r="AI59" s="34" t="s">
        <v>166</v>
      </c>
      <c r="AJ59" s="34" t="s">
        <v>166</v>
      </c>
      <c r="AK59" s="34" t="s">
        <v>986</v>
      </c>
      <c r="AL59" s="34" t="s">
        <v>79</v>
      </c>
      <c r="AM59" s="34" t="s">
        <v>57</v>
      </c>
      <c r="AN59" s="34" t="s">
        <v>57</v>
      </c>
      <c r="AO59" s="39"/>
      <c r="AP59" s="34" t="s">
        <v>109</v>
      </c>
      <c r="AQ59" s="96"/>
      <c r="AR59" s="96"/>
      <c r="AS59" s="44"/>
    </row>
    <row r="60">
      <c r="A60" s="32">
        <v>122.0</v>
      </c>
      <c r="B60" s="33">
        <v>3.64025838E8</v>
      </c>
      <c r="C60" s="34" t="s">
        <v>989</v>
      </c>
      <c r="D60" s="34" t="s">
        <v>990</v>
      </c>
      <c r="E60" s="38" t="s">
        <v>991</v>
      </c>
      <c r="F60" s="34" t="s">
        <v>992</v>
      </c>
      <c r="G60" s="38" t="s">
        <v>993</v>
      </c>
      <c r="H60" s="36">
        <v>2011.0</v>
      </c>
      <c r="I60" s="34" t="s">
        <v>994</v>
      </c>
      <c r="J60" s="34" t="s">
        <v>55</v>
      </c>
      <c r="K60" s="34" t="s">
        <v>995</v>
      </c>
      <c r="L60" s="34" t="s">
        <v>57</v>
      </c>
      <c r="M60" s="34" t="s">
        <v>992</v>
      </c>
      <c r="N60" s="34" t="s">
        <v>996</v>
      </c>
      <c r="O60" s="34" t="s">
        <v>997</v>
      </c>
      <c r="P60" s="34" t="s">
        <v>554</v>
      </c>
      <c r="Q60" s="34" t="s">
        <v>57</v>
      </c>
      <c r="R60" s="34" t="s">
        <v>57</v>
      </c>
      <c r="S60" s="34" t="s">
        <v>63</v>
      </c>
      <c r="T60" s="34" t="s">
        <v>302</v>
      </c>
      <c r="U60" s="34" t="s">
        <v>998</v>
      </c>
      <c r="V60" s="34" t="s">
        <v>99</v>
      </c>
      <c r="W60" s="34" t="s">
        <v>100</v>
      </c>
      <c r="X60" s="37" t="s">
        <v>100</v>
      </c>
      <c r="Y60" s="34" t="s">
        <v>74</v>
      </c>
      <c r="Z60" s="34" t="s">
        <v>57</v>
      </c>
      <c r="AA60" s="34">
        <v>2008.0</v>
      </c>
      <c r="AB60" s="34">
        <v>2008.0</v>
      </c>
      <c r="AC60" s="34" t="s">
        <v>102</v>
      </c>
      <c r="AD60" s="34" t="s">
        <v>264</v>
      </c>
      <c r="AE60" s="34" t="s">
        <v>69</v>
      </c>
      <c r="AF60" s="34" t="s">
        <v>74</v>
      </c>
      <c r="AG60" s="34" t="s">
        <v>104</v>
      </c>
      <c r="AH60" s="34" t="s">
        <v>105</v>
      </c>
      <c r="AI60" s="34" t="s">
        <v>465</v>
      </c>
      <c r="AJ60" s="34" t="s">
        <v>465</v>
      </c>
      <c r="AK60" s="34" t="s">
        <v>999</v>
      </c>
      <c r="AL60" s="34" t="s">
        <v>79</v>
      </c>
      <c r="AM60" s="34" t="s">
        <v>57</v>
      </c>
      <c r="AN60" s="34" t="s">
        <v>57</v>
      </c>
      <c r="AO60" s="39"/>
      <c r="AP60" s="34" t="s">
        <v>109</v>
      </c>
      <c r="AQ60" s="96"/>
      <c r="AR60" s="96"/>
      <c r="AS60" s="44"/>
    </row>
    <row r="61">
      <c r="A61" s="32">
        <v>123.0</v>
      </c>
      <c r="B61" s="33">
        <v>3.64025841E8</v>
      </c>
      <c r="C61" s="34" t="s">
        <v>1002</v>
      </c>
      <c r="D61" s="34" t="s">
        <v>1003</v>
      </c>
      <c r="E61" s="38" t="s">
        <v>1004</v>
      </c>
      <c r="F61" s="34" t="s">
        <v>114</v>
      </c>
      <c r="G61" s="38" t="s">
        <v>1005</v>
      </c>
      <c r="H61" s="36">
        <v>2005.0</v>
      </c>
      <c r="I61" s="34" t="s">
        <v>225</v>
      </c>
      <c r="J61" s="34" t="s">
        <v>55</v>
      </c>
      <c r="K61" s="34" t="s">
        <v>1006</v>
      </c>
      <c r="L61" s="34" t="s">
        <v>57</v>
      </c>
      <c r="M61" s="34" t="s">
        <v>114</v>
      </c>
      <c r="N61" s="34" t="s">
        <v>1007</v>
      </c>
      <c r="O61" s="34" t="s">
        <v>1008</v>
      </c>
      <c r="P61" s="34" t="s">
        <v>93</v>
      </c>
      <c r="Q61" s="34" t="s">
        <v>1009</v>
      </c>
      <c r="R61" s="34" t="s">
        <v>1010</v>
      </c>
      <c r="S61" s="34" t="s">
        <v>96</v>
      </c>
      <c r="T61" s="34" t="s">
        <v>1011</v>
      </c>
      <c r="U61" s="34" t="s">
        <v>1012</v>
      </c>
      <c r="V61" s="34" t="s">
        <v>99</v>
      </c>
      <c r="W61" s="34" t="s">
        <v>100</v>
      </c>
      <c r="X61" s="37" t="s">
        <v>100</v>
      </c>
      <c r="Y61" s="34" t="s">
        <v>74</v>
      </c>
      <c r="Z61" s="34" t="s">
        <v>57</v>
      </c>
      <c r="AA61" s="34">
        <v>2000.0</v>
      </c>
      <c r="AB61" s="34">
        <v>2001.0</v>
      </c>
      <c r="AC61" s="34" t="s">
        <v>144</v>
      </c>
      <c r="AD61" s="34" t="s">
        <v>180</v>
      </c>
      <c r="AE61" s="34" t="s">
        <v>69</v>
      </c>
      <c r="AF61" s="34" t="s">
        <v>69</v>
      </c>
      <c r="AG61" s="34" t="s">
        <v>104</v>
      </c>
      <c r="AH61" s="34" t="s">
        <v>105</v>
      </c>
      <c r="AI61" s="34" t="s">
        <v>166</v>
      </c>
      <c r="AJ61" s="34" t="s">
        <v>166</v>
      </c>
      <c r="AK61" s="34" t="s">
        <v>1013</v>
      </c>
      <c r="AL61" s="34" t="s">
        <v>128</v>
      </c>
      <c r="AM61" s="34" t="s">
        <v>129</v>
      </c>
      <c r="AN61" s="34" t="s">
        <v>1014</v>
      </c>
      <c r="AO61" s="39"/>
      <c r="AP61" s="34" t="s">
        <v>109</v>
      </c>
      <c r="AQ61" s="96"/>
      <c r="AR61" s="96"/>
      <c r="AS61" s="44"/>
    </row>
    <row r="62">
      <c r="A62" s="32">
        <v>126.0</v>
      </c>
      <c r="B62" s="33">
        <v>3.64025863E8</v>
      </c>
      <c r="C62" s="34" t="s">
        <v>1017</v>
      </c>
      <c r="D62" s="34" t="s">
        <v>1018</v>
      </c>
      <c r="E62" s="34" t="s">
        <v>1019</v>
      </c>
      <c r="F62" s="34" t="s">
        <v>273</v>
      </c>
      <c r="G62" s="38" t="s">
        <v>1020</v>
      </c>
      <c r="H62" s="36">
        <v>2010.0</v>
      </c>
      <c r="I62" s="34" t="s">
        <v>599</v>
      </c>
      <c r="J62" s="34" t="s">
        <v>55</v>
      </c>
      <c r="K62" s="34" t="s">
        <v>1021</v>
      </c>
      <c r="L62" s="34" t="s">
        <v>57</v>
      </c>
      <c r="M62" s="34" t="s">
        <v>273</v>
      </c>
      <c r="N62" s="34" t="s">
        <v>1022</v>
      </c>
      <c r="O62" s="34" t="s">
        <v>1023</v>
      </c>
      <c r="P62" s="34" t="s">
        <v>93</v>
      </c>
      <c r="Q62" s="34" t="s">
        <v>57</v>
      </c>
      <c r="R62" s="34" t="s">
        <v>57</v>
      </c>
      <c r="S62" s="34" t="s">
        <v>96</v>
      </c>
      <c r="T62" s="34" t="s">
        <v>1024</v>
      </c>
      <c r="U62" s="34" t="s">
        <v>1025</v>
      </c>
      <c r="V62" s="34" t="s">
        <v>99</v>
      </c>
      <c r="W62" s="34" t="s">
        <v>100</v>
      </c>
      <c r="X62" s="37" t="s">
        <v>100</v>
      </c>
      <c r="Y62" s="34" t="s">
        <v>74</v>
      </c>
      <c r="Z62" s="34" t="s">
        <v>57</v>
      </c>
      <c r="AA62" s="34">
        <v>1998.0</v>
      </c>
      <c r="AB62" s="34">
        <v>1999.0</v>
      </c>
      <c r="AC62" s="34" t="s">
        <v>102</v>
      </c>
      <c r="AD62" s="34" t="s">
        <v>370</v>
      </c>
      <c r="AE62" s="34" t="s">
        <v>69</v>
      </c>
      <c r="AF62" s="34" t="s">
        <v>74</v>
      </c>
      <c r="AG62" s="34" t="s">
        <v>104</v>
      </c>
      <c r="AH62" s="34" t="s">
        <v>105</v>
      </c>
      <c r="AI62" s="34" t="s">
        <v>166</v>
      </c>
      <c r="AJ62" s="34" t="s">
        <v>166</v>
      </c>
      <c r="AK62" s="34" t="s">
        <v>1026</v>
      </c>
      <c r="AL62" s="34" t="s">
        <v>128</v>
      </c>
      <c r="AM62" s="34" t="s">
        <v>129</v>
      </c>
      <c r="AN62" s="34" t="s">
        <v>1027</v>
      </c>
      <c r="AO62" s="39"/>
      <c r="AP62" s="34" t="s">
        <v>109</v>
      </c>
      <c r="AQ62" s="96"/>
      <c r="AR62" s="96"/>
      <c r="AS62" s="44"/>
    </row>
    <row r="63">
      <c r="A63" s="32">
        <v>127.0</v>
      </c>
      <c r="B63" s="33">
        <v>3.64025894E8</v>
      </c>
      <c r="C63" s="34" t="s">
        <v>1030</v>
      </c>
      <c r="D63" s="34" t="s">
        <v>1031</v>
      </c>
      <c r="E63" s="38" t="s">
        <v>1032</v>
      </c>
      <c r="F63" s="34" t="s">
        <v>114</v>
      </c>
      <c r="G63" s="38" t="s">
        <v>1033</v>
      </c>
      <c r="H63" s="36">
        <v>2021.0</v>
      </c>
      <c r="I63" s="34" t="s">
        <v>1034</v>
      </c>
      <c r="J63" s="34" t="s">
        <v>55</v>
      </c>
      <c r="K63" s="34" t="s">
        <v>1035</v>
      </c>
      <c r="L63" s="34" t="s">
        <v>57</v>
      </c>
      <c r="M63" s="34" t="s">
        <v>114</v>
      </c>
      <c r="N63" s="34" t="s">
        <v>1007</v>
      </c>
      <c r="O63" s="34" t="s">
        <v>1036</v>
      </c>
      <c r="P63" s="34" t="s">
        <v>93</v>
      </c>
      <c r="Q63" s="34" t="s">
        <v>1037</v>
      </c>
      <c r="R63" s="34" t="s">
        <v>1038</v>
      </c>
      <c r="S63" s="34" t="s">
        <v>63</v>
      </c>
      <c r="T63" s="34" t="s">
        <v>536</v>
      </c>
      <c r="U63" s="34" t="s">
        <v>1039</v>
      </c>
      <c r="V63" s="34" t="s">
        <v>66</v>
      </c>
      <c r="W63" s="34" t="s">
        <v>1040</v>
      </c>
      <c r="X63" s="37" t="s">
        <v>1041</v>
      </c>
      <c r="Y63" s="34" t="s">
        <v>74</v>
      </c>
      <c r="Z63" s="34" t="s">
        <v>57</v>
      </c>
      <c r="AA63" s="34">
        <v>1997.0</v>
      </c>
      <c r="AB63" s="34">
        <v>2017.0</v>
      </c>
      <c r="AC63" s="34" t="s">
        <v>1042</v>
      </c>
      <c r="AD63" s="34" t="s">
        <v>1043</v>
      </c>
      <c r="AE63" s="34" t="s">
        <v>69</v>
      </c>
      <c r="AF63" s="34" t="s">
        <v>69</v>
      </c>
      <c r="AG63" s="34" t="s">
        <v>215</v>
      </c>
      <c r="AH63" s="34" t="s">
        <v>125</v>
      </c>
      <c r="AI63" s="34" t="s">
        <v>126</v>
      </c>
      <c r="AJ63" s="34" t="s">
        <v>107</v>
      </c>
      <c r="AK63" s="34" t="s">
        <v>1044</v>
      </c>
      <c r="AL63" s="34" t="s">
        <v>79</v>
      </c>
      <c r="AM63" s="34" t="s">
        <v>57</v>
      </c>
      <c r="AN63" s="34" t="s">
        <v>57</v>
      </c>
      <c r="AO63" s="39"/>
      <c r="AP63" s="34" t="s">
        <v>109</v>
      </c>
      <c r="AQ63" s="96"/>
      <c r="AR63" s="96"/>
      <c r="AS63" s="44"/>
    </row>
    <row r="64">
      <c r="A64" s="32">
        <v>128.0</v>
      </c>
      <c r="B64" s="33">
        <v>3.64026729E8</v>
      </c>
      <c r="C64" s="34" t="s">
        <v>1047</v>
      </c>
      <c r="D64" s="34" t="s">
        <v>1048</v>
      </c>
      <c r="E64" s="34" t="s">
        <v>1049</v>
      </c>
      <c r="F64" s="34" t="s">
        <v>114</v>
      </c>
      <c r="G64" s="34" t="s">
        <v>1050</v>
      </c>
      <c r="H64" s="36">
        <v>2017.0</v>
      </c>
      <c r="I64" s="34" t="s">
        <v>207</v>
      </c>
      <c r="J64" s="34" t="s">
        <v>55</v>
      </c>
      <c r="K64" s="34" t="s">
        <v>117</v>
      </c>
      <c r="L64" s="34" t="s">
        <v>57</v>
      </c>
      <c r="M64" s="34" t="s">
        <v>114</v>
      </c>
      <c r="N64" s="34" t="s">
        <v>118</v>
      </c>
      <c r="O64" s="34" t="s">
        <v>1051</v>
      </c>
      <c r="P64" s="34" t="s">
        <v>93</v>
      </c>
      <c r="Q64" s="34" t="s">
        <v>57</v>
      </c>
      <c r="R64" s="34" t="s">
        <v>57</v>
      </c>
      <c r="S64" s="34" t="s">
        <v>63</v>
      </c>
      <c r="T64" s="34" t="s">
        <v>1052</v>
      </c>
      <c r="U64" s="34" t="s">
        <v>1053</v>
      </c>
      <c r="V64" s="34" t="s">
        <v>99</v>
      </c>
      <c r="W64" s="34" t="s">
        <v>100</v>
      </c>
      <c r="X64" s="37" t="s">
        <v>100</v>
      </c>
      <c r="Y64" s="34" t="s">
        <v>69</v>
      </c>
      <c r="Z64" s="34" t="s">
        <v>1054</v>
      </c>
      <c r="AA64" s="34">
        <v>2013.0</v>
      </c>
      <c r="AB64" s="34">
        <v>2015.0</v>
      </c>
      <c r="AC64" s="34" t="s">
        <v>144</v>
      </c>
      <c r="AD64" s="34" t="s">
        <v>180</v>
      </c>
      <c r="AE64" s="34" t="s">
        <v>69</v>
      </c>
      <c r="AF64" s="34" t="s">
        <v>69</v>
      </c>
      <c r="AG64" s="34" t="s">
        <v>104</v>
      </c>
      <c r="AH64" s="34" t="s">
        <v>851</v>
      </c>
      <c r="AI64" s="34" t="s">
        <v>414</v>
      </c>
      <c r="AJ64" s="34" t="s">
        <v>107</v>
      </c>
      <c r="AK64" s="34" t="s">
        <v>1055</v>
      </c>
      <c r="AL64" s="34" t="s">
        <v>79</v>
      </c>
      <c r="AM64" s="34" t="s">
        <v>57</v>
      </c>
      <c r="AN64" s="34" t="s">
        <v>57</v>
      </c>
      <c r="AO64" s="39"/>
      <c r="AP64" s="34" t="s">
        <v>81</v>
      </c>
      <c r="AQ64" s="96"/>
      <c r="AR64" s="96"/>
      <c r="AS64" s="44"/>
    </row>
    <row r="65">
      <c r="A65" s="32">
        <v>129.0</v>
      </c>
      <c r="B65" s="33">
        <v>3.6402674E8</v>
      </c>
      <c r="C65" s="34" t="s">
        <v>1058</v>
      </c>
      <c r="D65" s="34" t="s">
        <v>1059</v>
      </c>
      <c r="E65" s="34" t="s">
        <v>1060</v>
      </c>
      <c r="F65" s="34" t="s">
        <v>859</v>
      </c>
      <c r="G65" s="34" t="s">
        <v>1061</v>
      </c>
      <c r="H65" s="36">
        <v>2020.0</v>
      </c>
      <c r="I65" s="34" t="s">
        <v>1062</v>
      </c>
      <c r="J65" s="34" t="s">
        <v>55</v>
      </c>
      <c r="K65" s="34" t="s">
        <v>1063</v>
      </c>
      <c r="L65" s="34" t="s">
        <v>57</v>
      </c>
      <c r="M65" s="34" t="s">
        <v>859</v>
      </c>
      <c r="N65" s="34" t="s">
        <v>862</v>
      </c>
      <c r="O65" s="34" t="s">
        <v>862</v>
      </c>
      <c r="P65" s="34" t="s">
        <v>93</v>
      </c>
      <c r="Q65" s="34" t="s">
        <v>57</v>
      </c>
      <c r="R65" s="34" t="s">
        <v>57</v>
      </c>
      <c r="S65" s="34" t="s">
        <v>63</v>
      </c>
      <c r="T65" s="34" t="s">
        <v>161</v>
      </c>
      <c r="U65" s="34" t="s">
        <v>1064</v>
      </c>
      <c r="V65" s="34" t="s">
        <v>99</v>
      </c>
      <c r="W65" s="34" t="s">
        <v>100</v>
      </c>
      <c r="X65" s="37" t="s">
        <v>100</v>
      </c>
      <c r="Y65" s="34" t="s">
        <v>69</v>
      </c>
      <c r="Z65" s="34" t="s">
        <v>1065</v>
      </c>
      <c r="AA65" s="34">
        <v>2018.0</v>
      </c>
      <c r="AB65" s="34">
        <v>2018.0</v>
      </c>
      <c r="AC65" s="34" t="s">
        <v>144</v>
      </c>
      <c r="AD65" s="34" t="s">
        <v>180</v>
      </c>
      <c r="AE65" s="34" t="s">
        <v>74</v>
      </c>
      <c r="AF65" s="34" t="s">
        <v>69</v>
      </c>
      <c r="AG65" s="34" t="s">
        <v>104</v>
      </c>
      <c r="AH65" s="34" t="s">
        <v>165</v>
      </c>
      <c r="AI65" s="34" t="s">
        <v>166</v>
      </c>
      <c r="AJ65" s="34" t="s">
        <v>166</v>
      </c>
      <c r="AK65" s="34" t="s">
        <v>1066</v>
      </c>
      <c r="AL65" s="34" t="s">
        <v>128</v>
      </c>
      <c r="AM65" s="34" t="s">
        <v>129</v>
      </c>
      <c r="AN65" s="34" t="s">
        <v>1067</v>
      </c>
      <c r="AO65" s="39"/>
      <c r="AP65" s="34" t="s">
        <v>81</v>
      </c>
      <c r="AQ65" s="96"/>
      <c r="AR65" s="96"/>
      <c r="AS65" s="44"/>
    </row>
    <row r="66">
      <c r="A66" s="32">
        <v>131.0</v>
      </c>
      <c r="B66" s="33">
        <v>3.64025902E8</v>
      </c>
      <c r="C66" s="34" t="s">
        <v>1070</v>
      </c>
      <c r="D66" s="34" t="s">
        <v>1071</v>
      </c>
      <c r="E66" s="34" t="s">
        <v>1072</v>
      </c>
      <c r="F66" s="34" t="s">
        <v>1073</v>
      </c>
      <c r="G66" s="34" t="s">
        <v>1074</v>
      </c>
      <c r="H66" s="36">
        <v>1992.0</v>
      </c>
      <c r="I66" s="34" t="s">
        <v>506</v>
      </c>
      <c r="J66" s="34" t="s">
        <v>55</v>
      </c>
      <c r="K66" s="34" t="s">
        <v>57</v>
      </c>
      <c r="L66" s="34" t="s">
        <v>57</v>
      </c>
      <c r="M66" s="34" t="s">
        <v>381</v>
      </c>
      <c r="N66" s="34" t="s">
        <v>1075</v>
      </c>
      <c r="O66" s="34" t="s">
        <v>1076</v>
      </c>
      <c r="P66" s="34" t="s">
        <v>93</v>
      </c>
      <c r="Q66" s="34" t="s">
        <v>57</v>
      </c>
      <c r="R66" s="34" t="s">
        <v>57</v>
      </c>
      <c r="S66" s="34" t="s">
        <v>96</v>
      </c>
      <c r="T66" s="34" t="s">
        <v>64</v>
      </c>
      <c r="U66" s="34" t="s">
        <v>1077</v>
      </c>
      <c r="V66" s="34" t="s">
        <v>99</v>
      </c>
      <c r="W66" s="34" t="s">
        <v>100</v>
      </c>
      <c r="X66" s="37" t="s">
        <v>100</v>
      </c>
      <c r="Y66" s="34" t="s">
        <v>74</v>
      </c>
      <c r="Z66" s="34" t="s">
        <v>57</v>
      </c>
      <c r="AA66" s="34">
        <v>1980.0</v>
      </c>
      <c r="AB66" s="34">
        <v>1986.0</v>
      </c>
      <c r="AC66" s="34" t="s">
        <v>214</v>
      </c>
      <c r="AD66" s="34" t="s">
        <v>144</v>
      </c>
      <c r="AE66" s="34" t="s">
        <v>69</v>
      </c>
      <c r="AF66" s="34" t="s">
        <v>74</v>
      </c>
      <c r="AG66" s="34" t="s">
        <v>215</v>
      </c>
      <c r="AH66" s="34" t="s">
        <v>105</v>
      </c>
      <c r="AI66" s="34" t="s">
        <v>166</v>
      </c>
      <c r="AJ66" s="34" t="s">
        <v>166</v>
      </c>
      <c r="AK66" s="34" t="s">
        <v>1078</v>
      </c>
      <c r="AL66" s="34" t="s">
        <v>79</v>
      </c>
      <c r="AM66" s="34" t="s">
        <v>57</v>
      </c>
      <c r="AN66" s="34" t="s">
        <v>57</v>
      </c>
      <c r="AO66" s="39"/>
      <c r="AP66" s="34" t="s">
        <v>184</v>
      </c>
      <c r="AQ66" s="96"/>
      <c r="AR66" s="96"/>
      <c r="AS66" s="44"/>
    </row>
    <row r="67">
      <c r="A67" s="32">
        <v>135.0</v>
      </c>
      <c r="B67" s="33">
        <v>3.64025911E8</v>
      </c>
      <c r="C67" s="34" t="s">
        <v>1081</v>
      </c>
      <c r="D67" s="34" t="s">
        <v>1082</v>
      </c>
      <c r="E67" s="38" t="s">
        <v>1083</v>
      </c>
      <c r="F67" s="34" t="s">
        <v>114</v>
      </c>
      <c r="G67" s="38" t="s">
        <v>1084</v>
      </c>
      <c r="H67" s="36">
        <v>2004.0</v>
      </c>
      <c r="I67" s="34" t="s">
        <v>1085</v>
      </c>
      <c r="J67" s="34" t="s">
        <v>55</v>
      </c>
      <c r="K67" s="34" t="s">
        <v>1086</v>
      </c>
      <c r="L67" s="34" t="s">
        <v>57</v>
      </c>
      <c r="M67" s="34" t="s">
        <v>114</v>
      </c>
      <c r="N67" s="34" t="s">
        <v>1087</v>
      </c>
      <c r="O67" s="34" t="s">
        <v>1088</v>
      </c>
      <c r="P67" s="34" t="s">
        <v>93</v>
      </c>
      <c r="Q67" s="34" t="s">
        <v>57</v>
      </c>
      <c r="R67" s="34" t="s">
        <v>57</v>
      </c>
      <c r="S67" s="34" t="s">
        <v>63</v>
      </c>
      <c r="T67" s="34" t="s">
        <v>1089</v>
      </c>
      <c r="U67" s="34" t="s">
        <v>1090</v>
      </c>
      <c r="V67" s="34" t="s">
        <v>99</v>
      </c>
      <c r="W67" s="34" t="s">
        <v>1091</v>
      </c>
      <c r="X67" s="37" t="s">
        <v>1092</v>
      </c>
      <c r="Y67" s="34" t="s">
        <v>74</v>
      </c>
      <c r="Z67" s="34" t="s">
        <v>57</v>
      </c>
      <c r="AA67" s="34">
        <v>2001.0</v>
      </c>
      <c r="AB67" s="34">
        <v>2002.0</v>
      </c>
      <c r="AC67" s="34" t="s">
        <v>57</v>
      </c>
      <c r="AD67" s="34" t="s">
        <v>57</v>
      </c>
      <c r="AE67" s="34" t="s">
        <v>69</v>
      </c>
      <c r="AF67" s="34" t="s">
        <v>69</v>
      </c>
      <c r="AG67" s="34" t="s">
        <v>215</v>
      </c>
      <c r="AH67" s="34" t="s">
        <v>770</v>
      </c>
      <c r="AI67" s="34" t="s">
        <v>126</v>
      </c>
      <c r="AJ67" s="34" t="s">
        <v>107</v>
      </c>
      <c r="AK67" s="34" t="s">
        <v>1093</v>
      </c>
      <c r="AL67" s="34" t="s">
        <v>128</v>
      </c>
      <c r="AM67" s="34" t="s">
        <v>895</v>
      </c>
      <c r="AN67" s="34" t="s">
        <v>1094</v>
      </c>
      <c r="AO67" s="39"/>
      <c r="AP67" s="34" t="s">
        <v>109</v>
      </c>
      <c r="AQ67" s="96"/>
      <c r="AR67" s="96"/>
      <c r="AS67" s="44"/>
    </row>
    <row r="68">
      <c r="A68" s="32">
        <v>136.0</v>
      </c>
      <c r="B68" s="33">
        <v>3.64025915E8</v>
      </c>
      <c r="C68" s="34" t="s">
        <v>1097</v>
      </c>
      <c r="D68" s="38" t="s">
        <v>1098</v>
      </c>
      <c r="E68" s="38" t="s">
        <v>1099</v>
      </c>
      <c r="F68" s="34" t="s">
        <v>114</v>
      </c>
      <c r="G68" s="38" t="s">
        <v>1100</v>
      </c>
      <c r="H68" s="36">
        <v>2011.0</v>
      </c>
      <c r="I68" s="34" t="s">
        <v>745</v>
      </c>
      <c r="J68" s="34" t="s">
        <v>55</v>
      </c>
      <c r="K68" s="34" t="s">
        <v>137</v>
      </c>
      <c r="L68" s="34" t="s">
        <v>57</v>
      </c>
      <c r="M68" s="34" t="s">
        <v>114</v>
      </c>
      <c r="N68" s="34" t="s">
        <v>191</v>
      </c>
      <c r="O68" s="34" t="s">
        <v>1101</v>
      </c>
      <c r="P68" s="34" t="s">
        <v>93</v>
      </c>
      <c r="Q68" s="34" t="s">
        <v>57</v>
      </c>
      <c r="R68" s="34" t="s">
        <v>57</v>
      </c>
      <c r="S68" s="34" t="s">
        <v>63</v>
      </c>
      <c r="T68" s="34" t="s">
        <v>210</v>
      </c>
      <c r="U68" s="34" t="s">
        <v>1102</v>
      </c>
      <c r="V68" s="34" t="s">
        <v>66</v>
      </c>
      <c r="W68" s="34" t="s">
        <v>1103</v>
      </c>
      <c r="X68" s="37" t="s">
        <v>1104</v>
      </c>
      <c r="Y68" s="34" t="s">
        <v>74</v>
      </c>
      <c r="Z68" s="34" t="s">
        <v>57</v>
      </c>
      <c r="AA68" s="34">
        <v>2008.0</v>
      </c>
      <c r="AB68" s="34">
        <v>2008.0</v>
      </c>
      <c r="AC68" s="34" t="s">
        <v>57</v>
      </c>
      <c r="AD68" s="34" t="s">
        <v>57</v>
      </c>
      <c r="AE68" s="34" t="s">
        <v>69</v>
      </c>
      <c r="AF68" s="34" t="s">
        <v>69</v>
      </c>
      <c r="AG68" s="34" t="s">
        <v>215</v>
      </c>
      <c r="AH68" s="34" t="s">
        <v>770</v>
      </c>
      <c r="AI68" s="34" t="s">
        <v>1105</v>
      </c>
      <c r="AJ68" s="34" t="s">
        <v>1105</v>
      </c>
      <c r="AK68" s="34" t="s">
        <v>1106</v>
      </c>
      <c r="AL68" s="34" t="s">
        <v>79</v>
      </c>
      <c r="AM68" s="34" t="s">
        <v>57</v>
      </c>
      <c r="AN68" s="34" t="s">
        <v>57</v>
      </c>
      <c r="AO68" s="39"/>
      <c r="AP68" s="34" t="s">
        <v>109</v>
      </c>
      <c r="AQ68" s="96"/>
      <c r="AR68" s="96"/>
      <c r="AS68" s="44"/>
    </row>
    <row r="69">
      <c r="A69" s="32">
        <v>137.0</v>
      </c>
      <c r="B69" s="33">
        <v>3.64025932E8</v>
      </c>
      <c r="C69" s="34" t="s">
        <v>1109</v>
      </c>
      <c r="D69" s="34" t="s">
        <v>1110</v>
      </c>
      <c r="E69" s="38" t="s">
        <v>1111</v>
      </c>
      <c r="F69" s="34" t="s">
        <v>992</v>
      </c>
      <c r="G69" s="38" t="s">
        <v>1112</v>
      </c>
      <c r="H69" s="36">
        <v>2016.0</v>
      </c>
      <c r="I69" s="34" t="s">
        <v>295</v>
      </c>
      <c r="J69" s="34" t="s">
        <v>55</v>
      </c>
      <c r="K69" s="34" t="s">
        <v>1113</v>
      </c>
      <c r="L69" s="34" t="s">
        <v>57</v>
      </c>
      <c r="M69" s="34" t="s">
        <v>992</v>
      </c>
      <c r="N69" s="34" t="s">
        <v>1114</v>
      </c>
      <c r="O69" s="34" t="s">
        <v>1115</v>
      </c>
      <c r="P69" s="34" t="s">
        <v>554</v>
      </c>
      <c r="Q69" s="34" t="s">
        <v>57</v>
      </c>
      <c r="R69" s="34" t="s">
        <v>57</v>
      </c>
      <c r="S69" s="34" t="s">
        <v>63</v>
      </c>
      <c r="T69" s="34" t="s">
        <v>1116</v>
      </c>
      <c r="U69" s="34" t="s">
        <v>1115</v>
      </c>
      <c r="V69" s="34" t="s">
        <v>66</v>
      </c>
      <c r="W69" s="34" t="s">
        <v>1117</v>
      </c>
      <c r="X69" s="37" t="s">
        <v>1118</v>
      </c>
      <c r="Y69" s="34" t="s">
        <v>74</v>
      </c>
      <c r="Z69" s="34" t="s">
        <v>57</v>
      </c>
      <c r="AA69" s="34">
        <v>2010.0</v>
      </c>
      <c r="AB69" s="34">
        <v>2013.0</v>
      </c>
      <c r="AC69" s="34" t="s">
        <v>72</v>
      </c>
      <c r="AD69" s="34" t="s">
        <v>542</v>
      </c>
      <c r="AE69" s="34" t="s">
        <v>69</v>
      </c>
      <c r="AF69" s="34" t="s">
        <v>69</v>
      </c>
      <c r="AG69" s="34" t="s">
        <v>215</v>
      </c>
      <c r="AH69" s="34" t="s">
        <v>604</v>
      </c>
      <c r="AI69" s="34" t="s">
        <v>126</v>
      </c>
      <c r="AJ69" s="34" t="s">
        <v>107</v>
      </c>
      <c r="AK69" s="34" t="s">
        <v>1119</v>
      </c>
      <c r="AL69" s="34" t="s">
        <v>79</v>
      </c>
      <c r="AM69" s="34" t="s">
        <v>57</v>
      </c>
      <c r="AN69" s="34" t="s">
        <v>57</v>
      </c>
      <c r="AO69" s="39"/>
      <c r="AP69" s="34" t="s">
        <v>109</v>
      </c>
      <c r="AQ69" s="96"/>
      <c r="AR69" s="96"/>
      <c r="AS69" s="44"/>
    </row>
    <row r="70">
      <c r="A70" s="32">
        <v>138.0</v>
      </c>
      <c r="B70" s="33">
        <v>3.64025937E8</v>
      </c>
      <c r="C70" s="34" t="s">
        <v>1121</v>
      </c>
      <c r="D70" s="34" t="s">
        <v>1122</v>
      </c>
      <c r="E70" s="38" t="s">
        <v>1123</v>
      </c>
      <c r="F70" s="34" t="s">
        <v>87</v>
      </c>
      <c r="G70" s="38" t="s">
        <v>1124</v>
      </c>
      <c r="H70" s="36">
        <v>1999.0</v>
      </c>
      <c r="I70" s="34" t="s">
        <v>1125</v>
      </c>
      <c r="J70" s="34" t="s">
        <v>55</v>
      </c>
      <c r="K70" s="34" t="s">
        <v>57</v>
      </c>
      <c r="L70" s="34" t="s">
        <v>1126</v>
      </c>
      <c r="M70" s="34" t="s">
        <v>87</v>
      </c>
      <c r="N70" s="34" t="s">
        <v>1127</v>
      </c>
      <c r="O70" s="34" t="s">
        <v>1128</v>
      </c>
      <c r="P70" s="34" t="s">
        <v>93</v>
      </c>
      <c r="Q70" s="34" t="s">
        <v>57</v>
      </c>
      <c r="R70" s="34" t="s">
        <v>57</v>
      </c>
      <c r="S70" s="34" t="s">
        <v>63</v>
      </c>
      <c r="T70" s="34" t="s">
        <v>161</v>
      </c>
      <c r="U70" s="34" t="s">
        <v>1129</v>
      </c>
      <c r="V70" s="34" t="s">
        <v>99</v>
      </c>
      <c r="W70" s="34" t="s">
        <v>100</v>
      </c>
      <c r="X70" s="37" t="s">
        <v>100</v>
      </c>
      <c r="Y70" s="34" t="s">
        <v>74</v>
      </c>
      <c r="Z70" s="34" t="s">
        <v>57</v>
      </c>
      <c r="AA70" s="34">
        <v>1998.0</v>
      </c>
      <c r="AB70" s="34">
        <v>1998.0</v>
      </c>
      <c r="AC70" s="34" t="s">
        <v>57</v>
      </c>
      <c r="AD70" s="34" t="s">
        <v>57</v>
      </c>
      <c r="AE70" s="34" t="s">
        <v>57</v>
      </c>
      <c r="AF70" s="34" t="s">
        <v>74</v>
      </c>
      <c r="AG70" s="34" t="s">
        <v>104</v>
      </c>
      <c r="AH70" s="34" t="s">
        <v>105</v>
      </c>
      <c r="AI70" s="34" t="s">
        <v>106</v>
      </c>
      <c r="AJ70" s="34" t="s">
        <v>107</v>
      </c>
      <c r="AK70" s="34" t="s">
        <v>1130</v>
      </c>
      <c r="AL70" s="34" t="s">
        <v>128</v>
      </c>
      <c r="AM70" s="34" t="s">
        <v>895</v>
      </c>
      <c r="AN70" s="38" t="s">
        <v>1131</v>
      </c>
      <c r="AO70" s="39"/>
      <c r="AP70" s="34" t="s">
        <v>109</v>
      </c>
      <c r="AQ70" s="96"/>
      <c r="AR70" s="96"/>
      <c r="AS70" s="44"/>
    </row>
    <row r="71">
      <c r="A71" s="32">
        <v>139.0</v>
      </c>
      <c r="B71" s="33">
        <v>3.64025977E8</v>
      </c>
      <c r="C71" s="34" t="s">
        <v>1134</v>
      </c>
      <c r="D71" s="34" t="s">
        <v>1135</v>
      </c>
      <c r="E71" s="38" t="s">
        <v>1136</v>
      </c>
      <c r="F71" s="34" t="s">
        <v>381</v>
      </c>
      <c r="G71" s="38" t="s">
        <v>1137</v>
      </c>
      <c r="H71" s="36">
        <v>2017.0</v>
      </c>
      <c r="I71" s="34" t="s">
        <v>1138</v>
      </c>
      <c r="J71" s="34" t="s">
        <v>55</v>
      </c>
      <c r="K71" s="34" t="s">
        <v>1139</v>
      </c>
      <c r="L71" s="34" t="s">
        <v>57</v>
      </c>
      <c r="M71" s="34" t="s">
        <v>381</v>
      </c>
      <c r="N71" s="34" t="s">
        <v>1140</v>
      </c>
      <c r="O71" s="34" t="s">
        <v>1141</v>
      </c>
      <c r="P71" s="34" t="s">
        <v>93</v>
      </c>
      <c r="Q71" s="34" t="s">
        <v>1142</v>
      </c>
      <c r="R71" s="34" t="s">
        <v>1143</v>
      </c>
      <c r="S71" s="34" t="s">
        <v>96</v>
      </c>
      <c r="T71" s="34" t="s">
        <v>64</v>
      </c>
      <c r="U71" s="34" t="s">
        <v>1144</v>
      </c>
      <c r="V71" s="34" t="s">
        <v>66</v>
      </c>
      <c r="W71" s="34" t="s">
        <v>1145</v>
      </c>
      <c r="X71" s="37" t="s">
        <v>1146</v>
      </c>
      <c r="Y71" s="34" t="s">
        <v>74</v>
      </c>
      <c r="Z71" s="34" t="s">
        <v>57</v>
      </c>
      <c r="AA71" s="34">
        <v>2014.0</v>
      </c>
      <c r="AB71" s="34">
        <v>2014.0</v>
      </c>
      <c r="AC71" s="34" t="s">
        <v>103</v>
      </c>
      <c r="AD71" s="34" t="s">
        <v>180</v>
      </c>
      <c r="AE71" s="34" t="s">
        <v>69</v>
      </c>
      <c r="AF71" s="34" t="s">
        <v>74</v>
      </c>
      <c r="AG71" s="34" t="s">
        <v>215</v>
      </c>
      <c r="AH71" s="34" t="s">
        <v>770</v>
      </c>
      <c r="AI71" s="34" t="s">
        <v>77</v>
      </c>
      <c r="AJ71" s="34" t="s">
        <v>77</v>
      </c>
      <c r="AK71" s="34" t="s">
        <v>1147</v>
      </c>
      <c r="AL71" s="34" t="s">
        <v>79</v>
      </c>
      <c r="AM71" s="34" t="s">
        <v>57</v>
      </c>
      <c r="AN71" s="34" t="s">
        <v>57</v>
      </c>
      <c r="AO71" s="39"/>
      <c r="AP71" s="34" t="s">
        <v>109</v>
      </c>
      <c r="AQ71" s="96"/>
      <c r="AR71" s="96"/>
      <c r="AS71" s="44"/>
    </row>
    <row r="72">
      <c r="A72" s="32">
        <v>144.0</v>
      </c>
      <c r="B72" s="33">
        <v>3.64026001E8</v>
      </c>
      <c r="C72" s="34" t="s">
        <v>1150</v>
      </c>
      <c r="D72" s="34" t="s">
        <v>1151</v>
      </c>
      <c r="E72" s="38" t="s">
        <v>1152</v>
      </c>
      <c r="F72" s="34" t="s">
        <v>760</v>
      </c>
      <c r="G72" s="38" t="s">
        <v>1153</v>
      </c>
      <c r="H72" s="36">
        <v>1979.0</v>
      </c>
      <c r="I72" s="34" t="s">
        <v>1154</v>
      </c>
      <c r="J72" s="34" t="s">
        <v>55</v>
      </c>
      <c r="K72" s="34" t="s">
        <v>57</v>
      </c>
      <c r="L72" s="34" t="s">
        <v>57</v>
      </c>
      <c r="M72" s="34" t="s">
        <v>760</v>
      </c>
      <c r="N72" s="34" t="s">
        <v>1155</v>
      </c>
      <c r="O72" s="34" t="s">
        <v>1156</v>
      </c>
      <c r="P72" s="34" t="s">
        <v>93</v>
      </c>
      <c r="Q72" s="34" t="s">
        <v>1157</v>
      </c>
      <c r="R72" s="34" t="s">
        <v>1158</v>
      </c>
      <c r="S72" s="34" t="s">
        <v>63</v>
      </c>
      <c r="T72" s="34" t="s">
        <v>536</v>
      </c>
      <c r="U72" s="34" t="s">
        <v>1159</v>
      </c>
      <c r="V72" s="34" t="s">
        <v>99</v>
      </c>
      <c r="W72" s="34" t="s">
        <v>100</v>
      </c>
      <c r="X72" s="37" t="s">
        <v>100</v>
      </c>
      <c r="Y72" s="34" t="s">
        <v>74</v>
      </c>
      <c r="Z72" s="34" t="s">
        <v>57</v>
      </c>
      <c r="AA72" s="34" t="s">
        <v>57</v>
      </c>
      <c r="AB72" s="34" t="s">
        <v>57</v>
      </c>
      <c r="AC72" s="34" t="s">
        <v>57</v>
      </c>
      <c r="AD72" s="34" t="s">
        <v>57</v>
      </c>
      <c r="AE72" s="34" t="s">
        <v>57</v>
      </c>
      <c r="AF72" s="34" t="s">
        <v>69</v>
      </c>
      <c r="AG72" s="34" t="s">
        <v>104</v>
      </c>
      <c r="AH72" s="34" t="s">
        <v>105</v>
      </c>
      <c r="AI72" s="34" t="s">
        <v>336</v>
      </c>
      <c r="AJ72" s="34" t="s">
        <v>336</v>
      </c>
      <c r="AK72" s="34" t="s">
        <v>1160</v>
      </c>
      <c r="AL72" s="34" t="s">
        <v>128</v>
      </c>
      <c r="AM72" s="34" t="s">
        <v>129</v>
      </c>
      <c r="AN72" s="34" t="s">
        <v>1161</v>
      </c>
      <c r="AO72" s="39"/>
      <c r="AP72" s="34" t="s">
        <v>109</v>
      </c>
      <c r="AQ72" s="96"/>
      <c r="AR72" s="96"/>
      <c r="AS72" s="44"/>
    </row>
    <row r="73">
      <c r="A73" s="32">
        <v>146.0</v>
      </c>
      <c r="B73" s="33">
        <v>3.64026985E8</v>
      </c>
      <c r="C73" s="34" t="s">
        <v>1163</v>
      </c>
      <c r="D73" s="34" t="s">
        <v>1164</v>
      </c>
      <c r="E73" s="34" t="s">
        <v>1165</v>
      </c>
      <c r="F73" s="34" t="s">
        <v>114</v>
      </c>
      <c r="G73" s="34" t="s">
        <v>1166</v>
      </c>
      <c r="H73" s="36">
        <v>2006.0</v>
      </c>
      <c r="I73" s="34" t="s">
        <v>1167</v>
      </c>
      <c r="J73" s="34" t="s">
        <v>55</v>
      </c>
      <c r="K73" s="34" t="s">
        <v>1168</v>
      </c>
      <c r="L73" s="34" t="s">
        <v>57</v>
      </c>
      <c r="M73" s="34" t="s">
        <v>114</v>
      </c>
      <c r="N73" s="34" t="s">
        <v>715</v>
      </c>
      <c r="O73" s="34" t="s">
        <v>1169</v>
      </c>
      <c r="P73" s="34" t="s">
        <v>93</v>
      </c>
      <c r="Q73" s="34" t="s">
        <v>1170</v>
      </c>
      <c r="R73" s="34" t="s">
        <v>1171</v>
      </c>
      <c r="S73" s="34" t="s">
        <v>63</v>
      </c>
      <c r="T73" s="34" t="s">
        <v>1172</v>
      </c>
      <c r="U73" s="34" t="s">
        <v>1173</v>
      </c>
      <c r="V73" s="34" t="s">
        <v>99</v>
      </c>
      <c r="W73" s="34" t="s">
        <v>100</v>
      </c>
      <c r="X73" s="37" t="s">
        <v>100</v>
      </c>
      <c r="Y73" s="34" t="s">
        <v>74</v>
      </c>
      <c r="Z73" s="34" t="s">
        <v>57</v>
      </c>
      <c r="AA73" s="34">
        <v>2001.0</v>
      </c>
      <c r="AB73" s="34">
        <v>2001.0</v>
      </c>
      <c r="AC73" s="34" t="s">
        <v>103</v>
      </c>
      <c r="AD73" s="34" t="s">
        <v>72</v>
      </c>
      <c r="AE73" s="34" t="s">
        <v>69</v>
      </c>
      <c r="AF73" s="34" t="s">
        <v>69</v>
      </c>
      <c r="AG73" s="34" t="s">
        <v>104</v>
      </c>
      <c r="AH73" s="34" t="s">
        <v>105</v>
      </c>
      <c r="AI73" s="34" t="s">
        <v>1174</v>
      </c>
      <c r="AJ73" s="34" t="s">
        <v>147</v>
      </c>
      <c r="AK73" s="34" t="s">
        <v>1175</v>
      </c>
      <c r="AL73" s="34" t="s">
        <v>128</v>
      </c>
      <c r="AM73" s="34" t="s">
        <v>129</v>
      </c>
      <c r="AN73" s="34" t="s">
        <v>1176</v>
      </c>
      <c r="AO73" s="39"/>
      <c r="AP73" s="34" t="s">
        <v>184</v>
      </c>
      <c r="AQ73" s="96"/>
      <c r="AR73" s="96"/>
      <c r="AS73" s="44"/>
    </row>
    <row r="74">
      <c r="A74" s="32">
        <v>147.0</v>
      </c>
      <c r="B74" s="33">
        <v>3.6402698E8</v>
      </c>
      <c r="C74" s="34" t="s">
        <v>1179</v>
      </c>
      <c r="D74" s="34" t="s">
        <v>1180</v>
      </c>
      <c r="E74" s="34" t="s">
        <v>1181</v>
      </c>
      <c r="F74" s="34" t="s">
        <v>114</v>
      </c>
      <c r="G74" s="34" t="s">
        <v>1182</v>
      </c>
      <c r="H74" s="36">
        <v>2020.0</v>
      </c>
      <c r="I74" s="34" t="s">
        <v>1183</v>
      </c>
      <c r="J74" s="34" t="s">
        <v>55</v>
      </c>
      <c r="K74" s="34" t="s">
        <v>1184</v>
      </c>
      <c r="L74" s="34" t="s">
        <v>57</v>
      </c>
      <c r="M74" s="34" t="s">
        <v>114</v>
      </c>
      <c r="N74" s="34" t="s">
        <v>1185</v>
      </c>
      <c r="O74" s="34" t="s">
        <v>1186</v>
      </c>
      <c r="P74" s="34" t="s">
        <v>93</v>
      </c>
      <c r="Q74" s="34" t="s">
        <v>57</v>
      </c>
      <c r="R74" s="34" t="s">
        <v>57</v>
      </c>
      <c r="S74" s="34" t="s">
        <v>63</v>
      </c>
      <c r="T74" s="34" t="s">
        <v>1187</v>
      </c>
      <c r="U74" s="34" t="s">
        <v>1188</v>
      </c>
      <c r="V74" s="34" t="s">
        <v>99</v>
      </c>
      <c r="W74" s="34" t="s">
        <v>100</v>
      </c>
      <c r="X74" s="37" t="s">
        <v>100</v>
      </c>
      <c r="Y74" s="34" t="s">
        <v>69</v>
      </c>
      <c r="Z74" s="34" t="s">
        <v>1189</v>
      </c>
      <c r="AA74" s="34">
        <v>2014.0</v>
      </c>
      <c r="AB74" s="34">
        <v>2016.0</v>
      </c>
      <c r="AC74" s="34" t="s">
        <v>264</v>
      </c>
      <c r="AD74" s="34" t="s">
        <v>214</v>
      </c>
      <c r="AE74" s="34" t="s">
        <v>69</v>
      </c>
      <c r="AF74" s="34" t="s">
        <v>69</v>
      </c>
      <c r="AG74" s="34" t="s">
        <v>104</v>
      </c>
      <c r="AH74" s="34" t="s">
        <v>907</v>
      </c>
      <c r="AI74" s="34" t="s">
        <v>1190</v>
      </c>
      <c r="AJ74" s="34" t="s">
        <v>147</v>
      </c>
      <c r="AK74" s="34" t="s">
        <v>1191</v>
      </c>
      <c r="AL74" s="34" t="s">
        <v>128</v>
      </c>
      <c r="AM74" s="34" t="s">
        <v>129</v>
      </c>
      <c r="AN74" s="34" t="s">
        <v>1192</v>
      </c>
      <c r="AO74" s="39"/>
      <c r="AP74" s="34" t="s">
        <v>184</v>
      </c>
      <c r="AQ74" s="96"/>
      <c r="AR74" s="96"/>
      <c r="AS74" s="44"/>
    </row>
    <row r="75">
      <c r="A75" s="32">
        <v>148.0</v>
      </c>
      <c r="B75" s="33">
        <v>3.64026962E8</v>
      </c>
      <c r="C75" s="34" t="s">
        <v>1195</v>
      </c>
      <c r="D75" s="38" t="s">
        <v>1196</v>
      </c>
      <c r="E75" s="34" t="s">
        <v>1197</v>
      </c>
      <c r="F75" s="34" t="s">
        <v>114</v>
      </c>
      <c r="G75" s="34" t="s">
        <v>1198</v>
      </c>
      <c r="H75" s="36">
        <v>1986.0</v>
      </c>
      <c r="I75" s="34" t="s">
        <v>943</v>
      </c>
      <c r="J75" s="34" t="s">
        <v>55</v>
      </c>
      <c r="K75" s="34" t="s">
        <v>57</v>
      </c>
      <c r="L75" s="34" t="s">
        <v>1199</v>
      </c>
      <c r="M75" s="34" t="s">
        <v>114</v>
      </c>
      <c r="N75" s="34" t="s">
        <v>1200</v>
      </c>
      <c r="O75" s="34" t="s">
        <v>1201</v>
      </c>
      <c r="P75" s="34" t="s">
        <v>93</v>
      </c>
      <c r="Q75" s="34" t="s">
        <v>57</v>
      </c>
      <c r="R75" s="34" t="s">
        <v>57</v>
      </c>
      <c r="S75" s="34" t="s">
        <v>96</v>
      </c>
      <c r="T75" s="34" t="s">
        <v>64</v>
      </c>
      <c r="U75" s="34" t="s">
        <v>1202</v>
      </c>
      <c r="V75" s="34" t="s">
        <v>99</v>
      </c>
      <c r="W75" s="34" t="s">
        <v>100</v>
      </c>
      <c r="X75" s="37" t="s">
        <v>100</v>
      </c>
      <c r="Y75" s="34" t="s">
        <v>74</v>
      </c>
      <c r="Z75" s="34" t="s">
        <v>57</v>
      </c>
      <c r="AA75" s="34">
        <v>1975.0</v>
      </c>
      <c r="AB75" s="34">
        <v>1979.0</v>
      </c>
      <c r="AC75" s="34" t="s">
        <v>57</v>
      </c>
      <c r="AD75" s="34" t="s">
        <v>57</v>
      </c>
      <c r="AE75" s="34" t="s">
        <v>69</v>
      </c>
      <c r="AF75" s="34" t="s">
        <v>69</v>
      </c>
      <c r="AG75" s="34" t="s">
        <v>104</v>
      </c>
      <c r="AH75" s="34" t="s">
        <v>105</v>
      </c>
      <c r="AI75" s="34" t="s">
        <v>336</v>
      </c>
      <c r="AJ75" s="34" t="s">
        <v>336</v>
      </c>
      <c r="AK75" s="34" t="s">
        <v>1203</v>
      </c>
      <c r="AL75" s="34" t="s">
        <v>128</v>
      </c>
      <c r="AM75" s="34" t="s">
        <v>129</v>
      </c>
      <c r="AN75" s="34" t="s">
        <v>1204</v>
      </c>
      <c r="AO75" s="39"/>
      <c r="AP75" s="34" t="s">
        <v>184</v>
      </c>
      <c r="AQ75" s="96"/>
      <c r="AR75" s="96"/>
      <c r="AS75" s="44"/>
    </row>
    <row r="76">
      <c r="A76" s="32">
        <v>149.0</v>
      </c>
      <c r="B76" s="33">
        <v>3.64026957E8</v>
      </c>
      <c r="C76" s="34" t="s">
        <v>1207</v>
      </c>
      <c r="D76" s="34" t="s">
        <v>1208</v>
      </c>
      <c r="E76" s="34" t="s">
        <v>1209</v>
      </c>
      <c r="F76" s="34" t="s">
        <v>114</v>
      </c>
      <c r="G76" s="34" t="s">
        <v>1210</v>
      </c>
      <c r="H76" s="36">
        <v>2020.0</v>
      </c>
      <c r="I76" s="34" t="s">
        <v>1183</v>
      </c>
      <c r="J76" s="34" t="s">
        <v>55</v>
      </c>
      <c r="K76" s="34" t="s">
        <v>1211</v>
      </c>
      <c r="L76" s="34" t="s">
        <v>57</v>
      </c>
      <c r="M76" s="34" t="s">
        <v>114</v>
      </c>
      <c r="N76" s="34" t="s">
        <v>1212</v>
      </c>
      <c r="O76" s="34" t="s">
        <v>1213</v>
      </c>
      <c r="P76" s="34" t="s">
        <v>93</v>
      </c>
      <c r="Q76" s="34" t="s">
        <v>57</v>
      </c>
      <c r="R76" s="34" t="s">
        <v>57</v>
      </c>
      <c r="S76" s="34" t="s">
        <v>63</v>
      </c>
      <c r="T76" s="34" t="s">
        <v>64</v>
      </c>
      <c r="U76" s="34" t="s">
        <v>1214</v>
      </c>
      <c r="V76" s="34" t="s">
        <v>99</v>
      </c>
      <c r="W76" s="34" t="s">
        <v>100</v>
      </c>
      <c r="X76" s="37" t="s">
        <v>100</v>
      </c>
      <c r="Y76" s="34" t="s">
        <v>69</v>
      </c>
      <c r="Z76" s="34" t="s">
        <v>1215</v>
      </c>
      <c r="AA76" s="34">
        <v>2017.0</v>
      </c>
      <c r="AB76" s="34">
        <v>2017.0</v>
      </c>
      <c r="AC76" s="34" t="s">
        <v>102</v>
      </c>
      <c r="AD76" s="34" t="s">
        <v>692</v>
      </c>
      <c r="AE76" s="34" t="s">
        <v>69</v>
      </c>
      <c r="AF76" s="34" t="s">
        <v>69</v>
      </c>
      <c r="AG76" s="34" t="s">
        <v>104</v>
      </c>
      <c r="AH76" s="34" t="s">
        <v>105</v>
      </c>
      <c r="AI76" s="34" t="s">
        <v>1216</v>
      </c>
      <c r="AJ76" s="34" t="s">
        <v>107</v>
      </c>
      <c r="AK76" s="34" t="s">
        <v>1217</v>
      </c>
      <c r="AL76" s="34" t="s">
        <v>128</v>
      </c>
      <c r="AM76" s="34" t="s">
        <v>374</v>
      </c>
      <c r="AN76" s="34" t="s">
        <v>1218</v>
      </c>
      <c r="AO76" s="39"/>
      <c r="AP76" s="34" t="s">
        <v>184</v>
      </c>
      <c r="AQ76" s="96"/>
      <c r="AR76" s="96"/>
      <c r="AS76" s="44"/>
    </row>
    <row r="77">
      <c r="A77" s="32">
        <v>150.0</v>
      </c>
      <c r="B77" s="33">
        <v>3.64026955E8</v>
      </c>
      <c r="C77" s="34" t="s">
        <v>1221</v>
      </c>
      <c r="D77" s="34" t="s">
        <v>1222</v>
      </c>
      <c r="E77" s="34" t="s">
        <v>1223</v>
      </c>
      <c r="F77" s="34" t="s">
        <v>1224</v>
      </c>
      <c r="G77" s="34" t="s">
        <v>1225</v>
      </c>
      <c r="H77" s="36">
        <v>2011.0</v>
      </c>
      <c r="I77" s="34" t="s">
        <v>1226</v>
      </c>
      <c r="J77" s="34" t="s">
        <v>55</v>
      </c>
      <c r="K77" s="34" t="s">
        <v>1227</v>
      </c>
      <c r="L77" s="34" t="s">
        <v>57</v>
      </c>
      <c r="M77" s="34" t="s">
        <v>1224</v>
      </c>
      <c r="N77" s="34" t="s">
        <v>1228</v>
      </c>
      <c r="O77" s="34" t="s">
        <v>1229</v>
      </c>
      <c r="P77" s="34" t="s">
        <v>93</v>
      </c>
      <c r="Q77" s="34" t="s">
        <v>57</v>
      </c>
      <c r="R77" s="34" t="s">
        <v>57</v>
      </c>
      <c r="S77" s="34" t="s">
        <v>96</v>
      </c>
      <c r="T77" s="34" t="s">
        <v>366</v>
      </c>
      <c r="U77" s="34" t="s">
        <v>1230</v>
      </c>
      <c r="V77" s="34" t="s">
        <v>99</v>
      </c>
      <c r="W77" s="34" t="s">
        <v>100</v>
      </c>
      <c r="X77" s="37" t="s">
        <v>100</v>
      </c>
      <c r="Y77" s="34" t="s">
        <v>74</v>
      </c>
      <c r="Z77" s="34" t="s">
        <v>57</v>
      </c>
      <c r="AA77" s="34" t="s">
        <v>57</v>
      </c>
      <c r="AB77" s="34" t="s">
        <v>57</v>
      </c>
      <c r="AC77" s="34" t="s">
        <v>57</v>
      </c>
      <c r="AD77" s="34" t="s">
        <v>57</v>
      </c>
      <c r="AE77" s="34" t="s">
        <v>74</v>
      </c>
      <c r="AF77" s="34" t="s">
        <v>69</v>
      </c>
      <c r="AG77" s="34" t="s">
        <v>104</v>
      </c>
      <c r="AH77" s="34" t="s">
        <v>105</v>
      </c>
      <c r="AI77" s="34" t="s">
        <v>1231</v>
      </c>
      <c r="AJ77" s="34" t="s">
        <v>107</v>
      </c>
      <c r="AK77" s="34" t="s">
        <v>1232</v>
      </c>
      <c r="AL77" s="34" t="s">
        <v>79</v>
      </c>
      <c r="AM77" s="34" t="s">
        <v>57</v>
      </c>
      <c r="AN77" s="34" t="s">
        <v>57</v>
      </c>
      <c r="AO77" s="39"/>
      <c r="AP77" s="34" t="s">
        <v>184</v>
      </c>
      <c r="AQ77" s="96"/>
      <c r="AR77" s="96"/>
      <c r="AS77" s="44"/>
    </row>
    <row r="78">
      <c r="A78" s="32">
        <v>151.0</v>
      </c>
      <c r="B78" s="33">
        <v>3.64026931E8</v>
      </c>
      <c r="C78" s="34" t="s">
        <v>1233</v>
      </c>
      <c r="D78" s="34" t="s">
        <v>1234</v>
      </c>
      <c r="E78" s="34" t="s">
        <v>1235</v>
      </c>
      <c r="F78" s="34" t="s">
        <v>381</v>
      </c>
      <c r="G78" s="34" t="s">
        <v>1236</v>
      </c>
      <c r="H78" s="36">
        <v>2015.0</v>
      </c>
      <c r="I78" s="34" t="s">
        <v>1237</v>
      </c>
      <c r="J78" s="34" t="s">
        <v>55</v>
      </c>
      <c r="K78" s="34" t="s">
        <v>1238</v>
      </c>
      <c r="L78" s="34" t="s">
        <v>57</v>
      </c>
      <c r="M78" s="34" t="s">
        <v>381</v>
      </c>
      <c r="N78" s="34" t="s">
        <v>1239</v>
      </c>
      <c r="O78" s="34" t="s">
        <v>1240</v>
      </c>
      <c r="P78" s="34" t="s">
        <v>93</v>
      </c>
      <c r="Q78" s="34" t="s">
        <v>57</v>
      </c>
      <c r="R78" s="34" t="s">
        <v>57</v>
      </c>
      <c r="S78" s="34" t="s">
        <v>63</v>
      </c>
      <c r="T78" s="34" t="s">
        <v>64</v>
      </c>
      <c r="U78" s="34" t="s">
        <v>1241</v>
      </c>
      <c r="V78" s="34" t="s">
        <v>99</v>
      </c>
      <c r="W78" s="34" t="s">
        <v>100</v>
      </c>
      <c r="X78" s="37" t="s">
        <v>100</v>
      </c>
      <c r="Y78" s="34" t="s">
        <v>74</v>
      </c>
      <c r="Z78" s="34" t="s">
        <v>57</v>
      </c>
      <c r="AA78" s="34">
        <v>2008.0</v>
      </c>
      <c r="AB78" s="34">
        <v>2008.0</v>
      </c>
      <c r="AC78" s="34" t="s">
        <v>214</v>
      </c>
      <c r="AD78" s="34" t="s">
        <v>72</v>
      </c>
      <c r="AE78" s="34" t="s">
        <v>74</v>
      </c>
      <c r="AF78" s="34" t="s">
        <v>69</v>
      </c>
      <c r="AG78" s="34" t="s">
        <v>104</v>
      </c>
      <c r="AH78" s="34" t="s">
        <v>105</v>
      </c>
      <c r="AI78" s="34" t="s">
        <v>336</v>
      </c>
      <c r="AJ78" s="34" t="s">
        <v>336</v>
      </c>
      <c r="AK78" s="34" t="s">
        <v>1242</v>
      </c>
      <c r="AL78" s="34" t="s">
        <v>128</v>
      </c>
      <c r="AM78" s="34" t="s">
        <v>129</v>
      </c>
      <c r="AN78" s="34" t="s">
        <v>1243</v>
      </c>
      <c r="AO78" s="39"/>
      <c r="AP78" s="34" t="s">
        <v>184</v>
      </c>
      <c r="AQ78" s="96"/>
      <c r="AR78" s="96"/>
      <c r="AS78" s="44"/>
    </row>
    <row r="79">
      <c r="A79" s="32">
        <v>152.0</v>
      </c>
      <c r="B79" s="33">
        <v>3.64026008E8</v>
      </c>
      <c r="C79" s="34" t="s">
        <v>1246</v>
      </c>
      <c r="D79" s="34" t="s">
        <v>1247</v>
      </c>
      <c r="E79" s="38" t="s">
        <v>1248</v>
      </c>
      <c r="F79" s="34" t="s">
        <v>760</v>
      </c>
      <c r="G79" s="34" t="s">
        <v>1249</v>
      </c>
      <c r="H79" s="36">
        <v>2008.0</v>
      </c>
      <c r="I79" s="34" t="s">
        <v>1250</v>
      </c>
      <c r="J79" s="34" t="s">
        <v>55</v>
      </c>
      <c r="K79" s="34" t="s">
        <v>57</v>
      </c>
      <c r="L79" s="34" t="s">
        <v>57</v>
      </c>
      <c r="M79" s="34" t="s">
        <v>760</v>
      </c>
      <c r="N79" s="34" t="s">
        <v>1251</v>
      </c>
      <c r="O79" s="34" t="s">
        <v>1252</v>
      </c>
      <c r="P79" s="34" t="s">
        <v>93</v>
      </c>
      <c r="Q79" s="34" t="s">
        <v>57</v>
      </c>
      <c r="R79" s="34" t="s">
        <v>57</v>
      </c>
      <c r="S79" s="34" t="s">
        <v>63</v>
      </c>
      <c r="T79" s="34" t="s">
        <v>64</v>
      </c>
      <c r="U79" s="34" t="s">
        <v>1253</v>
      </c>
      <c r="V79" s="34" t="s">
        <v>66</v>
      </c>
      <c r="W79" s="34" t="s">
        <v>1254</v>
      </c>
      <c r="X79" s="37" t="s">
        <v>1255</v>
      </c>
      <c r="Y79" s="34" t="s">
        <v>69</v>
      </c>
      <c r="Z79" s="34" t="s">
        <v>1256</v>
      </c>
      <c r="AA79" s="34">
        <v>2005.0</v>
      </c>
      <c r="AB79" s="34">
        <v>2007.0</v>
      </c>
      <c r="AC79" s="34" t="s">
        <v>692</v>
      </c>
      <c r="AD79" s="34" t="s">
        <v>214</v>
      </c>
      <c r="AE79" s="34" t="s">
        <v>69</v>
      </c>
      <c r="AF79" s="34" t="s">
        <v>74</v>
      </c>
      <c r="AG79" s="34" t="s">
        <v>215</v>
      </c>
      <c r="AH79" s="34" t="s">
        <v>105</v>
      </c>
      <c r="AI79" s="34" t="s">
        <v>166</v>
      </c>
      <c r="AJ79" s="34" t="s">
        <v>166</v>
      </c>
      <c r="AK79" s="34" t="s">
        <v>1257</v>
      </c>
      <c r="AL79" s="34" t="s">
        <v>79</v>
      </c>
      <c r="AM79" s="34" t="s">
        <v>57</v>
      </c>
      <c r="AN79" s="34" t="s">
        <v>57</v>
      </c>
      <c r="AO79" s="39"/>
      <c r="AP79" s="34" t="s">
        <v>109</v>
      </c>
      <c r="AQ79" s="96"/>
      <c r="AR79" s="96"/>
      <c r="AS79" s="44"/>
    </row>
    <row r="80">
      <c r="A80" s="32">
        <v>153.0</v>
      </c>
      <c r="B80" s="33">
        <v>3.64026009E8</v>
      </c>
      <c r="C80" s="34" t="s">
        <v>1259</v>
      </c>
      <c r="D80" s="34" t="s">
        <v>1260</v>
      </c>
      <c r="E80" s="38" t="s">
        <v>1261</v>
      </c>
      <c r="F80" s="34" t="s">
        <v>273</v>
      </c>
      <c r="G80" s="38" t="s">
        <v>1262</v>
      </c>
      <c r="H80" s="36">
        <v>2018.0</v>
      </c>
      <c r="I80" s="34" t="s">
        <v>156</v>
      </c>
      <c r="J80" s="34" t="s">
        <v>55</v>
      </c>
      <c r="K80" s="34" t="s">
        <v>1263</v>
      </c>
      <c r="L80" s="34" t="s">
        <v>57</v>
      </c>
      <c r="M80" s="34" t="s">
        <v>273</v>
      </c>
      <c r="N80" s="34" t="s">
        <v>1022</v>
      </c>
      <c r="O80" s="34" t="s">
        <v>1264</v>
      </c>
      <c r="P80" s="34" t="s">
        <v>93</v>
      </c>
      <c r="Q80" s="34" t="s">
        <v>57</v>
      </c>
      <c r="R80" s="34" t="s">
        <v>57</v>
      </c>
      <c r="S80" s="34" t="s">
        <v>96</v>
      </c>
      <c r="T80" s="34" t="s">
        <v>1265</v>
      </c>
      <c r="U80" s="34" t="s">
        <v>1266</v>
      </c>
      <c r="V80" s="34" t="s">
        <v>66</v>
      </c>
      <c r="W80" s="34" t="s">
        <v>1267</v>
      </c>
      <c r="X80" s="37" t="s">
        <v>1268</v>
      </c>
      <c r="Y80" s="34" t="s">
        <v>74</v>
      </c>
      <c r="Z80" s="34" t="s">
        <v>57</v>
      </c>
      <c r="AA80" s="34">
        <v>2014.0</v>
      </c>
      <c r="AB80" s="34">
        <v>2016.0</v>
      </c>
      <c r="AC80" s="34" t="s">
        <v>57</v>
      </c>
      <c r="AD80" s="34" t="s">
        <v>57</v>
      </c>
      <c r="AE80" s="34" t="s">
        <v>69</v>
      </c>
      <c r="AF80" s="34" t="s">
        <v>74</v>
      </c>
      <c r="AG80" s="34" t="s">
        <v>215</v>
      </c>
      <c r="AH80" s="34" t="s">
        <v>105</v>
      </c>
      <c r="AI80" s="34" t="s">
        <v>166</v>
      </c>
      <c r="AJ80" s="34" t="s">
        <v>166</v>
      </c>
      <c r="AK80" s="34" t="s">
        <v>1269</v>
      </c>
      <c r="AL80" s="34" t="s">
        <v>128</v>
      </c>
      <c r="AM80" s="34" t="s">
        <v>129</v>
      </c>
      <c r="AN80" s="34" t="s">
        <v>1270</v>
      </c>
      <c r="AO80" s="39"/>
      <c r="AP80" s="34" t="s">
        <v>109</v>
      </c>
      <c r="AQ80" s="96"/>
      <c r="AR80" s="96"/>
      <c r="AS80" s="44"/>
    </row>
    <row r="81">
      <c r="A81" s="32">
        <v>155.0</v>
      </c>
      <c r="B81" s="33">
        <v>3.64026048E8</v>
      </c>
      <c r="C81" s="34" t="s">
        <v>1273</v>
      </c>
      <c r="D81" s="34" t="s">
        <v>1274</v>
      </c>
      <c r="E81" s="38" t="s">
        <v>1275</v>
      </c>
      <c r="F81" s="34" t="s">
        <v>443</v>
      </c>
      <c r="G81" s="38" t="s">
        <v>1276</v>
      </c>
      <c r="H81" s="36">
        <v>2000.0</v>
      </c>
      <c r="I81" s="34" t="s">
        <v>295</v>
      </c>
      <c r="J81" s="34" t="s">
        <v>55</v>
      </c>
      <c r="K81" s="34" t="s">
        <v>1277</v>
      </c>
      <c r="L81" s="34" t="s">
        <v>57</v>
      </c>
      <c r="M81" s="34" t="s">
        <v>443</v>
      </c>
      <c r="N81" s="34" t="s">
        <v>444</v>
      </c>
      <c r="O81" s="34" t="s">
        <v>1278</v>
      </c>
      <c r="P81" s="34" t="s">
        <v>93</v>
      </c>
      <c r="Q81" s="34" t="s">
        <v>57</v>
      </c>
      <c r="R81" s="34" t="s">
        <v>57</v>
      </c>
      <c r="S81" s="34" t="s">
        <v>63</v>
      </c>
      <c r="T81" s="34" t="s">
        <v>1279</v>
      </c>
      <c r="U81" s="34" t="s">
        <v>1280</v>
      </c>
      <c r="V81" s="34" t="s">
        <v>99</v>
      </c>
      <c r="W81" s="34" t="s">
        <v>100</v>
      </c>
      <c r="X81" s="37" t="s">
        <v>100</v>
      </c>
      <c r="Y81" s="34" t="s">
        <v>69</v>
      </c>
      <c r="Z81" s="34" t="s">
        <v>1281</v>
      </c>
      <c r="AA81" s="34">
        <v>1992.0</v>
      </c>
      <c r="AB81" s="34">
        <v>1993.0</v>
      </c>
      <c r="AC81" s="34" t="s">
        <v>144</v>
      </c>
      <c r="AD81" s="34" t="s">
        <v>180</v>
      </c>
      <c r="AE81" s="34" t="s">
        <v>69</v>
      </c>
      <c r="AF81" s="34" t="s">
        <v>74</v>
      </c>
      <c r="AG81" s="34" t="s">
        <v>104</v>
      </c>
      <c r="AH81" s="34" t="s">
        <v>105</v>
      </c>
      <c r="AI81" s="34" t="s">
        <v>166</v>
      </c>
      <c r="AJ81" s="34" t="s">
        <v>166</v>
      </c>
      <c r="AK81" s="34" t="s">
        <v>1282</v>
      </c>
      <c r="AL81" s="34" t="s">
        <v>128</v>
      </c>
      <c r="AM81" s="34" t="s">
        <v>1283</v>
      </c>
      <c r="AN81" s="34" t="s">
        <v>1284</v>
      </c>
      <c r="AO81" s="39"/>
      <c r="AP81" s="34" t="s">
        <v>109</v>
      </c>
      <c r="AQ81" s="96"/>
      <c r="AR81" s="96"/>
      <c r="AS81" s="44"/>
    </row>
    <row r="82">
      <c r="A82" s="32">
        <v>157.0</v>
      </c>
      <c r="B82" s="33">
        <v>3.64026624E8</v>
      </c>
      <c r="C82" s="34" t="s">
        <v>1286</v>
      </c>
      <c r="D82" s="34" t="s">
        <v>1287</v>
      </c>
      <c r="E82" s="34" t="s">
        <v>1288</v>
      </c>
      <c r="F82" s="34" t="s">
        <v>154</v>
      </c>
      <c r="G82" s="34" t="s">
        <v>1289</v>
      </c>
      <c r="H82" s="36">
        <v>2019.0</v>
      </c>
      <c r="I82" s="34" t="s">
        <v>1290</v>
      </c>
      <c r="J82" s="34" t="s">
        <v>55</v>
      </c>
      <c r="K82" s="34" t="s">
        <v>1291</v>
      </c>
      <c r="L82" s="34" t="s">
        <v>57</v>
      </c>
      <c r="M82" s="34" t="s">
        <v>273</v>
      </c>
      <c r="N82" s="34" t="s">
        <v>1292</v>
      </c>
      <c r="O82" s="34" t="s">
        <v>1293</v>
      </c>
      <c r="P82" s="34" t="s">
        <v>93</v>
      </c>
      <c r="Q82" s="34" t="s">
        <v>1294</v>
      </c>
      <c r="R82" s="34" t="s">
        <v>1295</v>
      </c>
      <c r="S82" s="34" t="s">
        <v>96</v>
      </c>
      <c r="T82" s="34" t="s">
        <v>1296</v>
      </c>
      <c r="U82" s="34" t="s">
        <v>1297</v>
      </c>
      <c r="V82" s="34" t="s">
        <v>99</v>
      </c>
      <c r="W82" s="34" t="s">
        <v>100</v>
      </c>
      <c r="X82" s="37" t="s">
        <v>100</v>
      </c>
      <c r="Y82" s="34" t="s">
        <v>74</v>
      </c>
      <c r="Z82" s="34" t="s">
        <v>57</v>
      </c>
      <c r="AA82" s="34">
        <v>2014.0</v>
      </c>
      <c r="AB82" s="34">
        <v>2014.0</v>
      </c>
      <c r="AC82" s="34" t="s">
        <v>542</v>
      </c>
      <c r="AD82" s="34" t="s">
        <v>71</v>
      </c>
      <c r="AE82" s="34" t="s">
        <v>69</v>
      </c>
      <c r="AF82" s="34" t="s">
        <v>69</v>
      </c>
      <c r="AG82" s="34" t="s">
        <v>104</v>
      </c>
      <c r="AH82" s="34" t="s">
        <v>105</v>
      </c>
      <c r="AI82" s="34" t="s">
        <v>835</v>
      </c>
      <c r="AJ82" s="34" t="s">
        <v>107</v>
      </c>
      <c r="AK82" s="34" t="s">
        <v>1298</v>
      </c>
      <c r="AL82" s="34" t="s">
        <v>128</v>
      </c>
      <c r="AM82" s="34" t="s">
        <v>129</v>
      </c>
      <c r="AN82" s="34" t="s">
        <v>1299</v>
      </c>
      <c r="AO82" s="39"/>
      <c r="AP82" s="34" t="s">
        <v>184</v>
      </c>
      <c r="AQ82" s="96"/>
      <c r="AR82" s="96"/>
      <c r="AS82" s="44"/>
    </row>
    <row r="83">
      <c r="A83" s="32">
        <v>158.0</v>
      </c>
      <c r="B83" s="33">
        <v>3.64026104E8</v>
      </c>
      <c r="C83" s="34" t="s">
        <v>1301</v>
      </c>
      <c r="D83" s="34" t="s">
        <v>1302</v>
      </c>
      <c r="E83" s="38" t="s">
        <v>1303</v>
      </c>
      <c r="F83" s="34" t="s">
        <v>992</v>
      </c>
      <c r="G83" s="38" t="s">
        <v>1304</v>
      </c>
      <c r="H83" s="36">
        <v>2010.0</v>
      </c>
      <c r="I83" s="34" t="s">
        <v>686</v>
      </c>
      <c r="J83" s="34" t="s">
        <v>55</v>
      </c>
      <c r="K83" s="34" t="s">
        <v>1305</v>
      </c>
      <c r="L83" s="34" t="s">
        <v>57</v>
      </c>
      <c r="M83" s="34" t="s">
        <v>992</v>
      </c>
      <c r="N83" s="34" t="s">
        <v>1306</v>
      </c>
      <c r="O83" s="34" t="s">
        <v>1307</v>
      </c>
      <c r="P83" s="34" t="s">
        <v>554</v>
      </c>
      <c r="Q83" s="34" t="s">
        <v>1306</v>
      </c>
      <c r="R83" s="34" t="s">
        <v>1306</v>
      </c>
      <c r="S83" s="34" t="s">
        <v>63</v>
      </c>
      <c r="T83" s="34" t="s">
        <v>1308</v>
      </c>
      <c r="U83" s="34" t="s">
        <v>1309</v>
      </c>
      <c r="V83" s="34" t="s">
        <v>99</v>
      </c>
      <c r="W83" s="34" t="s">
        <v>100</v>
      </c>
      <c r="X83" s="37" t="s">
        <v>100</v>
      </c>
      <c r="Y83" s="34" t="s">
        <v>74</v>
      </c>
      <c r="Z83" s="34" t="s">
        <v>57</v>
      </c>
      <c r="AA83" s="34" t="s">
        <v>57</v>
      </c>
      <c r="AB83" s="34" t="s">
        <v>57</v>
      </c>
      <c r="AC83" s="34" t="s">
        <v>57</v>
      </c>
      <c r="AD83" s="34" t="s">
        <v>57</v>
      </c>
      <c r="AE83" s="34" t="s">
        <v>57</v>
      </c>
      <c r="AF83" s="34" t="s">
        <v>74</v>
      </c>
      <c r="AG83" s="34" t="s">
        <v>104</v>
      </c>
      <c r="AH83" s="34" t="s">
        <v>105</v>
      </c>
      <c r="AI83" s="34" t="s">
        <v>336</v>
      </c>
      <c r="AJ83" s="34" t="s">
        <v>336</v>
      </c>
      <c r="AK83" s="34" t="s">
        <v>1310</v>
      </c>
      <c r="AL83" s="34" t="s">
        <v>128</v>
      </c>
      <c r="AM83" s="34" t="s">
        <v>895</v>
      </c>
      <c r="AN83" s="34" t="s">
        <v>1311</v>
      </c>
      <c r="AO83" s="39"/>
      <c r="AP83" s="34" t="s">
        <v>109</v>
      </c>
      <c r="AQ83" s="96"/>
      <c r="AR83" s="96"/>
      <c r="AS83" s="44"/>
    </row>
    <row r="84">
      <c r="A84" s="32">
        <v>160.0</v>
      </c>
      <c r="B84" s="33">
        <v>3.64026121E8</v>
      </c>
      <c r="C84" s="34" t="s">
        <v>1313</v>
      </c>
      <c r="D84" s="34" t="s">
        <v>1314</v>
      </c>
      <c r="E84" s="38" t="s">
        <v>1315</v>
      </c>
      <c r="F84" s="34" t="s">
        <v>1316</v>
      </c>
      <c r="G84" s="38" t="s">
        <v>1317</v>
      </c>
      <c r="H84" s="36">
        <v>2014.0</v>
      </c>
      <c r="I84" s="34" t="s">
        <v>295</v>
      </c>
      <c r="J84" s="34" t="s">
        <v>55</v>
      </c>
      <c r="K84" s="34" t="s">
        <v>1318</v>
      </c>
      <c r="L84" s="34" t="s">
        <v>57</v>
      </c>
      <c r="M84" s="34" t="s">
        <v>1316</v>
      </c>
      <c r="N84" s="34" t="s">
        <v>1319</v>
      </c>
      <c r="O84" s="34" t="s">
        <v>1320</v>
      </c>
      <c r="P84" s="34" t="s">
        <v>93</v>
      </c>
      <c r="Q84" s="38" t="s">
        <v>1321</v>
      </c>
      <c r="R84" s="38" t="s">
        <v>1322</v>
      </c>
      <c r="S84" s="34" t="s">
        <v>96</v>
      </c>
      <c r="T84" s="34" t="s">
        <v>1323</v>
      </c>
      <c r="U84" s="34" t="s">
        <v>1324</v>
      </c>
      <c r="V84" s="34" t="s">
        <v>99</v>
      </c>
      <c r="W84" s="34" t="s">
        <v>100</v>
      </c>
      <c r="X84" s="37" t="s">
        <v>100</v>
      </c>
      <c r="Y84" s="34" t="s">
        <v>74</v>
      </c>
      <c r="Z84" s="34" t="s">
        <v>57</v>
      </c>
      <c r="AA84" s="34">
        <v>2008.0</v>
      </c>
      <c r="AB84" s="34">
        <v>2009.0</v>
      </c>
      <c r="AC84" s="34" t="s">
        <v>542</v>
      </c>
      <c r="AD84" s="34" t="s">
        <v>144</v>
      </c>
      <c r="AE84" s="34" t="s">
        <v>69</v>
      </c>
      <c r="AF84" s="34" t="s">
        <v>74</v>
      </c>
      <c r="AG84" s="34" t="s">
        <v>215</v>
      </c>
      <c r="AH84" s="34" t="s">
        <v>105</v>
      </c>
      <c r="AI84" s="34" t="s">
        <v>336</v>
      </c>
      <c r="AJ84" s="34" t="s">
        <v>336</v>
      </c>
      <c r="AK84" s="34" t="s">
        <v>1325</v>
      </c>
      <c r="AL84" s="34" t="s">
        <v>128</v>
      </c>
      <c r="AM84" s="34" t="s">
        <v>129</v>
      </c>
      <c r="AN84" s="34" t="s">
        <v>1326</v>
      </c>
      <c r="AO84" s="39"/>
      <c r="AP84" s="34" t="s">
        <v>109</v>
      </c>
      <c r="AQ84" s="96"/>
      <c r="AR84" s="96"/>
      <c r="AS84" s="44"/>
    </row>
    <row r="85">
      <c r="A85" s="32">
        <v>162.0</v>
      </c>
      <c r="B85" s="33">
        <v>3.64026157E8</v>
      </c>
      <c r="C85" s="34" t="s">
        <v>1328</v>
      </c>
      <c r="D85" s="34" t="s">
        <v>1329</v>
      </c>
      <c r="E85" s="38" t="s">
        <v>1330</v>
      </c>
      <c r="F85" s="34" t="s">
        <v>114</v>
      </c>
      <c r="G85" s="38" t="s">
        <v>1331</v>
      </c>
      <c r="H85" s="36">
        <v>2020.0</v>
      </c>
      <c r="I85" s="34" t="s">
        <v>207</v>
      </c>
      <c r="J85" s="34" t="s">
        <v>55</v>
      </c>
      <c r="K85" s="34" t="s">
        <v>1332</v>
      </c>
      <c r="L85" s="34" t="s">
        <v>57</v>
      </c>
      <c r="M85" s="34" t="s">
        <v>114</v>
      </c>
      <c r="N85" s="34" t="s">
        <v>1333</v>
      </c>
      <c r="O85" s="34" t="s">
        <v>1334</v>
      </c>
      <c r="P85" s="34" t="s">
        <v>93</v>
      </c>
      <c r="Q85" s="34" t="s">
        <v>57</v>
      </c>
      <c r="R85" s="34" t="s">
        <v>57</v>
      </c>
      <c r="S85" s="34" t="s">
        <v>63</v>
      </c>
      <c r="T85" s="34" t="s">
        <v>1335</v>
      </c>
      <c r="U85" s="34" t="s">
        <v>1336</v>
      </c>
      <c r="V85" s="34" t="s">
        <v>99</v>
      </c>
      <c r="W85" s="34" t="s">
        <v>1337</v>
      </c>
      <c r="X85" s="37" t="s">
        <v>1338</v>
      </c>
      <c r="Y85" s="34" t="s">
        <v>74</v>
      </c>
      <c r="Z85" s="34" t="s">
        <v>57</v>
      </c>
      <c r="AA85" s="34">
        <v>2010.0</v>
      </c>
      <c r="AB85" s="34">
        <v>2012.0</v>
      </c>
      <c r="AC85" s="34" t="s">
        <v>144</v>
      </c>
      <c r="AD85" s="34" t="s">
        <v>72</v>
      </c>
      <c r="AE85" s="34" t="s">
        <v>69</v>
      </c>
      <c r="AF85" s="34" t="s">
        <v>74</v>
      </c>
      <c r="AG85" s="34" t="s">
        <v>104</v>
      </c>
      <c r="AH85" s="34" t="s">
        <v>498</v>
      </c>
      <c r="AI85" s="34" t="s">
        <v>1339</v>
      </c>
      <c r="AJ85" s="34" t="s">
        <v>107</v>
      </c>
      <c r="AK85" s="34" t="s">
        <v>1340</v>
      </c>
      <c r="AL85" s="34" t="s">
        <v>79</v>
      </c>
      <c r="AM85" s="34" t="s">
        <v>57</v>
      </c>
      <c r="AN85" s="34" t="s">
        <v>57</v>
      </c>
      <c r="AO85" s="39"/>
      <c r="AP85" s="34" t="s">
        <v>109</v>
      </c>
      <c r="AQ85" s="96"/>
      <c r="AR85" s="96"/>
      <c r="AS85" s="44"/>
    </row>
    <row r="86">
      <c r="A86" s="32">
        <v>164.0</v>
      </c>
      <c r="B86" s="33">
        <v>3.64026234E8</v>
      </c>
      <c r="C86" s="34" t="s">
        <v>1343</v>
      </c>
      <c r="D86" s="34" t="s">
        <v>1344</v>
      </c>
      <c r="E86" s="34" t="s">
        <v>1345</v>
      </c>
      <c r="F86" s="34" t="s">
        <v>760</v>
      </c>
      <c r="G86" s="34" t="s">
        <v>1346</v>
      </c>
      <c r="H86" s="36">
        <v>2019.0</v>
      </c>
      <c r="I86" s="34" t="s">
        <v>1347</v>
      </c>
      <c r="J86" s="34" t="s">
        <v>55</v>
      </c>
      <c r="K86" s="34" t="s">
        <v>1348</v>
      </c>
      <c r="L86" s="34" t="s">
        <v>57</v>
      </c>
      <c r="M86" s="34" t="s">
        <v>443</v>
      </c>
      <c r="N86" s="34" t="s">
        <v>1349</v>
      </c>
      <c r="O86" s="34" t="s">
        <v>1350</v>
      </c>
      <c r="P86" s="34" t="s">
        <v>93</v>
      </c>
      <c r="Q86" s="34" t="s">
        <v>1351</v>
      </c>
      <c r="R86" s="34" t="s">
        <v>1352</v>
      </c>
      <c r="S86" s="34" t="s">
        <v>63</v>
      </c>
      <c r="T86" s="34" t="s">
        <v>366</v>
      </c>
      <c r="U86" s="34" t="s">
        <v>1353</v>
      </c>
      <c r="V86" s="34" t="s">
        <v>99</v>
      </c>
      <c r="W86" s="34" t="s">
        <v>100</v>
      </c>
      <c r="X86" s="37" t="s">
        <v>100</v>
      </c>
      <c r="Y86" s="34" t="s">
        <v>74</v>
      </c>
      <c r="Z86" s="34" t="s">
        <v>57</v>
      </c>
      <c r="AA86" s="34">
        <v>2005.0</v>
      </c>
      <c r="AB86" s="34">
        <v>2011.0</v>
      </c>
      <c r="AC86" s="34" t="s">
        <v>57</v>
      </c>
      <c r="AD86" s="34" t="s">
        <v>57</v>
      </c>
      <c r="AE86" s="34" t="s">
        <v>69</v>
      </c>
      <c r="AF86" s="34" t="s">
        <v>74</v>
      </c>
      <c r="AG86" s="34" t="s">
        <v>104</v>
      </c>
      <c r="AH86" s="34" t="s">
        <v>105</v>
      </c>
      <c r="AI86" s="34" t="s">
        <v>336</v>
      </c>
      <c r="AJ86" s="34" t="s">
        <v>336</v>
      </c>
      <c r="AK86" s="34" t="s">
        <v>1354</v>
      </c>
      <c r="AL86" s="34" t="s">
        <v>128</v>
      </c>
      <c r="AM86" s="34" t="s">
        <v>374</v>
      </c>
      <c r="AN86" s="34" t="s">
        <v>1355</v>
      </c>
      <c r="AO86" s="39"/>
      <c r="AP86" s="34" t="s">
        <v>109</v>
      </c>
      <c r="AQ86" s="96"/>
      <c r="AR86" s="96"/>
      <c r="AS86" s="44"/>
    </row>
    <row r="87">
      <c r="A87" s="32">
        <v>165.0</v>
      </c>
      <c r="B87" s="33">
        <v>3.64026482E8</v>
      </c>
      <c r="C87" s="34" t="s">
        <v>1358</v>
      </c>
      <c r="D87" s="34" t="s">
        <v>1359</v>
      </c>
      <c r="E87" s="34" t="s">
        <v>1360</v>
      </c>
      <c r="F87" s="34" t="s">
        <v>992</v>
      </c>
      <c r="G87" s="34" t="s">
        <v>1361</v>
      </c>
      <c r="H87" s="36">
        <v>2016.0</v>
      </c>
      <c r="I87" s="34" t="s">
        <v>1362</v>
      </c>
      <c r="J87" s="34" t="s">
        <v>55</v>
      </c>
      <c r="K87" s="34" t="s">
        <v>1363</v>
      </c>
      <c r="L87" s="34" t="s">
        <v>57</v>
      </c>
      <c r="M87" s="34" t="s">
        <v>992</v>
      </c>
      <c r="N87" s="34" t="s">
        <v>1364</v>
      </c>
      <c r="O87" s="34" t="s">
        <v>1365</v>
      </c>
      <c r="P87" s="34" t="s">
        <v>554</v>
      </c>
      <c r="Q87" s="34" t="s">
        <v>57</v>
      </c>
      <c r="R87" s="34" t="s">
        <v>57</v>
      </c>
      <c r="S87" s="34" t="s">
        <v>96</v>
      </c>
      <c r="T87" s="34" t="s">
        <v>1366</v>
      </c>
      <c r="U87" s="34" t="s">
        <v>1367</v>
      </c>
      <c r="V87" s="34" t="s">
        <v>99</v>
      </c>
      <c r="W87" s="34" t="s">
        <v>100</v>
      </c>
      <c r="X87" s="37" t="s">
        <v>100</v>
      </c>
      <c r="Y87" s="34" t="s">
        <v>74</v>
      </c>
      <c r="Z87" s="34" t="s">
        <v>57</v>
      </c>
      <c r="AA87" s="34">
        <v>2013.0</v>
      </c>
      <c r="AB87" s="34">
        <v>2013.0</v>
      </c>
      <c r="AC87" s="34" t="s">
        <v>57</v>
      </c>
      <c r="AD87" s="34" t="s">
        <v>57</v>
      </c>
      <c r="AE87" s="34" t="s">
        <v>74</v>
      </c>
      <c r="AF87" s="34" t="s">
        <v>69</v>
      </c>
      <c r="AG87" s="34" t="s">
        <v>104</v>
      </c>
      <c r="AH87" s="34" t="s">
        <v>105</v>
      </c>
      <c r="AI87" s="34" t="s">
        <v>106</v>
      </c>
      <c r="AJ87" s="34" t="s">
        <v>107</v>
      </c>
      <c r="AK87" s="34" t="s">
        <v>1368</v>
      </c>
      <c r="AL87" s="34" t="s">
        <v>128</v>
      </c>
      <c r="AM87" s="34" t="s">
        <v>129</v>
      </c>
      <c r="AN87" s="34" t="s">
        <v>1369</v>
      </c>
      <c r="AO87" s="39"/>
      <c r="AP87" s="34" t="s">
        <v>184</v>
      </c>
      <c r="AQ87" s="96"/>
      <c r="AR87" s="96"/>
      <c r="AS87" s="44"/>
    </row>
    <row r="88">
      <c r="A88" s="32">
        <v>166.0</v>
      </c>
      <c r="B88" s="33">
        <v>3.64026252E8</v>
      </c>
      <c r="C88" s="34" t="s">
        <v>1371</v>
      </c>
      <c r="D88" s="34" t="s">
        <v>1372</v>
      </c>
      <c r="E88" s="34" t="s">
        <v>1373</v>
      </c>
      <c r="F88" s="34" t="s">
        <v>114</v>
      </c>
      <c r="G88" s="38" t="s">
        <v>1374</v>
      </c>
      <c r="H88" s="36">
        <v>2018.0</v>
      </c>
      <c r="I88" s="34" t="s">
        <v>796</v>
      </c>
      <c r="J88" s="34" t="s">
        <v>55</v>
      </c>
      <c r="K88" s="34" t="s">
        <v>1375</v>
      </c>
      <c r="L88" s="34" t="s">
        <v>57</v>
      </c>
      <c r="M88" s="34" t="s">
        <v>114</v>
      </c>
      <c r="N88" s="34" t="s">
        <v>1376</v>
      </c>
      <c r="O88" s="34" t="s">
        <v>1377</v>
      </c>
      <c r="P88" s="34" t="s">
        <v>93</v>
      </c>
      <c r="Q88" s="34" t="s">
        <v>57</v>
      </c>
      <c r="R88" s="34" t="s">
        <v>57</v>
      </c>
      <c r="S88" s="34" t="s">
        <v>96</v>
      </c>
      <c r="T88" s="34" t="s">
        <v>1052</v>
      </c>
      <c r="U88" s="34" t="s">
        <v>1378</v>
      </c>
      <c r="V88" s="34" t="s">
        <v>99</v>
      </c>
      <c r="W88" s="34" t="s">
        <v>100</v>
      </c>
      <c r="X88" s="37" t="s">
        <v>100</v>
      </c>
      <c r="Y88" s="34" t="s">
        <v>74</v>
      </c>
      <c r="Z88" s="34" t="s">
        <v>57</v>
      </c>
      <c r="AA88" s="34">
        <v>2011.0</v>
      </c>
      <c r="AB88" s="34">
        <v>2012.0</v>
      </c>
      <c r="AC88" s="34" t="s">
        <v>103</v>
      </c>
      <c r="AD88" s="34" t="s">
        <v>403</v>
      </c>
      <c r="AE88" s="34" t="s">
        <v>69</v>
      </c>
      <c r="AF88" s="34" t="s">
        <v>74</v>
      </c>
      <c r="AG88" s="34" t="s">
        <v>104</v>
      </c>
      <c r="AH88" s="34" t="s">
        <v>659</v>
      </c>
      <c r="AI88" s="34" t="s">
        <v>1379</v>
      </c>
      <c r="AJ88" s="34" t="s">
        <v>107</v>
      </c>
      <c r="AK88" s="34" t="s">
        <v>1380</v>
      </c>
      <c r="AL88" s="34" t="s">
        <v>79</v>
      </c>
      <c r="AM88" s="34" t="s">
        <v>57</v>
      </c>
      <c r="AN88" s="34" t="s">
        <v>57</v>
      </c>
      <c r="AO88" s="39"/>
      <c r="AP88" s="34" t="s">
        <v>109</v>
      </c>
      <c r="AQ88" s="96"/>
      <c r="AR88" s="96"/>
      <c r="AS88" s="44"/>
    </row>
    <row r="89">
      <c r="A89" s="32">
        <v>168.0</v>
      </c>
      <c r="B89" s="33">
        <v>3.64026296E8</v>
      </c>
      <c r="C89" s="34" t="s">
        <v>1383</v>
      </c>
      <c r="D89" s="34" t="s">
        <v>1384</v>
      </c>
      <c r="E89" s="34" t="s">
        <v>1385</v>
      </c>
      <c r="F89" s="34" t="s">
        <v>114</v>
      </c>
      <c r="G89" s="34" t="s">
        <v>1386</v>
      </c>
      <c r="H89" s="36">
        <v>2015.0</v>
      </c>
      <c r="I89" s="34" t="s">
        <v>796</v>
      </c>
      <c r="J89" s="34" t="s">
        <v>55</v>
      </c>
      <c r="K89" s="34" t="s">
        <v>1387</v>
      </c>
      <c r="L89" s="34" t="s">
        <v>57</v>
      </c>
      <c r="M89" s="34" t="s">
        <v>114</v>
      </c>
      <c r="N89" s="34" t="s">
        <v>118</v>
      </c>
      <c r="O89" s="34" t="s">
        <v>1388</v>
      </c>
      <c r="P89" s="34" t="s">
        <v>93</v>
      </c>
      <c r="Q89" s="34" t="s">
        <v>57</v>
      </c>
      <c r="R89" s="34" t="s">
        <v>57</v>
      </c>
      <c r="S89" s="34" t="s">
        <v>63</v>
      </c>
      <c r="T89" s="34" t="s">
        <v>1389</v>
      </c>
      <c r="U89" s="34" t="s">
        <v>1390</v>
      </c>
      <c r="V89" s="34" t="s">
        <v>57</v>
      </c>
      <c r="W89" s="34" t="s">
        <v>57</v>
      </c>
      <c r="X89" s="37" t="s">
        <v>57</v>
      </c>
      <c r="Y89" s="34" t="s">
        <v>74</v>
      </c>
      <c r="Z89" s="34" t="s">
        <v>57</v>
      </c>
      <c r="AA89" s="34">
        <v>2005.0</v>
      </c>
      <c r="AB89" s="34">
        <v>2009.0</v>
      </c>
      <c r="AC89" s="34" t="s">
        <v>72</v>
      </c>
      <c r="AD89" s="34" t="s">
        <v>102</v>
      </c>
      <c r="AE89" s="34" t="s">
        <v>69</v>
      </c>
      <c r="AF89" s="34" t="s">
        <v>69</v>
      </c>
      <c r="AG89" s="34" t="s">
        <v>104</v>
      </c>
      <c r="AH89" s="34" t="s">
        <v>76</v>
      </c>
      <c r="AI89" s="34" t="s">
        <v>77</v>
      </c>
      <c r="AJ89" s="34" t="s">
        <v>77</v>
      </c>
      <c r="AK89" s="34" t="s">
        <v>1391</v>
      </c>
      <c r="AL89" s="34" t="s">
        <v>79</v>
      </c>
      <c r="AM89" s="34" t="s">
        <v>57</v>
      </c>
      <c r="AN89" s="34" t="s">
        <v>57</v>
      </c>
      <c r="AO89" s="39"/>
      <c r="AP89" s="34" t="s">
        <v>109</v>
      </c>
      <c r="AQ89" s="96"/>
      <c r="AR89" s="96"/>
      <c r="AS89" s="44"/>
    </row>
    <row r="90">
      <c r="A90" s="32">
        <v>169.0</v>
      </c>
      <c r="B90" s="33">
        <v>3.64026429E8</v>
      </c>
      <c r="C90" s="34" t="s">
        <v>1393</v>
      </c>
      <c r="D90" s="34" t="s">
        <v>1394</v>
      </c>
      <c r="E90" s="34" t="s">
        <v>1395</v>
      </c>
      <c r="F90" s="34" t="s">
        <v>1396</v>
      </c>
      <c r="G90" s="34" t="s">
        <v>1397</v>
      </c>
      <c r="H90" s="36">
        <v>2018.0</v>
      </c>
      <c r="I90" s="34" t="s">
        <v>207</v>
      </c>
      <c r="J90" s="34" t="s">
        <v>55</v>
      </c>
      <c r="K90" s="34" t="s">
        <v>1398</v>
      </c>
      <c r="L90" s="34" t="s">
        <v>57</v>
      </c>
      <c r="M90" s="34" t="s">
        <v>1396</v>
      </c>
      <c r="N90" s="34" t="s">
        <v>1399</v>
      </c>
      <c r="O90" s="34" t="s">
        <v>1400</v>
      </c>
      <c r="P90" s="34" t="s">
        <v>93</v>
      </c>
      <c r="Q90" s="34" t="s">
        <v>57</v>
      </c>
      <c r="R90" s="34" t="s">
        <v>57</v>
      </c>
      <c r="S90" s="34" t="s">
        <v>63</v>
      </c>
      <c r="T90" s="34" t="s">
        <v>1401</v>
      </c>
      <c r="U90" s="34" t="s">
        <v>1402</v>
      </c>
      <c r="V90" s="34" t="s">
        <v>99</v>
      </c>
      <c r="W90" s="34" t="s">
        <v>100</v>
      </c>
      <c r="X90" s="37" t="s">
        <v>100</v>
      </c>
      <c r="Y90" s="34" t="s">
        <v>74</v>
      </c>
      <c r="Z90" s="34" t="s">
        <v>57</v>
      </c>
      <c r="AA90" s="34">
        <v>2003.0</v>
      </c>
      <c r="AB90" s="34">
        <v>2007.0</v>
      </c>
      <c r="AC90" s="34" t="s">
        <v>144</v>
      </c>
      <c r="AD90" s="34" t="s">
        <v>180</v>
      </c>
      <c r="AE90" s="34" t="s">
        <v>69</v>
      </c>
      <c r="AF90" s="34" t="s">
        <v>74</v>
      </c>
      <c r="AG90" s="34" t="s">
        <v>104</v>
      </c>
      <c r="AH90" s="34" t="s">
        <v>105</v>
      </c>
      <c r="AI90" s="34" t="s">
        <v>336</v>
      </c>
      <c r="AJ90" s="34" t="s">
        <v>336</v>
      </c>
      <c r="AK90" s="34" t="s">
        <v>1403</v>
      </c>
      <c r="AL90" s="34" t="s">
        <v>128</v>
      </c>
      <c r="AM90" s="34" t="s">
        <v>895</v>
      </c>
      <c r="AN90" s="34" t="s">
        <v>1404</v>
      </c>
      <c r="AO90" s="39"/>
      <c r="AP90" s="34" t="s">
        <v>109</v>
      </c>
      <c r="AQ90" s="96"/>
      <c r="AR90" s="96"/>
      <c r="AS90" s="44"/>
    </row>
    <row r="91">
      <c r="A91" s="32">
        <v>170.0</v>
      </c>
      <c r="B91" s="33">
        <v>3.6402643E8</v>
      </c>
      <c r="C91" s="34" t="s">
        <v>1406</v>
      </c>
      <c r="D91" s="34" t="s">
        <v>1407</v>
      </c>
      <c r="E91" s="34" t="s">
        <v>1408</v>
      </c>
      <c r="F91" s="34" t="s">
        <v>992</v>
      </c>
      <c r="G91" s="34" t="s">
        <v>1409</v>
      </c>
      <c r="H91" s="36">
        <v>2016.0</v>
      </c>
      <c r="I91" s="34" t="s">
        <v>295</v>
      </c>
      <c r="J91" s="34" t="s">
        <v>55</v>
      </c>
      <c r="K91" s="34" t="s">
        <v>1410</v>
      </c>
      <c r="L91" s="34" t="s">
        <v>57</v>
      </c>
      <c r="M91" s="34" t="s">
        <v>992</v>
      </c>
      <c r="N91" s="34" t="s">
        <v>1114</v>
      </c>
      <c r="O91" s="34" t="s">
        <v>1411</v>
      </c>
      <c r="P91" s="34" t="s">
        <v>554</v>
      </c>
      <c r="Q91" s="34" t="s">
        <v>57</v>
      </c>
      <c r="R91" s="34" t="s">
        <v>57</v>
      </c>
      <c r="S91" s="34" t="s">
        <v>63</v>
      </c>
      <c r="T91" s="34" t="s">
        <v>1412</v>
      </c>
      <c r="U91" s="34" t="s">
        <v>1413</v>
      </c>
      <c r="V91" s="34" t="s">
        <v>99</v>
      </c>
      <c r="W91" s="34" t="s">
        <v>100</v>
      </c>
      <c r="X91" s="37" t="s">
        <v>100</v>
      </c>
      <c r="Y91" s="34" t="s">
        <v>74</v>
      </c>
      <c r="Z91" s="34" t="s">
        <v>57</v>
      </c>
      <c r="AA91" s="34">
        <v>2012.0</v>
      </c>
      <c r="AB91" s="34">
        <v>2013.0</v>
      </c>
      <c r="AC91" s="34" t="s">
        <v>264</v>
      </c>
      <c r="AD91" s="34" t="s">
        <v>71</v>
      </c>
      <c r="AE91" s="34" t="s">
        <v>69</v>
      </c>
      <c r="AF91" s="34" t="s">
        <v>74</v>
      </c>
      <c r="AG91" s="34" t="s">
        <v>104</v>
      </c>
      <c r="AH91" s="34" t="s">
        <v>1414</v>
      </c>
      <c r="AI91" s="34" t="s">
        <v>1415</v>
      </c>
      <c r="AJ91" s="34" t="s">
        <v>107</v>
      </c>
      <c r="AK91" s="34" t="s">
        <v>1416</v>
      </c>
      <c r="AL91" s="34" t="s">
        <v>128</v>
      </c>
      <c r="AM91" s="34" t="s">
        <v>895</v>
      </c>
      <c r="AN91" s="34" t="s">
        <v>1417</v>
      </c>
      <c r="AO91" s="34" t="s">
        <v>1418</v>
      </c>
      <c r="AP91" s="34" t="s">
        <v>109</v>
      </c>
      <c r="AQ91" s="96"/>
      <c r="AR91" s="96"/>
      <c r="AS91" s="44"/>
    </row>
    <row r="92">
      <c r="A92" s="32">
        <v>171.0</v>
      </c>
      <c r="B92" s="33">
        <v>3.64026223E8</v>
      </c>
      <c r="C92" s="34" t="s">
        <v>1421</v>
      </c>
      <c r="D92" s="34" t="s">
        <v>1422</v>
      </c>
      <c r="E92" s="38" t="s">
        <v>1423</v>
      </c>
      <c r="F92" s="34" t="s">
        <v>114</v>
      </c>
      <c r="G92" s="34" t="s">
        <v>1424</v>
      </c>
      <c r="H92" s="36">
        <v>2011.0</v>
      </c>
      <c r="I92" s="34" t="s">
        <v>729</v>
      </c>
      <c r="J92" s="34" t="s">
        <v>55</v>
      </c>
      <c r="K92" s="34" t="s">
        <v>1425</v>
      </c>
      <c r="L92" s="34" t="s">
        <v>57</v>
      </c>
      <c r="M92" s="34" t="s">
        <v>114</v>
      </c>
      <c r="N92" s="34" t="s">
        <v>1007</v>
      </c>
      <c r="O92" s="34" t="s">
        <v>1426</v>
      </c>
      <c r="P92" s="34" t="s">
        <v>93</v>
      </c>
      <c r="Q92" s="38" t="s">
        <v>1427</v>
      </c>
      <c r="R92" s="38" t="s">
        <v>1428</v>
      </c>
      <c r="S92" s="34" t="s">
        <v>63</v>
      </c>
      <c r="T92" s="34" t="s">
        <v>1429</v>
      </c>
      <c r="U92" s="34" t="s">
        <v>1430</v>
      </c>
      <c r="V92" s="34" t="s">
        <v>99</v>
      </c>
      <c r="W92" s="34" t="s">
        <v>100</v>
      </c>
      <c r="X92" s="37" t="s">
        <v>100</v>
      </c>
      <c r="Y92" s="34" t="s">
        <v>74</v>
      </c>
      <c r="Z92" s="34" t="s">
        <v>57</v>
      </c>
      <c r="AA92" s="34">
        <v>2002.0</v>
      </c>
      <c r="AB92" s="34">
        <v>2006.0</v>
      </c>
      <c r="AC92" s="34" t="s">
        <v>180</v>
      </c>
      <c r="AD92" s="34" t="s">
        <v>72</v>
      </c>
      <c r="AE92" s="34" t="s">
        <v>69</v>
      </c>
      <c r="AF92" s="34" t="s">
        <v>74</v>
      </c>
      <c r="AG92" s="34" t="s">
        <v>104</v>
      </c>
      <c r="AH92" s="34" t="s">
        <v>105</v>
      </c>
      <c r="AI92" s="34" t="s">
        <v>336</v>
      </c>
      <c r="AJ92" s="34" t="s">
        <v>336</v>
      </c>
      <c r="AK92" s="34" t="s">
        <v>1431</v>
      </c>
      <c r="AL92" s="34" t="s">
        <v>128</v>
      </c>
      <c r="AM92" s="34" t="s">
        <v>129</v>
      </c>
      <c r="AN92" s="34" t="s">
        <v>1432</v>
      </c>
      <c r="AO92" s="34" t="s">
        <v>1433</v>
      </c>
      <c r="AP92" s="34" t="s">
        <v>109</v>
      </c>
      <c r="AQ92" s="96"/>
      <c r="AR92" s="96"/>
      <c r="AS92" s="44"/>
    </row>
    <row r="93">
      <c r="A93" s="32">
        <v>172.0</v>
      </c>
      <c r="B93" s="33">
        <v>3.64026477E8</v>
      </c>
      <c r="C93" s="34" t="s">
        <v>1435</v>
      </c>
      <c r="D93" s="34" t="s">
        <v>1436</v>
      </c>
      <c r="E93" s="34" t="s">
        <v>1437</v>
      </c>
      <c r="F93" s="34" t="s">
        <v>992</v>
      </c>
      <c r="G93" s="34" t="s">
        <v>1438</v>
      </c>
      <c r="H93" s="36">
        <v>2018.0</v>
      </c>
      <c r="I93" s="34" t="s">
        <v>207</v>
      </c>
      <c r="J93" s="34" t="s">
        <v>55</v>
      </c>
      <c r="K93" s="34" t="s">
        <v>1439</v>
      </c>
      <c r="L93" s="34" t="s">
        <v>57</v>
      </c>
      <c r="M93" s="34" t="s">
        <v>992</v>
      </c>
      <c r="N93" s="34" t="s">
        <v>1364</v>
      </c>
      <c r="O93" s="34" t="s">
        <v>1440</v>
      </c>
      <c r="P93" s="34" t="s">
        <v>554</v>
      </c>
      <c r="Q93" s="34" t="s">
        <v>1441</v>
      </c>
      <c r="R93" s="34" t="s">
        <v>1442</v>
      </c>
      <c r="S93" s="34" t="s">
        <v>96</v>
      </c>
      <c r="T93" s="34" t="s">
        <v>1443</v>
      </c>
      <c r="U93" s="34" t="s">
        <v>1444</v>
      </c>
      <c r="V93" s="34" t="s">
        <v>99</v>
      </c>
      <c r="W93" s="34" t="s">
        <v>100</v>
      </c>
      <c r="X93" s="37" t="s">
        <v>100</v>
      </c>
      <c r="Y93" s="34" t="s">
        <v>74</v>
      </c>
      <c r="Z93" s="34" t="s">
        <v>57</v>
      </c>
      <c r="AA93" s="34">
        <v>2014.0</v>
      </c>
      <c r="AB93" s="34">
        <v>2015.0</v>
      </c>
      <c r="AC93" s="34" t="s">
        <v>102</v>
      </c>
      <c r="AD93" s="34" t="s">
        <v>214</v>
      </c>
      <c r="AE93" s="34" t="s">
        <v>69</v>
      </c>
      <c r="AF93" s="34" t="s">
        <v>74</v>
      </c>
      <c r="AG93" s="34" t="s">
        <v>104</v>
      </c>
      <c r="AH93" s="34" t="s">
        <v>105</v>
      </c>
      <c r="AI93" s="34" t="s">
        <v>1231</v>
      </c>
      <c r="AJ93" s="34" t="s">
        <v>107</v>
      </c>
      <c r="AK93" s="34" t="s">
        <v>1445</v>
      </c>
      <c r="AL93" s="34" t="s">
        <v>128</v>
      </c>
      <c r="AM93" s="34" t="s">
        <v>895</v>
      </c>
      <c r="AN93" s="34" t="s">
        <v>1446</v>
      </c>
      <c r="AO93" s="39"/>
      <c r="AP93" s="34" t="s">
        <v>109</v>
      </c>
      <c r="AQ93" s="96"/>
      <c r="AR93" s="96"/>
      <c r="AS93" s="44"/>
    </row>
    <row r="94">
      <c r="A94" s="32">
        <v>173.0</v>
      </c>
      <c r="B94" s="33">
        <v>3.64026457E8</v>
      </c>
      <c r="C94" s="34" t="s">
        <v>1449</v>
      </c>
      <c r="D94" s="34" t="s">
        <v>1450</v>
      </c>
      <c r="E94" s="34" t="s">
        <v>1451</v>
      </c>
      <c r="F94" s="34" t="s">
        <v>1452</v>
      </c>
      <c r="G94" s="34" t="s">
        <v>1453</v>
      </c>
      <c r="H94" s="36">
        <v>2021.0</v>
      </c>
      <c r="I94" s="34" t="s">
        <v>207</v>
      </c>
      <c r="J94" s="34" t="s">
        <v>55</v>
      </c>
      <c r="K94" s="34" t="s">
        <v>1454</v>
      </c>
      <c r="L94" s="34" t="s">
        <v>57</v>
      </c>
      <c r="M94" s="34" t="s">
        <v>1455</v>
      </c>
      <c r="N94" s="34" t="s">
        <v>1456</v>
      </c>
      <c r="O94" s="34" t="s">
        <v>1457</v>
      </c>
      <c r="P94" s="34" t="s">
        <v>93</v>
      </c>
      <c r="Q94" s="34" t="s">
        <v>1458</v>
      </c>
      <c r="R94" s="34" t="s">
        <v>1459</v>
      </c>
      <c r="S94" s="34" t="s">
        <v>63</v>
      </c>
      <c r="T94" s="34" t="s">
        <v>351</v>
      </c>
      <c r="U94" s="34" t="s">
        <v>1460</v>
      </c>
      <c r="V94" s="34" t="s">
        <v>99</v>
      </c>
      <c r="W94" s="34" t="s">
        <v>100</v>
      </c>
      <c r="X94" s="37" t="s">
        <v>100</v>
      </c>
      <c r="Y94" s="34" t="s">
        <v>74</v>
      </c>
      <c r="Z94" s="34" t="s">
        <v>57</v>
      </c>
      <c r="AA94" s="34">
        <v>2017.0</v>
      </c>
      <c r="AB94" s="34">
        <v>2017.0</v>
      </c>
      <c r="AC94" s="34" t="s">
        <v>144</v>
      </c>
      <c r="AD94" s="34" t="s">
        <v>144</v>
      </c>
      <c r="AE94" s="34" t="s">
        <v>69</v>
      </c>
      <c r="AF94" s="34" t="s">
        <v>74</v>
      </c>
      <c r="AG94" s="34" t="s">
        <v>104</v>
      </c>
      <c r="AH94" s="34" t="s">
        <v>1461</v>
      </c>
      <c r="AI94" s="34" t="s">
        <v>1462</v>
      </c>
      <c r="AJ94" s="34" t="s">
        <v>147</v>
      </c>
      <c r="AK94" s="34" t="s">
        <v>1463</v>
      </c>
      <c r="AL94" s="34" t="s">
        <v>128</v>
      </c>
      <c r="AM94" s="34" t="s">
        <v>129</v>
      </c>
      <c r="AN94" s="34" t="s">
        <v>1464</v>
      </c>
      <c r="AO94" s="39"/>
      <c r="AP94" s="34" t="s">
        <v>109</v>
      </c>
      <c r="AQ94" s="96"/>
      <c r="AR94" s="96"/>
      <c r="AS94" s="44"/>
    </row>
    <row r="95">
      <c r="A95" s="32">
        <v>174.0</v>
      </c>
      <c r="B95" s="33">
        <v>3.64026483E8</v>
      </c>
      <c r="C95" s="34" t="s">
        <v>1466</v>
      </c>
      <c r="D95" s="34" t="s">
        <v>1467</v>
      </c>
      <c r="E95" s="38" t="s">
        <v>1468</v>
      </c>
      <c r="F95" s="34" t="s">
        <v>992</v>
      </c>
      <c r="G95" s="38" t="s">
        <v>1469</v>
      </c>
      <c r="H95" s="36">
        <v>2007.0</v>
      </c>
      <c r="I95" s="34" t="s">
        <v>686</v>
      </c>
      <c r="J95" s="34" t="s">
        <v>55</v>
      </c>
      <c r="K95" s="34" t="s">
        <v>1470</v>
      </c>
      <c r="L95" s="34" t="s">
        <v>57</v>
      </c>
      <c r="M95" s="34" t="s">
        <v>992</v>
      </c>
      <c r="N95" s="34" t="s">
        <v>1471</v>
      </c>
      <c r="O95" s="34" t="s">
        <v>1472</v>
      </c>
      <c r="P95" s="34" t="s">
        <v>554</v>
      </c>
      <c r="Q95" s="34" t="s">
        <v>57</v>
      </c>
      <c r="R95" s="34" t="s">
        <v>57</v>
      </c>
      <c r="S95" s="34" t="s">
        <v>96</v>
      </c>
      <c r="T95" s="34" t="s">
        <v>1473</v>
      </c>
      <c r="U95" s="34" t="s">
        <v>1474</v>
      </c>
      <c r="V95" s="34" t="s">
        <v>99</v>
      </c>
      <c r="W95" s="34" t="s">
        <v>100</v>
      </c>
      <c r="X95" s="37" t="s">
        <v>100</v>
      </c>
      <c r="Y95" s="34" t="s">
        <v>74</v>
      </c>
      <c r="Z95" s="34" t="s">
        <v>57</v>
      </c>
      <c r="AA95" s="34">
        <v>2001.0</v>
      </c>
      <c r="AB95" s="34">
        <v>2003.0</v>
      </c>
      <c r="AC95" s="34" t="s">
        <v>57</v>
      </c>
      <c r="AD95" s="34" t="s">
        <v>57</v>
      </c>
      <c r="AE95" s="34" t="s">
        <v>69</v>
      </c>
      <c r="AF95" s="34" t="s">
        <v>74</v>
      </c>
      <c r="AG95" s="34" t="s">
        <v>104</v>
      </c>
      <c r="AH95" s="34" t="s">
        <v>105</v>
      </c>
      <c r="AI95" s="34" t="s">
        <v>1231</v>
      </c>
      <c r="AJ95" s="34" t="s">
        <v>107</v>
      </c>
      <c r="AK95" s="34" t="s">
        <v>1475</v>
      </c>
      <c r="AL95" s="34" t="s">
        <v>79</v>
      </c>
      <c r="AM95" s="34" t="s">
        <v>57</v>
      </c>
      <c r="AN95" s="34" t="s">
        <v>57</v>
      </c>
      <c r="AO95" s="34" t="s">
        <v>1476</v>
      </c>
      <c r="AP95" s="34" t="s">
        <v>109</v>
      </c>
      <c r="AQ95" s="96"/>
      <c r="AR95" s="96"/>
      <c r="AS95" s="44"/>
    </row>
    <row r="96">
      <c r="A96" s="32">
        <v>175.0</v>
      </c>
      <c r="B96" s="33">
        <v>3.6402647E8</v>
      </c>
      <c r="C96" s="34" t="s">
        <v>1479</v>
      </c>
      <c r="D96" s="34" t="s">
        <v>1480</v>
      </c>
      <c r="E96" s="34" t="s">
        <v>1481</v>
      </c>
      <c r="F96" s="34" t="s">
        <v>114</v>
      </c>
      <c r="G96" s="34" t="s">
        <v>1482</v>
      </c>
      <c r="H96" s="36">
        <v>2013.0</v>
      </c>
      <c r="I96" s="34" t="s">
        <v>295</v>
      </c>
      <c r="J96" s="34" t="s">
        <v>55</v>
      </c>
      <c r="K96" s="34" t="s">
        <v>1483</v>
      </c>
      <c r="L96" s="34" t="s">
        <v>57</v>
      </c>
      <c r="M96" s="34" t="s">
        <v>114</v>
      </c>
      <c r="N96" s="34" t="s">
        <v>1484</v>
      </c>
      <c r="O96" s="34" t="s">
        <v>1485</v>
      </c>
      <c r="P96" s="34" t="s">
        <v>93</v>
      </c>
      <c r="Q96" s="34" t="s">
        <v>1486</v>
      </c>
      <c r="R96" s="34" t="s">
        <v>1487</v>
      </c>
      <c r="S96" s="34" t="s">
        <v>63</v>
      </c>
      <c r="T96" s="34" t="s">
        <v>1488</v>
      </c>
      <c r="U96" s="34" t="s">
        <v>1489</v>
      </c>
      <c r="V96" s="34" t="s">
        <v>99</v>
      </c>
      <c r="W96" s="34" t="s">
        <v>100</v>
      </c>
      <c r="X96" s="37" t="s">
        <v>100</v>
      </c>
      <c r="Y96" s="34" t="s">
        <v>69</v>
      </c>
      <c r="Z96" s="34" t="s">
        <v>1490</v>
      </c>
      <c r="AA96" s="34">
        <v>2005.0</v>
      </c>
      <c r="AB96" s="34">
        <v>2009.0</v>
      </c>
      <c r="AC96" s="34" t="s">
        <v>57</v>
      </c>
      <c r="AD96" s="34" t="s">
        <v>57</v>
      </c>
      <c r="AE96" s="34" t="s">
        <v>69</v>
      </c>
      <c r="AF96" s="34" t="s">
        <v>69</v>
      </c>
      <c r="AG96" s="34" t="s">
        <v>104</v>
      </c>
      <c r="AH96" s="34" t="s">
        <v>105</v>
      </c>
      <c r="AI96" s="34" t="s">
        <v>336</v>
      </c>
      <c r="AJ96" s="34" t="s">
        <v>336</v>
      </c>
      <c r="AK96" s="34" t="s">
        <v>1491</v>
      </c>
      <c r="AL96" s="34" t="s">
        <v>128</v>
      </c>
      <c r="AM96" s="34" t="s">
        <v>129</v>
      </c>
      <c r="AN96" s="34" t="s">
        <v>1492</v>
      </c>
      <c r="AO96" s="39"/>
      <c r="AP96" s="34" t="s">
        <v>109</v>
      </c>
      <c r="AQ96" s="96"/>
      <c r="AR96" s="96"/>
      <c r="AS96" s="44"/>
    </row>
    <row r="97">
      <c r="A97" s="32">
        <v>177.0</v>
      </c>
      <c r="B97" s="33">
        <v>3.6402644E8</v>
      </c>
      <c r="C97" s="34" t="s">
        <v>1495</v>
      </c>
      <c r="D97" s="34" t="s">
        <v>1496</v>
      </c>
      <c r="E97" s="34" t="s">
        <v>1497</v>
      </c>
      <c r="F97" s="34" t="s">
        <v>1455</v>
      </c>
      <c r="G97" s="34" t="s">
        <v>1498</v>
      </c>
      <c r="H97" s="36">
        <v>2021.0</v>
      </c>
      <c r="I97" s="34" t="s">
        <v>1499</v>
      </c>
      <c r="J97" s="34" t="s">
        <v>55</v>
      </c>
      <c r="K97" s="34" t="s">
        <v>1500</v>
      </c>
      <c r="L97" s="34" t="s">
        <v>57</v>
      </c>
      <c r="M97" s="34" t="s">
        <v>1455</v>
      </c>
      <c r="N97" s="34" t="s">
        <v>1501</v>
      </c>
      <c r="O97" s="34" t="s">
        <v>1502</v>
      </c>
      <c r="P97" s="34" t="s">
        <v>93</v>
      </c>
      <c r="Q97" s="34" t="s">
        <v>1503</v>
      </c>
      <c r="R97" s="34" t="s">
        <v>1504</v>
      </c>
      <c r="S97" s="34" t="s">
        <v>96</v>
      </c>
      <c r="T97" s="34" t="s">
        <v>178</v>
      </c>
      <c r="U97" s="34" t="s">
        <v>1505</v>
      </c>
      <c r="V97" s="34" t="s">
        <v>99</v>
      </c>
      <c r="W97" s="34" t="s">
        <v>100</v>
      </c>
      <c r="X97" s="37" t="s">
        <v>100</v>
      </c>
      <c r="Y97" s="34" t="s">
        <v>74</v>
      </c>
      <c r="Z97" s="34" t="s">
        <v>57</v>
      </c>
      <c r="AA97" s="34">
        <v>2017.0</v>
      </c>
      <c r="AB97" s="34">
        <v>2018.0</v>
      </c>
      <c r="AC97" s="34" t="s">
        <v>103</v>
      </c>
      <c r="AD97" s="34" t="s">
        <v>71</v>
      </c>
      <c r="AE97" s="34" t="s">
        <v>69</v>
      </c>
      <c r="AF97" s="34" t="s">
        <v>69</v>
      </c>
      <c r="AG97" s="34" t="s">
        <v>104</v>
      </c>
      <c r="AH97" s="34" t="s">
        <v>105</v>
      </c>
      <c r="AI97" s="34" t="s">
        <v>336</v>
      </c>
      <c r="AJ97" s="34" t="s">
        <v>336</v>
      </c>
      <c r="AK97" s="34" t="s">
        <v>1506</v>
      </c>
      <c r="AL97" s="34" t="s">
        <v>128</v>
      </c>
      <c r="AM97" s="34" t="s">
        <v>129</v>
      </c>
      <c r="AN97" s="34" t="s">
        <v>1507</v>
      </c>
      <c r="AO97" s="39"/>
      <c r="AP97" s="34" t="s">
        <v>109</v>
      </c>
      <c r="AQ97" s="96"/>
      <c r="AR97" s="96"/>
      <c r="AS97" s="44"/>
    </row>
    <row r="98">
      <c r="A98" s="32">
        <v>180.0</v>
      </c>
      <c r="B98" s="33">
        <v>3.64026246E8</v>
      </c>
      <c r="C98" s="34" t="s">
        <v>1510</v>
      </c>
      <c r="D98" s="34" t="s">
        <v>1511</v>
      </c>
      <c r="E98" s="38" t="s">
        <v>1512</v>
      </c>
      <c r="F98" s="34" t="s">
        <v>381</v>
      </c>
      <c r="G98" s="38" t="s">
        <v>1513</v>
      </c>
      <c r="H98" s="36">
        <v>2021.0</v>
      </c>
      <c r="I98" s="38" t="s">
        <v>796</v>
      </c>
      <c r="J98" s="34" t="s">
        <v>55</v>
      </c>
      <c r="K98" s="34" t="s">
        <v>1514</v>
      </c>
      <c r="L98" s="34" t="s">
        <v>57</v>
      </c>
      <c r="M98" s="34" t="s">
        <v>381</v>
      </c>
      <c r="N98" s="34" t="s">
        <v>1515</v>
      </c>
      <c r="O98" s="34" t="s">
        <v>1516</v>
      </c>
      <c r="P98" s="34" t="s">
        <v>93</v>
      </c>
      <c r="Q98" s="38" t="s">
        <v>1517</v>
      </c>
      <c r="R98" s="38" t="s">
        <v>1518</v>
      </c>
      <c r="S98" s="34" t="s">
        <v>96</v>
      </c>
      <c r="T98" s="34" t="s">
        <v>1308</v>
      </c>
      <c r="U98" s="34" t="s">
        <v>1519</v>
      </c>
      <c r="V98" s="34" t="s">
        <v>99</v>
      </c>
      <c r="W98" s="34" t="s">
        <v>100</v>
      </c>
      <c r="X98" s="37" t="s">
        <v>100</v>
      </c>
      <c r="Y98" s="34" t="s">
        <v>74</v>
      </c>
      <c r="Z98" s="34" t="s">
        <v>57</v>
      </c>
      <c r="AA98" s="34">
        <v>2015.0</v>
      </c>
      <c r="AB98" s="34">
        <v>2016.0</v>
      </c>
      <c r="AC98" s="34" t="s">
        <v>264</v>
      </c>
      <c r="AD98" s="34" t="s">
        <v>692</v>
      </c>
      <c r="AE98" s="34" t="s">
        <v>69</v>
      </c>
      <c r="AF98" s="34" t="s">
        <v>74</v>
      </c>
      <c r="AG98" s="34" t="s">
        <v>104</v>
      </c>
      <c r="AH98" s="34" t="s">
        <v>105</v>
      </c>
      <c r="AI98" s="34" t="s">
        <v>336</v>
      </c>
      <c r="AJ98" s="34" t="s">
        <v>336</v>
      </c>
      <c r="AK98" s="34" t="s">
        <v>1520</v>
      </c>
      <c r="AL98" s="34" t="s">
        <v>128</v>
      </c>
      <c r="AM98" s="34" t="s">
        <v>129</v>
      </c>
      <c r="AN98" s="34" t="s">
        <v>1521</v>
      </c>
      <c r="AO98" s="39"/>
      <c r="AP98" s="34" t="s">
        <v>1522</v>
      </c>
      <c r="AQ98" s="96"/>
      <c r="AR98" s="96"/>
      <c r="AS98" s="44"/>
    </row>
    <row r="99">
      <c r="A99" s="32">
        <v>181.0</v>
      </c>
      <c r="B99" s="33">
        <v>3.64026279E8</v>
      </c>
      <c r="C99" s="34" t="s">
        <v>1525</v>
      </c>
      <c r="D99" s="34" t="s">
        <v>1526</v>
      </c>
      <c r="E99" s="34" t="s">
        <v>1527</v>
      </c>
      <c r="F99" s="34" t="s">
        <v>992</v>
      </c>
      <c r="G99" s="34" t="s">
        <v>1528</v>
      </c>
      <c r="H99" s="36">
        <v>2001.0</v>
      </c>
      <c r="I99" s="34" t="s">
        <v>1529</v>
      </c>
      <c r="J99" s="34" t="s">
        <v>55</v>
      </c>
      <c r="K99" s="34" t="s">
        <v>57</v>
      </c>
      <c r="L99" s="34" t="s">
        <v>57</v>
      </c>
      <c r="M99" s="34" t="s">
        <v>992</v>
      </c>
      <c r="N99" s="34" t="s">
        <v>1530</v>
      </c>
      <c r="O99" s="34" t="s">
        <v>1531</v>
      </c>
      <c r="P99" s="34" t="s">
        <v>554</v>
      </c>
      <c r="Q99" s="34" t="s">
        <v>57</v>
      </c>
      <c r="R99" s="34" t="s">
        <v>57</v>
      </c>
      <c r="S99" s="34" t="s">
        <v>96</v>
      </c>
      <c r="T99" s="34" t="s">
        <v>766</v>
      </c>
      <c r="U99" s="34" t="s">
        <v>1532</v>
      </c>
      <c r="V99" s="34" t="s">
        <v>99</v>
      </c>
      <c r="W99" s="34" t="s">
        <v>100</v>
      </c>
      <c r="X99" s="37" t="s">
        <v>100</v>
      </c>
      <c r="Y99" s="34" t="s">
        <v>74</v>
      </c>
      <c r="Z99" s="34" t="s">
        <v>57</v>
      </c>
      <c r="AA99" s="34">
        <v>1995.0</v>
      </c>
      <c r="AB99" s="34">
        <v>1995.0</v>
      </c>
      <c r="AC99" s="34" t="s">
        <v>542</v>
      </c>
      <c r="AD99" s="34" t="s">
        <v>214</v>
      </c>
      <c r="AE99" s="34" t="s">
        <v>69</v>
      </c>
      <c r="AF99" s="34" t="s">
        <v>74</v>
      </c>
      <c r="AG99" s="34" t="s">
        <v>104</v>
      </c>
      <c r="AH99" s="34" t="s">
        <v>105</v>
      </c>
      <c r="AI99" s="34" t="s">
        <v>1231</v>
      </c>
      <c r="AJ99" s="34" t="s">
        <v>107</v>
      </c>
      <c r="AK99" s="34" t="s">
        <v>1533</v>
      </c>
      <c r="AL99" s="34" t="s">
        <v>128</v>
      </c>
      <c r="AM99" s="34" t="s">
        <v>198</v>
      </c>
      <c r="AN99" s="34" t="s">
        <v>1534</v>
      </c>
      <c r="AO99" s="34" t="s">
        <v>1535</v>
      </c>
      <c r="AP99" s="34" t="s">
        <v>109</v>
      </c>
      <c r="AQ99" s="96"/>
      <c r="AR99" s="96"/>
      <c r="AS99" s="44"/>
    </row>
    <row r="100">
      <c r="A100" s="32">
        <v>182.0</v>
      </c>
      <c r="B100" s="33">
        <v>3.64026652E8</v>
      </c>
      <c r="C100" s="34" t="s">
        <v>1537</v>
      </c>
      <c r="D100" s="34" t="s">
        <v>1538</v>
      </c>
      <c r="E100" s="34" t="s">
        <v>1539</v>
      </c>
      <c r="F100" s="34" t="s">
        <v>992</v>
      </c>
      <c r="G100" s="34" t="s">
        <v>1540</v>
      </c>
      <c r="H100" s="36">
        <v>2012.0</v>
      </c>
      <c r="I100" s="34" t="s">
        <v>1541</v>
      </c>
      <c r="J100" s="34" t="s">
        <v>55</v>
      </c>
      <c r="K100" s="34" t="s">
        <v>1542</v>
      </c>
      <c r="L100" s="34" t="s">
        <v>57</v>
      </c>
      <c r="M100" s="34" t="s">
        <v>992</v>
      </c>
      <c r="N100" s="34" t="s">
        <v>1530</v>
      </c>
      <c r="O100" s="34" t="s">
        <v>1543</v>
      </c>
      <c r="P100" s="34" t="s">
        <v>554</v>
      </c>
      <c r="Q100" s="34" t="s">
        <v>57</v>
      </c>
      <c r="R100" s="34" t="s">
        <v>57</v>
      </c>
      <c r="S100" s="34" t="s">
        <v>96</v>
      </c>
      <c r="T100" s="34" t="s">
        <v>1389</v>
      </c>
      <c r="U100" s="34" t="s">
        <v>1544</v>
      </c>
      <c r="V100" s="34" t="s">
        <v>99</v>
      </c>
      <c r="W100" s="34" t="s">
        <v>100</v>
      </c>
      <c r="X100" s="37" t="s">
        <v>100</v>
      </c>
      <c r="Y100" s="34" t="s">
        <v>74</v>
      </c>
      <c r="Z100" s="34" t="s">
        <v>57</v>
      </c>
      <c r="AA100" s="34">
        <v>2010.0</v>
      </c>
      <c r="AB100" s="34">
        <v>2010.0</v>
      </c>
      <c r="AC100" s="34" t="s">
        <v>57</v>
      </c>
      <c r="AD100" s="34" t="s">
        <v>57</v>
      </c>
      <c r="AE100" s="34" t="s">
        <v>69</v>
      </c>
      <c r="AF100" s="34" t="s">
        <v>74</v>
      </c>
      <c r="AG100" s="34" t="s">
        <v>104</v>
      </c>
      <c r="AH100" s="34" t="s">
        <v>105</v>
      </c>
      <c r="AI100" s="34" t="s">
        <v>336</v>
      </c>
      <c r="AJ100" s="34" t="s">
        <v>336</v>
      </c>
      <c r="AK100" s="34" t="s">
        <v>1545</v>
      </c>
      <c r="AL100" s="34" t="s">
        <v>128</v>
      </c>
      <c r="AM100" s="34" t="s">
        <v>129</v>
      </c>
      <c r="AN100" s="34" t="s">
        <v>1546</v>
      </c>
      <c r="AO100" s="39"/>
      <c r="AP100" s="34" t="s">
        <v>109</v>
      </c>
      <c r="AQ100" s="96"/>
      <c r="AR100" s="96"/>
      <c r="AS100" s="44"/>
    </row>
    <row r="101">
      <c r="A101" s="32">
        <v>184.0</v>
      </c>
      <c r="B101" s="33">
        <v>3.64026283E8</v>
      </c>
      <c r="C101" s="34" t="s">
        <v>1548</v>
      </c>
      <c r="D101" s="38" t="s">
        <v>1549</v>
      </c>
      <c r="E101" s="34" t="s">
        <v>1550</v>
      </c>
      <c r="F101" s="34" t="s">
        <v>489</v>
      </c>
      <c r="G101" s="34" t="s">
        <v>1551</v>
      </c>
      <c r="H101" s="36">
        <v>2006.0</v>
      </c>
      <c r="I101" s="34" t="s">
        <v>829</v>
      </c>
      <c r="J101" s="34" t="s">
        <v>55</v>
      </c>
      <c r="K101" s="34" t="s">
        <v>1552</v>
      </c>
      <c r="L101" s="34" t="s">
        <v>57</v>
      </c>
      <c r="M101" s="34" t="s">
        <v>489</v>
      </c>
      <c r="N101" s="34" t="s">
        <v>1553</v>
      </c>
      <c r="O101" s="34" t="s">
        <v>1554</v>
      </c>
      <c r="P101" s="34" t="s">
        <v>93</v>
      </c>
      <c r="Q101" s="34" t="s">
        <v>1555</v>
      </c>
      <c r="R101" s="34" t="s">
        <v>1556</v>
      </c>
      <c r="S101" s="34" t="s">
        <v>63</v>
      </c>
      <c r="T101" s="34" t="s">
        <v>1557</v>
      </c>
      <c r="U101" s="34" t="s">
        <v>1558</v>
      </c>
      <c r="V101" s="34" t="s">
        <v>99</v>
      </c>
      <c r="W101" s="34" t="s">
        <v>100</v>
      </c>
      <c r="X101" s="37" t="s">
        <v>100</v>
      </c>
      <c r="Y101" s="34" t="s">
        <v>74</v>
      </c>
      <c r="Z101" s="34" t="s">
        <v>57</v>
      </c>
      <c r="AA101" s="34">
        <v>2003.0</v>
      </c>
      <c r="AB101" s="34">
        <v>2003.0</v>
      </c>
      <c r="AC101" s="34" t="s">
        <v>144</v>
      </c>
      <c r="AD101" s="34" t="s">
        <v>180</v>
      </c>
      <c r="AE101" s="34" t="s">
        <v>69</v>
      </c>
      <c r="AF101" s="34" t="s">
        <v>69</v>
      </c>
      <c r="AG101" s="34" t="s">
        <v>104</v>
      </c>
      <c r="AH101" s="34" t="s">
        <v>105</v>
      </c>
      <c r="AI101" s="34" t="s">
        <v>336</v>
      </c>
      <c r="AJ101" s="34" t="s">
        <v>336</v>
      </c>
      <c r="AK101" s="34" t="s">
        <v>1559</v>
      </c>
      <c r="AL101" s="34" t="s">
        <v>79</v>
      </c>
      <c r="AM101" s="34" t="s">
        <v>57</v>
      </c>
      <c r="AN101" s="34" t="s">
        <v>57</v>
      </c>
      <c r="AO101" s="39"/>
      <c r="AP101" s="34" t="s">
        <v>109</v>
      </c>
      <c r="AQ101" s="96"/>
      <c r="AR101" s="96"/>
      <c r="AS101" s="44"/>
    </row>
    <row r="102">
      <c r="A102" s="32">
        <v>186.0</v>
      </c>
      <c r="B102" s="33">
        <v>3.64026435E8</v>
      </c>
      <c r="C102" s="34" t="s">
        <v>1561</v>
      </c>
      <c r="D102" s="34" t="s">
        <v>1562</v>
      </c>
      <c r="E102" s="34" t="s">
        <v>1563</v>
      </c>
      <c r="F102" s="34" t="s">
        <v>489</v>
      </c>
      <c r="G102" s="34" t="s">
        <v>1564</v>
      </c>
      <c r="H102" s="36">
        <v>2012.0</v>
      </c>
      <c r="I102" s="34" t="s">
        <v>295</v>
      </c>
      <c r="J102" s="34" t="s">
        <v>55</v>
      </c>
      <c r="K102" s="34" t="s">
        <v>1565</v>
      </c>
      <c r="L102" s="34" t="s">
        <v>57</v>
      </c>
      <c r="M102" s="34" t="s">
        <v>489</v>
      </c>
      <c r="N102" s="34" t="s">
        <v>1553</v>
      </c>
      <c r="O102" s="34" t="s">
        <v>1566</v>
      </c>
      <c r="P102" s="34" t="s">
        <v>93</v>
      </c>
      <c r="Q102" s="34" t="s">
        <v>57</v>
      </c>
      <c r="R102" s="34" t="s">
        <v>57</v>
      </c>
      <c r="S102" s="34" t="s">
        <v>63</v>
      </c>
      <c r="T102" s="34" t="s">
        <v>64</v>
      </c>
      <c r="U102" s="34" t="s">
        <v>1567</v>
      </c>
      <c r="V102" s="34" t="s">
        <v>99</v>
      </c>
      <c r="W102" s="34" t="s">
        <v>100</v>
      </c>
      <c r="X102" s="37" t="s">
        <v>100</v>
      </c>
      <c r="Y102" s="34" t="s">
        <v>74</v>
      </c>
      <c r="Z102" s="34" t="s">
        <v>57</v>
      </c>
      <c r="AA102" s="34">
        <v>2005.0</v>
      </c>
      <c r="AB102" s="34">
        <v>2008.0</v>
      </c>
      <c r="AC102" s="34" t="s">
        <v>214</v>
      </c>
      <c r="AD102" s="34" t="s">
        <v>72</v>
      </c>
      <c r="AE102" s="34" t="s">
        <v>69</v>
      </c>
      <c r="AF102" s="34" t="s">
        <v>74</v>
      </c>
      <c r="AG102" s="34" t="s">
        <v>104</v>
      </c>
      <c r="AH102" s="34" t="s">
        <v>105</v>
      </c>
      <c r="AI102" s="34" t="s">
        <v>336</v>
      </c>
      <c r="AJ102" s="34" t="s">
        <v>336</v>
      </c>
      <c r="AK102" s="34" t="s">
        <v>1568</v>
      </c>
      <c r="AL102" s="34" t="s">
        <v>128</v>
      </c>
      <c r="AM102" s="34" t="s">
        <v>129</v>
      </c>
      <c r="AN102" s="34" t="s">
        <v>1569</v>
      </c>
      <c r="AO102" s="39"/>
      <c r="AP102" s="34" t="s">
        <v>109</v>
      </c>
      <c r="AQ102" s="96"/>
      <c r="AR102" s="96"/>
      <c r="AS102" s="44"/>
    </row>
    <row r="103">
      <c r="A103" s="32">
        <v>187.0</v>
      </c>
      <c r="B103" s="33">
        <v>3.64026461E8</v>
      </c>
      <c r="C103" s="34" t="s">
        <v>1572</v>
      </c>
      <c r="D103" s="34" t="s">
        <v>1573</v>
      </c>
      <c r="E103" s="34" t="s">
        <v>1574</v>
      </c>
      <c r="F103" s="34" t="s">
        <v>760</v>
      </c>
      <c r="G103" s="34" t="s">
        <v>1575</v>
      </c>
      <c r="H103" s="36">
        <v>2014.0</v>
      </c>
      <c r="I103" s="34" t="s">
        <v>207</v>
      </c>
      <c r="J103" s="34" t="s">
        <v>55</v>
      </c>
      <c r="K103" s="34" t="s">
        <v>1576</v>
      </c>
      <c r="L103" s="34" t="s">
        <v>57</v>
      </c>
      <c r="M103" s="34" t="s">
        <v>760</v>
      </c>
      <c r="N103" s="34" t="s">
        <v>1577</v>
      </c>
      <c r="O103" s="34" t="s">
        <v>1578</v>
      </c>
      <c r="P103" s="34" t="s">
        <v>93</v>
      </c>
      <c r="Q103" s="34" t="s">
        <v>57</v>
      </c>
      <c r="R103" s="34" t="s">
        <v>57</v>
      </c>
      <c r="S103" s="34" t="s">
        <v>63</v>
      </c>
      <c r="T103" s="34" t="s">
        <v>1579</v>
      </c>
      <c r="U103" s="34" t="s">
        <v>1580</v>
      </c>
      <c r="V103" s="34" t="s">
        <v>99</v>
      </c>
      <c r="W103" s="34" t="s">
        <v>100</v>
      </c>
      <c r="X103" s="37" t="s">
        <v>100</v>
      </c>
      <c r="Y103" s="34" t="s">
        <v>74</v>
      </c>
      <c r="Z103" s="34" t="s">
        <v>57</v>
      </c>
      <c r="AA103" s="34">
        <v>2007.0</v>
      </c>
      <c r="AB103" s="34">
        <v>2009.0</v>
      </c>
      <c r="AC103" s="34" t="s">
        <v>57</v>
      </c>
      <c r="AD103" s="34" t="s">
        <v>57</v>
      </c>
      <c r="AE103" s="34" t="s">
        <v>69</v>
      </c>
      <c r="AF103" s="34" t="s">
        <v>69</v>
      </c>
      <c r="AG103" s="34" t="s">
        <v>104</v>
      </c>
      <c r="AH103" s="34" t="s">
        <v>105</v>
      </c>
      <c r="AI103" s="34" t="s">
        <v>336</v>
      </c>
      <c r="AJ103" s="34" t="s">
        <v>336</v>
      </c>
      <c r="AK103" s="34" t="s">
        <v>1581</v>
      </c>
      <c r="AL103" s="34" t="s">
        <v>128</v>
      </c>
      <c r="AM103" s="34" t="s">
        <v>129</v>
      </c>
      <c r="AN103" s="34" t="s">
        <v>1582</v>
      </c>
      <c r="AO103" s="39"/>
      <c r="AP103" s="34" t="s">
        <v>109</v>
      </c>
      <c r="AQ103" s="96"/>
      <c r="AR103" s="96"/>
      <c r="AS103" s="44"/>
    </row>
    <row r="104">
      <c r="A104" s="32">
        <v>188.0</v>
      </c>
      <c r="B104" s="33">
        <v>3.6402655E8</v>
      </c>
      <c r="C104" s="34" t="s">
        <v>1584</v>
      </c>
      <c r="D104" s="34" t="s">
        <v>1585</v>
      </c>
      <c r="E104" s="34" t="s">
        <v>1586</v>
      </c>
      <c r="F104" s="34" t="s">
        <v>114</v>
      </c>
      <c r="G104" s="38" t="s">
        <v>1587</v>
      </c>
      <c r="H104" s="36">
        <v>2021.0</v>
      </c>
      <c r="I104" s="34" t="s">
        <v>796</v>
      </c>
      <c r="J104" s="34" t="s">
        <v>55</v>
      </c>
      <c r="K104" s="34" t="s">
        <v>1588</v>
      </c>
      <c r="L104" s="34" t="s">
        <v>57</v>
      </c>
      <c r="M104" s="34" t="s">
        <v>114</v>
      </c>
      <c r="N104" s="34" t="s">
        <v>1589</v>
      </c>
      <c r="O104" s="34" t="s">
        <v>1590</v>
      </c>
      <c r="P104" s="34" t="s">
        <v>93</v>
      </c>
      <c r="Q104" s="34" t="s">
        <v>57</v>
      </c>
      <c r="R104" s="34" t="s">
        <v>57</v>
      </c>
      <c r="S104" s="34" t="s">
        <v>63</v>
      </c>
      <c r="T104" s="34" t="s">
        <v>229</v>
      </c>
      <c r="U104" s="34" t="s">
        <v>1591</v>
      </c>
      <c r="V104" s="34" t="s">
        <v>99</v>
      </c>
      <c r="W104" s="34" t="s">
        <v>100</v>
      </c>
      <c r="X104" s="37" t="s">
        <v>100</v>
      </c>
      <c r="Y104" s="34" t="s">
        <v>74</v>
      </c>
      <c r="Z104" s="34" t="s">
        <v>57</v>
      </c>
      <c r="AA104" s="34">
        <v>2014.0</v>
      </c>
      <c r="AB104" s="34">
        <v>2016.0</v>
      </c>
      <c r="AC104" s="34" t="s">
        <v>180</v>
      </c>
      <c r="AD104" s="34" t="s">
        <v>72</v>
      </c>
      <c r="AE104" s="34" t="s">
        <v>69</v>
      </c>
      <c r="AF104" s="34" t="s">
        <v>69</v>
      </c>
      <c r="AG104" s="34" t="s">
        <v>104</v>
      </c>
      <c r="AH104" s="34" t="s">
        <v>105</v>
      </c>
      <c r="AI104" s="34" t="s">
        <v>1231</v>
      </c>
      <c r="AJ104" s="34" t="s">
        <v>107</v>
      </c>
      <c r="AK104" s="34" t="s">
        <v>1592</v>
      </c>
      <c r="AL104" s="34" t="s">
        <v>128</v>
      </c>
      <c r="AM104" s="34" t="s">
        <v>129</v>
      </c>
      <c r="AN104" s="34" t="s">
        <v>1593</v>
      </c>
      <c r="AO104" s="39"/>
      <c r="AP104" s="34" t="s">
        <v>109</v>
      </c>
      <c r="AQ104" s="96"/>
      <c r="AR104" s="96"/>
      <c r="AS104" s="44"/>
    </row>
    <row r="105">
      <c r="A105" s="32">
        <v>189.0</v>
      </c>
      <c r="B105" s="33">
        <v>3.64026322E8</v>
      </c>
      <c r="C105" s="34" t="s">
        <v>1596</v>
      </c>
      <c r="D105" s="38" t="s">
        <v>1597</v>
      </c>
      <c r="E105" s="38" t="s">
        <v>1598</v>
      </c>
      <c r="F105" s="34" t="s">
        <v>1599</v>
      </c>
      <c r="G105" s="38" t="s">
        <v>1600</v>
      </c>
      <c r="H105" s="36">
        <v>2002.0</v>
      </c>
      <c r="I105" s="34" t="s">
        <v>1601</v>
      </c>
      <c r="J105" s="34" t="s">
        <v>55</v>
      </c>
      <c r="K105" s="34" t="s">
        <v>1602</v>
      </c>
      <c r="L105" s="34" t="s">
        <v>57</v>
      </c>
      <c r="M105" s="34" t="s">
        <v>1599</v>
      </c>
      <c r="N105" s="34" t="s">
        <v>1603</v>
      </c>
      <c r="O105" s="34" t="s">
        <v>1604</v>
      </c>
      <c r="P105" s="34" t="s">
        <v>93</v>
      </c>
      <c r="Q105" s="34" t="s">
        <v>57</v>
      </c>
      <c r="R105" s="34" t="s">
        <v>57</v>
      </c>
      <c r="S105" s="34" t="s">
        <v>96</v>
      </c>
      <c r="T105" s="34" t="s">
        <v>210</v>
      </c>
      <c r="U105" s="34" t="s">
        <v>1605</v>
      </c>
      <c r="V105" s="34" t="s">
        <v>99</v>
      </c>
      <c r="W105" s="34" t="s">
        <v>100</v>
      </c>
      <c r="X105" s="37" t="s">
        <v>100</v>
      </c>
      <c r="Y105" s="34" t="s">
        <v>69</v>
      </c>
      <c r="Z105" s="34" t="s">
        <v>1606</v>
      </c>
      <c r="AA105" s="34">
        <v>1992.0</v>
      </c>
      <c r="AB105" s="34">
        <v>1995.0</v>
      </c>
      <c r="AC105" s="34" t="s">
        <v>214</v>
      </c>
      <c r="AD105" s="34" t="s">
        <v>72</v>
      </c>
      <c r="AE105" s="34" t="s">
        <v>69</v>
      </c>
      <c r="AF105" s="34" t="s">
        <v>74</v>
      </c>
      <c r="AG105" s="34" t="s">
        <v>215</v>
      </c>
      <c r="AH105" s="34" t="s">
        <v>1414</v>
      </c>
      <c r="AI105" s="34" t="s">
        <v>1607</v>
      </c>
      <c r="AJ105" s="34" t="s">
        <v>107</v>
      </c>
      <c r="AK105" s="34" t="s">
        <v>1608</v>
      </c>
      <c r="AL105" s="34" t="s">
        <v>128</v>
      </c>
      <c r="AM105" s="34" t="s">
        <v>198</v>
      </c>
      <c r="AN105" s="34" t="s">
        <v>1609</v>
      </c>
      <c r="AO105" s="39"/>
      <c r="AP105" s="34" t="s">
        <v>1522</v>
      </c>
      <c r="AQ105" s="96"/>
      <c r="AR105" s="96"/>
      <c r="AS105" s="44"/>
    </row>
    <row r="106">
      <c r="A106" s="32">
        <v>190.0</v>
      </c>
      <c r="B106" s="33">
        <v>3.64026323E8</v>
      </c>
      <c r="C106" s="34" t="s">
        <v>1612</v>
      </c>
      <c r="D106" s="34" t="s">
        <v>1613</v>
      </c>
      <c r="E106" s="38" t="s">
        <v>1614</v>
      </c>
      <c r="F106" s="34" t="s">
        <v>1615</v>
      </c>
      <c r="G106" s="38" t="s">
        <v>1616</v>
      </c>
      <c r="H106" s="36">
        <v>2008.0</v>
      </c>
      <c r="I106" s="38" t="s">
        <v>686</v>
      </c>
      <c r="J106" s="34" t="s">
        <v>55</v>
      </c>
      <c r="K106" s="34" t="s">
        <v>1617</v>
      </c>
      <c r="L106" s="34" t="s">
        <v>57</v>
      </c>
      <c r="M106" s="34" t="s">
        <v>114</v>
      </c>
      <c r="N106" s="34" t="s">
        <v>1007</v>
      </c>
      <c r="O106" s="34" t="s">
        <v>1618</v>
      </c>
      <c r="P106" s="34" t="s">
        <v>93</v>
      </c>
      <c r="Q106" s="34" t="s">
        <v>1619</v>
      </c>
      <c r="R106" s="34" t="s">
        <v>1620</v>
      </c>
      <c r="S106" s="34" t="s">
        <v>63</v>
      </c>
      <c r="T106" s="34" t="s">
        <v>229</v>
      </c>
      <c r="U106" s="34" t="s">
        <v>1621</v>
      </c>
      <c r="V106" s="34" t="s">
        <v>99</v>
      </c>
      <c r="W106" s="34" t="s">
        <v>100</v>
      </c>
      <c r="X106" s="37" t="s">
        <v>100</v>
      </c>
      <c r="Y106" s="34" t="s">
        <v>74</v>
      </c>
      <c r="Z106" s="34" t="s">
        <v>57</v>
      </c>
      <c r="AA106" s="34">
        <v>2002.0</v>
      </c>
      <c r="AB106" s="34">
        <v>2002.0</v>
      </c>
      <c r="AC106" s="34" t="s">
        <v>103</v>
      </c>
      <c r="AD106" s="34" t="s">
        <v>144</v>
      </c>
      <c r="AE106" s="34" t="s">
        <v>74</v>
      </c>
      <c r="AF106" s="34" t="s">
        <v>74</v>
      </c>
      <c r="AG106" s="34" t="s">
        <v>215</v>
      </c>
      <c r="AH106" s="34" t="s">
        <v>1622</v>
      </c>
      <c r="AI106" s="34" t="s">
        <v>1623</v>
      </c>
      <c r="AJ106" s="34" t="s">
        <v>147</v>
      </c>
      <c r="AK106" s="34" t="s">
        <v>1624</v>
      </c>
      <c r="AL106" s="34" t="s">
        <v>128</v>
      </c>
      <c r="AM106" s="34" t="s">
        <v>374</v>
      </c>
      <c r="AN106" s="34" t="s">
        <v>1625</v>
      </c>
      <c r="AO106" s="39"/>
      <c r="AP106" s="34" t="s">
        <v>1522</v>
      </c>
      <c r="AQ106" s="96"/>
      <c r="AR106" s="96"/>
      <c r="AS106" s="44"/>
    </row>
    <row r="107">
      <c r="A107" s="32">
        <v>191.0</v>
      </c>
      <c r="B107" s="33">
        <v>3.64026336E8</v>
      </c>
      <c r="C107" s="34" t="s">
        <v>1628</v>
      </c>
      <c r="D107" s="38" t="s">
        <v>1629</v>
      </c>
      <c r="E107" s="34" t="s">
        <v>409</v>
      </c>
      <c r="F107" s="34" t="s">
        <v>273</v>
      </c>
      <c r="G107" s="34" t="s">
        <v>1630</v>
      </c>
      <c r="H107" s="36">
        <v>2000.0</v>
      </c>
      <c r="I107" s="34" t="s">
        <v>1529</v>
      </c>
      <c r="J107" s="34" t="s">
        <v>55</v>
      </c>
      <c r="K107" s="34" t="s">
        <v>1631</v>
      </c>
      <c r="L107" s="34" t="s">
        <v>57</v>
      </c>
      <c r="M107" s="34" t="s">
        <v>273</v>
      </c>
      <c r="N107" s="34" t="s">
        <v>277</v>
      </c>
      <c r="O107" s="34" t="s">
        <v>1632</v>
      </c>
      <c r="P107" s="34" t="s">
        <v>93</v>
      </c>
      <c r="Q107" s="34" t="s">
        <v>57</v>
      </c>
      <c r="R107" s="34" t="s">
        <v>57</v>
      </c>
      <c r="S107" s="34" t="s">
        <v>96</v>
      </c>
      <c r="T107" s="34" t="s">
        <v>1633</v>
      </c>
      <c r="U107" s="34" t="s">
        <v>1634</v>
      </c>
      <c r="V107" s="34" t="s">
        <v>99</v>
      </c>
      <c r="W107" s="34" t="s">
        <v>100</v>
      </c>
      <c r="X107" s="37" t="s">
        <v>100</v>
      </c>
      <c r="Y107" s="34" t="s">
        <v>74</v>
      </c>
      <c r="Z107" s="34" t="s">
        <v>57</v>
      </c>
      <c r="AA107" s="34">
        <v>1997.0</v>
      </c>
      <c r="AB107" s="34">
        <v>1998.0</v>
      </c>
      <c r="AC107" s="34" t="s">
        <v>57</v>
      </c>
      <c r="AD107" s="34" t="s">
        <v>57</v>
      </c>
      <c r="AE107" s="34" t="s">
        <v>69</v>
      </c>
      <c r="AF107" s="34" t="s">
        <v>74</v>
      </c>
      <c r="AG107" s="34" t="s">
        <v>215</v>
      </c>
      <c r="AH107" s="34" t="s">
        <v>105</v>
      </c>
      <c r="AI107" s="34" t="s">
        <v>1231</v>
      </c>
      <c r="AJ107" s="34" t="s">
        <v>107</v>
      </c>
      <c r="AK107" s="34" t="s">
        <v>1635</v>
      </c>
      <c r="AL107" s="34" t="s">
        <v>128</v>
      </c>
      <c r="AM107" s="34" t="s">
        <v>129</v>
      </c>
      <c r="AN107" s="34" t="s">
        <v>1636</v>
      </c>
      <c r="AO107" s="39"/>
      <c r="AP107" s="34" t="s">
        <v>109</v>
      </c>
      <c r="AQ107" s="96"/>
      <c r="AR107" s="96"/>
      <c r="AS107" s="44"/>
    </row>
    <row r="108">
      <c r="A108" s="32">
        <v>192.0</v>
      </c>
      <c r="B108" s="33">
        <v>3.64026373E8</v>
      </c>
      <c r="C108" s="34" t="s">
        <v>1638</v>
      </c>
      <c r="D108" s="34" t="s">
        <v>1639</v>
      </c>
      <c r="E108" s="38" t="s">
        <v>1640</v>
      </c>
      <c r="F108" s="34" t="s">
        <v>396</v>
      </c>
      <c r="G108" s="38" t="s">
        <v>1641</v>
      </c>
      <c r="H108" s="36">
        <v>2014.0</v>
      </c>
      <c r="I108" s="38" t="s">
        <v>1034</v>
      </c>
      <c r="J108" s="34" t="s">
        <v>55</v>
      </c>
      <c r="K108" s="34" t="s">
        <v>1642</v>
      </c>
      <c r="L108" s="34" t="s">
        <v>57</v>
      </c>
      <c r="M108" s="34" t="s">
        <v>396</v>
      </c>
      <c r="N108" s="34" t="s">
        <v>1643</v>
      </c>
      <c r="O108" s="34" t="s">
        <v>1644</v>
      </c>
      <c r="P108" s="34" t="s">
        <v>93</v>
      </c>
      <c r="Q108" s="34" t="s">
        <v>1645</v>
      </c>
      <c r="R108" s="38" t="s">
        <v>1646</v>
      </c>
      <c r="S108" s="34" t="s">
        <v>96</v>
      </c>
      <c r="T108" s="34" t="s">
        <v>1647</v>
      </c>
      <c r="U108" s="34" t="s">
        <v>1648</v>
      </c>
      <c r="V108" s="34" t="s">
        <v>1649</v>
      </c>
      <c r="W108" s="34" t="s">
        <v>1650</v>
      </c>
      <c r="X108" s="37" t="s">
        <v>1651</v>
      </c>
      <c r="Y108" s="34" t="s">
        <v>74</v>
      </c>
      <c r="Z108" s="34" t="s">
        <v>57</v>
      </c>
      <c r="AA108" s="34">
        <v>2003.0</v>
      </c>
      <c r="AB108" s="34">
        <v>2009.0</v>
      </c>
      <c r="AC108" s="34" t="s">
        <v>103</v>
      </c>
      <c r="AD108" s="34" t="s">
        <v>180</v>
      </c>
      <c r="AE108" s="34" t="s">
        <v>69</v>
      </c>
      <c r="AF108" s="34" t="s">
        <v>74</v>
      </c>
      <c r="AG108" s="34" t="s">
        <v>215</v>
      </c>
      <c r="AH108" s="34" t="s">
        <v>1652</v>
      </c>
      <c r="AI108" s="34" t="s">
        <v>1653</v>
      </c>
      <c r="AJ108" s="34" t="s">
        <v>147</v>
      </c>
      <c r="AK108" s="34" t="s">
        <v>1654</v>
      </c>
      <c r="AL108" s="34" t="s">
        <v>128</v>
      </c>
      <c r="AM108" s="34" t="s">
        <v>129</v>
      </c>
      <c r="AN108" s="34" t="s">
        <v>1655</v>
      </c>
      <c r="AO108" s="39"/>
      <c r="AP108" s="34" t="s">
        <v>1522</v>
      </c>
      <c r="AQ108" s="96"/>
      <c r="AR108" s="96"/>
      <c r="AS108" s="44"/>
    </row>
    <row r="109">
      <c r="A109" s="32">
        <v>193.0</v>
      </c>
      <c r="B109" s="33">
        <v>3.64026382E8</v>
      </c>
      <c r="C109" s="34" t="s">
        <v>1658</v>
      </c>
      <c r="D109" s="34" t="s">
        <v>1659</v>
      </c>
      <c r="E109" s="38" t="s">
        <v>1660</v>
      </c>
      <c r="F109" s="34" t="s">
        <v>1661</v>
      </c>
      <c r="G109" s="38" t="s">
        <v>1662</v>
      </c>
      <c r="H109" s="36">
        <v>2015.0</v>
      </c>
      <c r="I109" s="38" t="s">
        <v>686</v>
      </c>
      <c r="J109" s="34" t="s">
        <v>55</v>
      </c>
      <c r="K109" s="34" t="s">
        <v>1663</v>
      </c>
      <c r="L109" s="34" t="s">
        <v>57</v>
      </c>
      <c r="M109" s="34" t="s">
        <v>992</v>
      </c>
      <c r="N109" s="34" t="s">
        <v>1530</v>
      </c>
      <c r="O109" s="34" t="s">
        <v>1664</v>
      </c>
      <c r="P109" s="34" t="s">
        <v>554</v>
      </c>
      <c r="Q109" s="34" t="s">
        <v>1665</v>
      </c>
      <c r="R109" s="34" t="s">
        <v>1666</v>
      </c>
      <c r="S109" s="34" t="s">
        <v>63</v>
      </c>
      <c r="T109" s="34" t="s">
        <v>1308</v>
      </c>
      <c r="U109" s="34" t="s">
        <v>1667</v>
      </c>
      <c r="V109" s="34" t="s">
        <v>1649</v>
      </c>
      <c r="W109" s="34" t="s">
        <v>804</v>
      </c>
      <c r="X109" s="37" t="s">
        <v>100</v>
      </c>
      <c r="Y109" s="34" t="s">
        <v>74</v>
      </c>
      <c r="Z109" s="34" t="s">
        <v>57</v>
      </c>
      <c r="AA109" s="34">
        <v>2012.0</v>
      </c>
      <c r="AB109" s="34">
        <v>2013.0</v>
      </c>
      <c r="AC109" s="34" t="s">
        <v>102</v>
      </c>
      <c r="AD109" s="34" t="s">
        <v>403</v>
      </c>
      <c r="AE109" s="34" t="s">
        <v>69</v>
      </c>
      <c r="AF109" s="34" t="s">
        <v>69</v>
      </c>
      <c r="AG109" s="34" t="s">
        <v>75</v>
      </c>
      <c r="AH109" s="34" t="s">
        <v>105</v>
      </c>
      <c r="AI109" s="34" t="s">
        <v>1231</v>
      </c>
      <c r="AJ109" s="34" t="s">
        <v>107</v>
      </c>
      <c r="AK109" s="34" t="s">
        <v>1668</v>
      </c>
      <c r="AL109" s="34" t="s">
        <v>128</v>
      </c>
      <c r="AM109" s="34" t="s">
        <v>895</v>
      </c>
      <c r="AN109" s="34" t="s">
        <v>1669</v>
      </c>
      <c r="AO109" s="39"/>
      <c r="AP109" s="34" t="s">
        <v>1522</v>
      </c>
      <c r="AQ109" s="96"/>
      <c r="AR109" s="96"/>
      <c r="AS109" s="44"/>
    </row>
    <row r="110">
      <c r="A110" s="32">
        <v>194.0</v>
      </c>
      <c r="B110" s="33">
        <v>3.64026389E8</v>
      </c>
      <c r="C110" s="34" t="s">
        <v>1672</v>
      </c>
      <c r="D110" s="34" t="s">
        <v>1673</v>
      </c>
      <c r="E110" s="38" t="s">
        <v>1674</v>
      </c>
      <c r="F110" s="34" t="s">
        <v>114</v>
      </c>
      <c r="G110" s="38" t="s">
        <v>1675</v>
      </c>
      <c r="H110" s="36">
        <v>2005.0</v>
      </c>
      <c r="I110" s="34" t="s">
        <v>1676</v>
      </c>
      <c r="J110" s="34" t="s">
        <v>55</v>
      </c>
      <c r="K110" s="34" t="s">
        <v>1677</v>
      </c>
      <c r="L110" s="34" t="s">
        <v>57</v>
      </c>
      <c r="M110" s="34" t="s">
        <v>114</v>
      </c>
      <c r="N110" s="34" t="s">
        <v>1678</v>
      </c>
      <c r="O110" s="34" t="s">
        <v>1679</v>
      </c>
      <c r="P110" s="34" t="s">
        <v>93</v>
      </c>
      <c r="Q110" s="34" t="s">
        <v>57</v>
      </c>
      <c r="R110" s="34" t="s">
        <v>57</v>
      </c>
      <c r="S110" s="34" t="s">
        <v>63</v>
      </c>
      <c r="T110" s="34" t="s">
        <v>1265</v>
      </c>
      <c r="U110" s="34" t="s">
        <v>1680</v>
      </c>
      <c r="V110" s="34" t="s">
        <v>1649</v>
      </c>
      <c r="W110" s="34" t="s">
        <v>1681</v>
      </c>
      <c r="X110" s="37" t="s">
        <v>1682</v>
      </c>
      <c r="Y110" s="34" t="s">
        <v>74</v>
      </c>
      <c r="Z110" s="34" t="s">
        <v>57</v>
      </c>
      <c r="AA110" s="34">
        <v>2001.0</v>
      </c>
      <c r="AB110" s="34">
        <v>2003.0</v>
      </c>
      <c r="AC110" s="34" t="s">
        <v>180</v>
      </c>
      <c r="AD110" s="34" t="s">
        <v>370</v>
      </c>
      <c r="AE110" s="34" t="s">
        <v>69</v>
      </c>
      <c r="AF110" s="34" t="s">
        <v>69</v>
      </c>
      <c r="AG110" s="34" t="s">
        <v>75</v>
      </c>
      <c r="AH110" s="34" t="s">
        <v>105</v>
      </c>
      <c r="AI110" s="34" t="s">
        <v>166</v>
      </c>
      <c r="AJ110" s="34" t="s">
        <v>166</v>
      </c>
      <c r="AK110" s="34" t="s">
        <v>1683</v>
      </c>
      <c r="AL110" s="34" t="s">
        <v>128</v>
      </c>
      <c r="AM110" s="34" t="s">
        <v>198</v>
      </c>
      <c r="AN110" s="34" t="s">
        <v>1684</v>
      </c>
      <c r="AO110" s="39"/>
      <c r="AP110" s="34" t="s">
        <v>1522</v>
      </c>
      <c r="AQ110" s="96"/>
      <c r="AR110" s="96"/>
      <c r="AS110" s="44"/>
    </row>
    <row r="111">
      <c r="A111" s="32">
        <v>195.0</v>
      </c>
      <c r="B111" s="33">
        <v>3.64026433E8</v>
      </c>
      <c r="C111" s="34" t="s">
        <v>1687</v>
      </c>
      <c r="D111" s="34" t="s">
        <v>1688</v>
      </c>
      <c r="E111" s="38" t="s">
        <v>1689</v>
      </c>
      <c r="F111" s="34" t="s">
        <v>87</v>
      </c>
      <c r="G111" s="38" t="s">
        <v>1690</v>
      </c>
      <c r="H111" s="36">
        <v>2010.0</v>
      </c>
      <c r="I111" s="38" t="s">
        <v>295</v>
      </c>
      <c r="J111" s="34" t="s">
        <v>55</v>
      </c>
      <c r="K111" s="34" t="s">
        <v>1691</v>
      </c>
      <c r="L111" s="34" t="s">
        <v>57</v>
      </c>
      <c r="M111" s="34" t="s">
        <v>87</v>
      </c>
      <c r="N111" s="34" t="s">
        <v>1692</v>
      </c>
      <c r="O111" s="34" t="s">
        <v>1693</v>
      </c>
      <c r="P111" s="34" t="s">
        <v>93</v>
      </c>
      <c r="Q111" s="34" t="s">
        <v>1694</v>
      </c>
      <c r="R111" s="34" t="s">
        <v>1695</v>
      </c>
      <c r="S111" s="34" t="s">
        <v>63</v>
      </c>
      <c r="T111" s="34" t="s">
        <v>749</v>
      </c>
      <c r="U111" s="34" t="s">
        <v>1696</v>
      </c>
      <c r="V111" s="34" t="s">
        <v>1649</v>
      </c>
      <c r="W111" s="34" t="s">
        <v>804</v>
      </c>
      <c r="X111" s="37" t="s">
        <v>100</v>
      </c>
      <c r="Y111" s="34" t="s">
        <v>74</v>
      </c>
      <c r="Z111" s="34" t="s">
        <v>57</v>
      </c>
      <c r="AA111" s="34">
        <v>2007.0</v>
      </c>
      <c r="AB111" s="34">
        <v>2007.0</v>
      </c>
      <c r="AC111" s="34" t="s">
        <v>370</v>
      </c>
      <c r="AD111" s="34" t="s">
        <v>102</v>
      </c>
      <c r="AE111" s="34" t="s">
        <v>74</v>
      </c>
      <c r="AF111" s="34" t="s">
        <v>74</v>
      </c>
      <c r="AG111" s="34" t="s">
        <v>75</v>
      </c>
      <c r="AH111" s="34" t="s">
        <v>1622</v>
      </c>
      <c r="AI111" s="34" t="s">
        <v>1697</v>
      </c>
      <c r="AJ111" s="34" t="s">
        <v>107</v>
      </c>
      <c r="AK111" s="34" t="s">
        <v>1698</v>
      </c>
      <c r="AL111" s="34" t="s">
        <v>128</v>
      </c>
      <c r="AM111" s="34" t="s">
        <v>129</v>
      </c>
      <c r="AN111" s="34" t="s">
        <v>1699</v>
      </c>
      <c r="AO111" s="34" t="s">
        <v>1700</v>
      </c>
      <c r="AP111" s="34" t="s">
        <v>1522</v>
      </c>
      <c r="AQ111" s="96"/>
      <c r="AR111" s="96"/>
      <c r="AS111" s="44"/>
    </row>
    <row r="112">
      <c r="A112" s="32">
        <v>196.0</v>
      </c>
      <c r="B112" s="33">
        <v>3.64026416E8</v>
      </c>
      <c r="C112" s="34" t="s">
        <v>1703</v>
      </c>
      <c r="D112" s="38" t="s">
        <v>1629</v>
      </c>
      <c r="E112" s="38" t="s">
        <v>409</v>
      </c>
      <c r="F112" s="34" t="s">
        <v>273</v>
      </c>
      <c r="G112" s="38" t="s">
        <v>1704</v>
      </c>
      <c r="H112" s="36">
        <v>2000.0</v>
      </c>
      <c r="I112" s="34" t="s">
        <v>1705</v>
      </c>
      <c r="J112" s="34" t="s">
        <v>55</v>
      </c>
      <c r="K112" s="34" t="s">
        <v>276</v>
      </c>
      <c r="L112" s="34" t="s">
        <v>57</v>
      </c>
      <c r="M112" s="34" t="s">
        <v>273</v>
      </c>
      <c r="N112" s="34" t="s">
        <v>277</v>
      </c>
      <c r="O112" s="34" t="s">
        <v>1706</v>
      </c>
      <c r="P112" s="34" t="s">
        <v>93</v>
      </c>
      <c r="Q112" s="34" t="s">
        <v>57</v>
      </c>
      <c r="R112" s="34" t="s">
        <v>57</v>
      </c>
      <c r="S112" s="34" t="s">
        <v>96</v>
      </c>
      <c r="T112" s="34" t="s">
        <v>351</v>
      </c>
      <c r="U112" s="34" t="s">
        <v>1707</v>
      </c>
      <c r="V112" s="34" t="s">
        <v>99</v>
      </c>
      <c r="W112" s="34" t="s">
        <v>100</v>
      </c>
      <c r="X112" s="37" t="s">
        <v>100</v>
      </c>
      <c r="Y112" s="34" t="s">
        <v>74</v>
      </c>
      <c r="Z112" s="34" t="s">
        <v>57</v>
      </c>
      <c r="AA112" s="34">
        <v>1998.0</v>
      </c>
      <c r="AB112" s="34">
        <v>1998.0</v>
      </c>
      <c r="AC112" s="34" t="s">
        <v>144</v>
      </c>
      <c r="AD112" s="34" t="s">
        <v>72</v>
      </c>
      <c r="AE112" s="34" t="s">
        <v>69</v>
      </c>
      <c r="AF112" s="34" t="s">
        <v>74</v>
      </c>
      <c r="AG112" s="34" t="s">
        <v>104</v>
      </c>
      <c r="AH112" s="34" t="s">
        <v>105</v>
      </c>
      <c r="AI112" s="34" t="s">
        <v>336</v>
      </c>
      <c r="AJ112" s="34" t="s">
        <v>336</v>
      </c>
      <c r="AK112" s="34" t="s">
        <v>1708</v>
      </c>
      <c r="AL112" s="34" t="s">
        <v>128</v>
      </c>
      <c r="AM112" s="34" t="s">
        <v>374</v>
      </c>
      <c r="AN112" s="34" t="s">
        <v>1709</v>
      </c>
      <c r="AO112" s="39"/>
      <c r="AP112" s="34" t="s">
        <v>109</v>
      </c>
      <c r="AQ112" s="96"/>
      <c r="AR112" s="96"/>
      <c r="AS112" s="44"/>
    </row>
    <row r="113">
      <c r="A113" s="32">
        <v>197.0</v>
      </c>
      <c r="B113" s="33">
        <v>3.64026434E8</v>
      </c>
      <c r="C113" s="34" t="s">
        <v>1712</v>
      </c>
      <c r="D113" s="34" t="s">
        <v>1713</v>
      </c>
      <c r="E113" s="38" t="s">
        <v>1714</v>
      </c>
      <c r="F113" s="34" t="s">
        <v>396</v>
      </c>
      <c r="G113" s="38" t="s">
        <v>1715</v>
      </c>
      <c r="H113" s="36">
        <v>2007.0</v>
      </c>
      <c r="I113" s="34" t="s">
        <v>156</v>
      </c>
      <c r="J113" s="34" t="s">
        <v>55</v>
      </c>
      <c r="K113" s="34" t="s">
        <v>1716</v>
      </c>
      <c r="L113" s="34" t="s">
        <v>57</v>
      </c>
      <c r="M113" s="34" t="s">
        <v>396</v>
      </c>
      <c r="N113" s="34" t="s">
        <v>1717</v>
      </c>
      <c r="O113" s="34" t="s">
        <v>1718</v>
      </c>
      <c r="P113" s="34" t="s">
        <v>93</v>
      </c>
      <c r="Q113" s="34" t="s">
        <v>57</v>
      </c>
      <c r="R113" s="34" t="s">
        <v>57</v>
      </c>
      <c r="S113" s="34" t="s">
        <v>63</v>
      </c>
      <c r="T113" s="34" t="s">
        <v>1719</v>
      </c>
      <c r="U113" s="34" t="s">
        <v>1720</v>
      </c>
      <c r="V113" s="34" t="s">
        <v>99</v>
      </c>
      <c r="W113" s="34" t="s">
        <v>100</v>
      </c>
      <c r="X113" s="37" t="s">
        <v>100</v>
      </c>
      <c r="Y113" s="34" t="s">
        <v>74</v>
      </c>
      <c r="Z113" s="34" t="s">
        <v>57</v>
      </c>
      <c r="AA113" s="34">
        <v>2002.0</v>
      </c>
      <c r="AB113" s="34">
        <v>2004.0</v>
      </c>
      <c r="AC113" s="34" t="s">
        <v>57</v>
      </c>
      <c r="AD113" s="34" t="s">
        <v>57</v>
      </c>
      <c r="AE113" s="34" t="s">
        <v>69</v>
      </c>
      <c r="AF113" s="34" t="s">
        <v>74</v>
      </c>
      <c r="AG113" s="34" t="s">
        <v>104</v>
      </c>
      <c r="AH113" s="34" t="s">
        <v>105</v>
      </c>
      <c r="AI113" s="34" t="s">
        <v>336</v>
      </c>
      <c r="AJ113" s="34" t="s">
        <v>336</v>
      </c>
      <c r="AK113" s="34" t="s">
        <v>1721</v>
      </c>
      <c r="AL113" s="34" t="s">
        <v>128</v>
      </c>
      <c r="AM113" s="34" t="s">
        <v>895</v>
      </c>
      <c r="AN113" s="34" t="s">
        <v>1722</v>
      </c>
      <c r="AO113" s="39"/>
      <c r="AP113" s="34" t="s">
        <v>109</v>
      </c>
      <c r="AQ113" s="96"/>
      <c r="AR113" s="96"/>
      <c r="AS113" s="44"/>
    </row>
    <row r="114">
      <c r="A114" s="32">
        <v>198.0</v>
      </c>
      <c r="B114" s="33">
        <v>3.64026438E8</v>
      </c>
      <c r="C114" s="34" t="s">
        <v>1724</v>
      </c>
      <c r="D114" s="34" t="s">
        <v>1725</v>
      </c>
      <c r="E114" s="38" t="s">
        <v>1726</v>
      </c>
      <c r="F114" s="34" t="s">
        <v>1727</v>
      </c>
      <c r="G114" s="38" t="s">
        <v>1728</v>
      </c>
      <c r="H114" s="62">
        <v>2019.0</v>
      </c>
      <c r="I114" s="34" t="s">
        <v>295</v>
      </c>
      <c r="J114" s="34" t="s">
        <v>55</v>
      </c>
      <c r="K114" s="34" t="s">
        <v>1729</v>
      </c>
      <c r="L114" s="34" t="s">
        <v>57</v>
      </c>
      <c r="M114" s="34" t="s">
        <v>1727</v>
      </c>
      <c r="N114" s="34" t="s">
        <v>1730</v>
      </c>
      <c r="O114" s="34" t="s">
        <v>1731</v>
      </c>
      <c r="P114" s="34" t="s">
        <v>93</v>
      </c>
      <c r="Q114" s="38" t="s">
        <v>1732</v>
      </c>
      <c r="R114" s="38" t="s">
        <v>1733</v>
      </c>
      <c r="S114" s="34" t="s">
        <v>63</v>
      </c>
      <c r="T114" s="34" t="s">
        <v>210</v>
      </c>
      <c r="U114" s="34" t="s">
        <v>1734</v>
      </c>
      <c r="V114" s="34" t="s">
        <v>66</v>
      </c>
      <c r="W114" s="34" t="s">
        <v>1735</v>
      </c>
      <c r="X114" s="37" t="s">
        <v>1736</v>
      </c>
      <c r="Y114" s="34" t="s">
        <v>74</v>
      </c>
      <c r="Z114" s="34" t="s">
        <v>57</v>
      </c>
      <c r="AA114" s="34">
        <v>2004.0</v>
      </c>
      <c r="AB114" s="34">
        <v>2012.0</v>
      </c>
      <c r="AC114" s="34" t="s">
        <v>57</v>
      </c>
      <c r="AD114" s="34" t="s">
        <v>57</v>
      </c>
      <c r="AE114" s="34" t="s">
        <v>57</v>
      </c>
      <c r="AF114" s="34" t="s">
        <v>74</v>
      </c>
      <c r="AG114" s="34" t="s">
        <v>215</v>
      </c>
      <c r="AH114" s="34" t="s">
        <v>165</v>
      </c>
      <c r="AI114" s="34" t="s">
        <v>465</v>
      </c>
      <c r="AJ114" s="34" t="s">
        <v>465</v>
      </c>
      <c r="AK114" s="34" t="s">
        <v>1737</v>
      </c>
      <c r="AL114" s="34" t="s">
        <v>128</v>
      </c>
      <c r="AM114" s="34" t="s">
        <v>129</v>
      </c>
      <c r="AN114" s="34" t="s">
        <v>1738</v>
      </c>
      <c r="AO114" s="34" t="s">
        <v>1418</v>
      </c>
      <c r="AP114" s="34" t="s">
        <v>109</v>
      </c>
      <c r="AQ114" s="96"/>
      <c r="AR114" s="96"/>
      <c r="AS114" s="44"/>
    </row>
    <row r="115">
      <c r="A115" s="32">
        <v>199.0</v>
      </c>
      <c r="B115" s="33">
        <v>3.64026441E8</v>
      </c>
      <c r="C115" s="34" t="s">
        <v>1741</v>
      </c>
      <c r="D115" s="34" t="s">
        <v>1742</v>
      </c>
      <c r="E115" s="34" t="s">
        <v>1743</v>
      </c>
      <c r="F115" s="34" t="s">
        <v>1744</v>
      </c>
      <c r="G115" s="34" t="s">
        <v>1745</v>
      </c>
      <c r="H115" s="36">
        <v>2021.0</v>
      </c>
      <c r="I115" s="34" t="s">
        <v>1746</v>
      </c>
      <c r="J115" s="34" t="s">
        <v>55</v>
      </c>
      <c r="K115" s="34" t="s">
        <v>1747</v>
      </c>
      <c r="L115" s="34" t="s">
        <v>57</v>
      </c>
      <c r="M115" s="34" t="s">
        <v>1748</v>
      </c>
      <c r="N115" s="34" t="s">
        <v>1749</v>
      </c>
      <c r="O115" s="34" t="s">
        <v>1750</v>
      </c>
      <c r="P115" s="34" t="s">
        <v>93</v>
      </c>
      <c r="Q115" s="38" t="s">
        <v>1751</v>
      </c>
      <c r="R115" s="38" t="s">
        <v>1752</v>
      </c>
      <c r="S115" s="34" t="s">
        <v>63</v>
      </c>
      <c r="T115" s="34" t="s">
        <v>1753</v>
      </c>
      <c r="U115" s="34" t="s">
        <v>1754</v>
      </c>
      <c r="V115" s="34" t="s">
        <v>99</v>
      </c>
      <c r="W115" s="34" t="s">
        <v>100</v>
      </c>
      <c r="X115" s="37" t="s">
        <v>100</v>
      </c>
      <c r="Y115" s="34" t="s">
        <v>74</v>
      </c>
      <c r="Z115" s="34" t="s">
        <v>57</v>
      </c>
      <c r="AA115" s="34">
        <v>2016.0</v>
      </c>
      <c r="AB115" s="34">
        <v>2020.0</v>
      </c>
      <c r="AC115" s="34" t="s">
        <v>1755</v>
      </c>
      <c r="AD115" s="34" t="s">
        <v>1755</v>
      </c>
      <c r="AE115" s="34" t="s">
        <v>74</v>
      </c>
      <c r="AF115" s="34" t="s">
        <v>74</v>
      </c>
      <c r="AG115" s="34" t="s">
        <v>104</v>
      </c>
      <c r="AH115" s="34" t="s">
        <v>105</v>
      </c>
      <c r="AI115" s="34" t="s">
        <v>1231</v>
      </c>
      <c r="AJ115" s="34" t="s">
        <v>107</v>
      </c>
      <c r="AK115" s="34" t="s">
        <v>1756</v>
      </c>
      <c r="AL115" s="34" t="s">
        <v>128</v>
      </c>
      <c r="AM115" s="34" t="s">
        <v>129</v>
      </c>
      <c r="AN115" s="34" t="s">
        <v>1757</v>
      </c>
      <c r="AO115" s="39"/>
      <c r="AP115" s="34" t="s">
        <v>109</v>
      </c>
      <c r="AQ115" s="96"/>
      <c r="AR115" s="96"/>
      <c r="AS115" s="44"/>
    </row>
    <row r="116">
      <c r="A116" s="32">
        <v>200.0</v>
      </c>
      <c r="B116" s="33">
        <v>3.64026446E8</v>
      </c>
      <c r="C116" s="34" t="s">
        <v>1759</v>
      </c>
      <c r="D116" s="34" t="s">
        <v>1760</v>
      </c>
      <c r="E116" s="38" t="s">
        <v>1761</v>
      </c>
      <c r="F116" s="34" t="s">
        <v>650</v>
      </c>
      <c r="G116" s="38" t="s">
        <v>1762</v>
      </c>
      <c r="H116" s="36">
        <v>2017.0</v>
      </c>
      <c r="I116" s="34" t="s">
        <v>796</v>
      </c>
      <c r="J116" s="34" t="s">
        <v>55</v>
      </c>
      <c r="K116" s="34" t="s">
        <v>1763</v>
      </c>
      <c r="L116" s="34" t="s">
        <v>57</v>
      </c>
      <c r="M116" s="34" t="s">
        <v>859</v>
      </c>
      <c r="N116" s="34" t="s">
        <v>1764</v>
      </c>
      <c r="O116" s="34" t="s">
        <v>1765</v>
      </c>
      <c r="P116" s="34" t="s">
        <v>93</v>
      </c>
      <c r="Q116" s="34" t="s">
        <v>57</v>
      </c>
      <c r="R116" s="34" t="s">
        <v>57</v>
      </c>
      <c r="S116" s="34" t="s">
        <v>96</v>
      </c>
      <c r="T116" s="34" t="s">
        <v>1265</v>
      </c>
      <c r="U116" s="34" t="s">
        <v>1766</v>
      </c>
      <c r="V116" s="34" t="s">
        <v>99</v>
      </c>
      <c r="W116" s="34" t="s">
        <v>100</v>
      </c>
      <c r="X116" s="37" t="s">
        <v>100</v>
      </c>
      <c r="Y116" s="34" t="s">
        <v>74</v>
      </c>
      <c r="Z116" s="34" t="s">
        <v>57</v>
      </c>
      <c r="AA116" s="34">
        <v>2016.0</v>
      </c>
      <c r="AB116" s="34">
        <v>2016.0</v>
      </c>
      <c r="AC116" s="34" t="s">
        <v>180</v>
      </c>
      <c r="AD116" s="34" t="s">
        <v>180</v>
      </c>
      <c r="AE116" s="34" t="s">
        <v>69</v>
      </c>
      <c r="AF116" s="34" t="s">
        <v>74</v>
      </c>
      <c r="AG116" s="34" t="s">
        <v>104</v>
      </c>
      <c r="AH116" s="34" t="s">
        <v>105</v>
      </c>
      <c r="AI116" s="34" t="s">
        <v>1231</v>
      </c>
      <c r="AJ116" s="34" t="s">
        <v>107</v>
      </c>
      <c r="AK116" s="34" t="s">
        <v>1767</v>
      </c>
      <c r="AL116" s="34" t="s">
        <v>79</v>
      </c>
      <c r="AM116" s="34" t="s">
        <v>57</v>
      </c>
      <c r="AN116" s="34" t="s">
        <v>57</v>
      </c>
      <c r="AO116" s="39"/>
      <c r="AP116" s="34" t="s">
        <v>109</v>
      </c>
      <c r="AQ116" s="96"/>
      <c r="AR116" s="96"/>
      <c r="AS116" s="44"/>
    </row>
    <row r="117">
      <c r="A117" s="32">
        <v>201.0</v>
      </c>
      <c r="B117" s="33">
        <v>3.64026442E8</v>
      </c>
      <c r="C117" s="34" t="s">
        <v>1770</v>
      </c>
      <c r="D117" s="34" t="s">
        <v>1771</v>
      </c>
      <c r="E117" s="34" t="s">
        <v>1772</v>
      </c>
      <c r="F117" s="34" t="s">
        <v>114</v>
      </c>
      <c r="G117" s="34" t="s">
        <v>1773</v>
      </c>
      <c r="H117" s="36">
        <v>2020.0</v>
      </c>
      <c r="I117" s="34" t="s">
        <v>295</v>
      </c>
      <c r="J117" s="34" t="s">
        <v>55</v>
      </c>
      <c r="K117" s="34" t="s">
        <v>1774</v>
      </c>
      <c r="L117" s="34" t="s">
        <v>57</v>
      </c>
      <c r="M117" s="34" t="s">
        <v>114</v>
      </c>
      <c r="N117" s="34" t="s">
        <v>1775</v>
      </c>
      <c r="O117" s="34" t="s">
        <v>1776</v>
      </c>
      <c r="P117" s="34" t="s">
        <v>93</v>
      </c>
      <c r="Q117" s="34" t="s">
        <v>57</v>
      </c>
      <c r="R117" s="34" t="s">
        <v>57</v>
      </c>
      <c r="S117" s="34" t="s">
        <v>63</v>
      </c>
      <c r="T117" s="34" t="s">
        <v>463</v>
      </c>
      <c r="U117" s="34" t="s">
        <v>1777</v>
      </c>
      <c r="V117" s="34" t="s">
        <v>99</v>
      </c>
      <c r="W117" s="34" t="s">
        <v>100</v>
      </c>
      <c r="X117" s="37" t="s">
        <v>100</v>
      </c>
      <c r="Y117" s="34" t="s">
        <v>74</v>
      </c>
      <c r="Z117" s="34" t="s">
        <v>57</v>
      </c>
      <c r="AA117" s="34">
        <v>2002.0</v>
      </c>
      <c r="AB117" s="34">
        <v>2019.0</v>
      </c>
      <c r="AC117" s="34" t="s">
        <v>542</v>
      </c>
      <c r="AD117" s="34" t="s">
        <v>692</v>
      </c>
      <c r="AE117" s="34" t="s">
        <v>69</v>
      </c>
      <c r="AF117" s="34" t="s">
        <v>74</v>
      </c>
      <c r="AG117" s="34" t="s">
        <v>104</v>
      </c>
      <c r="AH117" s="34" t="s">
        <v>105</v>
      </c>
      <c r="AI117" s="34" t="s">
        <v>1231</v>
      </c>
      <c r="AJ117" s="34" t="s">
        <v>107</v>
      </c>
      <c r="AK117" s="34" t="s">
        <v>1778</v>
      </c>
      <c r="AL117" s="34" t="s">
        <v>128</v>
      </c>
      <c r="AM117" s="34" t="s">
        <v>129</v>
      </c>
      <c r="AN117" s="34" t="s">
        <v>1779</v>
      </c>
      <c r="AO117" s="39"/>
      <c r="AP117" s="34" t="s">
        <v>109</v>
      </c>
      <c r="AQ117" s="96"/>
      <c r="AR117" s="96"/>
      <c r="AS117" s="44"/>
    </row>
    <row r="118">
      <c r="A118" s="32">
        <v>202.0</v>
      </c>
      <c r="B118" s="33">
        <v>3.64026439E8</v>
      </c>
      <c r="C118" s="34" t="s">
        <v>1781</v>
      </c>
      <c r="D118" s="34" t="s">
        <v>1782</v>
      </c>
      <c r="E118" s="38" t="s">
        <v>1783</v>
      </c>
      <c r="F118" s="34" t="s">
        <v>760</v>
      </c>
      <c r="G118" s="38" t="s">
        <v>1784</v>
      </c>
      <c r="H118" s="36">
        <v>2009.0</v>
      </c>
      <c r="I118" s="38" t="s">
        <v>295</v>
      </c>
      <c r="J118" s="34" t="s">
        <v>55</v>
      </c>
      <c r="K118" s="34" t="s">
        <v>1785</v>
      </c>
      <c r="L118" s="34" t="s">
        <v>57</v>
      </c>
      <c r="M118" s="34" t="s">
        <v>760</v>
      </c>
      <c r="N118" s="34" t="s">
        <v>1786</v>
      </c>
      <c r="O118" s="34" t="s">
        <v>1787</v>
      </c>
      <c r="P118" s="34" t="s">
        <v>93</v>
      </c>
      <c r="Q118" s="34" t="s">
        <v>57</v>
      </c>
      <c r="R118" s="34" t="s">
        <v>57</v>
      </c>
      <c r="S118" s="34" t="s">
        <v>63</v>
      </c>
      <c r="T118" s="34" t="s">
        <v>1265</v>
      </c>
      <c r="U118" s="34" t="s">
        <v>1788</v>
      </c>
      <c r="V118" s="34" t="s">
        <v>1649</v>
      </c>
      <c r="W118" s="34" t="s">
        <v>100</v>
      </c>
      <c r="X118" s="37" t="s">
        <v>100</v>
      </c>
      <c r="Y118" s="34" t="s">
        <v>74</v>
      </c>
      <c r="Z118" s="34" t="s">
        <v>57</v>
      </c>
      <c r="AA118" s="34">
        <v>2006.0</v>
      </c>
      <c r="AB118" s="34">
        <v>2006.0</v>
      </c>
      <c r="AC118" s="34" t="s">
        <v>180</v>
      </c>
      <c r="AD118" s="34" t="s">
        <v>72</v>
      </c>
      <c r="AE118" s="34" t="s">
        <v>69</v>
      </c>
      <c r="AF118" s="34" t="s">
        <v>74</v>
      </c>
      <c r="AG118" s="34" t="s">
        <v>75</v>
      </c>
      <c r="AH118" s="34" t="s">
        <v>1414</v>
      </c>
      <c r="AI118" s="34" t="s">
        <v>1789</v>
      </c>
      <c r="AJ118" s="34" t="s">
        <v>107</v>
      </c>
      <c r="AK118" s="34" t="s">
        <v>1790</v>
      </c>
      <c r="AL118" s="34" t="s">
        <v>128</v>
      </c>
      <c r="AM118" s="34" t="s">
        <v>1791</v>
      </c>
      <c r="AN118" s="34" t="s">
        <v>1792</v>
      </c>
      <c r="AO118" s="39"/>
      <c r="AP118" s="34" t="s">
        <v>1522</v>
      </c>
      <c r="AQ118" s="96"/>
      <c r="AR118" s="96"/>
      <c r="AS118" s="44"/>
    </row>
    <row r="119">
      <c r="A119" s="32">
        <v>203.0</v>
      </c>
      <c r="B119" s="33">
        <v>3.64026437E8</v>
      </c>
      <c r="C119" s="34" t="s">
        <v>1794</v>
      </c>
      <c r="D119" s="34" t="s">
        <v>1795</v>
      </c>
      <c r="E119" s="38" t="s">
        <v>1796</v>
      </c>
      <c r="F119" s="34" t="s">
        <v>1661</v>
      </c>
      <c r="G119" s="38" t="s">
        <v>1797</v>
      </c>
      <c r="H119" s="36">
        <v>2017.0</v>
      </c>
      <c r="I119" s="38" t="s">
        <v>1798</v>
      </c>
      <c r="J119" s="34" t="s">
        <v>55</v>
      </c>
      <c r="K119" s="34" t="s">
        <v>1410</v>
      </c>
      <c r="L119" s="34" t="s">
        <v>57</v>
      </c>
      <c r="M119" s="34" t="s">
        <v>992</v>
      </c>
      <c r="N119" s="34" t="s">
        <v>1114</v>
      </c>
      <c r="O119" s="34" t="s">
        <v>1799</v>
      </c>
      <c r="P119" s="34" t="s">
        <v>554</v>
      </c>
      <c r="Q119" s="34" t="s">
        <v>57</v>
      </c>
      <c r="R119" s="34" t="s">
        <v>57</v>
      </c>
      <c r="S119" s="34" t="s">
        <v>63</v>
      </c>
      <c r="T119" s="34" t="s">
        <v>1800</v>
      </c>
      <c r="U119" s="34" t="s">
        <v>1801</v>
      </c>
      <c r="V119" s="34" t="s">
        <v>1649</v>
      </c>
      <c r="W119" s="34" t="s">
        <v>100</v>
      </c>
      <c r="X119" s="37" t="s">
        <v>100</v>
      </c>
      <c r="Y119" s="34" t="s">
        <v>74</v>
      </c>
      <c r="Z119" s="34" t="s">
        <v>57</v>
      </c>
      <c r="AA119" s="34">
        <v>2012.0</v>
      </c>
      <c r="AB119" s="34">
        <v>2013.0</v>
      </c>
      <c r="AC119" s="34" t="s">
        <v>264</v>
      </c>
      <c r="AD119" s="34" t="s">
        <v>71</v>
      </c>
      <c r="AE119" s="34" t="s">
        <v>69</v>
      </c>
      <c r="AF119" s="34" t="s">
        <v>74</v>
      </c>
      <c r="AG119" s="34" t="s">
        <v>75</v>
      </c>
      <c r="AH119" s="34" t="s">
        <v>105</v>
      </c>
      <c r="AI119" s="34" t="s">
        <v>166</v>
      </c>
      <c r="AJ119" s="34" t="s">
        <v>166</v>
      </c>
      <c r="AK119" s="34" t="s">
        <v>1802</v>
      </c>
      <c r="AL119" s="34" t="s">
        <v>128</v>
      </c>
      <c r="AM119" s="34" t="s">
        <v>129</v>
      </c>
      <c r="AN119" s="34" t="s">
        <v>1803</v>
      </c>
      <c r="AO119" s="39"/>
      <c r="AP119" s="34" t="s">
        <v>1522</v>
      </c>
      <c r="AQ119" s="96"/>
      <c r="AR119" s="96"/>
      <c r="AS119" s="44"/>
    </row>
    <row r="120">
      <c r="A120" s="32">
        <v>208.0</v>
      </c>
      <c r="B120" s="33">
        <v>3.64026819E8</v>
      </c>
      <c r="C120" s="34" t="s">
        <v>1806</v>
      </c>
      <c r="D120" s="34" t="s">
        <v>1807</v>
      </c>
      <c r="E120" s="34" t="s">
        <v>1808</v>
      </c>
      <c r="F120" s="34" t="s">
        <v>114</v>
      </c>
      <c r="G120" s="34" t="s">
        <v>1809</v>
      </c>
      <c r="H120" s="36">
        <v>2005.0</v>
      </c>
      <c r="I120" s="34" t="s">
        <v>207</v>
      </c>
      <c r="J120" s="34" t="s">
        <v>55</v>
      </c>
      <c r="K120" s="34" t="s">
        <v>1810</v>
      </c>
      <c r="L120" s="34" t="s">
        <v>57</v>
      </c>
      <c r="M120" s="34" t="s">
        <v>114</v>
      </c>
      <c r="N120" s="34" t="s">
        <v>1811</v>
      </c>
      <c r="O120" s="34" t="s">
        <v>1812</v>
      </c>
      <c r="P120" s="34" t="s">
        <v>93</v>
      </c>
      <c r="Q120" s="34" t="s">
        <v>57</v>
      </c>
      <c r="R120" s="34" t="s">
        <v>57</v>
      </c>
      <c r="S120" s="34" t="s">
        <v>193</v>
      </c>
      <c r="T120" s="34" t="s">
        <v>1813</v>
      </c>
      <c r="U120" s="34" t="s">
        <v>1814</v>
      </c>
      <c r="V120" s="34" t="s">
        <v>99</v>
      </c>
      <c r="W120" s="34" t="s">
        <v>100</v>
      </c>
      <c r="X120" s="37" t="s">
        <v>100</v>
      </c>
      <c r="Y120" s="34" t="s">
        <v>74</v>
      </c>
      <c r="Z120" s="34" t="s">
        <v>57</v>
      </c>
      <c r="AA120" s="34">
        <v>2002.0</v>
      </c>
      <c r="AB120" s="34">
        <v>2003.0</v>
      </c>
      <c r="AC120" s="34" t="s">
        <v>180</v>
      </c>
      <c r="AD120" s="34" t="s">
        <v>72</v>
      </c>
      <c r="AE120" s="34" t="s">
        <v>69</v>
      </c>
      <c r="AF120" s="34" t="s">
        <v>69</v>
      </c>
      <c r="AG120" s="34" t="s">
        <v>104</v>
      </c>
      <c r="AH120" s="34" t="s">
        <v>165</v>
      </c>
      <c r="AI120" s="34" t="s">
        <v>465</v>
      </c>
      <c r="AJ120" s="34" t="s">
        <v>465</v>
      </c>
      <c r="AK120" s="34" t="s">
        <v>1815</v>
      </c>
      <c r="AL120" s="34" t="s">
        <v>128</v>
      </c>
      <c r="AM120" s="34" t="s">
        <v>374</v>
      </c>
      <c r="AN120" s="34" t="s">
        <v>1816</v>
      </c>
      <c r="AO120" s="39"/>
      <c r="AP120" s="34" t="s">
        <v>184</v>
      </c>
      <c r="AQ120" s="96"/>
      <c r="AR120" s="96"/>
      <c r="AS120" s="44"/>
    </row>
    <row r="121">
      <c r="A121" s="32">
        <v>210.0</v>
      </c>
      <c r="B121" s="33">
        <v>3.64026475E8</v>
      </c>
      <c r="C121" s="34" t="s">
        <v>1819</v>
      </c>
      <c r="D121" s="34" t="s">
        <v>1820</v>
      </c>
      <c r="E121" s="38" t="s">
        <v>1821</v>
      </c>
      <c r="F121" s="34" t="s">
        <v>859</v>
      </c>
      <c r="G121" s="38" t="s">
        <v>1822</v>
      </c>
      <c r="H121" s="36">
        <v>2015.0</v>
      </c>
      <c r="I121" s="34" t="s">
        <v>796</v>
      </c>
      <c r="J121" s="34" t="s">
        <v>55</v>
      </c>
      <c r="K121" s="34" t="s">
        <v>1823</v>
      </c>
      <c r="L121" s="34" t="s">
        <v>57</v>
      </c>
      <c r="M121" s="34" t="s">
        <v>859</v>
      </c>
      <c r="N121" s="34" t="s">
        <v>1824</v>
      </c>
      <c r="O121" s="34" t="s">
        <v>1825</v>
      </c>
      <c r="P121" s="34" t="s">
        <v>93</v>
      </c>
      <c r="Q121" s="38" t="s">
        <v>1826</v>
      </c>
      <c r="R121" s="38" t="s">
        <v>1827</v>
      </c>
      <c r="S121" s="34" t="s">
        <v>96</v>
      </c>
      <c r="T121" s="34" t="s">
        <v>351</v>
      </c>
      <c r="U121" s="34" t="s">
        <v>1828</v>
      </c>
      <c r="V121" s="34" t="s">
        <v>99</v>
      </c>
      <c r="W121" s="34" t="s">
        <v>100</v>
      </c>
      <c r="X121" s="37" t="s">
        <v>100</v>
      </c>
      <c r="Y121" s="34" t="s">
        <v>69</v>
      </c>
      <c r="Z121" s="34" t="s">
        <v>1829</v>
      </c>
      <c r="AA121" s="34">
        <v>2009.0</v>
      </c>
      <c r="AB121" s="34">
        <v>2010.0</v>
      </c>
      <c r="AC121" s="34" t="s">
        <v>403</v>
      </c>
      <c r="AD121" s="34" t="s">
        <v>102</v>
      </c>
      <c r="AE121" s="34" t="s">
        <v>69</v>
      </c>
      <c r="AF121" s="34" t="s">
        <v>74</v>
      </c>
      <c r="AG121" s="34" t="s">
        <v>104</v>
      </c>
      <c r="AH121" s="34" t="s">
        <v>1622</v>
      </c>
      <c r="AI121" s="34" t="s">
        <v>1697</v>
      </c>
      <c r="AJ121" s="34" t="s">
        <v>107</v>
      </c>
      <c r="AK121" s="34" t="s">
        <v>1830</v>
      </c>
      <c r="AL121" s="34" t="s">
        <v>128</v>
      </c>
      <c r="AM121" s="34" t="s">
        <v>129</v>
      </c>
      <c r="AN121" s="34" t="s">
        <v>1831</v>
      </c>
      <c r="AO121" s="34" t="s">
        <v>1832</v>
      </c>
      <c r="AP121" s="34" t="s">
        <v>109</v>
      </c>
      <c r="AQ121" s="96"/>
      <c r="AR121" s="96"/>
      <c r="AS121" s="44"/>
    </row>
    <row r="122">
      <c r="A122" s="32">
        <v>211.0</v>
      </c>
      <c r="B122" s="33">
        <v>3.64026836E8</v>
      </c>
      <c r="C122" s="34" t="s">
        <v>1835</v>
      </c>
      <c r="D122" s="34" t="s">
        <v>1836</v>
      </c>
      <c r="E122" s="34" t="s">
        <v>1837</v>
      </c>
      <c r="F122" s="34" t="s">
        <v>172</v>
      </c>
      <c r="G122" s="34" t="s">
        <v>1838</v>
      </c>
      <c r="H122" s="36">
        <v>2009.0</v>
      </c>
      <c r="I122" s="34" t="s">
        <v>1839</v>
      </c>
      <c r="J122" s="34" t="s">
        <v>55</v>
      </c>
      <c r="K122" s="34" t="s">
        <v>1840</v>
      </c>
      <c r="L122" s="34" t="s">
        <v>57</v>
      </c>
      <c r="M122" s="34" t="s">
        <v>172</v>
      </c>
      <c r="N122" s="34" t="s">
        <v>1841</v>
      </c>
      <c r="O122" s="34" t="s">
        <v>1842</v>
      </c>
      <c r="P122" s="34" t="s">
        <v>93</v>
      </c>
      <c r="Q122" s="34" t="s">
        <v>1843</v>
      </c>
      <c r="R122" s="34" t="s">
        <v>1844</v>
      </c>
      <c r="S122" s="34" t="s">
        <v>96</v>
      </c>
      <c r="T122" s="34" t="s">
        <v>766</v>
      </c>
      <c r="U122" s="34" t="s">
        <v>1845</v>
      </c>
      <c r="V122" s="34" t="s">
        <v>99</v>
      </c>
      <c r="W122" s="34" t="s">
        <v>100</v>
      </c>
      <c r="X122" s="37" t="s">
        <v>100</v>
      </c>
      <c r="Y122" s="34" t="s">
        <v>74</v>
      </c>
      <c r="Z122" s="34" t="s">
        <v>57</v>
      </c>
      <c r="AA122" s="34">
        <v>2005.0</v>
      </c>
      <c r="AB122" s="34">
        <v>2006.0</v>
      </c>
      <c r="AC122" s="34" t="s">
        <v>214</v>
      </c>
      <c r="AD122" s="34" t="s">
        <v>72</v>
      </c>
      <c r="AE122" s="34" t="s">
        <v>69</v>
      </c>
      <c r="AF122" s="34" t="s">
        <v>69</v>
      </c>
      <c r="AG122" s="34" t="s">
        <v>104</v>
      </c>
      <c r="AH122" s="34" t="s">
        <v>105</v>
      </c>
      <c r="AI122" s="34" t="s">
        <v>1231</v>
      </c>
      <c r="AJ122" s="34" t="s">
        <v>107</v>
      </c>
      <c r="AK122" s="34" t="s">
        <v>1846</v>
      </c>
      <c r="AL122" s="34" t="s">
        <v>128</v>
      </c>
      <c r="AM122" s="34" t="s">
        <v>129</v>
      </c>
      <c r="AN122" s="34" t="s">
        <v>1847</v>
      </c>
      <c r="AO122" s="39"/>
      <c r="AP122" s="34" t="s">
        <v>184</v>
      </c>
      <c r="AQ122" s="96"/>
      <c r="AR122" s="96"/>
      <c r="AS122" s="44"/>
    </row>
    <row r="123">
      <c r="A123" s="32">
        <v>214.0</v>
      </c>
      <c r="B123" s="33">
        <v>3.64026484E8</v>
      </c>
      <c r="C123" s="34" t="s">
        <v>1850</v>
      </c>
      <c r="D123" s="34" t="s">
        <v>1851</v>
      </c>
      <c r="E123" s="34" t="s">
        <v>1852</v>
      </c>
      <c r="F123" s="34" t="s">
        <v>489</v>
      </c>
      <c r="G123" s="34" t="s">
        <v>1853</v>
      </c>
      <c r="H123" s="36">
        <v>2020.0</v>
      </c>
      <c r="I123" s="34" t="s">
        <v>207</v>
      </c>
      <c r="J123" s="34" t="s">
        <v>55</v>
      </c>
      <c r="K123" s="34" t="s">
        <v>1854</v>
      </c>
      <c r="L123" s="34" t="s">
        <v>57</v>
      </c>
      <c r="M123" s="34" t="s">
        <v>489</v>
      </c>
      <c r="N123" s="34" t="s">
        <v>1553</v>
      </c>
      <c r="O123" s="34" t="s">
        <v>1855</v>
      </c>
      <c r="P123" s="34" t="s">
        <v>93</v>
      </c>
      <c r="Q123" s="34" t="s">
        <v>57</v>
      </c>
      <c r="R123" s="34" t="s">
        <v>57</v>
      </c>
      <c r="S123" s="34" t="s">
        <v>63</v>
      </c>
      <c r="T123" s="34" t="s">
        <v>351</v>
      </c>
      <c r="U123" s="34" t="s">
        <v>1856</v>
      </c>
      <c r="V123" s="34" t="s">
        <v>66</v>
      </c>
      <c r="W123" s="34" t="s">
        <v>1267</v>
      </c>
      <c r="X123" s="37" t="s">
        <v>1268</v>
      </c>
      <c r="Y123" s="34" t="s">
        <v>74</v>
      </c>
      <c r="Z123" s="34" t="s">
        <v>57</v>
      </c>
      <c r="AA123" s="34">
        <v>2003.0</v>
      </c>
      <c r="AB123" s="34">
        <v>2017.0</v>
      </c>
      <c r="AC123" s="34" t="s">
        <v>214</v>
      </c>
      <c r="AD123" s="34" t="s">
        <v>103</v>
      </c>
      <c r="AE123" s="34" t="s">
        <v>69</v>
      </c>
      <c r="AF123" s="34" t="s">
        <v>74</v>
      </c>
      <c r="AG123" s="34" t="s">
        <v>215</v>
      </c>
      <c r="AH123" s="34" t="s">
        <v>105</v>
      </c>
      <c r="AI123" s="34" t="s">
        <v>166</v>
      </c>
      <c r="AJ123" s="34" t="s">
        <v>166</v>
      </c>
      <c r="AK123" s="34" t="s">
        <v>1857</v>
      </c>
      <c r="AL123" s="34" t="s">
        <v>79</v>
      </c>
      <c r="AM123" s="34" t="s">
        <v>57</v>
      </c>
      <c r="AN123" s="34" t="s">
        <v>57</v>
      </c>
      <c r="AO123" s="39"/>
      <c r="AP123" s="34" t="s">
        <v>109</v>
      </c>
      <c r="AQ123" s="96"/>
      <c r="AR123" s="96"/>
      <c r="AS123" s="44"/>
    </row>
    <row r="124">
      <c r="A124" s="32">
        <v>215.0</v>
      </c>
      <c r="B124" s="33">
        <v>3.64026486E8</v>
      </c>
      <c r="C124" s="34" t="s">
        <v>1859</v>
      </c>
      <c r="D124" s="34" t="s">
        <v>1860</v>
      </c>
      <c r="E124" s="38" t="s">
        <v>1861</v>
      </c>
      <c r="F124" s="34" t="s">
        <v>650</v>
      </c>
      <c r="G124" s="38" t="s">
        <v>1862</v>
      </c>
      <c r="H124" s="36">
        <v>2014.0</v>
      </c>
      <c r="I124" s="34" t="s">
        <v>207</v>
      </c>
      <c r="J124" s="34" t="s">
        <v>55</v>
      </c>
      <c r="K124" s="34" t="s">
        <v>1863</v>
      </c>
      <c r="L124" s="34" t="s">
        <v>57</v>
      </c>
      <c r="M124" s="34" t="s">
        <v>653</v>
      </c>
      <c r="N124" s="34" t="s">
        <v>650</v>
      </c>
      <c r="O124" s="34" t="s">
        <v>1864</v>
      </c>
      <c r="P124" s="34" t="s">
        <v>93</v>
      </c>
      <c r="Q124" s="34" t="s">
        <v>57</v>
      </c>
      <c r="R124" s="34" t="s">
        <v>57</v>
      </c>
      <c r="S124" s="34" t="s">
        <v>63</v>
      </c>
      <c r="T124" s="34" t="s">
        <v>351</v>
      </c>
      <c r="U124" s="34" t="s">
        <v>1865</v>
      </c>
      <c r="V124" s="34" t="s">
        <v>99</v>
      </c>
      <c r="W124" s="34" t="s">
        <v>100</v>
      </c>
      <c r="X124" s="37" t="s">
        <v>100</v>
      </c>
      <c r="Y124" s="34" t="s">
        <v>74</v>
      </c>
      <c r="Z124" s="34" t="s">
        <v>57</v>
      </c>
      <c r="AA124" s="34">
        <v>2007.0</v>
      </c>
      <c r="AB124" s="34">
        <v>2008.0</v>
      </c>
      <c r="AC124" s="34" t="s">
        <v>103</v>
      </c>
      <c r="AD124" s="34" t="s">
        <v>180</v>
      </c>
      <c r="AE124" s="34" t="s">
        <v>69</v>
      </c>
      <c r="AF124" s="34" t="s">
        <v>74</v>
      </c>
      <c r="AG124" s="34" t="s">
        <v>104</v>
      </c>
      <c r="AH124" s="34" t="s">
        <v>105</v>
      </c>
      <c r="AI124" s="34" t="s">
        <v>336</v>
      </c>
      <c r="AJ124" s="34" t="s">
        <v>336</v>
      </c>
      <c r="AK124" s="34" t="s">
        <v>1866</v>
      </c>
      <c r="AL124" s="34" t="s">
        <v>128</v>
      </c>
      <c r="AM124" s="34" t="s">
        <v>129</v>
      </c>
      <c r="AN124" s="34" t="s">
        <v>1867</v>
      </c>
      <c r="AO124" s="39"/>
      <c r="AP124" s="34" t="s">
        <v>109</v>
      </c>
      <c r="AQ124" s="96"/>
      <c r="AR124" s="96"/>
      <c r="AS124" s="44"/>
    </row>
    <row r="125">
      <c r="A125" s="32">
        <v>216.0</v>
      </c>
      <c r="B125" s="33">
        <v>3.6402648E8</v>
      </c>
      <c r="C125" s="34" t="s">
        <v>1870</v>
      </c>
      <c r="D125" s="34" t="s">
        <v>1871</v>
      </c>
      <c r="E125" s="38" t="s">
        <v>1872</v>
      </c>
      <c r="F125" s="34" t="s">
        <v>1873</v>
      </c>
      <c r="G125" s="38" t="s">
        <v>1874</v>
      </c>
      <c r="H125" s="36">
        <v>2021.0</v>
      </c>
      <c r="I125" s="38" t="s">
        <v>796</v>
      </c>
      <c r="J125" s="34" t="s">
        <v>55</v>
      </c>
      <c r="K125" s="34" t="s">
        <v>1875</v>
      </c>
      <c r="L125" s="34" t="s">
        <v>57</v>
      </c>
      <c r="M125" s="34" t="s">
        <v>1873</v>
      </c>
      <c r="N125" s="34" t="s">
        <v>1876</v>
      </c>
      <c r="O125" s="34" t="s">
        <v>1877</v>
      </c>
      <c r="P125" s="34" t="s">
        <v>554</v>
      </c>
      <c r="Q125" s="34" t="s">
        <v>1878</v>
      </c>
      <c r="R125" s="34" t="s">
        <v>1879</v>
      </c>
      <c r="S125" s="34" t="s">
        <v>63</v>
      </c>
      <c r="T125" s="34" t="s">
        <v>1880</v>
      </c>
      <c r="U125" s="34" t="s">
        <v>1881</v>
      </c>
      <c r="V125" s="34" t="s">
        <v>99</v>
      </c>
      <c r="W125" s="34" t="s">
        <v>100</v>
      </c>
      <c r="X125" s="37" t="s">
        <v>100</v>
      </c>
      <c r="Y125" s="34" t="s">
        <v>74</v>
      </c>
      <c r="Z125" s="34" t="s">
        <v>57</v>
      </c>
      <c r="AA125" s="34">
        <v>2015.0</v>
      </c>
      <c r="AB125" s="34">
        <v>2016.0</v>
      </c>
      <c r="AC125" s="34" t="s">
        <v>403</v>
      </c>
      <c r="AD125" s="34" t="s">
        <v>542</v>
      </c>
      <c r="AE125" s="34" t="s">
        <v>69</v>
      </c>
      <c r="AF125" s="34" t="s">
        <v>74</v>
      </c>
      <c r="AG125" s="34" t="s">
        <v>75</v>
      </c>
      <c r="AH125" s="34" t="s">
        <v>105</v>
      </c>
      <c r="AI125" s="34" t="s">
        <v>1231</v>
      </c>
      <c r="AJ125" s="34" t="s">
        <v>107</v>
      </c>
      <c r="AK125" s="34" t="s">
        <v>1882</v>
      </c>
      <c r="AL125" s="34" t="s">
        <v>128</v>
      </c>
      <c r="AM125" s="34" t="s">
        <v>129</v>
      </c>
      <c r="AN125" s="34" t="s">
        <v>1883</v>
      </c>
      <c r="AO125" s="34" t="s">
        <v>1884</v>
      </c>
      <c r="AP125" s="34" t="s">
        <v>1522</v>
      </c>
      <c r="AQ125" s="96"/>
      <c r="AR125" s="96"/>
      <c r="AS125" s="44"/>
    </row>
    <row r="126">
      <c r="A126" s="32">
        <v>217.0</v>
      </c>
      <c r="B126" s="33">
        <v>3.64026501E8</v>
      </c>
      <c r="C126" s="34" t="s">
        <v>1887</v>
      </c>
      <c r="D126" s="34" t="s">
        <v>1888</v>
      </c>
      <c r="E126" s="34" t="s">
        <v>1889</v>
      </c>
      <c r="F126" s="34" t="s">
        <v>992</v>
      </c>
      <c r="G126" s="34" t="s">
        <v>1890</v>
      </c>
      <c r="H126" s="36">
        <v>2012.0</v>
      </c>
      <c r="I126" s="34" t="s">
        <v>207</v>
      </c>
      <c r="J126" s="34" t="s">
        <v>55</v>
      </c>
      <c r="K126" s="34" t="s">
        <v>1891</v>
      </c>
      <c r="L126" s="34" t="s">
        <v>57</v>
      </c>
      <c r="M126" s="34" t="s">
        <v>992</v>
      </c>
      <c r="N126" s="34" t="s">
        <v>1530</v>
      </c>
      <c r="O126" s="34" t="s">
        <v>1892</v>
      </c>
      <c r="P126" s="34" t="s">
        <v>554</v>
      </c>
      <c r="Q126" s="34" t="s">
        <v>57</v>
      </c>
      <c r="R126" s="34" t="s">
        <v>57</v>
      </c>
      <c r="S126" s="34" t="s">
        <v>63</v>
      </c>
      <c r="T126" s="34" t="s">
        <v>1893</v>
      </c>
      <c r="U126" s="34" t="s">
        <v>1894</v>
      </c>
      <c r="V126" s="34" t="s">
        <v>99</v>
      </c>
      <c r="W126" s="34" t="s">
        <v>100</v>
      </c>
      <c r="X126" s="37" t="s">
        <v>100</v>
      </c>
      <c r="Y126" s="34" t="s">
        <v>74</v>
      </c>
      <c r="Z126" s="34" t="s">
        <v>57</v>
      </c>
      <c r="AA126" s="34">
        <v>2008.0</v>
      </c>
      <c r="AB126" s="34">
        <v>2008.0</v>
      </c>
      <c r="AC126" s="34" t="s">
        <v>57</v>
      </c>
      <c r="AD126" s="34" t="s">
        <v>57</v>
      </c>
      <c r="AE126" s="34" t="s">
        <v>69</v>
      </c>
      <c r="AF126" s="34" t="s">
        <v>74</v>
      </c>
      <c r="AG126" s="34" t="s">
        <v>104</v>
      </c>
      <c r="AH126" s="34" t="s">
        <v>105</v>
      </c>
      <c r="AI126" s="34" t="s">
        <v>166</v>
      </c>
      <c r="AJ126" s="34" t="s">
        <v>166</v>
      </c>
      <c r="AK126" s="34" t="s">
        <v>1895</v>
      </c>
      <c r="AL126" s="34" t="s">
        <v>128</v>
      </c>
      <c r="AM126" s="34" t="s">
        <v>1283</v>
      </c>
      <c r="AN126" s="34" t="s">
        <v>1896</v>
      </c>
      <c r="AO126" s="39"/>
      <c r="AP126" s="34" t="s">
        <v>109</v>
      </c>
      <c r="AQ126" s="96"/>
      <c r="AR126" s="96"/>
      <c r="AS126" s="44"/>
    </row>
    <row r="127">
      <c r="A127" s="32">
        <v>218.0</v>
      </c>
      <c r="B127" s="33">
        <v>3.64026507E8</v>
      </c>
      <c r="C127" s="34" t="s">
        <v>1898</v>
      </c>
      <c r="D127" s="34" t="s">
        <v>1899</v>
      </c>
      <c r="E127" s="34" t="s">
        <v>1900</v>
      </c>
      <c r="F127" s="34" t="s">
        <v>87</v>
      </c>
      <c r="G127" s="34" t="s">
        <v>1901</v>
      </c>
      <c r="H127" s="36">
        <v>2016.0</v>
      </c>
      <c r="I127" s="34" t="s">
        <v>796</v>
      </c>
      <c r="J127" s="34" t="s">
        <v>55</v>
      </c>
      <c r="K127" s="34" t="s">
        <v>1902</v>
      </c>
      <c r="L127" s="34" t="s">
        <v>57</v>
      </c>
      <c r="M127" s="34" t="s">
        <v>1903</v>
      </c>
      <c r="N127" s="34" t="s">
        <v>87</v>
      </c>
      <c r="O127" s="34" t="s">
        <v>1904</v>
      </c>
      <c r="P127" s="34" t="s">
        <v>93</v>
      </c>
      <c r="Q127" s="34" t="s">
        <v>57</v>
      </c>
      <c r="R127" s="34" t="s">
        <v>57</v>
      </c>
      <c r="S127" s="34" t="s">
        <v>96</v>
      </c>
      <c r="T127" s="34" t="s">
        <v>1905</v>
      </c>
      <c r="U127" s="34" t="s">
        <v>1906</v>
      </c>
      <c r="V127" s="34" t="s">
        <v>99</v>
      </c>
      <c r="W127" s="34" t="s">
        <v>100</v>
      </c>
      <c r="X127" s="37" t="s">
        <v>100</v>
      </c>
      <c r="Y127" s="34" t="s">
        <v>74</v>
      </c>
      <c r="Z127" s="34" t="s">
        <v>57</v>
      </c>
      <c r="AA127" s="34">
        <v>2009.0</v>
      </c>
      <c r="AB127" s="34">
        <v>2010.0</v>
      </c>
      <c r="AC127" s="34" t="s">
        <v>264</v>
      </c>
      <c r="AD127" s="34" t="s">
        <v>180</v>
      </c>
      <c r="AE127" s="34" t="s">
        <v>69</v>
      </c>
      <c r="AF127" s="34" t="s">
        <v>74</v>
      </c>
      <c r="AG127" s="34" t="s">
        <v>104</v>
      </c>
      <c r="AH127" s="34" t="s">
        <v>105</v>
      </c>
      <c r="AI127" s="34" t="s">
        <v>106</v>
      </c>
      <c r="AJ127" s="34" t="s">
        <v>107</v>
      </c>
      <c r="AK127" s="34" t="s">
        <v>1907</v>
      </c>
      <c r="AL127" s="34" t="s">
        <v>128</v>
      </c>
      <c r="AM127" s="34" t="s">
        <v>129</v>
      </c>
      <c r="AN127" s="34" t="s">
        <v>1908</v>
      </c>
      <c r="AO127" s="39"/>
      <c r="AP127" s="34" t="s">
        <v>109</v>
      </c>
      <c r="AQ127" s="96"/>
      <c r="AR127" s="96"/>
      <c r="AS127" s="44"/>
    </row>
    <row r="128">
      <c r="A128" s="32">
        <v>219.0</v>
      </c>
      <c r="B128" s="33">
        <v>3.64026509E8</v>
      </c>
      <c r="C128" s="34" t="s">
        <v>1910</v>
      </c>
      <c r="D128" s="34" t="s">
        <v>1911</v>
      </c>
      <c r="E128" s="34" t="s">
        <v>1912</v>
      </c>
      <c r="F128" s="34" t="s">
        <v>581</v>
      </c>
      <c r="G128" s="38" t="s">
        <v>1913</v>
      </c>
      <c r="H128" s="36">
        <v>2013.0</v>
      </c>
      <c r="I128" s="34" t="s">
        <v>1914</v>
      </c>
      <c r="J128" s="34" t="s">
        <v>55</v>
      </c>
      <c r="K128" s="34" t="s">
        <v>1915</v>
      </c>
      <c r="L128" s="34" t="s">
        <v>57</v>
      </c>
      <c r="M128" s="34" t="s">
        <v>581</v>
      </c>
      <c r="N128" s="34" t="s">
        <v>1916</v>
      </c>
      <c r="O128" s="34" t="s">
        <v>1917</v>
      </c>
      <c r="P128" s="34" t="s">
        <v>554</v>
      </c>
      <c r="Q128" s="34" t="s">
        <v>57</v>
      </c>
      <c r="R128" s="34" t="s">
        <v>57</v>
      </c>
      <c r="S128" s="34" t="s">
        <v>96</v>
      </c>
      <c r="T128" s="34" t="s">
        <v>1918</v>
      </c>
      <c r="U128" s="34" t="s">
        <v>1919</v>
      </c>
      <c r="V128" s="34" t="s">
        <v>99</v>
      </c>
      <c r="W128" s="34" t="s">
        <v>100</v>
      </c>
      <c r="X128" s="37" t="s">
        <v>100</v>
      </c>
      <c r="Y128" s="34" t="s">
        <v>74</v>
      </c>
      <c r="Z128" s="34" t="s">
        <v>57</v>
      </c>
      <c r="AA128" s="34">
        <v>2009.0</v>
      </c>
      <c r="AB128" s="34">
        <v>2009.0</v>
      </c>
      <c r="AC128" s="34" t="s">
        <v>57</v>
      </c>
      <c r="AD128" s="34" t="s">
        <v>57</v>
      </c>
      <c r="AE128" s="34" t="s">
        <v>69</v>
      </c>
      <c r="AF128" s="34" t="s">
        <v>74</v>
      </c>
      <c r="AG128" s="34" t="s">
        <v>104</v>
      </c>
      <c r="AH128" s="34" t="s">
        <v>105</v>
      </c>
      <c r="AI128" s="34" t="s">
        <v>1231</v>
      </c>
      <c r="AJ128" s="34" t="s">
        <v>107</v>
      </c>
      <c r="AK128" s="34" t="s">
        <v>1920</v>
      </c>
      <c r="AL128" s="34" t="s">
        <v>128</v>
      </c>
      <c r="AM128" s="34" t="s">
        <v>129</v>
      </c>
      <c r="AN128" s="34" t="s">
        <v>1921</v>
      </c>
      <c r="AO128" s="39"/>
      <c r="AP128" s="34" t="s">
        <v>109</v>
      </c>
      <c r="AQ128" s="96"/>
      <c r="AR128" s="96"/>
      <c r="AS128" s="44"/>
    </row>
    <row r="129">
      <c r="A129" s="32">
        <v>223.0</v>
      </c>
      <c r="B129" s="33">
        <v>3.64026541E8</v>
      </c>
      <c r="C129" s="34" t="s">
        <v>1924</v>
      </c>
      <c r="D129" s="34" t="s">
        <v>1925</v>
      </c>
      <c r="E129" s="34" t="s">
        <v>1926</v>
      </c>
      <c r="F129" s="34" t="s">
        <v>992</v>
      </c>
      <c r="G129" s="34" t="s">
        <v>1927</v>
      </c>
      <c r="H129" s="36">
        <v>2013.0</v>
      </c>
      <c r="I129" s="34" t="s">
        <v>669</v>
      </c>
      <c r="J129" s="34" t="s">
        <v>55</v>
      </c>
      <c r="K129" s="34" t="s">
        <v>1891</v>
      </c>
      <c r="L129" s="34" t="s">
        <v>57</v>
      </c>
      <c r="M129" s="34" t="s">
        <v>992</v>
      </c>
      <c r="N129" s="34" t="s">
        <v>1530</v>
      </c>
      <c r="O129" s="34" t="s">
        <v>1928</v>
      </c>
      <c r="P129" s="34" t="s">
        <v>554</v>
      </c>
      <c r="Q129" s="34" t="s">
        <v>57</v>
      </c>
      <c r="R129" s="34" t="s">
        <v>57</v>
      </c>
      <c r="S129" s="34" t="s">
        <v>63</v>
      </c>
      <c r="T129" s="34" t="s">
        <v>463</v>
      </c>
      <c r="U129" s="34" t="s">
        <v>1929</v>
      </c>
      <c r="V129" s="34" t="s">
        <v>1649</v>
      </c>
      <c r="W129" s="34" t="s">
        <v>100</v>
      </c>
      <c r="X129" s="37" t="s">
        <v>100</v>
      </c>
      <c r="Y129" s="34" t="s">
        <v>74</v>
      </c>
      <c r="Z129" s="34" t="s">
        <v>57</v>
      </c>
      <c r="AA129" s="34">
        <v>2010.0</v>
      </c>
      <c r="AB129" s="34">
        <v>2010.0</v>
      </c>
      <c r="AC129" s="34" t="s">
        <v>403</v>
      </c>
      <c r="AD129" s="34" t="s">
        <v>692</v>
      </c>
      <c r="AE129" s="34" t="s">
        <v>69</v>
      </c>
      <c r="AF129" s="34" t="s">
        <v>74</v>
      </c>
      <c r="AG129" s="34" t="s">
        <v>104</v>
      </c>
      <c r="AH129" s="34" t="s">
        <v>105</v>
      </c>
      <c r="AI129" s="34" t="s">
        <v>106</v>
      </c>
      <c r="AJ129" s="34" t="s">
        <v>107</v>
      </c>
      <c r="AK129" s="34" t="s">
        <v>1930</v>
      </c>
      <c r="AL129" s="34" t="s">
        <v>128</v>
      </c>
      <c r="AM129" s="34" t="s">
        <v>129</v>
      </c>
      <c r="AN129" s="34" t="s">
        <v>1931</v>
      </c>
      <c r="AO129" s="34" t="s">
        <v>1932</v>
      </c>
      <c r="AP129" s="34" t="s">
        <v>109</v>
      </c>
      <c r="AQ129" s="96"/>
      <c r="AR129" s="96"/>
      <c r="AS129" s="44"/>
    </row>
    <row r="130">
      <c r="A130" s="32">
        <v>224.0</v>
      </c>
      <c r="B130" s="33">
        <v>3.64026548E8</v>
      </c>
      <c r="C130" s="34" t="s">
        <v>1935</v>
      </c>
      <c r="D130" s="34" t="s">
        <v>1925</v>
      </c>
      <c r="E130" s="34" t="s">
        <v>1889</v>
      </c>
      <c r="F130" s="34" t="s">
        <v>992</v>
      </c>
      <c r="G130" s="38" t="s">
        <v>1936</v>
      </c>
      <c r="H130" s="36">
        <v>2013.0</v>
      </c>
      <c r="I130" s="34" t="s">
        <v>729</v>
      </c>
      <c r="J130" s="34" t="s">
        <v>55</v>
      </c>
      <c r="K130" s="34" t="s">
        <v>1891</v>
      </c>
      <c r="L130" s="34" t="s">
        <v>57</v>
      </c>
      <c r="M130" s="34" t="s">
        <v>992</v>
      </c>
      <c r="N130" s="34" t="s">
        <v>1530</v>
      </c>
      <c r="O130" s="34" t="s">
        <v>1937</v>
      </c>
      <c r="P130" s="34" t="s">
        <v>554</v>
      </c>
      <c r="Q130" s="34" t="s">
        <v>57</v>
      </c>
      <c r="R130" s="34" t="s">
        <v>57</v>
      </c>
      <c r="S130" s="34" t="s">
        <v>63</v>
      </c>
      <c r="T130" s="34" t="s">
        <v>1938</v>
      </c>
      <c r="U130" s="34" t="s">
        <v>1939</v>
      </c>
      <c r="V130" s="34" t="s">
        <v>99</v>
      </c>
      <c r="W130" s="34" t="s">
        <v>100</v>
      </c>
      <c r="X130" s="37" t="s">
        <v>100</v>
      </c>
      <c r="Y130" s="34" t="s">
        <v>74</v>
      </c>
      <c r="Z130" s="34" t="s">
        <v>57</v>
      </c>
      <c r="AA130" s="34">
        <v>2009.0</v>
      </c>
      <c r="AB130" s="34">
        <v>2009.0</v>
      </c>
      <c r="AC130" s="34" t="s">
        <v>57</v>
      </c>
      <c r="AD130" s="34" t="s">
        <v>57</v>
      </c>
      <c r="AE130" s="34" t="s">
        <v>69</v>
      </c>
      <c r="AF130" s="34" t="s">
        <v>69</v>
      </c>
      <c r="AG130" s="34" t="s">
        <v>104</v>
      </c>
      <c r="AH130" s="34" t="s">
        <v>105</v>
      </c>
      <c r="AI130" s="34" t="s">
        <v>1231</v>
      </c>
      <c r="AJ130" s="34" t="s">
        <v>107</v>
      </c>
      <c r="AK130" s="34" t="s">
        <v>1940</v>
      </c>
      <c r="AL130" s="34" t="s">
        <v>128</v>
      </c>
      <c r="AM130" s="34" t="s">
        <v>198</v>
      </c>
      <c r="AN130" s="34" t="s">
        <v>1941</v>
      </c>
      <c r="AO130" s="39"/>
      <c r="AP130" s="34" t="s">
        <v>109</v>
      </c>
      <c r="AQ130" s="96"/>
      <c r="AR130" s="96"/>
      <c r="AS130" s="44"/>
    </row>
    <row r="131">
      <c r="A131" s="32">
        <v>225.0</v>
      </c>
      <c r="B131" s="33">
        <v>3.64026559E8</v>
      </c>
      <c r="C131" s="34" t="s">
        <v>1944</v>
      </c>
      <c r="D131" s="34" t="s">
        <v>1945</v>
      </c>
      <c r="E131" s="38" t="s">
        <v>1946</v>
      </c>
      <c r="F131" s="34" t="s">
        <v>114</v>
      </c>
      <c r="G131" s="38" t="s">
        <v>1947</v>
      </c>
      <c r="H131" s="36">
        <v>2008.0</v>
      </c>
      <c r="I131" s="38" t="s">
        <v>1125</v>
      </c>
      <c r="J131" s="34" t="s">
        <v>55</v>
      </c>
      <c r="K131" s="34" t="s">
        <v>1948</v>
      </c>
      <c r="L131" s="34" t="s">
        <v>57</v>
      </c>
      <c r="M131" s="34" t="s">
        <v>114</v>
      </c>
      <c r="N131" s="34" t="s">
        <v>1949</v>
      </c>
      <c r="O131" s="34" t="s">
        <v>1950</v>
      </c>
      <c r="P131" s="34" t="s">
        <v>93</v>
      </c>
      <c r="Q131" s="34" t="s">
        <v>57</v>
      </c>
      <c r="R131" s="34" t="s">
        <v>57</v>
      </c>
      <c r="S131" s="34" t="s">
        <v>193</v>
      </c>
      <c r="T131" s="34" t="s">
        <v>1024</v>
      </c>
      <c r="U131" s="34" t="s">
        <v>1951</v>
      </c>
      <c r="V131" s="34" t="s">
        <v>1649</v>
      </c>
      <c r="W131" s="34" t="s">
        <v>100</v>
      </c>
      <c r="X131" s="37" t="s">
        <v>100</v>
      </c>
      <c r="Y131" s="34" t="s">
        <v>74</v>
      </c>
      <c r="Z131" s="34" t="s">
        <v>57</v>
      </c>
      <c r="AA131" s="34">
        <v>2001.0</v>
      </c>
      <c r="AB131" s="34">
        <v>2002.0</v>
      </c>
      <c r="AC131" s="34" t="s">
        <v>103</v>
      </c>
      <c r="AD131" s="34" t="s">
        <v>72</v>
      </c>
      <c r="AE131" s="34" t="s">
        <v>69</v>
      </c>
      <c r="AF131" s="34" t="s">
        <v>69</v>
      </c>
      <c r="AG131" s="34" t="s">
        <v>104</v>
      </c>
      <c r="AH131" s="34" t="s">
        <v>105</v>
      </c>
      <c r="AI131" s="34" t="s">
        <v>166</v>
      </c>
      <c r="AJ131" s="34" t="s">
        <v>166</v>
      </c>
      <c r="AK131" s="34" t="s">
        <v>1952</v>
      </c>
      <c r="AL131" s="34" t="s">
        <v>128</v>
      </c>
      <c r="AM131" s="34" t="s">
        <v>1791</v>
      </c>
      <c r="AN131" s="34" t="s">
        <v>1953</v>
      </c>
      <c r="AO131" s="39"/>
      <c r="AP131" s="34" t="s">
        <v>1522</v>
      </c>
      <c r="AQ131" s="96"/>
      <c r="AR131" s="96"/>
      <c r="AS131" s="44"/>
    </row>
    <row r="132">
      <c r="A132" s="32">
        <v>226.0</v>
      </c>
      <c r="B132" s="33">
        <v>3.64026557E8</v>
      </c>
      <c r="C132" s="34" t="s">
        <v>1956</v>
      </c>
      <c r="D132" s="34" t="s">
        <v>1957</v>
      </c>
      <c r="E132" s="38" t="s">
        <v>1958</v>
      </c>
      <c r="F132" s="34" t="s">
        <v>114</v>
      </c>
      <c r="G132" s="38" t="s">
        <v>1959</v>
      </c>
      <c r="H132" s="36">
        <v>2012.0</v>
      </c>
      <c r="I132" s="38" t="s">
        <v>207</v>
      </c>
      <c r="J132" s="34" t="s">
        <v>55</v>
      </c>
      <c r="K132" s="34" t="s">
        <v>1960</v>
      </c>
      <c r="L132" s="34" t="s">
        <v>57</v>
      </c>
      <c r="M132" s="34" t="s">
        <v>114</v>
      </c>
      <c r="N132" s="34" t="s">
        <v>1961</v>
      </c>
      <c r="O132" s="34" t="s">
        <v>1962</v>
      </c>
      <c r="P132" s="34" t="s">
        <v>93</v>
      </c>
      <c r="Q132" s="34" t="s">
        <v>1963</v>
      </c>
      <c r="R132" s="38" t="s">
        <v>1964</v>
      </c>
      <c r="S132" s="34" t="s">
        <v>193</v>
      </c>
      <c r="T132" s="34" t="s">
        <v>463</v>
      </c>
      <c r="U132" s="34" t="s">
        <v>1965</v>
      </c>
      <c r="V132" s="34" t="s">
        <v>1649</v>
      </c>
      <c r="W132" s="34" t="s">
        <v>100</v>
      </c>
      <c r="X132" s="37" t="s">
        <v>100</v>
      </c>
      <c r="Y132" s="34" t="s">
        <v>74</v>
      </c>
      <c r="Z132" s="34" t="s">
        <v>57</v>
      </c>
      <c r="AA132" s="34">
        <v>2009.0</v>
      </c>
      <c r="AB132" s="34">
        <v>2010.0</v>
      </c>
      <c r="AC132" s="34" t="s">
        <v>144</v>
      </c>
      <c r="AD132" s="34" t="s">
        <v>180</v>
      </c>
      <c r="AE132" s="34" t="s">
        <v>69</v>
      </c>
      <c r="AF132" s="34" t="s">
        <v>74</v>
      </c>
      <c r="AG132" s="34" t="s">
        <v>75</v>
      </c>
      <c r="AH132" s="34" t="s">
        <v>498</v>
      </c>
      <c r="AI132" s="34" t="s">
        <v>1339</v>
      </c>
      <c r="AJ132" s="34" t="s">
        <v>107</v>
      </c>
      <c r="AK132" s="34" t="s">
        <v>1966</v>
      </c>
      <c r="AL132" s="34" t="s">
        <v>128</v>
      </c>
      <c r="AM132" s="34" t="s">
        <v>895</v>
      </c>
      <c r="AN132" s="34" t="s">
        <v>1967</v>
      </c>
      <c r="AO132" s="39"/>
      <c r="AP132" s="34" t="s">
        <v>1522</v>
      </c>
      <c r="AQ132" s="96"/>
      <c r="AR132" s="96"/>
      <c r="AS132" s="44"/>
    </row>
    <row r="133">
      <c r="A133" s="32">
        <v>227.0</v>
      </c>
      <c r="B133" s="33">
        <v>3.64026565E8</v>
      </c>
      <c r="C133" s="34" t="s">
        <v>1969</v>
      </c>
      <c r="D133" s="34" t="s">
        <v>1970</v>
      </c>
      <c r="E133" s="34" t="s">
        <v>1971</v>
      </c>
      <c r="F133" s="39"/>
      <c r="G133" s="34" t="s">
        <v>1972</v>
      </c>
      <c r="H133" s="36">
        <v>2020.0</v>
      </c>
      <c r="I133" s="34" t="s">
        <v>1085</v>
      </c>
      <c r="J133" s="34" t="s">
        <v>55</v>
      </c>
      <c r="K133" s="34" t="s">
        <v>1973</v>
      </c>
      <c r="L133" s="34" t="s">
        <v>57</v>
      </c>
      <c r="M133" s="34" t="s">
        <v>114</v>
      </c>
      <c r="N133" s="34" t="s">
        <v>1974</v>
      </c>
      <c r="O133" s="34" t="s">
        <v>1975</v>
      </c>
      <c r="P133" s="34" t="s">
        <v>93</v>
      </c>
      <c r="Q133" s="34" t="s">
        <v>57</v>
      </c>
      <c r="R133" s="34" t="s">
        <v>57</v>
      </c>
      <c r="S133" s="34" t="s">
        <v>96</v>
      </c>
      <c r="T133" s="34" t="s">
        <v>1976</v>
      </c>
      <c r="U133" s="34" t="s">
        <v>1977</v>
      </c>
      <c r="V133" s="34" t="s">
        <v>99</v>
      </c>
      <c r="W133" s="34" t="s">
        <v>100</v>
      </c>
      <c r="X133" s="37" t="s">
        <v>100</v>
      </c>
      <c r="Y133" s="34" t="s">
        <v>74</v>
      </c>
      <c r="Z133" s="34" t="s">
        <v>57</v>
      </c>
      <c r="AA133" s="34">
        <v>2016.0</v>
      </c>
      <c r="AB133" s="34">
        <v>2018.0</v>
      </c>
      <c r="AC133" s="34" t="s">
        <v>403</v>
      </c>
      <c r="AD133" s="34" t="s">
        <v>214</v>
      </c>
      <c r="AE133" s="34" t="s">
        <v>69</v>
      </c>
      <c r="AF133" s="34" t="s">
        <v>74</v>
      </c>
      <c r="AG133" s="34" t="s">
        <v>104</v>
      </c>
      <c r="AH133" s="34" t="s">
        <v>105</v>
      </c>
      <c r="AI133" s="34" t="s">
        <v>166</v>
      </c>
      <c r="AJ133" s="34" t="s">
        <v>166</v>
      </c>
      <c r="AK133" s="34" t="s">
        <v>1978</v>
      </c>
      <c r="AL133" s="34" t="s">
        <v>128</v>
      </c>
      <c r="AM133" s="34" t="s">
        <v>129</v>
      </c>
      <c r="AN133" s="34" t="s">
        <v>1979</v>
      </c>
      <c r="AO133" s="34" t="s">
        <v>1980</v>
      </c>
      <c r="AP133" s="34" t="s">
        <v>109</v>
      </c>
      <c r="AQ133" s="96"/>
      <c r="AR133" s="96"/>
      <c r="AS133" s="44"/>
    </row>
    <row r="134">
      <c r="A134" s="32">
        <v>228.0</v>
      </c>
      <c r="B134" s="33">
        <v>3.64026588E8</v>
      </c>
      <c r="C134" s="34" t="s">
        <v>1982</v>
      </c>
      <c r="D134" s="34" t="s">
        <v>1983</v>
      </c>
      <c r="E134" s="38" t="s">
        <v>1984</v>
      </c>
      <c r="F134" s="34" t="s">
        <v>1727</v>
      </c>
      <c r="G134" s="38" t="s">
        <v>1985</v>
      </c>
      <c r="H134" s="36">
        <v>2011.0</v>
      </c>
      <c r="I134" s="34" t="s">
        <v>295</v>
      </c>
      <c r="J134" s="34" t="s">
        <v>55</v>
      </c>
      <c r="K134" s="34" t="s">
        <v>1986</v>
      </c>
      <c r="L134" s="34" t="s">
        <v>57</v>
      </c>
      <c r="M134" s="34" t="s">
        <v>1727</v>
      </c>
      <c r="N134" s="34" t="s">
        <v>1987</v>
      </c>
      <c r="O134" s="34" t="s">
        <v>1988</v>
      </c>
      <c r="P134" s="34" t="s">
        <v>93</v>
      </c>
      <c r="Q134" s="34" t="s">
        <v>57</v>
      </c>
      <c r="R134" s="34" t="s">
        <v>57</v>
      </c>
      <c r="S134" s="34" t="s">
        <v>301</v>
      </c>
      <c r="T134" s="34" t="s">
        <v>1989</v>
      </c>
      <c r="U134" s="34" t="s">
        <v>1990</v>
      </c>
      <c r="V134" s="34" t="s">
        <v>99</v>
      </c>
      <c r="W134" s="34" t="s">
        <v>100</v>
      </c>
      <c r="X134" s="37" t="s">
        <v>100</v>
      </c>
      <c r="Y134" s="34" t="s">
        <v>74</v>
      </c>
      <c r="Z134" s="34" t="s">
        <v>57</v>
      </c>
      <c r="AA134" s="34">
        <v>2007.0</v>
      </c>
      <c r="AB134" s="34">
        <v>2007.0</v>
      </c>
      <c r="AC134" s="34" t="s">
        <v>103</v>
      </c>
      <c r="AD134" s="34" t="s">
        <v>180</v>
      </c>
      <c r="AE134" s="34" t="s">
        <v>69</v>
      </c>
      <c r="AF134" s="34" t="s">
        <v>69</v>
      </c>
      <c r="AG134" s="34" t="s">
        <v>104</v>
      </c>
      <c r="AH134" s="34" t="s">
        <v>105</v>
      </c>
      <c r="AI134" s="34" t="s">
        <v>336</v>
      </c>
      <c r="AJ134" s="34" t="s">
        <v>336</v>
      </c>
      <c r="AK134" s="34" t="s">
        <v>1991</v>
      </c>
      <c r="AL134" s="34" t="s">
        <v>128</v>
      </c>
      <c r="AM134" s="34" t="s">
        <v>129</v>
      </c>
      <c r="AN134" s="34" t="s">
        <v>1992</v>
      </c>
      <c r="AO134" s="39"/>
      <c r="AP134" s="34" t="s">
        <v>109</v>
      </c>
      <c r="AQ134" s="96"/>
      <c r="AR134" s="96"/>
      <c r="AS134" s="44"/>
    </row>
    <row r="135">
      <c r="A135" s="32">
        <v>230.0</v>
      </c>
      <c r="B135" s="33">
        <v>3.64026614E8</v>
      </c>
      <c r="C135" s="34" t="s">
        <v>1994</v>
      </c>
      <c r="D135" s="34" t="s">
        <v>1995</v>
      </c>
      <c r="E135" s="34" t="s">
        <v>1996</v>
      </c>
      <c r="F135" s="34" t="s">
        <v>114</v>
      </c>
      <c r="G135" s="34" t="s">
        <v>1997</v>
      </c>
      <c r="H135" s="36">
        <v>2014.0</v>
      </c>
      <c r="I135" s="34" t="s">
        <v>207</v>
      </c>
      <c r="J135" s="34" t="s">
        <v>55</v>
      </c>
      <c r="K135" s="34" t="s">
        <v>1998</v>
      </c>
      <c r="L135" s="34" t="s">
        <v>57</v>
      </c>
      <c r="M135" s="34" t="s">
        <v>114</v>
      </c>
      <c r="N135" s="34" t="s">
        <v>1999</v>
      </c>
      <c r="O135" s="34" t="s">
        <v>2000</v>
      </c>
      <c r="P135" s="34" t="s">
        <v>93</v>
      </c>
      <c r="Q135" s="34" t="s">
        <v>57</v>
      </c>
      <c r="R135" s="34" t="s">
        <v>57</v>
      </c>
      <c r="S135" s="34" t="s">
        <v>193</v>
      </c>
      <c r="T135" s="34" t="s">
        <v>229</v>
      </c>
      <c r="U135" s="34" t="s">
        <v>2001</v>
      </c>
      <c r="V135" s="34" t="s">
        <v>99</v>
      </c>
      <c r="W135" s="34" t="s">
        <v>100</v>
      </c>
      <c r="X135" s="37" t="s">
        <v>100</v>
      </c>
      <c r="Y135" s="34" t="s">
        <v>74</v>
      </c>
      <c r="Z135" s="34" t="s">
        <v>57</v>
      </c>
      <c r="AA135" s="34">
        <v>2006.0</v>
      </c>
      <c r="AB135" s="34">
        <v>2010.0</v>
      </c>
      <c r="AC135" s="34" t="s">
        <v>57</v>
      </c>
      <c r="AD135" s="34" t="s">
        <v>57</v>
      </c>
      <c r="AE135" s="34" t="s">
        <v>69</v>
      </c>
      <c r="AF135" s="34" t="s">
        <v>74</v>
      </c>
      <c r="AG135" s="34" t="s">
        <v>104</v>
      </c>
      <c r="AH135" s="34" t="s">
        <v>105</v>
      </c>
      <c r="AI135" s="34" t="s">
        <v>336</v>
      </c>
      <c r="AJ135" s="34" t="s">
        <v>336</v>
      </c>
      <c r="AK135" s="34" t="s">
        <v>2002</v>
      </c>
      <c r="AL135" s="34" t="s">
        <v>128</v>
      </c>
      <c r="AM135" s="34" t="s">
        <v>129</v>
      </c>
      <c r="AN135" s="34" t="s">
        <v>2003</v>
      </c>
      <c r="AO135" s="39"/>
      <c r="AP135" s="34" t="s">
        <v>109</v>
      </c>
      <c r="AQ135" s="96"/>
      <c r="AR135" s="96"/>
      <c r="AS135" s="44"/>
    </row>
    <row r="136">
      <c r="A136" s="32">
        <v>231.0</v>
      </c>
      <c r="B136" s="33">
        <v>3.6402663E8</v>
      </c>
      <c r="C136" s="34" t="s">
        <v>2005</v>
      </c>
      <c r="D136" s="34" t="s">
        <v>2006</v>
      </c>
      <c r="E136" s="34" t="s">
        <v>2007</v>
      </c>
      <c r="F136" s="34" t="s">
        <v>114</v>
      </c>
      <c r="G136" s="34" t="s">
        <v>2008</v>
      </c>
      <c r="H136" s="36">
        <v>2011.0</v>
      </c>
      <c r="I136" s="34" t="s">
        <v>1085</v>
      </c>
      <c r="J136" s="34" t="s">
        <v>55</v>
      </c>
      <c r="K136" s="34" t="s">
        <v>2009</v>
      </c>
      <c r="L136" s="34" t="s">
        <v>57</v>
      </c>
      <c r="M136" s="34" t="s">
        <v>114</v>
      </c>
      <c r="N136" s="34" t="s">
        <v>2010</v>
      </c>
      <c r="O136" s="34" t="s">
        <v>2011</v>
      </c>
      <c r="P136" s="34" t="s">
        <v>93</v>
      </c>
      <c r="Q136" s="34" t="s">
        <v>57</v>
      </c>
      <c r="R136" s="34" t="s">
        <v>57</v>
      </c>
      <c r="S136" s="34" t="s">
        <v>63</v>
      </c>
      <c r="T136" s="34" t="s">
        <v>1579</v>
      </c>
      <c r="U136" s="34" t="s">
        <v>2012</v>
      </c>
      <c r="V136" s="34" t="s">
        <v>99</v>
      </c>
      <c r="W136" s="34" t="s">
        <v>100</v>
      </c>
      <c r="X136" s="37" t="s">
        <v>100</v>
      </c>
      <c r="Y136" s="34" t="s">
        <v>74</v>
      </c>
      <c r="Z136" s="34" t="s">
        <v>57</v>
      </c>
      <c r="AA136" s="34">
        <v>2006.0</v>
      </c>
      <c r="AB136" s="34">
        <v>2008.0</v>
      </c>
      <c r="AC136" s="34" t="s">
        <v>264</v>
      </c>
      <c r="AD136" s="34" t="s">
        <v>214</v>
      </c>
      <c r="AE136" s="34" t="s">
        <v>69</v>
      </c>
      <c r="AF136" s="34" t="s">
        <v>69</v>
      </c>
      <c r="AG136" s="34" t="s">
        <v>104</v>
      </c>
      <c r="AH136" s="34" t="s">
        <v>105</v>
      </c>
      <c r="AI136" s="34" t="s">
        <v>336</v>
      </c>
      <c r="AJ136" s="34" t="s">
        <v>336</v>
      </c>
      <c r="AK136" s="34" t="s">
        <v>2013</v>
      </c>
      <c r="AL136" s="34" t="s">
        <v>79</v>
      </c>
      <c r="AM136" s="34" t="s">
        <v>57</v>
      </c>
      <c r="AN136" s="34" t="s">
        <v>57</v>
      </c>
      <c r="AO136" s="39"/>
      <c r="AP136" s="34" t="s">
        <v>109</v>
      </c>
      <c r="AQ136" s="96"/>
      <c r="AR136" s="96"/>
      <c r="AS136" s="44"/>
    </row>
    <row r="137">
      <c r="A137" s="32">
        <v>232.0</v>
      </c>
      <c r="B137" s="33">
        <v>3.64026666E8</v>
      </c>
      <c r="C137" s="34" t="s">
        <v>2015</v>
      </c>
      <c r="D137" s="34" t="s">
        <v>2016</v>
      </c>
      <c r="E137" s="34" t="s">
        <v>2017</v>
      </c>
      <c r="F137" s="34" t="s">
        <v>114</v>
      </c>
      <c r="G137" s="38" t="s">
        <v>2018</v>
      </c>
      <c r="H137" s="36">
        <v>2008.0</v>
      </c>
      <c r="I137" s="34" t="s">
        <v>686</v>
      </c>
      <c r="J137" s="34" t="s">
        <v>55</v>
      </c>
      <c r="K137" s="34" t="s">
        <v>2019</v>
      </c>
      <c r="L137" s="34" t="s">
        <v>57</v>
      </c>
      <c r="M137" s="34" t="s">
        <v>114</v>
      </c>
      <c r="N137" s="34" t="s">
        <v>1114</v>
      </c>
      <c r="O137" s="34" t="s">
        <v>2020</v>
      </c>
      <c r="P137" s="34" t="s">
        <v>93</v>
      </c>
      <c r="Q137" s="38" t="s">
        <v>2021</v>
      </c>
      <c r="R137" s="38" t="s">
        <v>2022</v>
      </c>
      <c r="S137" s="34" t="s">
        <v>63</v>
      </c>
      <c r="T137" s="34" t="s">
        <v>1800</v>
      </c>
      <c r="U137" s="34" t="s">
        <v>2023</v>
      </c>
      <c r="V137" s="34" t="s">
        <v>99</v>
      </c>
      <c r="W137" s="34" t="s">
        <v>100</v>
      </c>
      <c r="X137" s="37" t="s">
        <v>100</v>
      </c>
      <c r="Y137" s="34" t="s">
        <v>74</v>
      </c>
      <c r="Z137" s="34" t="s">
        <v>57</v>
      </c>
      <c r="AA137" s="34">
        <v>2003.0</v>
      </c>
      <c r="AB137" s="34">
        <v>2003.0</v>
      </c>
      <c r="AC137" s="34" t="s">
        <v>103</v>
      </c>
      <c r="AD137" s="34" t="s">
        <v>72</v>
      </c>
      <c r="AE137" s="34" t="s">
        <v>69</v>
      </c>
      <c r="AF137" s="34" t="s">
        <v>74</v>
      </c>
      <c r="AG137" s="34" t="s">
        <v>104</v>
      </c>
      <c r="AH137" s="34" t="s">
        <v>105</v>
      </c>
      <c r="AI137" s="34" t="s">
        <v>336</v>
      </c>
      <c r="AJ137" s="34" t="s">
        <v>336</v>
      </c>
      <c r="AK137" s="34" t="s">
        <v>2024</v>
      </c>
      <c r="AL137" s="34" t="s">
        <v>128</v>
      </c>
      <c r="AM137" s="34" t="s">
        <v>895</v>
      </c>
      <c r="AN137" s="34" t="s">
        <v>2025</v>
      </c>
      <c r="AO137" s="39"/>
      <c r="AP137" s="34" t="s">
        <v>109</v>
      </c>
      <c r="AQ137" s="96"/>
      <c r="AR137" s="96"/>
      <c r="AS137" s="44"/>
    </row>
    <row r="138">
      <c r="A138" s="32">
        <v>235.0</v>
      </c>
      <c r="B138" s="33">
        <v>3.64026933E8</v>
      </c>
      <c r="C138" s="34" t="s">
        <v>2027</v>
      </c>
      <c r="D138" s="34" t="s">
        <v>2028</v>
      </c>
      <c r="E138" s="34" t="s">
        <v>2029</v>
      </c>
      <c r="F138" s="34" t="s">
        <v>114</v>
      </c>
      <c r="G138" s="34" t="s">
        <v>2030</v>
      </c>
      <c r="H138" s="36">
        <v>2009.0</v>
      </c>
      <c r="I138" s="34" t="s">
        <v>207</v>
      </c>
      <c r="J138" s="34" t="s">
        <v>55</v>
      </c>
      <c r="K138" s="34" t="s">
        <v>2031</v>
      </c>
      <c r="L138" s="34" t="s">
        <v>57</v>
      </c>
      <c r="M138" s="34" t="s">
        <v>114</v>
      </c>
      <c r="N138" s="34" t="s">
        <v>2032</v>
      </c>
      <c r="O138" s="34" t="s">
        <v>2033</v>
      </c>
      <c r="P138" s="34" t="s">
        <v>93</v>
      </c>
      <c r="Q138" s="34" t="s">
        <v>57</v>
      </c>
      <c r="R138" s="34" t="s">
        <v>57</v>
      </c>
      <c r="S138" s="34" t="s">
        <v>96</v>
      </c>
      <c r="T138" s="34" t="s">
        <v>2034</v>
      </c>
      <c r="U138" s="34" t="s">
        <v>2035</v>
      </c>
      <c r="V138" s="34" t="s">
        <v>99</v>
      </c>
      <c r="W138" s="34" t="s">
        <v>100</v>
      </c>
      <c r="X138" s="37" t="s">
        <v>100</v>
      </c>
      <c r="Y138" s="34" t="s">
        <v>74</v>
      </c>
      <c r="Z138" s="34" t="s">
        <v>57</v>
      </c>
      <c r="AA138" s="34">
        <v>2004.0</v>
      </c>
      <c r="AB138" s="34">
        <v>2005.0</v>
      </c>
      <c r="AC138" s="34" t="s">
        <v>103</v>
      </c>
      <c r="AD138" s="34" t="s">
        <v>403</v>
      </c>
      <c r="AE138" s="34" t="s">
        <v>69</v>
      </c>
      <c r="AF138" s="34" t="s">
        <v>69</v>
      </c>
      <c r="AG138" s="34" t="s">
        <v>104</v>
      </c>
      <c r="AH138" s="34" t="s">
        <v>105</v>
      </c>
      <c r="AI138" s="34" t="s">
        <v>1231</v>
      </c>
      <c r="AJ138" s="34" t="s">
        <v>107</v>
      </c>
      <c r="AK138" s="34" t="s">
        <v>2036</v>
      </c>
      <c r="AL138" s="34" t="s">
        <v>128</v>
      </c>
      <c r="AM138" s="34" t="s">
        <v>2037</v>
      </c>
      <c r="AN138" s="34" t="s">
        <v>2038</v>
      </c>
      <c r="AO138" s="39"/>
      <c r="AP138" s="34" t="s">
        <v>184</v>
      </c>
      <c r="AQ138" s="96"/>
      <c r="AR138" s="96"/>
      <c r="AS138" s="44"/>
    </row>
    <row r="139">
      <c r="A139" s="32">
        <v>236.0</v>
      </c>
      <c r="B139" s="33">
        <v>3.64026933E8</v>
      </c>
      <c r="C139" s="34" t="s">
        <v>2040</v>
      </c>
      <c r="D139" s="34" t="s">
        <v>2041</v>
      </c>
      <c r="E139" s="34" t="s">
        <v>2042</v>
      </c>
      <c r="F139" s="34" t="s">
        <v>992</v>
      </c>
      <c r="G139" s="34" t="s">
        <v>2043</v>
      </c>
      <c r="H139" s="36">
        <v>2016.0</v>
      </c>
      <c r="I139" s="34" t="s">
        <v>2044</v>
      </c>
      <c r="J139" s="34" t="s">
        <v>55</v>
      </c>
      <c r="K139" s="34" t="s">
        <v>2045</v>
      </c>
      <c r="L139" s="34" t="s">
        <v>57</v>
      </c>
      <c r="M139" s="34" t="s">
        <v>992</v>
      </c>
      <c r="N139" s="34" t="s">
        <v>2046</v>
      </c>
      <c r="O139" s="34" t="s">
        <v>2047</v>
      </c>
      <c r="P139" s="34" t="s">
        <v>554</v>
      </c>
      <c r="Q139" s="34" t="s">
        <v>2048</v>
      </c>
      <c r="R139" s="34" t="s">
        <v>2049</v>
      </c>
      <c r="S139" s="34" t="s">
        <v>63</v>
      </c>
      <c r="T139" s="34" t="s">
        <v>64</v>
      </c>
      <c r="U139" s="34" t="s">
        <v>2050</v>
      </c>
      <c r="V139" s="34" t="s">
        <v>66</v>
      </c>
      <c r="W139" s="34" t="s">
        <v>2051</v>
      </c>
      <c r="X139" s="37" t="s">
        <v>2052</v>
      </c>
      <c r="Y139" s="34" t="s">
        <v>74</v>
      </c>
      <c r="Z139" s="34" t="s">
        <v>57</v>
      </c>
      <c r="AA139" s="34">
        <v>2009.0</v>
      </c>
      <c r="AB139" s="34">
        <v>2009.0</v>
      </c>
      <c r="AC139" s="34" t="s">
        <v>144</v>
      </c>
      <c r="AD139" s="34" t="s">
        <v>370</v>
      </c>
      <c r="AE139" s="34" t="s">
        <v>74</v>
      </c>
      <c r="AF139" s="34" t="s">
        <v>69</v>
      </c>
      <c r="AG139" s="34" t="s">
        <v>215</v>
      </c>
      <c r="AH139" s="34" t="s">
        <v>285</v>
      </c>
      <c r="AI139" s="34" t="s">
        <v>2053</v>
      </c>
      <c r="AJ139" s="34" t="s">
        <v>147</v>
      </c>
      <c r="AK139" s="34" t="s">
        <v>2054</v>
      </c>
      <c r="AL139" s="34" t="s">
        <v>128</v>
      </c>
      <c r="AM139" s="34" t="s">
        <v>374</v>
      </c>
      <c r="AN139" s="34" t="s">
        <v>2055</v>
      </c>
      <c r="AO139" s="39"/>
      <c r="AP139" s="34" t="s">
        <v>184</v>
      </c>
      <c r="AQ139" s="96"/>
      <c r="AR139" s="96"/>
      <c r="AS139" s="44"/>
    </row>
    <row r="140">
      <c r="A140" s="32">
        <v>237.0</v>
      </c>
      <c r="B140" s="33">
        <v>3.64026737E8</v>
      </c>
      <c r="C140" s="34" t="s">
        <v>2057</v>
      </c>
      <c r="D140" s="34" t="s">
        <v>2058</v>
      </c>
      <c r="E140" s="34" t="s">
        <v>2059</v>
      </c>
      <c r="F140" s="34" t="s">
        <v>992</v>
      </c>
      <c r="G140" s="34" t="s">
        <v>2060</v>
      </c>
      <c r="H140" s="36">
        <v>2009.0</v>
      </c>
      <c r="I140" s="34" t="s">
        <v>295</v>
      </c>
      <c r="J140" s="34" t="s">
        <v>55</v>
      </c>
      <c r="K140" s="34" t="s">
        <v>2061</v>
      </c>
      <c r="L140" s="34" t="s">
        <v>57</v>
      </c>
      <c r="M140" s="34" t="s">
        <v>992</v>
      </c>
      <c r="N140" s="34" t="s">
        <v>1471</v>
      </c>
      <c r="O140" s="34" t="s">
        <v>2062</v>
      </c>
      <c r="P140" s="34" t="s">
        <v>554</v>
      </c>
      <c r="Q140" s="34" t="s">
        <v>2063</v>
      </c>
      <c r="R140" s="34" t="s">
        <v>2064</v>
      </c>
      <c r="S140" s="34" t="s">
        <v>63</v>
      </c>
      <c r="T140" s="34" t="s">
        <v>366</v>
      </c>
      <c r="U140" s="34" t="s">
        <v>2065</v>
      </c>
      <c r="V140" s="34" t="s">
        <v>99</v>
      </c>
      <c r="W140" s="34" t="s">
        <v>100</v>
      </c>
      <c r="X140" s="37" t="s">
        <v>100</v>
      </c>
      <c r="Y140" s="34" t="s">
        <v>74</v>
      </c>
      <c r="Z140" s="34" t="s">
        <v>57</v>
      </c>
      <c r="AA140" s="34">
        <v>2006.0</v>
      </c>
      <c r="AB140" s="34">
        <v>2006.0</v>
      </c>
      <c r="AC140" s="34" t="s">
        <v>102</v>
      </c>
      <c r="AD140" s="34" t="s">
        <v>692</v>
      </c>
      <c r="AE140" s="34" t="s">
        <v>69</v>
      </c>
      <c r="AF140" s="34" t="s">
        <v>69</v>
      </c>
      <c r="AG140" s="34" t="s">
        <v>104</v>
      </c>
      <c r="AH140" s="34" t="s">
        <v>105</v>
      </c>
      <c r="AI140" s="34" t="s">
        <v>166</v>
      </c>
      <c r="AJ140" s="34" t="s">
        <v>166</v>
      </c>
      <c r="AK140" s="34" t="s">
        <v>2066</v>
      </c>
      <c r="AL140" s="34" t="s">
        <v>128</v>
      </c>
      <c r="AM140" s="34" t="s">
        <v>2067</v>
      </c>
      <c r="AN140" s="34" t="s">
        <v>2068</v>
      </c>
      <c r="AO140" s="39"/>
      <c r="AP140" s="34" t="s">
        <v>109</v>
      </c>
      <c r="AQ140" s="96"/>
      <c r="AR140" s="96"/>
      <c r="AS140" s="44"/>
    </row>
    <row r="141">
      <c r="A141" s="32">
        <v>238.0</v>
      </c>
      <c r="B141" s="33">
        <v>3.64026638E8</v>
      </c>
      <c r="C141" s="34" t="s">
        <v>2070</v>
      </c>
      <c r="D141" s="34" t="s">
        <v>2071</v>
      </c>
      <c r="E141" s="34" t="s">
        <v>2072</v>
      </c>
      <c r="F141" s="34" t="s">
        <v>489</v>
      </c>
      <c r="G141" s="34" t="s">
        <v>2073</v>
      </c>
      <c r="H141" s="36">
        <v>2013.0</v>
      </c>
      <c r="I141" s="34" t="s">
        <v>686</v>
      </c>
      <c r="J141" s="34" t="s">
        <v>55</v>
      </c>
      <c r="K141" s="34" t="s">
        <v>2074</v>
      </c>
      <c r="L141" s="34" t="s">
        <v>57</v>
      </c>
      <c r="M141" s="34" t="s">
        <v>489</v>
      </c>
      <c r="N141" s="34" t="s">
        <v>1553</v>
      </c>
      <c r="O141" s="34" t="s">
        <v>2075</v>
      </c>
      <c r="P141" s="34" t="s">
        <v>93</v>
      </c>
      <c r="Q141" s="34" t="s">
        <v>57</v>
      </c>
      <c r="R141" s="34" t="s">
        <v>57</v>
      </c>
      <c r="S141" s="34" t="s">
        <v>63</v>
      </c>
      <c r="T141" s="34" t="s">
        <v>2076</v>
      </c>
      <c r="U141" s="34" t="s">
        <v>2077</v>
      </c>
      <c r="V141" s="34" t="s">
        <v>99</v>
      </c>
      <c r="W141" s="34" t="s">
        <v>100</v>
      </c>
      <c r="X141" s="37" t="s">
        <v>100</v>
      </c>
      <c r="Y141" s="34" t="s">
        <v>74</v>
      </c>
      <c r="Z141" s="34" t="s">
        <v>57</v>
      </c>
      <c r="AA141" s="34">
        <v>2009.0</v>
      </c>
      <c r="AB141" s="34">
        <v>2009.0</v>
      </c>
      <c r="AC141" s="34" t="s">
        <v>103</v>
      </c>
      <c r="AD141" s="34" t="s">
        <v>144</v>
      </c>
      <c r="AE141" s="34" t="s">
        <v>69</v>
      </c>
      <c r="AF141" s="34" t="s">
        <v>74</v>
      </c>
      <c r="AG141" s="34" t="s">
        <v>104</v>
      </c>
      <c r="AH141" s="34" t="s">
        <v>105</v>
      </c>
      <c r="AI141" s="34" t="s">
        <v>336</v>
      </c>
      <c r="AJ141" s="34" t="s">
        <v>336</v>
      </c>
      <c r="AK141" s="34" t="s">
        <v>2078</v>
      </c>
      <c r="AL141" s="34" t="s">
        <v>128</v>
      </c>
      <c r="AM141" s="34" t="s">
        <v>129</v>
      </c>
      <c r="AN141" s="34" t="s">
        <v>2079</v>
      </c>
      <c r="AO141" s="39"/>
      <c r="AP141" s="34" t="s">
        <v>109</v>
      </c>
      <c r="AQ141" s="96"/>
      <c r="AR141" s="96"/>
      <c r="AS141" s="44"/>
    </row>
    <row r="142">
      <c r="A142" s="32">
        <v>239.0</v>
      </c>
      <c r="B142" s="33">
        <v>3.64026604E8</v>
      </c>
      <c r="C142" s="34" t="s">
        <v>2081</v>
      </c>
      <c r="D142" s="34" t="s">
        <v>2082</v>
      </c>
      <c r="E142" s="34" t="s">
        <v>2083</v>
      </c>
      <c r="F142" s="34" t="s">
        <v>114</v>
      </c>
      <c r="G142" s="34" t="s">
        <v>2084</v>
      </c>
      <c r="H142" s="36">
        <v>2020.0</v>
      </c>
      <c r="I142" s="34" t="s">
        <v>207</v>
      </c>
      <c r="J142" s="34" t="s">
        <v>55</v>
      </c>
      <c r="K142" s="34" t="s">
        <v>2085</v>
      </c>
      <c r="L142" s="34" t="s">
        <v>57</v>
      </c>
      <c r="M142" s="34" t="s">
        <v>114</v>
      </c>
      <c r="N142" s="34" t="s">
        <v>2086</v>
      </c>
      <c r="O142" s="34" t="s">
        <v>2087</v>
      </c>
      <c r="P142" s="34" t="s">
        <v>93</v>
      </c>
      <c r="Q142" s="34" t="s">
        <v>57</v>
      </c>
      <c r="R142" s="34" t="s">
        <v>57</v>
      </c>
      <c r="S142" s="34" t="s">
        <v>96</v>
      </c>
      <c r="T142" s="34" t="s">
        <v>2088</v>
      </c>
      <c r="U142" s="34" t="s">
        <v>2089</v>
      </c>
      <c r="V142" s="34" t="s">
        <v>99</v>
      </c>
      <c r="W142" s="34" t="s">
        <v>100</v>
      </c>
      <c r="X142" s="37" t="s">
        <v>100</v>
      </c>
      <c r="Y142" s="34" t="s">
        <v>74</v>
      </c>
      <c r="Z142" s="34" t="s">
        <v>57</v>
      </c>
      <c r="AA142" s="34">
        <v>2015.0</v>
      </c>
      <c r="AB142" s="34">
        <v>2015.0</v>
      </c>
      <c r="AC142" s="34" t="s">
        <v>180</v>
      </c>
      <c r="AD142" s="34" t="s">
        <v>102</v>
      </c>
      <c r="AE142" s="34" t="s">
        <v>69</v>
      </c>
      <c r="AF142" s="34" t="s">
        <v>69</v>
      </c>
      <c r="AG142" s="34" t="s">
        <v>104</v>
      </c>
      <c r="AH142" s="34" t="s">
        <v>105</v>
      </c>
      <c r="AI142" s="34" t="s">
        <v>1231</v>
      </c>
      <c r="AJ142" s="34" t="s">
        <v>107</v>
      </c>
      <c r="AK142" s="34" t="s">
        <v>2090</v>
      </c>
      <c r="AL142" s="34" t="s">
        <v>128</v>
      </c>
      <c r="AM142" s="34" t="s">
        <v>198</v>
      </c>
      <c r="AN142" s="34" t="s">
        <v>2091</v>
      </c>
      <c r="AO142" s="39"/>
      <c r="AP142" s="34" t="s">
        <v>109</v>
      </c>
      <c r="AQ142" s="96"/>
      <c r="AR142" s="96"/>
      <c r="AS142" s="44"/>
    </row>
    <row r="143">
      <c r="A143" s="32">
        <v>242.0</v>
      </c>
      <c r="B143" s="33">
        <v>3.64026724E8</v>
      </c>
      <c r="C143" s="34" t="s">
        <v>2093</v>
      </c>
      <c r="D143" s="34" t="s">
        <v>2094</v>
      </c>
      <c r="E143" s="34" t="s">
        <v>2095</v>
      </c>
      <c r="F143" s="34" t="s">
        <v>992</v>
      </c>
      <c r="G143" s="34" t="s">
        <v>2096</v>
      </c>
      <c r="H143" s="36">
        <v>2005.0</v>
      </c>
      <c r="I143" s="34" t="s">
        <v>295</v>
      </c>
      <c r="J143" s="34" t="s">
        <v>55</v>
      </c>
      <c r="K143" s="34" t="s">
        <v>2097</v>
      </c>
      <c r="L143" s="34" t="s">
        <v>57</v>
      </c>
      <c r="M143" s="34" t="s">
        <v>992</v>
      </c>
      <c r="N143" s="34" t="s">
        <v>1114</v>
      </c>
      <c r="O143" s="34" t="s">
        <v>2098</v>
      </c>
      <c r="P143" s="34" t="s">
        <v>554</v>
      </c>
      <c r="Q143" s="34" t="s">
        <v>57</v>
      </c>
      <c r="R143" s="34" t="s">
        <v>57</v>
      </c>
      <c r="S143" s="34" t="s">
        <v>63</v>
      </c>
      <c r="T143" s="34" t="s">
        <v>2099</v>
      </c>
      <c r="U143" s="34" t="s">
        <v>2100</v>
      </c>
      <c r="V143" s="34" t="s">
        <v>99</v>
      </c>
      <c r="W143" s="34" t="s">
        <v>100</v>
      </c>
      <c r="X143" s="37" t="s">
        <v>100</v>
      </c>
      <c r="Y143" s="34" t="s">
        <v>74</v>
      </c>
      <c r="Z143" s="34" t="s">
        <v>57</v>
      </c>
      <c r="AA143" s="34">
        <v>2002.0</v>
      </c>
      <c r="AB143" s="34">
        <v>2002.0</v>
      </c>
      <c r="AC143" s="34" t="s">
        <v>214</v>
      </c>
      <c r="AD143" s="34" t="s">
        <v>180</v>
      </c>
      <c r="AE143" s="34" t="s">
        <v>69</v>
      </c>
      <c r="AF143" s="34" t="s">
        <v>74</v>
      </c>
      <c r="AG143" s="34" t="s">
        <v>104</v>
      </c>
      <c r="AH143" s="34" t="s">
        <v>105</v>
      </c>
      <c r="AI143" s="34" t="s">
        <v>106</v>
      </c>
      <c r="AJ143" s="34" t="s">
        <v>107</v>
      </c>
      <c r="AK143" s="34" t="s">
        <v>2101</v>
      </c>
      <c r="AL143" s="34" t="s">
        <v>79</v>
      </c>
      <c r="AM143" s="34" t="s">
        <v>57</v>
      </c>
      <c r="AN143" s="34" t="s">
        <v>57</v>
      </c>
      <c r="AO143" s="39"/>
      <c r="AP143" s="34" t="s">
        <v>109</v>
      </c>
      <c r="AQ143" s="96"/>
      <c r="AR143" s="96"/>
      <c r="AS143" s="44"/>
    </row>
    <row r="144">
      <c r="A144" s="32">
        <v>243.0</v>
      </c>
      <c r="B144" s="33">
        <v>3.64026643E8</v>
      </c>
      <c r="C144" s="34" t="s">
        <v>2103</v>
      </c>
      <c r="D144" s="34" t="s">
        <v>2104</v>
      </c>
      <c r="E144" s="34" t="s">
        <v>2105</v>
      </c>
      <c r="F144" s="34" t="s">
        <v>87</v>
      </c>
      <c r="G144" s="34" t="s">
        <v>2106</v>
      </c>
      <c r="H144" s="36">
        <v>2021.0</v>
      </c>
      <c r="I144" s="34" t="s">
        <v>2107</v>
      </c>
      <c r="J144" s="34" t="s">
        <v>55</v>
      </c>
      <c r="K144" s="34" t="s">
        <v>2108</v>
      </c>
      <c r="L144" s="34" t="s">
        <v>57</v>
      </c>
      <c r="M144" s="34" t="s">
        <v>87</v>
      </c>
      <c r="N144" s="34" t="s">
        <v>1903</v>
      </c>
      <c r="O144" s="34" t="s">
        <v>2109</v>
      </c>
      <c r="P144" s="34" t="s">
        <v>93</v>
      </c>
      <c r="Q144" s="34" t="s">
        <v>57</v>
      </c>
      <c r="R144" s="34" t="s">
        <v>57</v>
      </c>
      <c r="S144" s="34" t="s">
        <v>96</v>
      </c>
      <c r="T144" s="34" t="s">
        <v>1753</v>
      </c>
      <c r="U144" s="34" t="s">
        <v>2110</v>
      </c>
      <c r="V144" s="34" t="s">
        <v>99</v>
      </c>
      <c r="W144" s="34" t="s">
        <v>100</v>
      </c>
      <c r="X144" s="37" t="s">
        <v>100</v>
      </c>
      <c r="Y144" s="34" t="s">
        <v>74</v>
      </c>
      <c r="Z144" s="34" t="s">
        <v>57</v>
      </c>
      <c r="AA144" s="34">
        <v>2015.0</v>
      </c>
      <c r="AB144" s="34">
        <v>2016.0</v>
      </c>
      <c r="AC144" s="34" t="s">
        <v>264</v>
      </c>
      <c r="AD144" s="34" t="s">
        <v>72</v>
      </c>
      <c r="AE144" s="34" t="s">
        <v>69</v>
      </c>
      <c r="AF144" s="34" t="s">
        <v>69</v>
      </c>
      <c r="AG144" s="34" t="s">
        <v>104</v>
      </c>
      <c r="AH144" s="34" t="s">
        <v>105</v>
      </c>
      <c r="AI144" s="34" t="s">
        <v>106</v>
      </c>
      <c r="AJ144" s="34" t="s">
        <v>107</v>
      </c>
      <c r="AK144" s="34" t="s">
        <v>2111</v>
      </c>
      <c r="AL144" s="34" t="s">
        <v>79</v>
      </c>
      <c r="AM144" s="34" t="s">
        <v>57</v>
      </c>
      <c r="AN144" s="34" t="s">
        <v>57</v>
      </c>
      <c r="AO144" s="39"/>
      <c r="AP144" s="34" t="s">
        <v>109</v>
      </c>
      <c r="AQ144" s="96"/>
      <c r="AR144" s="96"/>
      <c r="AS144" s="44"/>
    </row>
    <row r="145">
      <c r="A145" s="32">
        <v>244.0</v>
      </c>
      <c r="B145" s="33">
        <v>3.64026646E8</v>
      </c>
      <c r="C145" s="34" t="s">
        <v>2113</v>
      </c>
      <c r="D145" s="34" t="s">
        <v>2114</v>
      </c>
      <c r="E145" s="34" t="s">
        <v>2115</v>
      </c>
      <c r="F145" s="34" t="s">
        <v>258</v>
      </c>
      <c r="G145" s="34" t="s">
        <v>2116</v>
      </c>
      <c r="H145" s="36">
        <v>2019.0</v>
      </c>
      <c r="I145" s="34" t="s">
        <v>2117</v>
      </c>
      <c r="J145" s="34" t="s">
        <v>55</v>
      </c>
      <c r="K145" s="34" t="s">
        <v>2118</v>
      </c>
      <c r="L145" s="34" t="s">
        <v>57</v>
      </c>
      <c r="M145" s="34" t="s">
        <v>114</v>
      </c>
      <c r="N145" s="34" t="s">
        <v>258</v>
      </c>
      <c r="O145" s="34" t="s">
        <v>2119</v>
      </c>
      <c r="P145" s="34" t="s">
        <v>93</v>
      </c>
      <c r="Q145" s="34" t="s">
        <v>2120</v>
      </c>
      <c r="R145" s="34" t="s">
        <v>2121</v>
      </c>
      <c r="S145" s="34" t="s">
        <v>96</v>
      </c>
      <c r="T145" s="34" t="s">
        <v>210</v>
      </c>
      <c r="U145" s="34" t="s">
        <v>2122</v>
      </c>
      <c r="V145" s="34" t="s">
        <v>99</v>
      </c>
      <c r="W145" s="34" t="s">
        <v>100</v>
      </c>
      <c r="X145" s="37" t="s">
        <v>100</v>
      </c>
      <c r="Y145" s="34" t="s">
        <v>74</v>
      </c>
      <c r="Z145" s="34" t="s">
        <v>57</v>
      </c>
      <c r="AA145" s="34" t="s">
        <v>57</v>
      </c>
      <c r="AB145" s="34" t="s">
        <v>57</v>
      </c>
      <c r="AC145" s="34" t="s">
        <v>180</v>
      </c>
      <c r="AD145" s="34" t="s">
        <v>72</v>
      </c>
      <c r="AE145" s="34" t="s">
        <v>69</v>
      </c>
      <c r="AF145" s="34" t="s">
        <v>74</v>
      </c>
      <c r="AG145" s="34" t="s">
        <v>104</v>
      </c>
      <c r="AH145" s="34" t="s">
        <v>105</v>
      </c>
      <c r="AI145" s="34" t="s">
        <v>336</v>
      </c>
      <c r="AJ145" s="34" t="s">
        <v>336</v>
      </c>
      <c r="AK145" s="34" t="s">
        <v>2123</v>
      </c>
      <c r="AL145" s="34" t="s">
        <v>79</v>
      </c>
      <c r="AM145" s="34" t="s">
        <v>57</v>
      </c>
      <c r="AN145" s="34" t="s">
        <v>57</v>
      </c>
      <c r="AO145" s="39"/>
      <c r="AP145" s="34" t="s">
        <v>109</v>
      </c>
      <c r="AQ145" s="96"/>
      <c r="AR145" s="96"/>
      <c r="AS145" s="44"/>
    </row>
    <row r="146">
      <c r="A146" s="32">
        <v>245.0</v>
      </c>
      <c r="B146" s="33">
        <v>3.64026682E8</v>
      </c>
      <c r="C146" s="34" t="s">
        <v>2125</v>
      </c>
      <c r="D146" s="34" t="s">
        <v>2126</v>
      </c>
      <c r="E146" s="34" t="s">
        <v>2127</v>
      </c>
      <c r="F146" s="34" t="s">
        <v>2128</v>
      </c>
      <c r="G146" s="34" t="s">
        <v>2129</v>
      </c>
      <c r="H146" s="36">
        <v>2021.0</v>
      </c>
      <c r="I146" s="34" t="s">
        <v>2130</v>
      </c>
      <c r="J146" s="34" t="s">
        <v>55</v>
      </c>
      <c r="K146" s="34" t="s">
        <v>2131</v>
      </c>
      <c r="L146" s="34" t="s">
        <v>57</v>
      </c>
      <c r="M146" s="34" t="s">
        <v>2128</v>
      </c>
      <c r="N146" s="34" t="s">
        <v>2132</v>
      </c>
      <c r="O146" s="34" t="s">
        <v>2133</v>
      </c>
      <c r="P146" s="34" t="s">
        <v>93</v>
      </c>
      <c r="Q146" s="34" t="s">
        <v>57</v>
      </c>
      <c r="R146" s="34" t="s">
        <v>57</v>
      </c>
      <c r="S146" s="34" t="s">
        <v>96</v>
      </c>
      <c r="T146" s="34" t="s">
        <v>64</v>
      </c>
      <c r="U146" s="34" t="s">
        <v>2134</v>
      </c>
      <c r="V146" s="34" t="s">
        <v>99</v>
      </c>
      <c r="W146" s="34" t="s">
        <v>100</v>
      </c>
      <c r="X146" s="37" t="s">
        <v>100</v>
      </c>
      <c r="Y146" s="34" t="s">
        <v>74</v>
      </c>
      <c r="Z146" s="34" t="s">
        <v>57</v>
      </c>
      <c r="AA146" s="34">
        <v>2019.0</v>
      </c>
      <c r="AB146" s="34">
        <v>2019.0</v>
      </c>
      <c r="AC146" s="34" t="s">
        <v>102</v>
      </c>
      <c r="AD146" s="34" t="s">
        <v>102</v>
      </c>
      <c r="AE146" s="34" t="s">
        <v>74</v>
      </c>
      <c r="AF146" s="34" t="s">
        <v>74</v>
      </c>
      <c r="AG146" s="34" t="s">
        <v>104</v>
      </c>
      <c r="AH146" s="34" t="s">
        <v>105</v>
      </c>
      <c r="AI146" s="34" t="s">
        <v>336</v>
      </c>
      <c r="AJ146" s="34" t="s">
        <v>336</v>
      </c>
      <c r="AK146" s="34" t="s">
        <v>2135</v>
      </c>
      <c r="AL146" s="34" t="s">
        <v>128</v>
      </c>
      <c r="AM146" s="34" t="s">
        <v>129</v>
      </c>
      <c r="AN146" s="34" t="s">
        <v>2136</v>
      </c>
      <c r="AO146" s="39"/>
      <c r="AP146" s="34" t="s">
        <v>109</v>
      </c>
      <c r="AQ146" s="96"/>
      <c r="AR146" s="96"/>
      <c r="AS146" s="44"/>
    </row>
    <row r="147">
      <c r="A147" s="32">
        <v>246.0</v>
      </c>
      <c r="B147" s="33">
        <v>3.640268E8</v>
      </c>
      <c r="C147" s="34" t="s">
        <v>2138</v>
      </c>
      <c r="D147" s="34" t="s">
        <v>2139</v>
      </c>
      <c r="E147" s="38" t="s">
        <v>2140</v>
      </c>
      <c r="F147" s="34" t="s">
        <v>114</v>
      </c>
      <c r="G147" s="34" t="s">
        <v>2141</v>
      </c>
      <c r="H147" s="36">
        <v>2016.0</v>
      </c>
      <c r="I147" s="34" t="s">
        <v>2142</v>
      </c>
      <c r="J147" s="34" t="s">
        <v>55</v>
      </c>
      <c r="K147" s="34" t="s">
        <v>2143</v>
      </c>
      <c r="L147" s="34" t="s">
        <v>57</v>
      </c>
      <c r="M147" s="34" t="s">
        <v>114</v>
      </c>
      <c r="N147" s="34" t="s">
        <v>2144</v>
      </c>
      <c r="O147" s="34" t="s">
        <v>2145</v>
      </c>
      <c r="P147" s="34" t="s">
        <v>93</v>
      </c>
      <c r="Q147" s="34" t="s">
        <v>57</v>
      </c>
      <c r="R147" s="34" t="s">
        <v>57</v>
      </c>
      <c r="S147" s="34" t="s">
        <v>63</v>
      </c>
      <c r="T147" s="34" t="s">
        <v>2146</v>
      </c>
      <c r="U147" s="34" t="s">
        <v>2147</v>
      </c>
      <c r="V147" s="34" t="s">
        <v>99</v>
      </c>
      <c r="W147" s="34" t="s">
        <v>100</v>
      </c>
      <c r="X147" s="37" t="s">
        <v>100</v>
      </c>
      <c r="Y147" s="34" t="s">
        <v>74</v>
      </c>
      <c r="Z147" s="34" t="s">
        <v>57</v>
      </c>
      <c r="AA147" s="34">
        <v>2013.0</v>
      </c>
      <c r="AB147" s="34">
        <v>2014.0</v>
      </c>
      <c r="AC147" s="34" t="s">
        <v>144</v>
      </c>
      <c r="AD147" s="34" t="s">
        <v>72</v>
      </c>
      <c r="AE147" s="34" t="s">
        <v>69</v>
      </c>
      <c r="AF147" s="34" t="s">
        <v>74</v>
      </c>
      <c r="AG147" s="34" t="s">
        <v>104</v>
      </c>
      <c r="AH147" s="34" t="s">
        <v>105</v>
      </c>
      <c r="AI147" s="34" t="s">
        <v>106</v>
      </c>
      <c r="AJ147" s="34" t="s">
        <v>107</v>
      </c>
      <c r="AK147" s="34" t="s">
        <v>2148</v>
      </c>
      <c r="AL147" s="34" t="s">
        <v>79</v>
      </c>
      <c r="AM147" s="34" t="s">
        <v>57</v>
      </c>
      <c r="AN147" s="34" t="s">
        <v>57</v>
      </c>
      <c r="AO147" s="39"/>
      <c r="AP147" s="34" t="s">
        <v>109</v>
      </c>
      <c r="AQ147" s="96"/>
      <c r="AR147" s="96"/>
      <c r="AS147" s="44"/>
    </row>
    <row r="148">
      <c r="A148" s="32">
        <v>248.0</v>
      </c>
      <c r="B148" s="33">
        <v>3.64026747E8</v>
      </c>
      <c r="C148" s="34" t="s">
        <v>2150</v>
      </c>
      <c r="D148" s="34" t="s">
        <v>2151</v>
      </c>
      <c r="E148" s="34" t="s">
        <v>2152</v>
      </c>
      <c r="F148" s="34" t="s">
        <v>172</v>
      </c>
      <c r="G148" s="34" t="s">
        <v>2153</v>
      </c>
      <c r="H148" s="36">
        <v>2017.0</v>
      </c>
      <c r="I148" s="34" t="s">
        <v>1347</v>
      </c>
      <c r="J148" s="34" t="s">
        <v>55</v>
      </c>
      <c r="K148" s="34" t="s">
        <v>2154</v>
      </c>
      <c r="L148" s="34" t="s">
        <v>57</v>
      </c>
      <c r="M148" s="34" t="s">
        <v>172</v>
      </c>
      <c r="N148" s="34" t="s">
        <v>347</v>
      </c>
      <c r="O148" s="34" t="s">
        <v>2155</v>
      </c>
      <c r="P148" s="34" t="s">
        <v>93</v>
      </c>
      <c r="Q148" s="34" t="s">
        <v>57</v>
      </c>
      <c r="R148" s="34" t="s">
        <v>57</v>
      </c>
      <c r="S148" s="34" t="s">
        <v>193</v>
      </c>
      <c r="T148" s="34" t="s">
        <v>351</v>
      </c>
      <c r="U148" s="34" t="s">
        <v>2156</v>
      </c>
      <c r="V148" s="34" t="s">
        <v>99</v>
      </c>
      <c r="W148" s="34" t="s">
        <v>100</v>
      </c>
      <c r="X148" s="37" t="s">
        <v>100</v>
      </c>
      <c r="Y148" s="34" t="s">
        <v>74</v>
      </c>
      <c r="Z148" s="34" t="s">
        <v>57</v>
      </c>
      <c r="AA148" s="34">
        <v>1992.0</v>
      </c>
      <c r="AB148" s="34">
        <v>2016.0</v>
      </c>
      <c r="AC148" s="34" t="s">
        <v>144</v>
      </c>
      <c r="AD148" s="34" t="s">
        <v>180</v>
      </c>
      <c r="AE148" s="34" t="s">
        <v>69</v>
      </c>
      <c r="AF148" s="34" t="s">
        <v>74</v>
      </c>
      <c r="AG148" s="34" t="s">
        <v>104</v>
      </c>
      <c r="AH148" s="34" t="s">
        <v>105</v>
      </c>
      <c r="AI148" s="34" t="s">
        <v>336</v>
      </c>
      <c r="AJ148" s="34" t="s">
        <v>336</v>
      </c>
      <c r="AK148" s="34" t="s">
        <v>2157</v>
      </c>
      <c r="AL148" s="34" t="s">
        <v>79</v>
      </c>
      <c r="AM148" s="34" t="s">
        <v>57</v>
      </c>
      <c r="AN148" s="34" t="s">
        <v>57</v>
      </c>
      <c r="AO148" s="39"/>
      <c r="AP148" s="34" t="s">
        <v>109</v>
      </c>
      <c r="AQ148" s="96"/>
      <c r="AR148" s="96"/>
      <c r="AS148" s="44"/>
    </row>
    <row r="149">
      <c r="A149" s="32">
        <v>251.0</v>
      </c>
      <c r="B149" s="33">
        <v>3.64026823E8</v>
      </c>
      <c r="C149" s="34" t="s">
        <v>2159</v>
      </c>
      <c r="D149" s="34" t="s">
        <v>2160</v>
      </c>
      <c r="E149" s="34" t="s">
        <v>2161</v>
      </c>
      <c r="F149" s="34" t="s">
        <v>114</v>
      </c>
      <c r="G149" s="34" t="s">
        <v>2162</v>
      </c>
      <c r="H149" s="36">
        <v>2006.0</v>
      </c>
      <c r="I149" s="34" t="s">
        <v>686</v>
      </c>
      <c r="J149" s="34" t="s">
        <v>55</v>
      </c>
      <c r="K149" s="34" t="s">
        <v>2163</v>
      </c>
      <c r="L149" s="34" t="s">
        <v>57</v>
      </c>
      <c r="M149" s="34" t="s">
        <v>114</v>
      </c>
      <c r="N149" s="34" t="s">
        <v>2164</v>
      </c>
      <c r="O149" s="34" t="s">
        <v>2165</v>
      </c>
      <c r="P149" s="34" t="s">
        <v>93</v>
      </c>
      <c r="Q149" s="34" t="s">
        <v>57</v>
      </c>
      <c r="R149" s="34" t="s">
        <v>57</v>
      </c>
      <c r="S149" s="34" t="s">
        <v>63</v>
      </c>
      <c r="T149" s="34" t="s">
        <v>229</v>
      </c>
      <c r="U149" s="34" t="s">
        <v>2166</v>
      </c>
      <c r="V149" s="34" t="s">
        <v>99</v>
      </c>
      <c r="W149" s="34" t="s">
        <v>100</v>
      </c>
      <c r="X149" s="37" t="s">
        <v>100</v>
      </c>
      <c r="Y149" s="34" t="s">
        <v>74</v>
      </c>
      <c r="Z149" s="34" t="s">
        <v>57</v>
      </c>
      <c r="AA149" s="34">
        <v>2001.0</v>
      </c>
      <c r="AB149" s="34">
        <v>2002.0</v>
      </c>
      <c r="AC149" s="34" t="s">
        <v>144</v>
      </c>
      <c r="AD149" s="34" t="s">
        <v>72</v>
      </c>
      <c r="AE149" s="34" t="s">
        <v>69</v>
      </c>
      <c r="AF149" s="34" t="s">
        <v>69</v>
      </c>
      <c r="AG149" s="34" t="s">
        <v>104</v>
      </c>
      <c r="AH149" s="34" t="s">
        <v>105</v>
      </c>
      <c r="AI149" s="34" t="s">
        <v>336</v>
      </c>
      <c r="AJ149" s="34" t="s">
        <v>336</v>
      </c>
      <c r="AK149" s="34" t="s">
        <v>2167</v>
      </c>
      <c r="AL149" s="34" t="s">
        <v>79</v>
      </c>
      <c r="AM149" s="34" t="s">
        <v>57</v>
      </c>
      <c r="AN149" s="34" t="s">
        <v>57</v>
      </c>
      <c r="AO149" s="39"/>
      <c r="AP149" s="34" t="s">
        <v>109</v>
      </c>
      <c r="AQ149" s="96"/>
      <c r="AR149" s="96"/>
      <c r="AS149" s="44"/>
    </row>
    <row r="150">
      <c r="A150" s="32">
        <v>254.0</v>
      </c>
      <c r="B150" s="33">
        <v>3.64026779E8</v>
      </c>
      <c r="C150" s="34" t="s">
        <v>2169</v>
      </c>
      <c r="D150" s="34" t="s">
        <v>2170</v>
      </c>
      <c r="E150" s="34" t="s">
        <v>2171</v>
      </c>
      <c r="F150" s="34" t="s">
        <v>114</v>
      </c>
      <c r="G150" s="34" t="s">
        <v>2172</v>
      </c>
      <c r="H150" s="36">
        <v>2017.0</v>
      </c>
      <c r="I150" s="34" t="s">
        <v>1085</v>
      </c>
      <c r="J150" s="34" t="s">
        <v>55</v>
      </c>
      <c r="K150" s="34" t="s">
        <v>2173</v>
      </c>
      <c r="L150" s="34" t="s">
        <v>57</v>
      </c>
      <c r="M150" s="34" t="s">
        <v>114</v>
      </c>
      <c r="N150" s="34" t="s">
        <v>2174</v>
      </c>
      <c r="O150" s="34" t="s">
        <v>2175</v>
      </c>
      <c r="P150" s="34" t="s">
        <v>93</v>
      </c>
      <c r="Q150" s="34" t="s">
        <v>57</v>
      </c>
      <c r="R150" s="34" t="s">
        <v>57</v>
      </c>
      <c r="S150" s="34" t="s">
        <v>63</v>
      </c>
      <c r="T150" s="34" t="s">
        <v>2176</v>
      </c>
      <c r="U150" s="34" t="s">
        <v>2177</v>
      </c>
      <c r="V150" s="34" t="s">
        <v>99</v>
      </c>
      <c r="W150" s="34" t="s">
        <v>100</v>
      </c>
      <c r="X150" s="37" t="s">
        <v>100</v>
      </c>
      <c r="Y150" s="34" t="s">
        <v>74</v>
      </c>
      <c r="Z150" s="34" t="s">
        <v>57</v>
      </c>
      <c r="AA150" s="34">
        <v>2013.0</v>
      </c>
      <c r="AB150" s="34">
        <v>2014.0</v>
      </c>
      <c r="AC150" s="34" t="s">
        <v>144</v>
      </c>
      <c r="AD150" s="34" t="s">
        <v>180</v>
      </c>
      <c r="AE150" s="34" t="s">
        <v>69</v>
      </c>
      <c r="AF150" s="34" t="s">
        <v>69</v>
      </c>
      <c r="AG150" s="34" t="s">
        <v>104</v>
      </c>
      <c r="AH150" s="34" t="s">
        <v>105</v>
      </c>
      <c r="AI150" s="34" t="s">
        <v>166</v>
      </c>
      <c r="AJ150" s="34" t="s">
        <v>166</v>
      </c>
      <c r="AK150" s="34" t="s">
        <v>2178</v>
      </c>
      <c r="AL150" s="34" t="s">
        <v>128</v>
      </c>
      <c r="AM150" s="34" t="s">
        <v>198</v>
      </c>
      <c r="AN150" s="34" t="s">
        <v>2179</v>
      </c>
      <c r="AO150" s="39"/>
      <c r="AP150" s="34" t="s">
        <v>109</v>
      </c>
      <c r="AQ150" s="96"/>
      <c r="AR150" s="96"/>
      <c r="AS150" s="44"/>
    </row>
    <row r="151">
      <c r="A151" s="32">
        <v>256.0</v>
      </c>
      <c r="B151" s="33">
        <v>3.64026693E8</v>
      </c>
      <c r="C151" s="34" t="s">
        <v>2181</v>
      </c>
      <c r="D151" s="34" t="s">
        <v>2182</v>
      </c>
      <c r="E151" s="34" t="s">
        <v>2183</v>
      </c>
      <c r="F151" s="34" t="s">
        <v>114</v>
      </c>
      <c r="G151" s="34" t="s">
        <v>2184</v>
      </c>
      <c r="H151" s="36">
        <v>2014.0</v>
      </c>
      <c r="I151" s="34" t="s">
        <v>1085</v>
      </c>
      <c r="J151" s="34" t="s">
        <v>55</v>
      </c>
      <c r="K151" s="34" t="s">
        <v>2185</v>
      </c>
      <c r="L151" s="34" t="s">
        <v>57</v>
      </c>
      <c r="M151" s="34" t="s">
        <v>114</v>
      </c>
      <c r="N151" s="34" t="s">
        <v>258</v>
      </c>
      <c r="O151" s="34" t="s">
        <v>2186</v>
      </c>
      <c r="P151" s="34" t="s">
        <v>93</v>
      </c>
      <c r="Q151" s="34" t="s">
        <v>57</v>
      </c>
      <c r="R151" s="34" t="s">
        <v>57</v>
      </c>
      <c r="S151" s="34" t="s">
        <v>96</v>
      </c>
      <c r="T151" s="34" t="s">
        <v>2187</v>
      </c>
      <c r="U151" s="34" t="s">
        <v>2188</v>
      </c>
      <c r="V151" s="34" t="s">
        <v>99</v>
      </c>
      <c r="W151" s="34" t="s">
        <v>100</v>
      </c>
      <c r="X151" s="37" t="s">
        <v>100</v>
      </c>
      <c r="Y151" s="34" t="s">
        <v>74</v>
      </c>
      <c r="Z151" s="34" t="s">
        <v>57</v>
      </c>
      <c r="AA151" s="34">
        <v>2012.0</v>
      </c>
      <c r="AB151" s="34">
        <v>2012.0</v>
      </c>
      <c r="AC151" s="34" t="s">
        <v>180</v>
      </c>
      <c r="AD151" s="34" t="s">
        <v>72</v>
      </c>
      <c r="AE151" s="34" t="s">
        <v>69</v>
      </c>
      <c r="AF151" s="34" t="s">
        <v>74</v>
      </c>
      <c r="AG151" s="34" t="s">
        <v>104</v>
      </c>
      <c r="AH151" s="34" t="s">
        <v>105</v>
      </c>
      <c r="AI151" s="34" t="s">
        <v>336</v>
      </c>
      <c r="AJ151" s="34" t="s">
        <v>336</v>
      </c>
      <c r="AK151" s="34" t="s">
        <v>2189</v>
      </c>
      <c r="AL151" s="34" t="s">
        <v>128</v>
      </c>
      <c r="AM151" s="34" t="s">
        <v>129</v>
      </c>
      <c r="AN151" s="34" t="s">
        <v>2190</v>
      </c>
      <c r="AO151" s="39"/>
      <c r="AP151" s="34" t="s">
        <v>109</v>
      </c>
      <c r="AQ151" s="96"/>
      <c r="AR151" s="96"/>
      <c r="AS151" s="44"/>
    </row>
    <row r="152">
      <c r="A152" s="32">
        <v>257.0</v>
      </c>
      <c r="B152" s="33">
        <v>3.6402671E8</v>
      </c>
      <c r="C152" s="34" t="s">
        <v>2192</v>
      </c>
      <c r="D152" s="34" t="s">
        <v>2193</v>
      </c>
      <c r="E152" s="34" t="s">
        <v>2194</v>
      </c>
      <c r="F152" s="34" t="s">
        <v>381</v>
      </c>
      <c r="G152" s="34" t="s">
        <v>2195</v>
      </c>
      <c r="H152" s="36">
        <v>2011.0</v>
      </c>
      <c r="I152" s="34" t="s">
        <v>517</v>
      </c>
      <c r="J152" s="34" t="s">
        <v>55</v>
      </c>
      <c r="K152" s="34" t="s">
        <v>2196</v>
      </c>
      <c r="L152" s="34" t="s">
        <v>57</v>
      </c>
      <c r="M152" s="34" t="s">
        <v>381</v>
      </c>
      <c r="N152" s="34" t="s">
        <v>2197</v>
      </c>
      <c r="O152" s="34" t="s">
        <v>2198</v>
      </c>
      <c r="P152" s="34" t="s">
        <v>93</v>
      </c>
      <c r="Q152" s="34" t="s">
        <v>2199</v>
      </c>
      <c r="R152" s="34" t="s">
        <v>2200</v>
      </c>
      <c r="S152" s="34" t="s">
        <v>63</v>
      </c>
      <c r="T152" s="34" t="s">
        <v>2201</v>
      </c>
      <c r="U152" s="34" t="s">
        <v>2202</v>
      </c>
      <c r="V152" s="34" t="s">
        <v>99</v>
      </c>
      <c r="W152" s="34" t="s">
        <v>100</v>
      </c>
      <c r="X152" s="37" t="s">
        <v>100</v>
      </c>
      <c r="Y152" s="34" t="s">
        <v>74</v>
      </c>
      <c r="Z152" s="34" t="s">
        <v>57</v>
      </c>
      <c r="AA152" s="34" t="s">
        <v>57</v>
      </c>
      <c r="AB152" s="34" t="s">
        <v>57</v>
      </c>
      <c r="AC152" s="34" t="s">
        <v>57</v>
      </c>
      <c r="AD152" s="34" t="s">
        <v>57</v>
      </c>
      <c r="AE152" s="34" t="s">
        <v>69</v>
      </c>
      <c r="AF152" s="34" t="s">
        <v>74</v>
      </c>
      <c r="AG152" s="34" t="s">
        <v>104</v>
      </c>
      <c r="AH152" s="34" t="s">
        <v>105</v>
      </c>
      <c r="AI152" s="34" t="s">
        <v>336</v>
      </c>
      <c r="AJ152" s="34" t="s">
        <v>336</v>
      </c>
      <c r="AK152" s="34" t="s">
        <v>2203</v>
      </c>
      <c r="AL152" s="34" t="s">
        <v>79</v>
      </c>
      <c r="AM152" s="34" t="s">
        <v>57</v>
      </c>
      <c r="AN152" s="34" t="s">
        <v>57</v>
      </c>
      <c r="AO152" s="39"/>
      <c r="AP152" s="34" t="s">
        <v>109</v>
      </c>
      <c r="AQ152" s="96"/>
      <c r="AR152" s="96"/>
      <c r="AS152" s="44"/>
    </row>
    <row r="153">
      <c r="A153" s="32">
        <v>258.0</v>
      </c>
      <c r="B153" s="33">
        <v>3.64026714E8</v>
      </c>
      <c r="C153" s="34" t="s">
        <v>2206</v>
      </c>
      <c r="D153" s="34" t="s">
        <v>990</v>
      </c>
      <c r="E153" s="38" t="s">
        <v>2207</v>
      </c>
      <c r="F153" s="34" t="s">
        <v>992</v>
      </c>
      <c r="G153" s="38" t="s">
        <v>2208</v>
      </c>
      <c r="H153" s="36">
        <v>2011.0</v>
      </c>
      <c r="I153" s="38" t="s">
        <v>686</v>
      </c>
      <c r="J153" s="34" t="s">
        <v>55</v>
      </c>
      <c r="K153" s="34" t="s">
        <v>995</v>
      </c>
      <c r="L153" s="34" t="s">
        <v>57</v>
      </c>
      <c r="M153" s="34" t="s">
        <v>992</v>
      </c>
      <c r="N153" s="34" t="s">
        <v>996</v>
      </c>
      <c r="O153" s="34" t="s">
        <v>2209</v>
      </c>
      <c r="P153" s="34" t="s">
        <v>93</v>
      </c>
      <c r="Q153" s="34" t="s">
        <v>57</v>
      </c>
      <c r="R153" s="34" t="s">
        <v>57</v>
      </c>
      <c r="S153" s="34" t="s">
        <v>96</v>
      </c>
      <c r="T153" s="34" t="s">
        <v>2210</v>
      </c>
      <c r="U153" s="34" t="s">
        <v>2211</v>
      </c>
      <c r="V153" s="34" t="s">
        <v>99</v>
      </c>
      <c r="W153" s="34" t="s">
        <v>100</v>
      </c>
      <c r="X153" s="37" t="s">
        <v>100</v>
      </c>
      <c r="Y153" s="34" t="s">
        <v>69</v>
      </c>
      <c r="Z153" s="34" t="s">
        <v>2212</v>
      </c>
      <c r="AA153" s="34">
        <v>2008.0</v>
      </c>
      <c r="AB153" s="34">
        <v>2008.0</v>
      </c>
      <c r="AC153" s="34" t="s">
        <v>403</v>
      </c>
      <c r="AD153" s="34" t="s">
        <v>264</v>
      </c>
      <c r="AE153" s="34" t="s">
        <v>69</v>
      </c>
      <c r="AF153" s="34" t="s">
        <v>74</v>
      </c>
      <c r="AG153" s="34" t="s">
        <v>104</v>
      </c>
      <c r="AH153" s="34" t="s">
        <v>105</v>
      </c>
      <c r="AI153" s="34" t="s">
        <v>106</v>
      </c>
      <c r="AJ153" s="34" t="s">
        <v>107</v>
      </c>
      <c r="AK153" s="34" t="s">
        <v>2213</v>
      </c>
      <c r="AL153" s="34" t="s">
        <v>128</v>
      </c>
      <c r="AM153" s="34" t="s">
        <v>129</v>
      </c>
      <c r="AN153" s="34" t="s">
        <v>2214</v>
      </c>
      <c r="AO153" s="39"/>
      <c r="AP153" s="34" t="s">
        <v>1522</v>
      </c>
      <c r="AQ153" s="96"/>
      <c r="AR153" s="96"/>
      <c r="AS153" s="44"/>
    </row>
    <row r="154">
      <c r="A154" s="32">
        <v>259.0</v>
      </c>
      <c r="B154" s="33">
        <v>3.64026726E8</v>
      </c>
      <c r="C154" s="34" t="s">
        <v>2216</v>
      </c>
      <c r="D154" s="34" t="s">
        <v>2217</v>
      </c>
      <c r="E154" s="38" t="s">
        <v>2218</v>
      </c>
      <c r="F154" s="34" t="s">
        <v>172</v>
      </c>
      <c r="G154" s="38" t="s">
        <v>2219</v>
      </c>
      <c r="H154" s="36">
        <v>2018.0</v>
      </c>
      <c r="I154" s="38" t="s">
        <v>207</v>
      </c>
      <c r="J154" s="34" t="s">
        <v>55</v>
      </c>
      <c r="K154" s="34" t="s">
        <v>2220</v>
      </c>
      <c r="L154" s="34" t="s">
        <v>57</v>
      </c>
      <c r="M154" s="34" t="s">
        <v>172</v>
      </c>
      <c r="N154" s="34" t="s">
        <v>347</v>
      </c>
      <c r="O154" s="34" t="s">
        <v>2221</v>
      </c>
      <c r="P154" s="34" t="s">
        <v>93</v>
      </c>
      <c r="Q154" s="34" t="s">
        <v>57</v>
      </c>
      <c r="R154" s="34" t="s">
        <v>57</v>
      </c>
      <c r="S154" s="34" t="s">
        <v>63</v>
      </c>
      <c r="T154" s="34" t="s">
        <v>2222</v>
      </c>
      <c r="U154" s="34" t="s">
        <v>2223</v>
      </c>
      <c r="V154" s="34" t="s">
        <v>99</v>
      </c>
      <c r="W154" s="34" t="s">
        <v>100</v>
      </c>
      <c r="X154" s="37" t="s">
        <v>100</v>
      </c>
      <c r="Y154" s="34" t="s">
        <v>74</v>
      </c>
      <c r="Z154" s="34" t="s">
        <v>57</v>
      </c>
      <c r="AA154" s="34">
        <v>2014.0</v>
      </c>
      <c r="AB154" s="34">
        <v>2014.0</v>
      </c>
      <c r="AC154" s="34" t="s">
        <v>103</v>
      </c>
      <c r="AD154" s="34" t="s">
        <v>180</v>
      </c>
      <c r="AE154" s="34" t="s">
        <v>74</v>
      </c>
      <c r="AF154" s="34" t="s">
        <v>74</v>
      </c>
      <c r="AG154" s="34" t="s">
        <v>104</v>
      </c>
      <c r="AH154" s="34" t="s">
        <v>105</v>
      </c>
      <c r="AI154" s="34" t="s">
        <v>106</v>
      </c>
      <c r="AJ154" s="34" t="s">
        <v>107</v>
      </c>
      <c r="AK154" s="34" t="s">
        <v>2224</v>
      </c>
      <c r="AL154" s="34" t="s">
        <v>79</v>
      </c>
      <c r="AM154" s="34" t="s">
        <v>57</v>
      </c>
      <c r="AN154" s="34" t="s">
        <v>57</v>
      </c>
      <c r="AO154" s="39"/>
      <c r="AP154" s="34" t="s">
        <v>1522</v>
      </c>
      <c r="AQ154" s="96"/>
      <c r="AR154" s="96"/>
      <c r="AS154" s="44"/>
    </row>
    <row r="155">
      <c r="A155" s="32">
        <v>261.0</v>
      </c>
      <c r="B155" s="33">
        <v>3.64026782E8</v>
      </c>
      <c r="C155" s="34" t="s">
        <v>2226</v>
      </c>
      <c r="D155" s="34" t="s">
        <v>2227</v>
      </c>
      <c r="E155" s="34" t="s">
        <v>2228</v>
      </c>
      <c r="F155" s="34" t="s">
        <v>859</v>
      </c>
      <c r="G155" s="34" t="s">
        <v>2229</v>
      </c>
      <c r="H155" s="36">
        <v>2013.0</v>
      </c>
      <c r="I155" s="34" t="s">
        <v>295</v>
      </c>
      <c r="J155" s="34" t="s">
        <v>55</v>
      </c>
      <c r="K155" s="34" t="s">
        <v>2230</v>
      </c>
      <c r="L155" s="34" t="s">
        <v>57</v>
      </c>
      <c r="M155" s="34" t="s">
        <v>859</v>
      </c>
      <c r="N155" s="34" t="s">
        <v>2231</v>
      </c>
      <c r="O155" s="34" t="s">
        <v>2232</v>
      </c>
      <c r="P155" s="34" t="s">
        <v>93</v>
      </c>
      <c r="Q155" s="34" t="s">
        <v>57</v>
      </c>
      <c r="R155" s="34" t="s">
        <v>57</v>
      </c>
      <c r="S155" s="34" t="s">
        <v>96</v>
      </c>
      <c r="T155" s="34" t="s">
        <v>1401</v>
      </c>
      <c r="U155" s="34" t="s">
        <v>2233</v>
      </c>
      <c r="V155" s="34" t="s">
        <v>99</v>
      </c>
      <c r="W155" s="34" t="s">
        <v>100</v>
      </c>
      <c r="X155" s="37" t="s">
        <v>100</v>
      </c>
      <c r="Y155" s="34" t="s">
        <v>74</v>
      </c>
      <c r="Z155" s="34" t="s">
        <v>57</v>
      </c>
      <c r="AA155" s="34">
        <v>1997.0</v>
      </c>
      <c r="AB155" s="34">
        <v>1997.0</v>
      </c>
      <c r="AC155" s="34" t="s">
        <v>542</v>
      </c>
      <c r="AD155" s="34" t="s">
        <v>264</v>
      </c>
      <c r="AE155" s="34" t="s">
        <v>69</v>
      </c>
      <c r="AF155" s="34" t="s">
        <v>69</v>
      </c>
      <c r="AG155" s="34" t="s">
        <v>104</v>
      </c>
      <c r="AH155" s="34" t="s">
        <v>105</v>
      </c>
      <c r="AI155" s="34" t="s">
        <v>2234</v>
      </c>
      <c r="AJ155" s="34" t="s">
        <v>107</v>
      </c>
      <c r="AK155" s="34" t="s">
        <v>2235</v>
      </c>
      <c r="AL155" s="34" t="s">
        <v>128</v>
      </c>
      <c r="AM155" s="34" t="s">
        <v>895</v>
      </c>
      <c r="AN155" s="34" t="s">
        <v>2236</v>
      </c>
      <c r="AO155" s="39"/>
      <c r="AP155" s="34" t="s">
        <v>184</v>
      </c>
      <c r="AQ155" s="96"/>
      <c r="AR155" s="96"/>
      <c r="AS155" s="44"/>
    </row>
    <row r="156">
      <c r="A156" s="32">
        <v>262.0</v>
      </c>
      <c r="B156" s="33">
        <v>3.64026783E8</v>
      </c>
      <c r="C156" s="34" t="s">
        <v>2238</v>
      </c>
      <c r="D156" s="34" t="s">
        <v>2239</v>
      </c>
      <c r="E156" s="34" t="s">
        <v>2240</v>
      </c>
      <c r="F156" s="34" t="s">
        <v>992</v>
      </c>
      <c r="G156" s="34" t="s">
        <v>2241</v>
      </c>
      <c r="H156" s="36">
        <v>2018.0</v>
      </c>
      <c r="I156" s="34" t="s">
        <v>729</v>
      </c>
      <c r="J156" s="34" t="s">
        <v>55</v>
      </c>
      <c r="K156" s="34" t="s">
        <v>2242</v>
      </c>
      <c r="L156" s="34" t="s">
        <v>57</v>
      </c>
      <c r="M156" s="34" t="s">
        <v>992</v>
      </c>
      <c r="N156" s="34" t="s">
        <v>1530</v>
      </c>
      <c r="O156" s="34" t="s">
        <v>2243</v>
      </c>
      <c r="P156" s="34" t="s">
        <v>554</v>
      </c>
      <c r="Q156" s="34" t="s">
        <v>2244</v>
      </c>
      <c r="R156" s="34" t="s">
        <v>2245</v>
      </c>
      <c r="S156" s="34" t="s">
        <v>63</v>
      </c>
      <c r="T156" s="34" t="s">
        <v>2246</v>
      </c>
      <c r="U156" s="34" t="s">
        <v>2247</v>
      </c>
      <c r="V156" s="34" t="s">
        <v>99</v>
      </c>
      <c r="W156" s="34" t="s">
        <v>100</v>
      </c>
      <c r="X156" s="37" t="s">
        <v>100</v>
      </c>
      <c r="Y156" s="34" t="s">
        <v>74</v>
      </c>
      <c r="Z156" s="34" t="s">
        <v>57</v>
      </c>
      <c r="AA156" s="34">
        <v>2012.0</v>
      </c>
      <c r="AB156" s="34">
        <v>2014.0</v>
      </c>
      <c r="AC156" s="34" t="s">
        <v>102</v>
      </c>
      <c r="AD156" s="34" t="s">
        <v>692</v>
      </c>
      <c r="AE156" s="34" t="s">
        <v>69</v>
      </c>
      <c r="AF156" s="34" t="s">
        <v>69</v>
      </c>
      <c r="AG156" s="34" t="s">
        <v>104</v>
      </c>
      <c r="AH156" s="34" t="s">
        <v>105</v>
      </c>
      <c r="AI156" s="34" t="s">
        <v>958</v>
      </c>
      <c r="AJ156" s="34" t="s">
        <v>147</v>
      </c>
      <c r="AK156" s="34" t="s">
        <v>2248</v>
      </c>
      <c r="AL156" s="34" t="s">
        <v>128</v>
      </c>
      <c r="AM156" s="34" t="s">
        <v>129</v>
      </c>
      <c r="AN156" s="34" t="s">
        <v>2249</v>
      </c>
      <c r="AO156" s="39"/>
      <c r="AP156" s="34" t="s">
        <v>184</v>
      </c>
      <c r="AQ156" s="96"/>
      <c r="AR156" s="96"/>
      <c r="AS156" s="44"/>
    </row>
    <row r="157">
      <c r="A157" s="32">
        <v>266.0</v>
      </c>
      <c r="B157" s="33">
        <v>3.64026873E8</v>
      </c>
      <c r="C157" s="34" t="s">
        <v>2251</v>
      </c>
      <c r="D157" s="34" t="s">
        <v>2252</v>
      </c>
      <c r="E157" s="34" t="s">
        <v>2253</v>
      </c>
      <c r="F157" s="34" t="s">
        <v>992</v>
      </c>
      <c r="G157" s="34" t="s">
        <v>2254</v>
      </c>
      <c r="H157" s="36">
        <v>2015.0</v>
      </c>
      <c r="I157" s="34" t="s">
        <v>2255</v>
      </c>
      <c r="J157" s="34" t="s">
        <v>55</v>
      </c>
      <c r="K157" s="34" t="s">
        <v>2256</v>
      </c>
      <c r="L157" s="34" t="s">
        <v>57</v>
      </c>
      <c r="M157" s="34" t="s">
        <v>992</v>
      </c>
      <c r="N157" s="34" t="s">
        <v>2257</v>
      </c>
      <c r="O157" s="34" t="s">
        <v>2258</v>
      </c>
      <c r="P157" s="34" t="s">
        <v>554</v>
      </c>
      <c r="Q157" s="34" t="s">
        <v>57</v>
      </c>
      <c r="R157" s="34" t="s">
        <v>57</v>
      </c>
      <c r="S157" s="34" t="s">
        <v>193</v>
      </c>
      <c r="T157" s="34" t="s">
        <v>2259</v>
      </c>
      <c r="U157" s="34" t="s">
        <v>2260</v>
      </c>
      <c r="V157" s="34" t="s">
        <v>66</v>
      </c>
      <c r="W157" s="34" t="s">
        <v>2261</v>
      </c>
      <c r="X157" s="37" t="s">
        <v>2262</v>
      </c>
      <c r="Y157" s="34" t="s">
        <v>74</v>
      </c>
      <c r="Z157" s="34" t="s">
        <v>57</v>
      </c>
      <c r="AA157" s="34">
        <v>1952.0</v>
      </c>
      <c r="AB157" s="34" t="s">
        <v>57</v>
      </c>
      <c r="AC157" s="34" t="s">
        <v>57</v>
      </c>
      <c r="AD157" s="34" t="s">
        <v>57</v>
      </c>
      <c r="AE157" s="34" t="s">
        <v>69</v>
      </c>
      <c r="AF157" s="34" t="s">
        <v>69</v>
      </c>
      <c r="AG157" s="34" t="s">
        <v>75</v>
      </c>
      <c r="AH157" s="34" t="s">
        <v>165</v>
      </c>
      <c r="AI157" s="34" t="s">
        <v>465</v>
      </c>
      <c r="AJ157" s="34" t="s">
        <v>465</v>
      </c>
      <c r="AK157" s="34" t="s">
        <v>2263</v>
      </c>
      <c r="AL157" s="34" t="s">
        <v>79</v>
      </c>
      <c r="AM157" s="34" t="s">
        <v>57</v>
      </c>
      <c r="AN157" s="34" t="s">
        <v>57</v>
      </c>
      <c r="AO157" s="39"/>
      <c r="AP157" s="39"/>
      <c r="AQ157" s="96"/>
      <c r="AR157" s="96"/>
      <c r="AS157" s="44"/>
    </row>
    <row r="158">
      <c r="A158" s="32">
        <v>267.0</v>
      </c>
      <c r="B158" s="33">
        <v>3.64026829E8</v>
      </c>
      <c r="C158" s="34" t="s">
        <v>2265</v>
      </c>
      <c r="D158" s="34" t="s">
        <v>2266</v>
      </c>
      <c r="E158" s="38" t="s">
        <v>2267</v>
      </c>
      <c r="F158" s="34" t="s">
        <v>2268</v>
      </c>
      <c r="G158" s="38" t="s">
        <v>2269</v>
      </c>
      <c r="H158" s="36">
        <v>2017.0</v>
      </c>
      <c r="I158" s="38" t="s">
        <v>1183</v>
      </c>
      <c r="J158" s="34" t="s">
        <v>55</v>
      </c>
      <c r="K158" s="34" t="s">
        <v>2270</v>
      </c>
      <c r="L158" s="34" t="s">
        <v>57</v>
      </c>
      <c r="M158" s="34" t="s">
        <v>2268</v>
      </c>
      <c r="N158" s="34" t="s">
        <v>2271</v>
      </c>
      <c r="O158" s="34" t="s">
        <v>2272</v>
      </c>
      <c r="P158" s="34" t="s">
        <v>93</v>
      </c>
      <c r="Q158" s="34" t="s">
        <v>2273</v>
      </c>
      <c r="R158" s="34" t="s">
        <v>2274</v>
      </c>
      <c r="S158" s="34" t="s">
        <v>96</v>
      </c>
      <c r="T158" s="34" t="s">
        <v>2275</v>
      </c>
      <c r="U158" s="34" t="s">
        <v>2276</v>
      </c>
      <c r="V158" s="34" t="s">
        <v>99</v>
      </c>
      <c r="W158" s="34" t="s">
        <v>2277</v>
      </c>
      <c r="X158" s="37" t="s">
        <v>2278</v>
      </c>
      <c r="Y158" s="34" t="s">
        <v>74</v>
      </c>
      <c r="Z158" s="34" t="s">
        <v>57</v>
      </c>
      <c r="AA158" s="34">
        <v>2005.0</v>
      </c>
      <c r="AB158" s="34">
        <v>2015.0</v>
      </c>
      <c r="AC158" s="34" t="s">
        <v>692</v>
      </c>
      <c r="AD158" s="34" t="s">
        <v>542</v>
      </c>
      <c r="AE158" s="34" t="s">
        <v>69</v>
      </c>
      <c r="AF158" s="34" t="s">
        <v>74</v>
      </c>
      <c r="AG158" s="34" t="s">
        <v>75</v>
      </c>
      <c r="AH158" s="34" t="s">
        <v>105</v>
      </c>
      <c r="AI158" s="34" t="s">
        <v>166</v>
      </c>
      <c r="AJ158" s="34" t="s">
        <v>166</v>
      </c>
      <c r="AK158" s="34" t="s">
        <v>2279</v>
      </c>
      <c r="AL158" s="34" t="s">
        <v>128</v>
      </c>
      <c r="AM158" s="34" t="s">
        <v>129</v>
      </c>
      <c r="AN158" s="34" t="s">
        <v>2280</v>
      </c>
      <c r="AO158" s="39"/>
      <c r="AP158" s="34" t="s">
        <v>1522</v>
      </c>
      <c r="AQ158" s="96"/>
      <c r="AR158" s="96"/>
      <c r="AS158" s="44"/>
    </row>
    <row r="159">
      <c r="A159" s="32">
        <v>269.0</v>
      </c>
      <c r="B159" s="33">
        <v>3.64026875E8</v>
      </c>
      <c r="C159" s="34" t="s">
        <v>2282</v>
      </c>
      <c r="D159" s="34" t="s">
        <v>2283</v>
      </c>
      <c r="E159" s="38" t="s">
        <v>2284</v>
      </c>
      <c r="F159" s="34" t="s">
        <v>273</v>
      </c>
      <c r="G159" s="38" t="s">
        <v>2285</v>
      </c>
      <c r="H159" s="36">
        <v>2014.0</v>
      </c>
      <c r="I159" s="38" t="s">
        <v>2286</v>
      </c>
      <c r="J159" s="34" t="s">
        <v>55</v>
      </c>
      <c r="K159" s="34" t="s">
        <v>1021</v>
      </c>
      <c r="L159" s="34" t="s">
        <v>57</v>
      </c>
      <c r="M159" s="34" t="s">
        <v>273</v>
      </c>
      <c r="N159" s="34" t="s">
        <v>1022</v>
      </c>
      <c r="O159" s="34" t="s">
        <v>2287</v>
      </c>
      <c r="P159" s="34" t="s">
        <v>93</v>
      </c>
      <c r="Q159" s="34" t="s">
        <v>2288</v>
      </c>
      <c r="R159" s="34" t="s">
        <v>2289</v>
      </c>
      <c r="S159" s="34" t="s">
        <v>96</v>
      </c>
      <c r="T159" s="34" t="s">
        <v>892</v>
      </c>
      <c r="U159" s="34" t="s">
        <v>2290</v>
      </c>
      <c r="V159" s="34" t="s">
        <v>99</v>
      </c>
      <c r="W159" s="34" t="s">
        <v>100</v>
      </c>
      <c r="X159" s="37" t="s">
        <v>100</v>
      </c>
      <c r="Y159" s="34" t="s">
        <v>74</v>
      </c>
      <c r="Z159" s="34" t="s">
        <v>57</v>
      </c>
      <c r="AA159" s="34">
        <v>1998.0</v>
      </c>
      <c r="AB159" s="34">
        <v>2013.0</v>
      </c>
      <c r="AC159" s="34" t="s">
        <v>102</v>
      </c>
      <c r="AD159" s="34" t="s">
        <v>71</v>
      </c>
      <c r="AE159" s="34" t="s">
        <v>69</v>
      </c>
      <c r="AF159" s="34" t="s">
        <v>74</v>
      </c>
      <c r="AG159" s="34" t="s">
        <v>75</v>
      </c>
      <c r="AH159" s="34" t="s">
        <v>851</v>
      </c>
      <c r="AI159" s="34" t="s">
        <v>2291</v>
      </c>
      <c r="AJ159" s="34" t="s">
        <v>107</v>
      </c>
      <c r="AK159" s="34" t="s">
        <v>2292</v>
      </c>
      <c r="AL159" s="34" t="s">
        <v>128</v>
      </c>
      <c r="AM159" s="34" t="s">
        <v>129</v>
      </c>
      <c r="AN159" s="34" t="s">
        <v>2293</v>
      </c>
      <c r="AO159" s="34" t="s">
        <v>2294</v>
      </c>
      <c r="AP159" s="34" t="s">
        <v>1522</v>
      </c>
      <c r="AQ159" s="96"/>
      <c r="AR159" s="96"/>
      <c r="AS159" s="44"/>
    </row>
    <row r="160">
      <c r="A160" s="144">
        <v>271.0</v>
      </c>
      <c r="B160" s="145">
        <v>3.6402649E8</v>
      </c>
      <c r="C160" s="121" t="s">
        <v>2296</v>
      </c>
      <c r="D160" s="121" t="s">
        <v>2297</v>
      </c>
      <c r="E160" s="146" t="s">
        <v>2298</v>
      </c>
      <c r="F160" s="121" t="s">
        <v>2299</v>
      </c>
      <c r="G160" s="146" t="s">
        <v>2300</v>
      </c>
      <c r="H160" s="147">
        <v>2018.0</v>
      </c>
      <c r="I160" s="146" t="s">
        <v>2301</v>
      </c>
      <c r="J160" s="121" t="s">
        <v>55</v>
      </c>
      <c r="K160" s="121" t="s">
        <v>2302</v>
      </c>
      <c r="L160" s="121" t="s">
        <v>57</v>
      </c>
      <c r="M160" s="121" t="s">
        <v>2299</v>
      </c>
      <c r="N160" s="121" t="s">
        <v>2303</v>
      </c>
      <c r="O160" s="121" t="s">
        <v>2304</v>
      </c>
      <c r="P160" s="121" t="s">
        <v>93</v>
      </c>
      <c r="Q160" s="121" t="s">
        <v>57</v>
      </c>
      <c r="R160" s="121" t="s">
        <v>57</v>
      </c>
      <c r="S160" s="121" t="s">
        <v>96</v>
      </c>
      <c r="T160" s="121" t="s">
        <v>351</v>
      </c>
      <c r="U160" s="121" t="s">
        <v>2305</v>
      </c>
      <c r="V160" s="121" t="s">
        <v>99</v>
      </c>
      <c r="W160" s="121" t="s">
        <v>100</v>
      </c>
      <c r="X160" s="148" t="s">
        <v>100</v>
      </c>
      <c r="Y160" s="121" t="s">
        <v>69</v>
      </c>
      <c r="Z160" s="121" t="s">
        <v>2306</v>
      </c>
      <c r="AA160" s="121">
        <v>2015.0</v>
      </c>
      <c r="AB160" s="121">
        <v>2016.0</v>
      </c>
      <c r="AC160" s="121" t="s">
        <v>102</v>
      </c>
      <c r="AD160" s="121" t="s">
        <v>102</v>
      </c>
      <c r="AE160" s="121" t="s">
        <v>69</v>
      </c>
      <c r="AF160" s="121" t="s">
        <v>74</v>
      </c>
      <c r="AG160" s="121" t="s">
        <v>75</v>
      </c>
      <c r="AH160" s="121" t="s">
        <v>2307</v>
      </c>
      <c r="AI160" s="121" t="s">
        <v>2308</v>
      </c>
      <c r="AJ160" s="121" t="s">
        <v>107</v>
      </c>
      <c r="AK160" s="121" t="s">
        <v>2309</v>
      </c>
      <c r="AL160" s="121" t="s">
        <v>128</v>
      </c>
      <c r="AM160" s="121" t="s">
        <v>129</v>
      </c>
      <c r="AN160" s="121" t="s">
        <v>2310</v>
      </c>
      <c r="AO160" s="149"/>
      <c r="AP160" s="121" t="s">
        <v>1522</v>
      </c>
      <c r="AQ160" s="96"/>
      <c r="AR160" s="96"/>
      <c r="AS160" s="44"/>
    </row>
    <row r="161">
      <c r="A161" s="32">
        <v>276.0</v>
      </c>
      <c r="B161" s="150">
        <v>5.27597309E8</v>
      </c>
      <c r="C161" s="130" t="s">
        <v>2312</v>
      </c>
      <c r="D161" s="130" t="s">
        <v>2313</v>
      </c>
      <c r="E161" s="130" t="s">
        <v>2314</v>
      </c>
      <c r="F161" s="130" t="s">
        <v>2315</v>
      </c>
      <c r="G161" s="130" t="s">
        <v>2316</v>
      </c>
      <c r="H161" s="151">
        <v>1982.0</v>
      </c>
      <c r="I161" s="130" t="s">
        <v>136</v>
      </c>
      <c r="J161" s="130" t="s">
        <v>55</v>
      </c>
      <c r="K161" s="130" t="s">
        <v>57</v>
      </c>
      <c r="L161" s="130" t="s">
        <v>57</v>
      </c>
      <c r="M161" s="130" t="s">
        <v>2315</v>
      </c>
      <c r="N161" s="130" t="s">
        <v>2317</v>
      </c>
      <c r="O161" s="130" t="s">
        <v>2317</v>
      </c>
      <c r="P161" s="130" t="s">
        <v>93</v>
      </c>
      <c r="Q161" s="130" t="s">
        <v>57</v>
      </c>
      <c r="R161" s="130" t="s">
        <v>57</v>
      </c>
      <c r="S161" s="130" t="s">
        <v>96</v>
      </c>
      <c r="T161" s="130" t="s">
        <v>210</v>
      </c>
      <c r="U161" s="130" t="s">
        <v>2318</v>
      </c>
      <c r="V161" s="130" t="s">
        <v>99</v>
      </c>
      <c r="W161" s="130" t="s">
        <v>100</v>
      </c>
      <c r="X161" s="152" t="s">
        <v>100</v>
      </c>
      <c r="Y161" s="130" t="s">
        <v>69</v>
      </c>
      <c r="Z161" s="130" t="s">
        <v>2319</v>
      </c>
      <c r="AA161" s="130">
        <v>1976.0</v>
      </c>
      <c r="AB161" s="130">
        <v>1976.0</v>
      </c>
      <c r="AC161" s="130" t="s">
        <v>144</v>
      </c>
      <c r="AD161" s="130" t="s">
        <v>72</v>
      </c>
      <c r="AE161" s="130" t="s">
        <v>74</v>
      </c>
      <c r="AF161" s="130" t="s">
        <v>69</v>
      </c>
      <c r="AG161" s="130" t="s">
        <v>104</v>
      </c>
      <c r="AH161" s="130" t="s">
        <v>105</v>
      </c>
      <c r="AI161" s="130" t="s">
        <v>336</v>
      </c>
      <c r="AJ161" s="153"/>
      <c r="AK161" s="130" t="s">
        <v>2320</v>
      </c>
      <c r="AL161" s="88" t="s">
        <v>128</v>
      </c>
      <c r="AM161" s="130" t="s">
        <v>129</v>
      </c>
      <c r="AN161" s="130" t="s">
        <v>2321</v>
      </c>
      <c r="AO161" s="88"/>
      <c r="AP161" s="130" t="s">
        <v>184</v>
      </c>
      <c r="AQ161" s="91"/>
      <c r="AR161" s="91"/>
      <c r="AS161" s="44"/>
    </row>
    <row r="162">
      <c r="A162" s="92"/>
      <c r="B162" s="93"/>
      <c r="C162" s="39"/>
      <c r="D162" s="39"/>
      <c r="E162" s="39"/>
      <c r="F162" s="39"/>
      <c r="G162" s="39"/>
      <c r="H162" s="95"/>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96"/>
      <c r="AR162" s="96"/>
      <c r="AS162" s="44"/>
    </row>
    <row r="163">
      <c r="A163" s="92"/>
      <c r="B163" s="93"/>
      <c r="C163" s="39"/>
      <c r="D163" s="39"/>
      <c r="E163" s="39"/>
      <c r="F163" s="39"/>
      <c r="G163" s="39"/>
      <c r="H163" s="95"/>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96"/>
      <c r="AR163" s="96"/>
      <c r="AS163" s="44"/>
    </row>
    <row r="164">
      <c r="A164" s="92"/>
      <c r="B164" s="93"/>
      <c r="C164" s="39"/>
      <c r="D164" s="39"/>
      <c r="E164" s="39"/>
      <c r="F164" s="39"/>
      <c r="G164" s="39"/>
      <c r="H164" s="95"/>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96"/>
      <c r="AR164" s="96"/>
      <c r="AS164" s="44"/>
    </row>
    <row r="165">
      <c r="A165" s="92"/>
      <c r="B165" s="93"/>
      <c r="C165" s="39"/>
      <c r="D165" s="39"/>
      <c r="E165" s="39"/>
      <c r="F165" s="39"/>
      <c r="G165" s="39"/>
      <c r="H165" s="95"/>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96"/>
      <c r="AR165" s="96"/>
      <c r="AS165" s="44"/>
    </row>
    <row r="166">
      <c r="A166" s="92"/>
      <c r="B166" s="93"/>
      <c r="C166" s="39"/>
      <c r="D166" s="39"/>
      <c r="E166" s="39"/>
      <c r="F166" s="39"/>
      <c r="G166" s="39"/>
      <c r="H166" s="95"/>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96"/>
      <c r="AR166" s="96"/>
      <c r="AS166" s="44"/>
    </row>
    <row r="167">
      <c r="A167" s="92"/>
      <c r="B167" s="93"/>
      <c r="C167" s="39"/>
      <c r="D167" s="39"/>
      <c r="E167" s="39"/>
      <c r="F167" s="39"/>
      <c r="G167" s="39"/>
      <c r="H167" s="95"/>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96"/>
      <c r="AR167" s="96"/>
      <c r="AS167" s="44"/>
    </row>
    <row r="168">
      <c r="A168" s="92"/>
      <c r="B168" s="93"/>
      <c r="C168" s="39"/>
      <c r="D168" s="39"/>
      <c r="E168" s="39"/>
      <c r="F168" s="39"/>
      <c r="G168" s="39"/>
      <c r="H168" s="95"/>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96"/>
      <c r="AR168" s="96"/>
      <c r="AS168" s="44"/>
    </row>
    <row r="169">
      <c r="A169" s="92"/>
      <c r="B169" s="93"/>
      <c r="C169" s="39"/>
      <c r="D169" s="39"/>
      <c r="E169" s="39"/>
      <c r="F169" s="39"/>
      <c r="G169" s="39"/>
      <c r="H169" s="95"/>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96"/>
      <c r="AR169" s="96"/>
      <c r="AS169" s="44"/>
    </row>
    <row r="170">
      <c r="A170" s="92"/>
      <c r="B170" s="93"/>
      <c r="C170" s="39"/>
      <c r="D170" s="39"/>
      <c r="E170" s="39"/>
      <c r="F170" s="39"/>
      <c r="G170" s="39"/>
      <c r="H170" s="95"/>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96"/>
      <c r="AR170" s="96"/>
      <c r="AS170" s="44"/>
    </row>
    <row r="171">
      <c r="A171" s="92"/>
      <c r="B171" s="93"/>
      <c r="C171" s="39"/>
      <c r="D171" s="39"/>
      <c r="E171" s="39"/>
      <c r="F171" s="39"/>
      <c r="G171" s="39"/>
      <c r="H171" s="95"/>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96"/>
      <c r="AR171" s="96"/>
      <c r="AS171" s="44"/>
    </row>
    <row r="172">
      <c r="A172" s="92"/>
      <c r="B172" s="93"/>
      <c r="C172" s="39"/>
      <c r="D172" s="39"/>
      <c r="E172" s="39"/>
      <c r="F172" s="39"/>
      <c r="G172" s="39"/>
      <c r="H172" s="95"/>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96"/>
      <c r="AR172" s="96"/>
      <c r="AS172" s="44"/>
    </row>
    <row r="173">
      <c r="A173" s="92"/>
      <c r="B173" s="93"/>
      <c r="C173" s="39"/>
      <c r="D173" s="39"/>
      <c r="E173" s="39"/>
      <c r="F173" s="39"/>
      <c r="G173" s="39"/>
      <c r="H173" s="95"/>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96"/>
      <c r="AR173" s="96"/>
      <c r="AS173" s="44"/>
    </row>
    <row r="174">
      <c r="A174" s="92"/>
      <c r="B174" s="93"/>
      <c r="C174" s="39"/>
      <c r="D174" s="39"/>
      <c r="E174" s="39"/>
      <c r="F174" s="39"/>
      <c r="G174" s="39"/>
      <c r="H174" s="95"/>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96"/>
      <c r="AR174" s="96"/>
      <c r="AS174" s="44"/>
    </row>
    <row r="175">
      <c r="A175" s="92"/>
      <c r="B175" s="93"/>
      <c r="C175" s="39"/>
      <c r="D175" s="39"/>
      <c r="E175" s="39"/>
      <c r="F175" s="39"/>
      <c r="G175" s="39"/>
      <c r="H175" s="95"/>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96"/>
      <c r="AR175" s="96"/>
      <c r="AS175" s="44"/>
    </row>
    <row r="176">
      <c r="A176" s="92"/>
      <c r="B176" s="93"/>
      <c r="C176" s="39"/>
      <c r="D176" s="39"/>
      <c r="E176" s="39"/>
      <c r="F176" s="39"/>
      <c r="G176" s="39"/>
      <c r="H176" s="95"/>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96"/>
      <c r="AR176" s="96"/>
      <c r="AS176" s="44"/>
    </row>
    <row r="177">
      <c r="A177" s="92"/>
      <c r="B177" s="93"/>
      <c r="C177" s="39"/>
      <c r="D177" s="39"/>
      <c r="E177" s="39"/>
      <c r="F177" s="39"/>
      <c r="G177" s="39"/>
      <c r="H177" s="95"/>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96"/>
      <c r="AR177" s="96"/>
      <c r="AS177" s="44"/>
    </row>
    <row r="178">
      <c r="A178" s="92"/>
      <c r="B178" s="93"/>
      <c r="C178" s="39"/>
      <c r="D178" s="39"/>
      <c r="E178" s="39"/>
      <c r="F178" s="39"/>
      <c r="G178" s="39"/>
      <c r="H178" s="95"/>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96"/>
      <c r="AR178" s="96"/>
      <c r="AS178" s="44"/>
    </row>
    <row r="179">
      <c r="A179" s="92"/>
      <c r="B179" s="93"/>
      <c r="C179" s="39"/>
      <c r="D179" s="39"/>
      <c r="E179" s="39"/>
      <c r="F179" s="39"/>
      <c r="G179" s="39"/>
      <c r="H179" s="95"/>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96"/>
      <c r="AR179" s="96"/>
      <c r="AS179" s="44"/>
    </row>
    <row r="180">
      <c r="A180" s="92"/>
      <c r="B180" s="93"/>
      <c r="C180" s="39"/>
      <c r="D180" s="39"/>
      <c r="E180" s="39"/>
      <c r="F180" s="39"/>
      <c r="G180" s="39"/>
      <c r="H180" s="95"/>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96"/>
      <c r="AR180" s="96"/>
      <c r="AS180" s="44"/>
    </row>
    <row r="181">
      <c r="A181" s="92"/>
      <c r="B181" s="93"/>
      <c r="C181" s="39"/>
      <c r="D181" s="39"/>
      <c r="E181" s="39"/>
      <c r="F181" s="39"/>
      <c r="G181" s="39"/>
      <c r="H181" s="95"/>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96"/>
      <c r="AR181" s="96"/>
      <c r="AS181" s="44"/>
    </row>
    <row r="182">
      <c r="A182" s="92"/>
      <c r="B182" s="93"/>
      <c r="C182" s="39"/>
      <c r="D182" s="39"/>
      <c r="E182" s="39"/>
      <c r="F182" s="39"/>
      <c r="G182" s="39"/>
      <c r="H182" s="95"/>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96"/>
      <c r="AR182" s="96"/>
      <c r="AS182" s="44"/>
    </row>
    <row r="183">
      <c r="A183" s="92"/>
      <c r="B183" s="93"/>
      <c r="C183" s="39"/>
      <c r="D183" s="39"/>
      <c r="E183" s="39"/>
      <c r="F183" s="39"/>
      <c r="G183" s="39"/>
      <c r="H183" s="95"/>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96"/>
      <c r="AR183" s="96"/>
      <c r="AS183" s="44"/>
    </row>
    <row r="184">
      <c r="A184" s="92"/>
      <c r="B184" s="93"/>
      <c r="C184" s="39"/>
      <c r="D184" s="39"/>
      <c r="E184" s="39"/>
      <c r="F184" s="39"/>
      <c r="G184" s="39"/>
      <c r="H184" s="95"/>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96"/>
      <c r="AR184" s="96"/>
      <c r="AS184" s="44"/>
    </row>
    <row r="185">
      <c r="A185" s="92"/>
      <c r="B185" s="93"/>
      <c r="C185" s="39"/>
      <c r="D185" s="39"/>
      <c r="E185" s="39"/>
      <c r="F185" s="39"/>
      <c r="G185" s="39"/>
      <c r="H185" s="95"/>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96"/>
      <c r="AR185" s="96"/>
      <c r="AS185" s="44"/>
    </row>
    <row r="186">
      <c r="A186" s="92"/>
      <c r="B186" s="93"/>
      <c r="C186" s="39"/>
      <c r="D186" s="39"/>
      <c r="E186" s="39"/>
      <c r="F186" s="39"/>
      <c r="G186" s="39"/>
      <c r="H186" s="95"/>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96"/>
      <c r="AR186" s="96"/>
      <c r="AS186" s="44"/>
    </row>
    <row r="187">
      <c r="A187" s="92"/>
      <c r="B187" s="93"/>
      <c r="C187" s="39"/>
      <c r="D187" s="39"/>
      <c r="E187" s="39"/>
      <c r="F187" s="39"/>
      <c r="G187" s="39"/>
      <c r="H187" s="95"/>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96"/>
      <c r="AR187" s="96"/>
      <c r="AS187" s="44"/>
    </row>
    <row r="188">
      <c r="A188" s="92"/>
      <c r="B188" s="93"/>
      <c r="C188" s="39"/>
      <c r="D188" s="39"/>
      <c r="E188" s="39"/>
      <c r="F188" s="39"/>
      <c r="G188" s="39"/>
      <c r="H188" s="95"/>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96"/>
      <c r="AR188" s="96"/>
      <c r="AS188" s="44"/>
    </row>
    <row r="189">
      <c r="A189" s="92"/>
      <c r="B189" s="93"/>
      <c r="C189" s="39"/>
      <c r="D189" s="39"/>
      <c r="E189" s="39"/>
      <c r="F189" s="39"/>
      <c r="G189" s="39"/>
      <c r="H189" s="95"/>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96"/>
      <c r="AR189" s="96"/>
      <c r="AS189" s="44"/>
    </row>
    <row r="190">
      <c r="A190" s="92"/>
      <c r="B190" s="93"/>
      <c r="C190" s="39"/>
      <c r="D190" s="39"/>
      <c r="E190" s="39"/>
      <c r="F190" s="39"/>
      <c r="G190" s="39"/>
      <c r="H190" s="95"/>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96"/>
      <c r="AR190" s="96"/>
      <c r="AS190" s="44"/>
    </row>
    <row r="191">
      <c r="A191" s="92"/>
      <c r="B191" s="93"/>
      <c r="C191" s="39"/>
      <c r="D191" s="39"/>
      <c r="E191" s="39"/>
      <c r="F191" s="39"/>
      <c r="G191" s="39"/>
      <c r="H191" s="95"/>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96"/>
      <c r="AR191" s="96"/>
      <c r="AS191" s="44"/>
    </row>
    <row r="192">
      <c r="A192" s="92"/>
      <c r="B192" s="93"/>
      <c r="C192" s="39"/>
      <c r="D192" s="39"/>
      <c r="E192" s="39"/>
      <c r="F192" s="39"/>
      <c r="G192" s="39"/>
      <c r="H192" s="95"/>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96"/>
      <c r="AR192" s="96"/>
      <c r="AS192" s="44"/>
    </row>
    <row r="193">
      <c r="A193" s="92"/>
      <c r="B193" s="93"/>
      <c r="C193" s="39"/>
      <c r="D193" s="39"/>
      <c r="E193" s="39"/>
      <c r="F193" s="39"/>
      <c r="G193" s="39"/>
      <c r="H193" s="95"/>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96"/>
      <c r="AR193" s="96"/>
      <c r="AS193" s="44"/>
    </row>
    <row r="194">
      <c r="A194" s="92"/>
      <c r="B194" s="93"/>
      <c r="C194" s="39"/>
      <c r="D194" s="39"/>
      <c r="E194" s="39"/>
      <c r="F194" s="39"/>
      <c r="G194" s="39"/>
      <c r="H194" s="95"/>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96"/>
      <c r="AR194" s="96"/>
      <c r="AS194" s="44"/>
    </row>
    <row r="195">
      <c r="A195" s="92"/>
      <c r="B195" s="93"/>
      <c r="C195" s="39"/>
      <c r="D195" s="39"/>
      <c r="E195" s="39"/>
      <c r="F195" s="39"/>
      <c r="G195" s="39"/>
      <c r="H195" s="95"/>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96"/>
      <c r="AR195" s="96"/>
      <c r="AS195" s="44"/>
    </row>
    <row r="196">
      <c r="A196" s="92"/>
      <c r="B196" s="93"/>
      <c r="C196" s="39"/>
      <c r="D196" s="39"/>
      <c r="E196" s="39"/>
      <c r="F196" s="39"/>
      <c r="G196" s="39"/>
      <c r="H196" s="95"/>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96"/>
      <c r="AR196" s="96"/>
      <c r="AS196" s="44"/>
    </row>
    <row r="197">
      <c r="A197" s="92"/>
      <c r="B197" s="93"/>
      <c r="C197" s="39"/>
      <c r="D197" s="39"/>
      <c r="E197" s="39"/>
      <c r="F197" s="39"/>
      <c r="G197" s="39"/>
      <c r="H197" s="95"/>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96"/>
      <c r="AR197" s="96"/>
      <c r="AS197" s="44"/>
    </row>
    <row r="198">
      <c r="A198" s="92"/>
      <c r="B198" s="93"/>
      <c r="C198" s="39"/>
      <c r="D198" s="39"/>
      <c r="E198" s="39"/>
      <c r="F198" s="39"/>
      <c r="G198" s="39"/>
      <c r="H198" s="95"/>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96"/>
      <c r="AR198" s="96"/>
      <c r="AS198" s="44"/>
    </row>
    <row r="199">
      <c r="A199" s="92"/>
      <c r="B199" s="93"/>
      <c r="C199" s="39"/>
      <c r="D199" s="39"/>
      <c r="E199" s="39"/>
      <c r="F199" s="39"/>
      <c r="G199" s="39"/>
      <c r="H199" s="95"/>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96"/>
      <c r="AR199" s="96"/>
      <c r="AS199" s="44"/>
    </row>
    <row r="200">
      <c r="A200" s="92"/>
      <c r="B200" s="93"/>
      <c r="C200" s="39"/>
      <c r="D200" s="39"/>
      <c r="E200" s="39"/>
      <c r="F200" s="39"/>
      <c r="G200" s="39"/>
      <c r="H200" s="95"/>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96"/>
      <c r="AR200" s="96"/>
      <c r="AS200" s="44"/>
    </row>
    <row r="201">
      <c r="A201" s="92"/>
      <c r="B201" s="93"/>
      <c r="C201" s="39"/>
      <c r="D201" s="39"/>
      <c r="E201" s="39"/>
      <c r="F201" s="39"/>
      <c r="G201" s="39"/>
      <c r="H201" s="95"/>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96"/>
      <c r="AR201" s="96"/>
      <c r="AS201" s="44"/>
    </row>
    <row r="202">
      <c r="A202" s="92"/>
      <c r="B202" s="93"/>
      <c r="C202" s="39"/>
      <c r="D202" s="39"/>
      <c r="E202" s="39"/>
      <c r="F202" s="39"/>
      <c r="G202" s="39"/>
      <c r="H202" s="95"/>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96"/>
      <c r="AR202" s="96"/>
      <c r="AS202" s="44"/>
    </row>
    <row r="203">
      <c r="A203" s="92"/>
      <c r="B203" s="93"/>
      <c r="C203" s="39"/>
      <c r="D203" s="39"/>
      <c r="E203" s="39"/>
      <c r="F203" s="39"/>
      <c r="G203" s="39"/>
      <c r="H203" s="95"/>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96"/>
      <c r="AR203" s="96"/>
      <c r="AS203" s="44"/>
    </row>
    <row r="204">
      <c r="A204" s="92"/>
      <c r="B204" s="93"/>
      <c r="C204" s="39"/>
      <c r="D204" s="39"/>
      <c r="E204" s="39"/>
      <c r="F204" s="39"/>
      <c r="G204" s="39"/>
      <c r="H204" s="95"/>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96"/>
      <c r="AR204" s="96"/>
      <c r="AS204" s="44"/>
    </row>
    <row r="205">
      <c r="A205" s="92"/>
      <c r="B205" s="93"/>
      <c r="C205" s="39"/>
      <c r="D205" s="39"/>
      <c r="E205" s="39"/>
      <c r="F205" s="39"/>
      <c r="G205" s="39"/>
      <c r="H205" s="95"/>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96"/>
      <c r="AR205" s="96"/>
      <c r="AS205" s="44"/>
    </row>
    <row r="206">
      <c r="A206" s="92"/>
      <c r="B206" s="93"/>
      <c r="C206" s="39"/>
      <c r="D206" s="39"/>
      <c r="E206" s="39"/>
      <c r="F206" s="39"/>
      <c r="G206" s="39"/>
      <c r="H206" s="95"/>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96"/>
      <c r="AR206" s="96"/>
      <c r="AS206" s="44"/>
    </row>
    <row r="207">
      <c r="A207" s="92"/>
      <c r="B207" s="93"/>
      <c r="C207" s="39"/>
      <c r="D207" s="39"/>
      <c r="E207" s="39"/>
      <c r="F207" s="39"/>
      <c r="G207" s="39"/>
      <c r="H207" s="95"/>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96"/>
      <c r="AR207" s="96"/>
      <c r="AS207" s="44"/>
    </row>
    <row r="208">
      <c r="A208" s="92"/>
      <c r="B208" s="93"/>
      <c r="C208" s="39"/>
      <c r="D208" s="39"/>
      <c r="E208" s="39"/>
      <c r="F208" s="39"/>
      <c r="G208" s="39"/>
      <c r="H208" s="95"/>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96"/>
      <c r="AR208" s="96"/>
      <c r="AS208" s="44"/>
    </row>
    <row r="209">
      <c r="A209" s="92"/>
      <c r="B209" s="93"/>
      <c r="C209" s="39"/>
      <c r="D209" s="39"/>
      <c r="E209" s="39"/>
      <c r="F209" s="39"/>
      <c r="G209" s="39"/>
      <c r="H209" s="95"/>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96"/>
      <c r="AR209" s="96"/>
      <c r="AS209" s="44"/>
    </row>
    <row r="210">
      <c r="A210" s="92"/>
      <c r="B210" s="93"/>
      <c r="C210" s="39"/>
      <c r="D210" s="39"/>
      <c r="E210" s="39"/>
      <c r="F210" s="39"/>
      <c r="G210" s="39"/>
      <c r="H210" s="95"/>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96"/>
      <c r="AR210" s="96"/>
      <c r="AS210" s="44"/>
    </row>
    <row r="211">
      <c r="A211" s="92"/>
      <c r="B211" s="93"/>
      <c r="C211" s="39"/>
      <c r="D211" s="39"/>
      <c r="E211" s="39"/>
      <c r="F211" s="39"/>
      <c r="G211" s="39"/>
      <c r="H211" s="95"/>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96"/>
      <c r="AR211" s="96"/>
      <c r="AS211" s="44"/>
    </row>
    <row r="212">
      <c r="A212" s="92"/>
      <c r="B212" s="93"/>
      <c r="C212" s="39"/>
      <c r="D212" s="39"/>
      <c r="E212" s="39"/>
      <c r="F212" s="39"/>
      <c r="G212" s="39"/>
      <c r="H212" s="95"/>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96"/>
      <c r="AR212" s="96"/>
      <c r="AS212" s="44"/>
    </row>
    <row r="213">
      <c r="A213" s="92"/>
      <c r="B213" s="93"/>
      <c r="C213" s="39"/>
      <c r="D213" s="39"/>
      <c r="E213" s="39"/>
      <c r="F213" s="39"/>
      <c r="G213" s="39"/>
      <c r="H213" s="95"/>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96"/>
      <c r="AR213" s="96"/>
      <c r="AS213" s="44"/>
    </row>
    <row r="214">
      <c r="A214" s="92"/>
      <c r="B214" s="93"/>
      <c r="C214" s="39"/>
      <c r="D214" s="39"/>
      <c r="E214" s="39"/>
      <c r="F214" s="39"/>
      <c r="G214" s="39"/>
      <c r="H214" s="95"/>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96"/>
      <c r="AR214" s="96"/>
      <c r="AS214" s="44"/>
    </row>
    <row r="215">
      <c r="A215" s="92"/>
      <c r="B215" s="93"/>
      <c r="C215" s="39"/>
      <c r="D215" s="39"/>
      <c r="E215" s="39"/>
      <c r="F215" s="39"/>
      <c r="G215" s="39"/>
      <c r="H215" s="95"/>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96"/>
      <c r="AR215" s="96"/>
      <c r="AS215" s="44"/>
    </row>
    <row r="216">
      <c r="A216" s="92"/>
      <c r="B216" s="93"/>
      <c r="C216" s="39"/>
      <c r="D216" s="39"/>
      <c r="E216" s="39"/>
      <c r="F216" s="39"/>
      <c r="G216" s="39"/>
      <c r="H216" s="95"/>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96"/>
      <c r="AR216" s="96"/>
      <c r="AS216" s="44"/>
    </row>
    <row r="217">
      <c r="A217" s="92"/>
      <c r="B217" s="93"/>
      <c r="C217" s="39"/>
      <c r="D217" s="39"/>
      <c r="E217" s="39"/>
      <c r="F217" s="39"/>
      <c r="G217" s="39"/>
      <c r="H217" s="95"/>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96"/>
      <c r="AR217" s="96"/>
      <c r="AS217" s="44"/>
    </row>
    <row r="218">
      <c r="A218" s="92"/>
      <c r="B218" s="93"/>
      <c r="C218" s="39"/>
      <c r="D218" s="39"/>
      <c r="E218" s="39"/>
      <c r="F218" s="39"/>
      <c r="G218" s="39"/>
      <c r="H218" s="95"/>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96"/>
      <c r="AR218" s="96"/>
      <c r="AS218" s="44"/>
    </row>
    <row r="219">
      <c r="A219" s="92"/>
      <c r="B219" s="93"/>
      <c r="C219" s="39"/>
      <c r="D219" s="39"/>
      <c r="E219" s="39"/>
      <c r="F219" s="39"/>
      <c r="G219" s="39"/>
      <c r="H219" s="95"/>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96"/>
      <c r="AR219" s="96"/>
      <c r="AS219" s="44"/>
    </row>
    <row r="220">
      <c r="A220" s="92"/>
      <c r="B220" s="93"/>
      <c r="C220" s="39"/>
      <c r="D220" s="39"/>
      <c r="E220" s="39"/>
      <c r="F220" s="39"/>
      <c r="G220" s="39"/>
      <c r="H220" s="95"/>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96"/>
      <c r="AR220" s="96"/>
      <c r="AS220" s="44"/>
    </row>
    <row r="221">
      <c r="A221" s="92"/>
      <c r="B221" s="93"/>
      <c r="C221" s="39"/>
      <c r="D221" s="39"/>
      <c r="E221" s="39"/>
      <c r="F221" s="39"/>
      <c r="G221" s="39"/>
      <c r="H221" s="95"/>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96"/>
      <c r="AR221" s="96"/>
      <c r="AS221" s="44"/>
    </row>
    <row r="222">
      <c r="A222" s="92"/>
      <c r="B222" s="93"/>
      <c r="C222" s="39"/>
      <c r="D222" s="39"/>
      <c r="E222" s="39"/>
      <c r="F222" s="39"/>
      <c r="G222" s="39"/>
      <c r="H222" s="95"/>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96"/>
      <c r="AR222" s="96"/>
      <c r="AS222" s="44"/>
    </row>
    <row r="223">
      <c r="A223" s="92"/>
      <c r="B223" s="93"/>
      <c r="C223" s="39"/>
      <c r="D223" s="39"/>
      <c r="E223" s="39"/>
      <c r="F223" s="39"/>
      <c r="G223" s="39"/>
      <c r="H223" s="95"/>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96"/>
      <c r="AR223" s="96"/>
      <c r="AS223" s="44"/>
    </row>
    <row r="224">
      <c r="A224" s="92"/>
      <c r="B224" s="93"/>
      <c r="C224" s="39"/>
      <c r="D224" s="39"/>
      <c r="E224" s="39"/>
      <c r="F224" s="39"/>
      <c r="G224" s="39"/>
      <c r="H224" s="95"/>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96"/>
      <c r="AR224" s="96"/>
      <c r="AS224" s="44"/>
    </row>
    <row r="225">
      <c r="A225" s="92"/>
      <c r="B225" s="93"/>
      <c r="C225" s="39"/>
      <c r="D225" s="39"/>
      <c r="E225" s="39"/>
      <c r="F225" s="39"/>
      <c r="G225" s="39"/>
      <c r="H225" s="95"/>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96"/>
      <c r="AR225" s="96"/>
      <c r="AS225" s="44"/>
    </row>
    <row r="226">
      <c r="A226" s="92"/>
      <c r="B226" s="93"/>
      <c r="C226" s="39"/>
      <c r="D226" s="39"/>
      <c r="E226" s="39"/>
      <c r="F226" s="39"/>
      <c r="G226" s="39"/>
      <c r="H226" s="95"/>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96"/>
      <c r="AR226" s="96"/>
      <c r="AS226" s="44"/>
    </row>
    <row r="227">
      <c r="A227" s="92"/>
      <c r="B227" s="93"/>
      <c r="C227" s="39"/>
      <c r="D227" s="39"/>
      <c r="E227" s="39"/>
      <c r="F227" s="39"/>
      <c r="G227" s="39"/>
      <c r="H227" s="95"/>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96"/>
      <c r="AR227" s="96"/>
      <c r="AS227" s="44"/>
    </row>
    <row r="228">
      <c r="A228" s="92"/>
      <c r="B228" s="93"/>
      <c r="C228" s="39"/>
      <c r="D228" s="39"/>
      <c r="E228" s="39"/>
      <c r="F228" s="39"/>
      <c r="G228" s="39"/>
      <c r="H228" s="95"/>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96"/>
      <c r="AR228" s="96"/>
      <c r="AS228" s="44"/>
    </row>
    <row r="229">
      <c r="A229" s="92"/>
      <c r="B229" s="93"/>
      <c r="C229" s="39"/>
      <c r="D229" s="39"/>
      <c r="E229" s="39"/>
      <c r="F229" s="39"/>
      <c r="G229" s="39"/>
      <c r="H229" s="95"/>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96"/>
      <c r="AR229" s="96"/>
      <c r="AS229" s="44"/>
    </row>
    <row r="230">
      <c r="A230" s="92"/>
      <c r="B230" s="93"/>
      <c r="C230" s="39"/>
      <c r="D230" s="39"/>
      <c r="E230" s="39"/>
      <c r="F230" s="39"/>
      <c r="G230" s="39"/>
      <c r="H230" s="95"/>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96"/>
      <c r="AR230" s="96"/>
      <c r="AS230" s="44"/>
    </row>
    <row r="231">
      <c r="A231" s="92"/>
      <c r="B231" s="93"/>
      <c r="C231" s="39"/>
      <c r="D231" s="39"/>
      <c r="E231" s="39"/>
      <c r="F231" s="39"/>
      <c r="G231" s="39"/>
      <c r="H231" s="95"/>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96"/>
      <c r="AR231" s="96"/>
      <c r="AS231" s="44"/>
    </row>
    <row r="232">
      <c r="A232" s="92"/>
      <c r="B232" s="93"/>
      <c r="C232" s="39"/>
      <c r="D232" s="39"/>
      <c r="E232" s="39"/>
      <c r="F232" s="39"/>
      <c r="G232" s="39"/>
      <c r="H232" s="95"/>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96"/>
      <c r="AR232" s="96"/>
      <c r="AS232" s="44"/>
    </row>
    <row r="233">
      <c r="A233" s="92"/>
      <c r="B233" s="93"/>
      <c r="C233" s="39"/>
      <c r="D233" s="39"/>
      <c r="E233" s="39"/>
      <c r="F233" s="39"/>
      <c r="G233" s="39"/>
      <c r="H233" s="95"/>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96"/>
      <c r="AR233" s="96"/>
      <c r="AS233" s="44"/>
    </row>
    <row r="234">
      <c r="A234" s="92"/>
      <c r="B234" s="93"/>
      <c r="C234" s="39"/>
      <c r="D234" s="39"/>
      <c r="E234" s="39"/>
      <c r="F234" s="39"/>
      <c r="G234" s="39"/>
      <c r="H234" s="95"/>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96"/>
      <c r="AR234" s="96"/>
      <c r="AS234" s="44"/>
    </row>
    <row r="235">
      <c r="A235" s="92"/>
      <c r="B235" s="93"/>
      <c r="C235" s="39"/>
      <c r="D235" s="39"/>
      <c r="E235" s="39"/>
      <c r="F235" s="39"/>
      <c r="G235" s="39"/>
      <c r="H235" s="95"/>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96"/>
      <c r="AR235" s="96"/>
      <c r="AS235" s="44"/>
    </row>
    <row r="236">
      <c r="A236" s="92"/>
      <c r="B236" s="93"/>
      <c r="C236" s="39"/>
      <c r="D236" s="39"/>
      <c r="E236" s="39"/>
      <c r="F236" s="39"/>
      <c r="G236" s="39"/>
      <c r="H236" s="95"/>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96"/>
      <c r="AR236" s="96"/>
      <c r="AS236" s="44"/>
    </row>
    <row r="237">
      <c r="A237" s="92"/>
      <c r="B237" s="93"/>
      <c r="C237" s="39"/>
      <c r="D237" s="39"/>
      <c r="E237" s="39"/>
      <c r="F237" s="39"/>
      <c r="G237" s="39"/>
      <c r="H237" s="95"/>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96"/>
      <c r="AR237" s="96"/>
      <c r="AS237" s="44"/>
    </row>
    <row r="238">
      <c r="A238" s="92"/>
      <c r="B238" s="93"/>
      <c r="C238" s="39"/>
      <c r="D238" s="39"/>
      <c r="E238" s="39"/>
      <c r="F238" s="39"/>
      <c r="G238" s="39"/>
      <c r="H238" s="95"/>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96"/>
      <c r="AR238" s="96"/>
      <c r="AS238" s="44"/>
    </row>
    <row r="239">
      <c r="A239" s="92"/>
      <c r="B239" s="93"/>
      <c r="C239" s="39"/>
      <c r="D239" s="39"/>
      <c r="E239" s="39"/>
      <c r="F239" s="39"/>
      <c r="G239" s="39"/>
      <c r="H239" s="95"/>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96"/>
      <c r="AR239" s="96"/>
      <c r="AS239" s="44"/>
    </row>
    <row r="240">
      <c r="A240" s="92"/>
      <c r="B240" s="93"/>
      <c r="C240" s="39"/>
      <c r="D240" s="39"/>
      <c r="E240" s="39"/>
      <c r="F240" s="39"/>
      <c r="G240" s="39"/>
      <c r="H240" s="95"/>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96"/>
      <c r="AR240" s="96"/>
      <c r="AS240" s="44"/>
    </row>
    <row r="241">
      <c r="A241" s="92"/>
      <c r="B241" s="93"/>
      <c r="C241" s="39"/>
      <c r="D241" s="39"/>
      <c r="E241" s="39"/>
      <c r="F241" s="39"/>
      <c r="G241" s="39"/>
      <c r="H241" s="95"/>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96"/>
      <c r="AR241" s="96"/>
      <c r="AS241" s="44"/>
    </row>
    <row r="242">
      <c r="A242" s="92"/>
      <c r="B242" s="93"/>
      <c r="C242" s="39"/>
      <c r="D242" s="39"/>
      <c r="E242" s="39"/>
      <c r="F242" s="39"/>
      <c r="G242" s="39"/>
      <c r="H242" s="95"/>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96"/>
      <c r="AR242" s="96"/>
      <c r="AS242" s="44"/>
    </row>
    <row r="243">
      <c r="A243" s="92"/>
      <c r="B243" s="93"/>
      <c r="C243" s="39"/>
      <c r="D243" s="39"/>
      <c r="E243" s="39"/>
      <c r="F243" s="39"/>
      <c r="G243" s="39"/>
      <c r="H243" s="95"/>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96"/>
      <c r="AR243" s="96"/>
      <c r="AS243" s="44"/>
    </row>
    <row r="244">
      <c r="A244" s="92"/>
      <c r="B244" s="93"/>
      <c r="C244" s="39"/>
      <c r="D244" s="39"/>
      <c r="E244" s="39"/>
      <c r="F244" s="39"/>
      <c r="G244" s="39"/>
      <c r="H244" s="95"/>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96"/>
      <c r="AR244" s="96"/>
      <c r="AS244" s="44"/>
    </row>
    <row r="245">
      <c r="A245" s="92"/>
      <c r="B245" s="93"/>
      <c r="C245" s="39"/>
      <c r="D245" s="39"/>
      <c r="E245" s="39"/>
      <c r="F245" s="39"/>
      <c r="G245" s="39"/>
      <c r="H245" s="95"/>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96"/>
      <c r="AR245" s="96"/>
      <c r="AS245" s="44"/>
    </row>
    <row r="246">
      <c r="A246" s="92"/>
      <c r="B246" s="93"/>
      <c r="C246" s="39"/>
      <c r="D246" s="39"/>
      <c r="E246" s="39"/>
      <c r="F246" s="39"/>
      <c r="G246" s="39"/>
      <c r="H246" s="95"/>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96"/>
      <c r="AR246" s="96"/>
      <c r="AS246" s="44"/>
    </row>
    <row r="247">
      <c r="A247" s="92"/>
      <c r="B247" s="93"/>
      <c r="C247" s="39"/>
      <c r="D247" s="39"/>
      <c r="E247" s="39"/>
      <c r="F247" s="39"/>
      <c r="G247" s="39"/>
      <c r="H247" s="95"/>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96"/>
      <c r="AR247" s="96"/>
      <c r="AS247" s="44"/>
    </row>
    <row r="248">
      <c r="A248" s="92"/>
      <c r="B248" s="93"/>
      <c r="C248" s="39"/>
      <c r="D248" s="39"/>
      <c r="E248" s="39"/>
      <c r="F248" s="39"/>
      <c r="G248" s="39"/>
      <c r="H248" s="95"/>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96"/>
      <c r="AR248" s="96"/>
      <c r="AS248" s="44"/>
    </row>
    <row r="249">
      <c r="A249" s="92"/>
      <c r="B249" s="93"/>
      <c r="C249" s="39"/>
      <c r="D249" s="39"/>
      <c r="E249" s="39"/>
      <c r="F249" s="39"/>
      <c r="G249" s="39"/>
      <c r="H249" s="95"/>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96"/>
      <c r="AR249" s="96"/>
      <c r="AS249" s="44"/>
    </row>
    <row r="250">
      <c r="A250" s="92"/>
      <c r="B250" s="93"/>
      <c r="C250" s="39"/>
      <c r="D250" s="39"/>
      <c r="E250" s="39"/>
      <c r="F250" s="39"/>
      <c r="G250" s="39"/>
      <c r="H250" s="95"/>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96"/>
      <c r="AR250" s="96"/>
      <c r="AS250" s="44"/>
    </row>
    <row r="251">
      <c r="A251" s="92"/>
      <c r="B251" s="93"/>
      <c r="C251" s="39"/>
      <c r="D251" s="39"/>
      <c r="E251" s="39"/>
      <c r="F251" s="39"/>
      <c r="G251" s="39"/>
      <c r="H251" s="95"/>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96"/>
      <c r="AR251" s="96"/>
      <c r="AS251" s="44"/>
    </row>
    <row r="252">
      <c r="A252" s="92"/>
      <c r="B252" s="93"/>
      <c r="C252" s="39"/>
      <c r="D252" s="39"/>
      <c r="E252" s="39"/>
      <c r="F252" s="39"/>
      <c r="G252" s="39"/>
      <c r="H252" s="95"/>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96"/>
      <c r="AR252" s="96"/>
      <c r="AS252" s="44"/>
    </row>
    <row r="253">
      <c r="A253" s="92"/>
      <c r="B253" s="93"/>
      <c r="C253" s="39"/>
      <c r="D253" s="39"/>
      <c r="E253" s="39"/>
      <c r="F253" s="39"/>
      <c r="G253" s="39"/>
      <c r="H253" s="95"/>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96"/>
      <c r="AR253" s="96"/>
      <c r="AS253" s="44"/>
    </row>
    <row r="254">
      <c r="A254" s="92"/>
      <c r="B254" s="93"/>
      <c r="C254" s="39"/>
      <c r="D254" s="39"/>
      <c r="E254" s="39"/>
      <c r="F254" s="39"/>
      <c r="G254" s="39"/>
      <c r="H254" s="95"/>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96"/>
      <c r="AR254" s="96"/>
      <c r="AS254" s="44"/>
    </row>
    <row r="255">
      <c r="A255" s="92"/>
      <c r="B255" s="93"/>
      <c r="C255" s="39"/>
      <c r="D255" s="39"/>
      <c r="E255" s="39"/>
      <c r="F255" s="39"/>
      <c r="G255" s="39"/>
      <c r="H255" s="95"/>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96"/>
      <c r="AR255" s="96"/>
      <c r="AS255" s="44"/>
    </row>
    <row r="256">
      <c r="A256" s="92"/>
      <c r="B256" s="93"/>
      <c r="C256" s="39"/>
      <c r="D256" s="39"/>
      <c r="E256" s="39"/>
      <c r="F256" s="39"/>
      <c r="G256" s="39"/>
      <c r="H256" s="95"/>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96"/>
      <c r="AR256" s="96"/>
      <c r="AS256" s="44"/>
    </row>
    <row r="257">
      <c r="A257" s="92"/>
      <c r="B257" s="93"/>
      <c r="C257" s="39"/>
      <c r="D257" s="39"/>
      <c r="E257" s="39"/>
      <c r="F257" s="39"/>
      <c r="G257" s="39"/>
      <c r="H257" s="95"/>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96"/>
      <c r="AR257" s="96"/>
      <c r="AS257" s="44"/>
    </row>
    <row r="258">
      <c r="A258" s="92"/>
      <c r="B258" s="93"/>
      <c r="C258" s="39"/>
      <c r="D258" s="39"/>
      <c r="E258" s="39"/>
      <c r="F258" s="39"/>
      <c r="G258" s="39"/>
      <c r="H258" s="95"/>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96"/>
      <c r="AR258" s="96"/>
      <c r="AS258" s="44"/>
    </row>
    <row r="259">
      <c r="A259" s="92"/>
      <c r="B259" s="93"/>
      <c r="C259" s="39"/>
      <c r="D259" s="39"/>
      <c r="E259" s="39"/>
      <c r="F259" s="39"/>
      <c r="G259" s="39"/>
      <c r="H259" s="95"/>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96"/>
      <c r="AR259" s="96"/>
      <c r="AS259" s="44"/>
    </row>
    <row r="260">
      <c r="A260" s="92"/>
      <c r="B260" s="93"/>
      <c r="C260" s="39"/>
      <c r="D260" s="39"/>
      <c r="E260" s="39"/>
      <c r="F260" s="39"/>
      <c r="G260" s="39"/>
      <c r="H260" s="95"/>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96"/>
      <c r="AR260" s="96"/>
      <c r="AS260" s="44"/>
    </row>
    <row r="261">
      <c r="A261" s="92"/>
      <c r="B261" s="93"/>
      <c r="C261" s="39"/>
      <c r="D261" s="39"/>
      <c r="E261" s="39"/>
      <c r="F261" s="39"/>
      <c r="G261" s="39"/>
      <c r="H261" s="95"/>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96"/>
      <c r="AR261" s="96"/>
      <c r="AS261" s="44"/>
    </row>
    <row r="262">
      <c r="A262" s="92"/>
      <c r="B262" s="93"/>
      <c r="C262" s="39"/>
      <c r="D262" s="39"/>
      <c r="E262" s="39"/>
      <c r="F262" s="39"/>
      <c r="G262" s="39"/>
      <c r="H262" s="95"/>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96"/>
      <c r="AR262" s="96"/>
      <c r="AS262" s="44"/>
    </row>
    <row r="263">
      <c r="A263" s="92"/>
      <c r="B263" s="93"/>
      <c r="C263" s="39"/>
      <c r="D263" s="39"/>
      <c r="E263" s="39"/>
      <c r="F263" s="39"/>
      <c r="G263" s="39"/>
      <c r="H263" s="95"/>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96"/>
      <c r="AR263" s="96"/>
      <c r="AS263" s="44"/>
    </row>
    <row r="264">
      <c r="A264" s="92"/>
      <c r="B264" s="93"/>
      <c r="C264" s="39"/>
      <c r="D264" s="39"/>
      <c r="E264" s="39"/>
      <c r="F264" s="39"/>
      <c r="G264" s="39"/>
      <c r="H264" s="95"/>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96"/>
      <c r="AR264" s="96"/>
      <c r="AS264" s="44"/>
    </row>
    <row r="265">
      <c r="A265" s="92"/>
      <c r="B265" s="93"/>
      <c r="C265" s="39"/>
      <c r="D265" s="39"/>
      <c r="E265" s="39"/>
      <c r="F265" s="39"/>
      <c r="G265" s="39"/>
      <c r="H265" s="95"/>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96"/>
      <c r="AR265" s="96"/>
      <c r="AS265" s="44"/>
    </row>
    <row r="266">
      <c r="A266" s="92"/>
      <c r="B266" s="93"/>
      <c r="C266" s="39"/>
      <c r="D266" s="39"/>
      <c r="E266" s="39"/>
      <c r="F266" s="39"/>
      <c r="G266" s="39"/>
      <c r="H266" s="95"/>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96"/>
      <c r="AR266" s="96"/>
      <c r="AS266" s="44"/>
    </row>
    <row r="267">
      <c r="A267" s="92"/>
      <c r="B267" s="93"/>
      <c r="C267" s="39"/>
      <c r="D267" s="39"/>
      <c r="E267" s="39"/>
      <c r="F267" s="39"/>
      <c r="G267" s="39"/>
      <c r="H267" s="95"/>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96"/>
      <c r="AR267" s="96"/>
      <c r="AS267" s="44"/>
    </row>
    <row r="268">
      <c r="A268" s="92"/>
      <c r="B268" s="93"/>
      <c r="C268" s="39"/>
      <c r="D268" s="39"/>
      <c r="E268" s="39"/>
      <c r="F268" s="39"/>
      <c r="G268" s="39"/>
      <c r="H268" s="95"/>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96"/>
      <c r="AR268" s="96"/>
      <c r="AS268" s="44"/>
    </row>
    <row r="269">
      <c r="A269" s="92"/>
      <c r="B269" s="93"/>
      <c r="C269" s="39"/>
      <c r="D269" s="39"/>
      <c r="E269" s="39"/>
      <c r="F269" s="39"/>
      <c r="G269" s="39"/>
      <c r="H269" s="95"/>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96"/>
      <c r="AR269" s="96"/>
      <c r="AS269" s="44"/>
    </row>
    <row r="270">
      <c r="A270" s="92"/>
      <c r="B270" s="93"/>
      <c r="C270" s="39"/>
      <c r="D270" s="39"/>
      <c r="E270" s="39"/>
      <c r="F270" s="39"/>
      <c r="G270" s="39"/>
      <c r="H270" s="95"/>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96"/>
      <c r="AR270" s="96"/>
      <c r="AS270" s="44"/>
    </row>
    <row r="271">
      <c r="A271" s="92"/>
      <c r="B271" s="93"/>
      <c r="C271" s="39"/>
      <c r="D271" s="39"/>
      <c r="E271" s="39"/>
      <c r="F271" s="39"/>
      <c r="G271" s="39"/>
      <c r="H271" s="95"/>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96"/>
      <c r="AR271" s="96"/>
      <c r="AS271" s="44"/>
    </row>
    <row r="272">
      <c r="A272" s="92"/>
      <c r="B272" s="93"/>
      <c r="C272" s="39"/>
      <c r="D272" s="39"/>
      <c r="E272" s="39"/>
      <c r="F272" s="39"/>
      <c r="G272" s="39"/>
      <c r="H272" s="95"/>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96"/>
      <c r="AR272" s="96"/>
      <c r="AS272" s="44"/>
    </row>
    <row r="273">
      <c r="A273" s="92"/>
      <c r="B273" s="93"/>
      <c r="C273" s="39"/>
      <c r="D273" s="39"/>
      <c r="E273" s="39"/>
      <c r="F273" s="39"/>
      <c r="G273" s="39"/>
      <c r="H273" s="95"/>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96"/>
      <c r="AR273" s="96"/>
      <c r="AS273" s="44"/>
    </row>
    <row r="274">
      <c r="A274" s="92"/>
      <c r="B274" s="93"/>
      <c r="C274" s="39"/>
      <c r="D274" s="39"/>
      <c r="E274" s="39"/>
      <c r="F274" s="39"/>
      <c r="G274" s="39"/>
      <c r="H274" s="95"/>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96"/>
      <c r="AR274" s="96"/>
      <c r="AS274" s="44"/>
    </row>
    <row r="275">
      <c r="A275" s="92"/>
      <c r="B275" s="93"/>
      <c r="C275" s="39"/>
      <c r="D275" s="39"/>
      <c r="E275" s="39"/>
      <c r="F275" s="39"/>
      <c r="G275" s="39"/>
      <c r="H275" s="95"/>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96"/>
      <c r="AR275" s="96"/>
      <c r="AS275" s="44"/>
    </row>
    <row r="276">
      <c r="A276" s="92"/>
      <c r="B276" s="93"/>
      <c r="C276" s="39"/>
      <c r="D276" s="39"/>
      <c r="E276" s="39"/>
      <c r="F276" s="39"/>
      <c r="G276" s="39"/>
      <c r="H276" s="95"/>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96"/>
      <c r="AR276" s="96"/>
      <c r="AS276" s="44"/>
    </row>
    <row r="277">
      <c r="A277" s="92"/>
      <c r="B277" s="93"/>
      <c r="C277" s="39"/>
      <c r="D277" s="39"/>
      <c r="E277" s="39"/>
      <c r="F277" s="39"/>
      <c r="G277" s="39"/>
      <c r="H277" s="95"/>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96"/>
      <c r="AR277" s="96"/>
      <c r="AS277" s="44"/>
    </row>
    <row r="278">
      <c r="A278" s="92"/>
      <c r="B278" s="93"/>
      <c r="C278" s="39"/>
      <c r="D278" s="39"/>
      <c r="E278" s="39"/>
      <c r="F278" s="39"/>
      <c r="G278" s="39"/>
      <c r="H278" s="95"/>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96"/>
      <c r="AR278" s="96"/>
      <c r="AS278" s="44"/>
    </row>
    <row r="279">
      <c r="A279" s="92"/>
      <c r="B279" s="93"/>
      <c r="C279" s="39"/>
      <c r="D279" s="39"/>
      <c r="E279" s="39"/>
      <c r="F279" s="39"/>
      <c r="G279" s="39"/>
      <c r="H279" s="95"/>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96"/>
      <c r="AR279" s="96"/>
      <c r="AS279" s="44"/>
    </row>
    <row r="280">
      <c r="A280" s="92"/>
      <c r="B280" s="93"/>
      <c r="C280" s="39"/>
      <c r="D280" s="39"/>
      <c r="E280" s="39"/>
      <c r="F280" s="39"/>
      <c r="G280" s="39"/>
      <c r="H280" s="95"/>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96"/>
      <c r="AR280" s="96"/>
      <c r="AS280" s="44"/>
    </row>
    <row r="281">
      <c r="A281" s="92"/>
      <c r="B281" s="93"/>
      <c r="C281" s="39"/>
      <c r="D281" s="39"/>
      <c r="E281" s="39"/>
      <c r="F281" s="39"/>
      <c r="G281" s="39"/>
      <c r="H281" s="95"/>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96"/>
      <c r="AR281" s="96"/>
      <c r="AS281" s="44"/>
    </row>
    <row r="282">
      <c r="A282" s="92"/>
      <c r="B282" s="93"/>
      <c r="C282" s="39"/>
      <c r="D282" s="39"/>
      <c r="E282" s="39"/>
      <c r="F282" s="39"/>
      <c r="G282" s="39"/>
      <c r="H282" s="95"/>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96"/>
      <c r="AR282" s="96"/>
      <c r="AS282" s="44"/>
    </row>
    <row r="283">
      <c r="A283" s="92"/>
      <c r="B283" s="93"/>
      <c r="C283" s="39"/>
      <c r="D283" s="39"/>
      <c r="E283" s="39"/>
      <c r="F283" s="39"/>
      <c r="G283" s="39"/>
      <c r="H283" s="95"/>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96"/>
      <c r="AR283" s="96"/>
      <c r="AS283" s="44"/>
    </row>
    <row r="284">
      <c r="A284" s="92"/>
      <c r="B284" s="93"/>
      <c r="C284" s="39"/>
      <c r="D284" s="39"/>
      <c r="E284" s="39"/>
      <c r="F284" s="39"/>
      <c r="G284" s="39"/>
      <c r="H284" s="95"/>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96"/>
      <c r="AR284" s="96"/>
      <c r="AS284" s="44"/>
    </row>
    <row r="285">
      <c r="A285" s="92"/>
      <c r="B285" s="93"/>
      <c r="C285" s="39"/>
      <c r="D285" s="39"/>
      <c r="E285" s="39"/>
      <c r="F285" s="39"/>
      <c r="G285" s="39"/>
      <c r="H285" s="95"/>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96"/>
      <c r="AR285" s="96"/>
      <c r="AS285" s="44"/>
    </row>
    <row r="286">
      <c r="A286" s="92"/>
      <c r="B286" s="93"/>
      <c r="C286" s="39"/>
      <c r="D286" s="39"/>
      <c r="E286" s="39"/>
      <c r="F286" s="39"/>
      <c r="G286" s="39"/>
      <c r="H286" s="95"/>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96"/>
      <c r="AR286" s="96"/>
      <c r="AS286" s="44"/>
    </row>
    <row r="287">
      <c r="A287" s="92"/>
      <c r="B287" s="93"/>
      <c r="C287" s="39"/>
      <c r="D287" s="39"/>
      <c r="E287" s="39"/>
      <c r="F287" s="39"/>
      <c r="G287" s="39"/>
      <c r="H287" s="95"/>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96"/>
      <c r="AR287" s="96"/>
      <c r="AS287" s="44"/>
    </row>
    <row r="288">
      <c r="A288" s="92"/>
      <c r="B288" s="93"/>
      <c r="C288" s="39"/>
      <c r="D288" s="39"/>
      <c r="E288" s="39"/>
      <c r="F288" s="39"/>
      <c r="G288" s="39"/>
      <c r="H288" s="95"/>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96"/>
      <c r="AR288" s="96"/>
      <c r="AS288" s="44"/>
    </row>
    <row r="289">
      <c r="A289" s="92"/>
      <c r="B289" s="93"/>
      <c r="C289" s="39"/>
      <c r="D289" s="39"/>
      <c r="E289" s="39"/>
      <c r="F289" s="39"/>
      <c r="G289" s="39"/>
      <c r="H289" s="95"/>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96"/>
      <c r="AR289" s="96"/>
      <c r="AS289" s="44"/>
    </row>
    <row r="290">
      <c r="A290" s="92"/>
      <c r="B290" s="93"/>
      <c r="C290" s="39"/>
      <c r="D290" s="39"/>
      <c r="E290" s="39"/>
      <c r="F290" s="39"/>
      <c r="G290" s="39"/>
      <c r="H290" s="95"/>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96"/>
      <c r="AR290" s="96"/>
      <c r="AS290" s="44"/>
    </row>
    <row r="291">
      <c r="A291" s="92"/>
      <c r="B291" s="93"/>
      <c r="C291" s="39"/>
      <c r="D291" s="39"/>
      <c r="E291" s="39"/>
      <c r="F291" s="39"/>
      <c r="G291" s="39"/>
      <c r="H291" s="95"/>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96"/>
      <c r="AR291" s="96"/>
      <c r="AS291" s="44"/>
    </row>
    <row r="292">
      <c r="A292" s="92"/>
      <c r="B292" s="93"/>
      <c r="C292" s="39"/>
      <c r="D292" s="39"/>
      <c r="E292" s="39"/>
      <c r="F292" s="39"/>
      <c r="G292" s="39"/>
      <c r="H292" s="95"/>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96"/>
      <c r="AR292" s="96"/>
      <c r="AS292" s="44"/>
    </row>
    <row r="293">
      <c r="A293" s="92"/>
      <c r="B293" s="93"/>
      <c r="C293" s="39"/>
      <c r="D293" s="39"/>
      <c r="E293" s="39"/>
      <c r="F293" s="39"/>
      <c r="G293" s="39"/>
      <c r="H293" s="95"/>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96"/>
      <c r="AR293" s="96"/>
      <c r="AS293" s="44"/>
    </row>
    <row r="294">
      <c r="A294" s="92"/>
      <c r="B294" s="93"/>
      <c r="C294" s="39"/>
      <c r="D294" s="39"/>
      <c r="E294" s="39"/>
      <c r="F294" s="39"/>
      <c r="G294" s="39"/>
      <c r="H294" s="95"/>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96"/>
      <c r="AR294" s="96"/>
      <c r="AS294" s="44"/>
    </row>
    <row r="295">
      <c r="A295" s="92"/>
      <c r="B295" s="93"/>
      <c r="C295" s="39"/>
      <c r="D295" s="39"/>
      <c r="E295" s="39"/>
      <c r="F295" s="39"/>
      <c r="G295" s="39"/>
      <c r="H295" s="95"/>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96"/>
      <c r="AR295" s="96"/>
      <c r="AS295" s="44"/>
    </row>
    <row r="296">
      <c r="A296" s="92"/>
      <c r="B296" s="93"/>
      <c r="C296" s="39"/>
      <c r="D296" s="39"/>
      <c r="E296" s="39"/>
      <c r="F296" s="39"/>
      <c r="G296" s="39"/>
      <c r="H296" s="95"/>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96"/>
      <c r="AR296" s="96"/>
      <c r="AS296" s="44"/>
    </row>
    <row r="297">
      <c r="A297" s="92"/>
      <c r="B297" s="93"/>
      <c r="C297" s="39"/>
      <c r="D297" s="39"/>
      <c r="E297" s="39"/>
      <c r="F297" s="39"/>
      <c r="G297" s="39"/>
      <c r="H297" s="95"/>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96"/>
      <c r="AR297" s="96"/>
      <c r="AS297" s="44"/>
    </row>
    <row r="298">
      <c r="A298" s="92"/>
      <c r="B298" s="93"/>
      <c r="C298" s="39"/>
      <c r="D298" s="39"/>
      <c r="E298" s="39"/>
      <c r="F298" s="39"/>
      <c r="G298" s="39"/>
      <c r="H298" s="95"/>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96"/>
      <c r="AR298" s="96"/>
      <c r="AS298" s="44"/>
    </row>
    <row r="299">
      <c r="A299" s="92"/>
      <c r="B299" s="93"/>
      <c r="C299" s="39"/>
      <c r="D299" s="39"/>
      <c r="E299" s="39"/>
      <c r="F299" s="39"/>
      <c r="G299" s="39"/>
      <c r="H299" s="95"/>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96"/>
      <c r="AR299" s="96"/>
      <c r="AS299" s="44"/>
    </row>
    <row r="300">
      <c r="A300" s="92"/>
      <c r="B300" s="93"/>
      <c r="C300" s="39"/>
      <c r="D300" s="39"/>
      <c r="E300" s="39"/>
      <c r="F300" s="39"/>
      <c r="G300" s="39"/>
      <c r="H300" s="95"/>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96"/>
      <c r="AR300" s="96"/>
      <c r="AS300" s="44"/>
    </row>
    <row r="301">
      <c r="A301" s="92"/>
      <c r="B301" s="93"/>
      <c r="C301" s="39"/>
      <c r="D301" s="39"/>
      <c r="E301" s="39"/>
      <c r="F301" s="39"/>
      <c r="G301" s="39"/>
      <c r="H301" s="95"/>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96"/>
      <c r="AR301" s="96"/>
      <c r="AS301" s="44"/>
    </row>
    <row r="302">
      <c r="A302" s="92"/>
      <c r="B302" s="93"/>
      <c r="C302" s="39"/>
      <c r="D302" s="39"/>
      <c r="E302" s="39"/>
      <c r="F302" s="39"/>
      <c r="G302" s="39"/>
      <c r="H302" s="95"/>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96"/>
      <c r="AR302" s="96"/>
      <c r="AS302" s="44"/>
    </row>
    <row r="303">
      <c r="A303" s="92"/>
      <c r="B303" s="93"/>
      <c r="C303" s="39"/>
      <c r="D303" s="39"/>
      <c r="E303" s="39"/>
      <c r="F303" s="39"/>
      <c r="G303" s="39"/>
      <c r="H303" s="95"/>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96"/>
      <c r="AR303" s="96"/>
      <c r="AS303" s="44"/>
    </row>
    <row r="304">
      <c r="A304" s="92"/>
      <c r="B304" s="93"/>
      <c r="C304" s="39"/>
      <c r="D304" s="39"/>
      <c r="E304" s="39"/>
      <c r="F304" s="39"/>
      <c r="G304" s="39"/>
      <c r="H304" s="95"/>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96"/>
      <c r="AR304" s="96"/>
      <c r="AS304" s="44"/>
    </row>
    <row r="305">
      <c r="A305" s="92"/>
      <c r="B305" s="93"/>
      <c r="C305" s="39"/>
      <c r="D305" s="39"/>
      <c r="E305" s="39"/>
      <c r="F305" s="39"/>
      <c r="G305" s="39"/>
      <c r="H305" s="95"/>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96"/>
      <c r="AR305" s="96"/>
      <c r="AS305" s="44"/>
    </row>
    <row r="306">
      <c r="A306" s="92"/>
      <c r="B306" s="93"/>
      <c r="C306" s="39"/>
      <c r="D306" s="39"/>
      <c r="E306" s="39"/>
      <c r="F306" s="39"/>
      <c r="G306" s="39"/>
      <c r="H306" s="95"/>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96"/>
      <c r="AR306" s="96"/>
      <c r="AS306" s="44"/>
    </row>
    <row r="307">
      <c r="A307" s="92"/>
      <c r="B307" s="93"/>
      <c r="C307" s="39"/>
      <c r="D307" s="39"/>
      <c r="E307" s="39"/>
      <c r="F307" s="39"/>
      <c r="G307" s="39"/>
      <c r="H307" s="95"/>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96"/>
      <c r="AR307" s="96"/>
      <c r="AS307" s="44"/>
    </row>
    <row r="308">
      <c r="A308" s="92"/>
      <c r="B308" s="93"/>
      <c r="C308" s="39"/>
      <c r="D308" s="39"/>
      <c r="E308" s="39"/>
      <c r="F308" s="39"/>
      <c r="G308" s="39"/>
      <c r="H308" s="95"/>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96"/>
      <c r="AR308" s="96"/>
      <c r="AS308" s="44"/>
    </row>
    <row r="309">
      <c r="A309" s="92"/>
      <c r="B309" s="93"/>
      <c r="C309" s="39"/>
      <c r="D309" s="39"/>
      <c r="E309" s="39"/>
      <c r="F309" s="39"/>
      <c r="G309" s="39"/>
      <c r="H309" s="95"/>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96"/>
      <c r="AR309" s="96"/>
      <c r="AS309" s="44"/>
    </row>
    <row r="310">
      <c r="A310" s="92"/>
      <c r="B310" s="93"/>
      <c r="C310" s="39"/>
      <c r="D310" s="39"/>
      <c r="E310" s="39"/>
      <c r="F310" s="39"/>
      <c r="G310" s="39"/>
      <c r="H310" s="95"/>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96"/>
      <c r="AR310" s="96"/>
      <c r="AS310" s="44"/>
    </row>
    <row r="311">
      <c r="A311" s="92"/>
      <c r="B311" s="93"/>
      <c r="C311" s="39"/>
      <c r="D311" s="39"/>
      <c r="E311" s="39"/>
      <c r="F311" s="39"/>
      <c r="G311" s="39"/>
      <c r="H311" s="95"/>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96"/>
      <c r="AR311" s="96"/>
      <c r="AS311" s="44"/>
    </row>
    <row r="312">
      <c r="A312" s="92"/>
      <c r="B312" s="93"/>
      <c r="C312" s="39"/>
      <c r="D312" s="39"/>
      <c r="E312" s="39"/>
      <c r="F312" s="39"/>
      <c r="G312" s="39"/>
      <c r="H312" s="95"/>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96"/>
      <c r="AR312" s="96"/>
      <c r="AS312" s="44"/>
    </row>
    <row r="313">
      <c r="A313" s="92"/>
      <c r="B313" s="93"/>
      <c r="C313" s="39"/>
      <c r="D313" s="39"/>
      <c r="E313" s="39"/>
      <c r="F313" s="39"/>
      <c r="G313" s="39"/>
      <c r="H313" s="95"/>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96"/>
      <c r="AR313" s="96"/>
      <c r="AS313" s="44"/>
    </row>
    <row r="314">
      <c r="A314" s="92"/>
      <c r="B314" s="93"/>
      <c r="C314" s="39"/>
      <c r="D314" s="39"/>
      <c r="E314" s="39"/>
      <c r="F314" s="39"/>
      <c r="G314" s="39"/>
      <c r="H314" s="95"/>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96"/>
      <c r="AR314" s="96"/>
      <c r="AS314" s="44"/>
    </row>
    <row r="315">
      <c r="A315" s="92"/>
      <c r="B315" s="93"/>
      <c r="C315" s="39"/>
      <c r="D315" s="39"/>
      <c r="E315" s="39"/>
      <c r="F315" s="39"/>
      <c r="G315" s="39"/>
      <c r="H315" s="95"/>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96"/>
      <c r="AR315" s="96"/>
      <c r="AS315" s="44"/>
    </row>
    <row r="316">
      <c r="A316" s="92"/>
      <c r="B316" s="93"/>
      <c r="C316" s="39"/>
      <c r="D316" s="39"/>
      <c r="E316" s="39"/>
      <c r="F316" s="39"/>
      <c r="G316" s="39"/>
      <c r="H316" s="95"/>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96"/>
      <c r="AR316" s="96"/>
      <c r="AS316" s="44"/>
    </row>
    <row r="317">
      <c r="A317" s="92"/>
      <c r="B317" s="93"/>
      <c r="C317" s="39"/>
      <c r="D317" s="39"/>
      <c r="E317" s="39"/>
      <c r="F317" s="39"/>
      <c r="G317" s="39"/>
      <c r="H317" s="95"/>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96"/>
      <c r="AR317" s="96"/>
      <c r="AS317" s="44"/>
    </row>
    <row r="318">
      <c r="A318" s="92"/>
      <c r="B318" s="93"/>
      <c r="C318" s="39"/>
      <c r="D318" s="39"/>
      <c r="E318" s="39"/>
      <c r="F318" s="39"/>
      <c r="G318" s="39"/>
      <c r="H318" s="95"/>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96"/>
      <c r="AR318" s="96"/>
      <c r="AS318" s="44"/>
    </row>
    <row r="319">
      <c r="A319" s="92"/>
      <c r="B319" s="93"/>
      <c r="C319" s="39"/>
      <c r="D319" s="39"/>
      <c r="E319" s="39"/>
      <c r="F319" s="39"/>
      <c r="G319" s="39"/>
      <c r="H319" s="95"/>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96"/>
      <c r="AR319" s="96"/>
      <c r="AS319" s="44"/>
    </row>
    <row r="320">
      <c r="A320" s="92"/>
      <c r="B320" s="93"/>
      <c r="C320" s="39"/>
      <c r="D320" s="39"/>
      <c r="E320" s="39"/>
      <c r="F320" s="39"/>
      <c r="G320" s="39"/>
      <c r="H320" s="95"/>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96"/>
      <c r="AR320" s="96"/>
      <c r="AS320" s="44"/>
    </row>
    <row r="321">
      <c r="A321" s="92"/>
      <c r="B321" s="93"/>
      <c r="C321" s="39"/>
      <c r="D321" s="39"/>
      <c r="E321" s="39"/>
      <c r="F321" s="39"/>
      <c r="G321" s="39"/>
      <c r="H321" s="95"/>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96"/>
      <c r="AR321" s="96"/>
      <c r="AS321" s="44"/>
    </row>
    <row r="322">
      <c r="A322" s="92"/>
      <c r="B322" s="93"/>
      <c r="C322" s="39"/>
      <c r="D322" s="39"/>
      <c r="E322" s="39"/>
      <c r="F322" s="39"/>
      <c r="G322" s="39"/>
      <c r="H322" s="95"/>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96"/>
      <c r="AR322" s="96"/>
      <c r="AS322" s="44"/>
    </row>
    <row r="323">
      <c r="A323" s="92"/>
      <c r="B323" s="93"/>
      <c r="C323" s="39"/>
      <c r="D323" s="39"/>
      <c r="E323" s="39"/>
      <c r="F323" s="39"/>
      <c r="G323" s="39"/>
      <c r="H323" s="95"/>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96"/>
      <c r="AR323" s="96"/>
      <c r="AS323" s="44"/>
    </row>
    <row r="324">
      <c r="A324" s="92"/>
      <c r="B324" s="93"/>
      <c r="C324" s="39"/>
      <c r="D324" s="39"/>
      <c r="E324" s="39"/>
      <c r="F324" s="39"/>
      <c r="G324" s="39"/>
      <c r="H324" s="95"/>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96"/>
      <c r="AR324" s="96"/>
      <c r="AS324" s="44"/>
    </row>
    <row r="325">
      <c r="A325" s="92"/>
      <c r="B325" s="93"/>
      <c r="C325" s="39"/>
      <c r="D325" s="39"/>
      <c r="E325" s="39"/>
      <c r="F325" s="39"/>
      <c r="G325" s="39"/>
      <c r="H325" s="95"/>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96"/>
      <c r="AR325" s="96"/>
      <c r="AS325" s="44"/>
    </row>
    <row r="326">
      <c r="A326" s="92"/>
      <c r="B326" s="93"/>
      <c r="C326" s="39"/>
      <c r="D326" s="39"/>
      <c r="E326" s="39"/>
      <c r="F326" s="39"/>
      <c r="G326" s="39"/>
      <c r="H326" s="95"/>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96"/>
      <c r="AR326" s="96"/>
      <c r="AS326" s="44"/>
    </row>
    <row r="327">
      <c r="A327" s="92"/>
      <c r="B327" s="93"/>
      <c r="C327" s="39"/>
      <c r="D327" s="39"/>
      <c r="E327" s="39"/>
      <c r="F327" s="39"/>
      <c r="G327" s="39"/>
      <c r="H327" s="95"/>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96"/>
      <c r="AR327" s="96"/>
      <c r="AS327" s="44"/>
    </row>
    <row r="328">
      <c r="A328" s="92"/>
      <c r="B328" s="93"/>
      <c r="C328" s="39"/>
      <c r="D328" s="39"/>
      <c r="E328" s="39"/>
      <c r="F328" s="39"/>
      <c r="G328" s="39"/>
      <c r="H328" s="95"/>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96"/>
      <c r="AR328" s="96"/>
      <c r="AS328" s="44"/>
    </row>
    <row r="329">
      <c r="A329" s="92"/>
      <c r="B329" s="93"/>
      <c r="C329" s="39"/>
      <c r="D329" s="39"/>
      <c r="E329" s="39"/>
      <c r="F329" s="39"/>
      <c r="G329" s="39"/>
      <c r="H329" s="95"/>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96"/>
      <c r="AR329" s="96"/>
      <c r="AS329" s="44"/>
    </row>
    <row r="330">
      <c r="A330" s="92"/>
      <c r="B330" s="93"/>
      <c r="C330" s="39"/>
      <c r="D330" s="39"/>
      <c r="E330" s="39"/>
      <c r="F330" s="39"/>
      <c r="G330" s="39"/>
      <c r="H330" s="95"/>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96"/>
      <c r="AR330" s="96"/>
      <c r="AS330" s="44"/>
    </row>
    <row r="331">
      <c r="A331" s="92"/>
      <c r="B331" s="93"/>
      <c r="C331" s="39"/>
      <c r="D331" s="39"/>
      <c r="E331" s="39"/>
      <c r="F331" s="39"/>
      <c r="G331" s="39"/>
      <c r="H331" s="95"/>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96"/>
      <c r="AR331" s="96"/>
      <c r="AS331" s="44"/>
    </row>
    <row r="332">
      <c r="A332" s="92"/>
      <c r="B332" s="93"/>
      <c r="C332" s="39"/>
      <c r="D332" s="39"/>
      <c r="E332" s="39"/>
      <c r="F332" s="39"/>
      <c r="G332" s="39"/>
      <c r="H332" s="95"/>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96"/>
      <c r="AR332" s="96"/>
      <c r="AS332" s="44"/>
    </row>
    <row r="333">
      <c r="A333" s="92"/>
      <c r="B333" s="93"/>
      <c r="C333" s="39"/>
      <c r="D333" s="39"/>
      <c r="E333" s="39"/>
      <c r="F333" s="39"/>
      <c r="G333" s="39"/>
      <c r="H333" s="95"/>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96"/>
      <c r="AR333" s="96"/>
      <c r="AS333" s="44"/>
    </row>
    <row r="334">
      <c r="A334" s="92"/>
      <c r="B334" s="93"/>
      <c r="C334" s="39"/>
      <c r="D334" s="39"/>
      <c r="E334" s="39"/>
      <c r="F334" s="39"/>
      <c r="G334" s="39"/>
      <c r="H334" s="95"/>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96"/>
      <c r="AR334" s="96"/>
      <c r="AS334" s="44"/>
    </row>
    <row r="335">
      <c r="A335" s="92"/>
      <c r="B335" s="93"/>
      <c r="C335" s="39"/>
      <c r="D335" s="39"/>
      <c r="E335" s="39"/>
      <c r="F335" s="39"/>
      <c r="G335" s="39"/>
      <c r="H335" s="95"/>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96"/>
      <c r="AR335" s="96"/>
      <c r="AS335" s="44"/>
    </row>
    <row r="336">
      <c r="A336" s="92"/>
      <c r="B336" s="93"/>
      <c r="C336" s="39"/>
      <c r="D336" s="39"/>
      <c r="E336" s="39"/>
      <c r="F336" s="39"/>
      <c r="G336" s="39"/>
      <c r="H336" s="95"/>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96"/>
      <c r="AR336" s="96"/>
      <c r="AS336" s="44"/>
    </row>
    <row r="337">
      <c r="A337" s="92"/>
      <c r="B337" s="93"/>
      <c r="C337" s="39"/>
      <c r="D337" s="39"/>
      <c r="E337" s="39"/>
      <c r="F337" s="39"/>
      <c r="G337" s="39"/>
      <c r="H337" s="95"/>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96"/>
      <c r="AR337" s="96"/>
      <c r="AS337" s="44"/>
    </row>
    <row r="338">
      <c r="A338" s="92"/>
      <c r="B338" s="93"/>
      <c r="C338" s="39"/>
      <c r="D338" s="39"/>
      <c r="E338" s="39"/>
      <c r="F338" s="39"/>
      <c r="G338" s="39"/>
      <c r="H338" s="95"/>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96"/>
      <c r="AR338" s="96"/>
      <c r="AS338" s="44"/>
    </row>
    <row r="339">
      <c r="A339" s="92"/>
      <c r="B339" s="93"/>
      <c r="C339" s="39"/>
      <c r="D339" s="39"/>
      <c r="E339" s="39"/>
      <c r="F339" s="39"/>
      <c r="G339" s="39"/>
      <c r="H339" s="95"/>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96"/>
      <c r="AR339" s="96"/>
      <c r="AS339" s="44"/>
    </row>
    <row r="340">
      <c r="A340" s="92"/>
      <c r="B340" s="93"/>
      <c r="C340" s="39"/>
      <c r="D340" s="39"/>
      <c r="E340" s="39"/>
      <c r="F340" s="39"/>
      <c r="G340" s="39"/>
      <c r="H340" s="95"/>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96"/>
      <c r="AR340" s="96"/>
      <c r="AS340" s="44"/>
    </row>
    <row r="341">
      <c r="A341" s="92"/>
      <c r="B341" s="93"/>
      <c r="C341" s="39"/>
      <c r="D341" s="39"/>
      <c r="E341" s="39"/>
      <c r="F341" s="39"/>
      <c r="G341" s="39"/>
      <c r="H341" s="95"/>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96"/>
      <c r="AR341" s="96"/>
      <c r="AS341" s="44"/>
    </row>
    <row r="342">
      <c r="A342" s="92"/>
      <c r="B342" s="93"/>
      <c r="C342" s="39"/>
      <c r="D342" s="39"/>
      <c r="E342" s="39"/>
      <c r="F342" s="39"/>
      <c r="G342" s="39"/>
      <c r="H342" s="95"/>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96"/>
      <c r="AR342" s="96"/>
      <c r="AS342" s="44"/>
    </row>
    <row r="343">
      <c r="A343" s="92"/>
      <c r="B343" s="93"/>
      <c r="C343" s="39"/>
      <c r="D343" s="39"/>
      <c r="E343" s="39"/>
      <c r="F343" s="39"/>
      <c r="G343" s="39"/>
      <c r="H343" s="95"/>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96"/>
      <c r="AR343" s="96"/>
      <c r="AS343" s="44"/>
    </row>
    <row r="344">
      <c r="A344" s="92"/>
      <c r="B344" s="93"/>
      <c r="C344" s="39"/>
      <c r="D344" s="39"/>
      <c r="E344" s="39"/>
      <c r="F344" s="39"/>
      <c r="G344" s="39"/>
      <c r="H344" s="95"/>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96"/>
      <c r="AR344" s="96"/>
      <c r="AS344" s="44"/>
    </row>
    <row r="345">
      <c r="A345" s="92"/>
      <c r="B345" s="93"/>
      <c r="C345" s="39"/>
      <c r="D345" s="39"/>
      <c r="E345" s="39"/>
      <c r="F345" s="39"/>
      <c r="G345" s="39"/>
      <c r="H345" s="95"/>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96"/>
      <c r="AR345" s="96"/>
      <c r="AS345" s="44"/>
    </row>
    <row r="346">
      <c r="A346" s="92"/>
      <c r="B346" s="93"/>
      <c r="C346" s="39"/>
      <c r="D346" s="39"/>
      <c r="E346" s="39"/>
      <c r="F346" s="39"/>
      <c r="G346" s="39"/>
      <c r="H346" s="95"/>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96"/>
      <c r="AR346" s="96"/>
      <c r="AS346" s="44"/>
    </row>
    <row r="347">
      <c r="A347" s="92"/>
      <c r="B347" s="93"/>
      <c r="C347" s="39"/>
      <c r="D347" s="39"/>
      <c r="E347" s="39"/>
      <c r="F347" s="39"/>
      <c r="G347" s="39"/>
      <c r="H347" s="95"/>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96"/>
      <c r="AR347" s="96"/>
      <c r="AS347" s="44"/>
    </row>
    <row r="348">
      <c r="A348" s="92"/>
      <c r="B348" s="93"/>
      <c r="C348" s="39"/>
      <c r="D348" s="39"/>
      <c r="E348" s="39"/>
      <c r="F348" s="39"/>
      <c r="G348" s="39"/>
      <c r="H348" s="95"/>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96"/>
      <c r="AR348" s="96"/>
      <c r="AS348" s="44"/>
    </row>
    <row r="349">
      <c r="A349" s="92"/>
      <c r="B349" s="93"/>
      <c r="C349" s="39"/>
      <c r="D349" s="39"/>
      <c r="E349" s="39"/>
      <c r="F349" s="39"/>
      <c r="G349" s="39"/>
      <c r="H349" s="95"/>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96"/>
      <c r="AR349" s="96"/>
      <c r="AS349" s="44"/>
    </row>
    <row r="350">
      <c r="A350" s="92"/>
      <c r="B350" s="93"/>
      <c r="C350" s="39"/>
      <c r="D350" s="39"/>
      <c r="E350" s="39"/>
      <c r="F350" s="39"/>
      <c r="G350" s="39"/>
      <c r="H350" s="95"/>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96"/>
      <c r="AR350" s="96"/>
      <c r="AS350" s="44"/>
    </row>
    <row r="351">
      <c r="A351" s="92"/>
      <c r="B351" s="93"/>
      <c r="C351" s="39"/>
      <c r="D351" s="39"/>
      <c r="E351" s="39"/>
      <c r="F351" s="39"/>
      <c r="G351" s="39"/>
      <c r="H351" s="95"/>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96"/>
      <c r="AR351" s="96"/>
      <c r="AS351" s="44"/>
    </row>
    <row r="352">
      <c r="A352" s="92"/>
      <c r="B352" s="93"/>
      <c r="C352" s="39"/>
      <c r="D352" s="39"/>
      <c r="E352" s="39"/>
      <c r="F352" s="39"/>
      <c r="G352" s="39"/>
      <c r="H352" s="95"/>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96"/>
      <c r="AR352" s="96"/>
      <c r="AS352" s="44"/>
    </row>
    <row r="353">
      <c r="A353" s="92"/>
      <c r="B353" s="93"/>
      <c r="C353" s="39"/>
      <c r="D353" s="39"/>
      <c r="E353" s="39"/>
      <c r="F353" s="39"/>
      <c r="G353" s="39"/>
      <c r="H353" s="95"/>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96"/>
      <c r="AR353" s="96"/>
      <c r="AS353" s="44"/>
    </row>
    <row r="354">
      <c r="A354" s="92"/>
      <c r="B354" s="93"/>
      <c r="C354" s="39"/>
      <c r="D354" s="39"/>
      <c r="E354" s="39"/>
      <c r="F354" s="39"/>
      <c r="G354" s="39"/>
      <c r="H354" s="95"/>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96"/>
      <c r="AR354" s="96"/>
      <c r="AS354" s="44"/>
    </row>
    <row r="355">
      <c r="A355" s="92"/>
      <c r="B355" s="93"/>
      <c r="C355" s="39"/>
      <c r="D355" s="39"/>
      <c r="E355" s="39"/>
      <c r="F355" s="39"/>
      <c r="G355" s="39"/>
      <c r="H355" s="95"/>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96"/>
      <c r="AR355" s="96"/>
      <c r="AS355" s="44"/>
    </row>
    <row r="356">
      <c r="A356" s="92"/>
      <c r="B356" s="93"/>
      <c r="C356" s="39"/>
      <c r="D356" s="39"/>
      <c r="E356" s="39"/>
      <c r="F356" s="39"/>
      <c r="G356" s="39"/>
      <c r="H356" s="95"/>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96"/>
      <c r="AR356" s="96"/>
      <c r="AS356" s="44"/>
    </row>
    <row r="357">
      <c r="A357" s="92"/>
      <c r="B357" s="93"/>
      <c r="C357" s="39"/>
      <c r="D357" s="39"/>
      <c r="E357" s="39"/>
      <c r="F357" s="39"/>
      <c r="G357" s="39"/>
      <c r="H357" s="95"/>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96"/>
      <c r="AR357" s="96"/>
      <c r="AS357" s="44"/>
    </row>
    <row r="358">
      <c r="A358" s="92"/>
      <c r="B358" s="93"/>
      <c r="C358" s="39"/>
      <c r="D358" s="39"/>
      <c r="E358" s="39"/>
      <c r="F358" s="39"/>
      <c r="G358" s="39"/>
      <c r="H358" s="95"/>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96"/>
      <c r="AR358" s="96"/>
      <c r="AS358" s="44"/>
    </row>
    <row r="359">
      <c r="A359" s="92"/>
      <c r="B359" s="93"/>
      <c r="C359" s="39"/>
      <c r="D359" s="39"/>
      <c r="E359" s="39"/>
      <c r="F359" s="39"/>
      <c r="G359" s="39"/>
      <c r="H359" s="95"/>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96"/>
      <c r="AR359" s="96"/>
      <c r="AS359" s="44"/>
    </row>
    <row r="360">
      <c r="A360" s="92"/>
      <c r="B360" s="93"/>
      <c r="C360" s="39"/>
      <c r="D360" s="39"/>
      <c r="E360" s="39"/>
      <c r="F360" s="39"/>
      <c r="G360" s="39"/>
      <c r="H360" s="95"/>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96"/>
      <c r="AR360" s="96"/>
      <c r="AS360" s="44"/>
    </row>
    <row r="361">
      <c r="A361" s="92"/>
      <c r="B361" s="93"/>
      <c r="C361" s="39"/>
      <c r="D361" s="39"/>
      <c r="E361" s="39"/>
      <c r="F361" s="39"/>
      <c r="G361" s="39"/>
      <c r="H361" s="95"/>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96"/>
      <c r="AR361" s="96"/>
      <c r="AS361" s="44"/>
    </row>
    <row r="362">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c r="AB362" s="97"/>
      <c r="AC362" s="97"/>
      <c r="AD362" s="97"/>
      <c r="AE362" s="97"/>
      <c r="AF362" s="97"/>
      <c r="AG362" s="97"/>
      <c r="AH362" s="97"/>
      <c r="AI362" s="97"/>
      <c r="AJ362" s="97"/>
      <c r="AK362" s="97"/>
      <c r="AL362" s="97"/>
      <c r="AM362" s="97"/>
      <c r="AN362" s="97"/>
      <c r="AO362" s="97"/>
      <c r="AP362" s="97"/>
      <c r="AQ362" s="99"/>
      <c r="AR362" s="99"/>
      <c r="AS362" s="99"/>
    </row>
    <row r="363">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c r="AB363" s="97"/>
      <c r="AC363" s="97"/>
      <c r="AD363" s="97"/>
      <c r="AE363" s="97"/>
      <c r="AF363" s="97"/>
      <c r="AG363" s="97"/>
      <c r="AH363" s="97"/>
      <c r="AI363" s="97"/>
      <c r="AJ363" s="97"/>
      <c r="AK363" s="97"/>
      <c r="AL363" s="97"/>
      <c r="AM363" s="97"/>
      <c r="AN363" s="97"/>
      <c r="AO363" s="97"/>
      <c r="AP363" s="97"/>
      <c r="AQ363" s="99"/>
      <c r="AR363" s="99"/>
      <c r="AS363" s="99"/>
    </row>
    <row r="364">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c r="AB364" s="97"/>
      <c r="AC364" s="97"/>
      <c r="AD364" s="97"/>
      <c r="AE364" s="97"/>
      <c r="AF364" s="97"/>
      <c r="AG364" s="97"/>
      <c r="AH364" s="97"/>
      <c r="AI364" s="97"/>
      <c r="AJ364" s="97"/>
      <c r="AK364" s="97"/>
      <c r="AL364" s="97"/>
      <c r="AM364" s="97"/>
      <c r="AN364" s="97"/>
      <c r="AO364" s="97"/>
      <c r="AP364" s="97"/>
      <c r="AQ364" s="99"/>
      <c r="AR364" s="99"/>
      <c r="AS364" s="99"/>
    </row>
    <row r="365">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c r="AB365" s="97"/>
      <c r="AC365" s="97"/>
      <c r="AD365" s="97"/>
      <c r="AE365" s="97"/>
      <c r="AF365" s="97"/>
      <c r="AG365" s="97"/>
      <c r="AH365" s="97"/>
      <c r="AI365" s="97"/>
      <c r="AJ365" s="97"/>
      <c r="AK365" s="97"/>
      <c r="AL365" s="97"/>
      <c r="AM365" s="97"/>
      <c r="AN365" s="97"/>
      <c r="AO365" s="97"/>
      <c r="AP365" s="97"/>
      <c r="AQ365" s="99"/>
      <c r="AR365" s="99"/>
      <c r="AS365" s="99"/>
    </row>
    <row r="366">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c r="AB366" s="97"/>
      <c r="AC366" s="97"/>
      <c r="AD366" s="97"/>
      <c r="AE366" s="97"/>
      <c r="AF366" s="97"/>
      <c r="AG366" s="97"/>
      <c r="AH366" s="97"/>
      <c r="AI366" s="97"/>
      <c r="AJ366" s="97"/>
      <c r="AK366" s="97"/>
      <c r="AL366" s="97"/>
      <c r="AM366" s="97"/>
      <c r="AN366" s="97"/>
      <c r="AO366" s="97"/>
      <c r="AP366" s="97"/>
      <c r="AQ366" s="99"/>
      <c r="AR366" s="99"/>
      <c r="AS366" s="99"/>
    </row>
    <row r="367">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c r="AE367" s="97"/>
      <c r="AF367" s="97"/>
      <c r="AG367" s="97"/>
      <c r="AH367" s="97"/>
      <c r="AI367" s="97"/>
      <c r="AJ367" s="97"/>
      <c r="AK367" s="97"/>
      <c r="AL367" s="97"/>
      <c r="AM367" s="97"/>
      <c r="AN367" s="97"/>
      <c r="AO367" s="97"/>
      <c r="AP367" s="97"/>
      <c r="AQ367" s="99"/>
      <c r="AR367" s="99"/>
      <c r="AS367" s="99"/>
    </row>
    <row r="368">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c r="AB368" s="97"/>
      <c r="AC368" s="97"/>
      <c r="AD368" s="97"/>
      <c r="AE368" s="97"/>
      <c r="AF368" s="97"/>
      <c r="AG368" s="97"/>
      <c r="AH368" s="97"/>
      <c r="AI368" s="97"/>
      <c r="AJ368" s="97"/>
      <c r="AK368" s="97"/>
      <c r="AL368" s="97"/>
      <c r="AM368" s="97"/>
      <c r="AN368" s="97"/>
      <c r="AO368" s="97"/>
      <c r="AP368" s="97"/>
      <c r="AQ368" s="99"/>
      <c r="AR368" s="99"/>
      <c r="AS368" s="99"/>
    </row>
    <row r="369">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c r="AB369" s="97"/>
      <c r="AC369" s="97"/>
      <c r="AD369" s="97"/>
      <c r="AE369" s="97"/>
      <c r="AF369" s="97"/>
      <c r="AG369" s="97"/>
      <c r="AH369" s="97"/>
      <c r="AI369" s="97"/>
      <c r="AJ369" s="97"/>
      <c r="AK369" s="97"/>
      <c r="AL369" s="97"/>
      <c r="AM369" s="97"/>
      <c r="AN369" s="97"/>
      <c r="AO369" s="97"/>
      <c r="AP369" s="97"/>
      <c r="AQ369" s="99"/>
      <c r="AR369" s="99"/>
      <c r="AS369" s="99"/>
    </row>
    <row r="370">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c r="AB370" s="97"/>
      <c r="AC370" s="97"/>
      <c r="AD370" s="97"/>
      <c r="AE370" s="97"/>
      <c r="AF370" s="97"/>
      <c r="AG370" s="97"/>
      <c r="AH370" s="97"/>
      <c r="AI370" s="97"/>
      <c r="AJ370" s="97"/>
      <c r="AK370" s="97"/>
      <c r="AL370" s="97"/>
      <c r="AM370" s="97"/>
      <c r="AN370" s="97"/>
      <c r="AO370" s="97"/>
      <c r="AP370" s="97"/>
      <c r="AQ370" s="99"/>
      <c r="AR370" s="99"/>
      <c r="AS370" s="99"/>
    </row>
    <row r="37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c r="AB371" s="97"/>
      <c r="AC371" s="97"/>
      <c r="AD371" s="97"/>
      <c r="AE371" s="97"/>
      <c r="AF371" s="97"/>
      <c r="AG371" s="97"/>
      <c r="AH371" s="97"/>
      <c r="AI371" s="97"/>
      <c r="AJ371" s="97"/>
      <c r="AK371" s="97"/>
      <c r="AL371" s="97"/>
      <c r="AM371" s="97"/>
      <c r="AN371" s="97"/>
      <c r="AO371" s="97"/>
      <c r="AP371" s="97"/>
      <c r="AQ371" s="99"/>
      <c r="AR371" s="99"/>
      <c r="AS371" s="99"/>
    </row>
    <row r="372">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c r="AB372" s="97"/>
      <c r="AC372" s="97"/>
      <c r="AD372" s="97"/>
      <c r="AE372" s="97"/>
      <c r="AF372" s="97"/>
      <c r="AG372" s="97"/>
      <c r="AH372" s="97"/>
      <c r="AI372" s="97"/>
      <c r="AJ372" s="97"/>
      <c r="AK372" s="97"/>
      <c r="AL372" s="97"/>
      <c r="AM372" s="97"/>
      <c r="AN372" s="97"/>
      <c r="AO372" s="97"/>
      <c r="AP372" s="97"/>
      <c r="AQ372" s="99"/>
      <c r="AR372" s="99"/>
      <c r="AS372" s="99"/>
    </row>
    <row r="373">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c r="AB373" s="97"/>
      <c r="AC373" s="97"/>
      <c r="AD373" s="97"/>
      <c r="AE373" s="97"/>
      <c r="AF373" s="97"/>
      <c r="AG373" s="97"/>
      <c r="AH373" s="97"/>
      <c r="AI373" s="97"/>
      <c r="AJ373" s="97"/>
      <c r="AK373" s="97"/>
      <c r="AL373" s="97"/>
      <c r="AM373" s="97"/>
      <c r="AN373" s="97"/>
      <c r="AO373" s="97"/>
      <c r="AP373" s="97"/>
      <c r="AQ373" s="99"/>
      <c r="AR373" s="99"/>
      <c r="AS373" s="99"/>
    </row>
    <row r="374">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c r="AB374" s="97"/>
      <c r="AC374" s="97"/>
      <c r="AD374" s="97"/>
      <c r="AE374" s="97"/>
      <c r="AF374" s="97"/>
      <c r="AG374" s="97"/>
      <c r="AH374" s="97"/>
      <c r="AI374" s="97"/>
      <c r="AJ374" s="97"/>
      <c r="AK374" s="97"/>
      <c r="AL374" s="97"/>
      <c r="AM374" s="97"/>
      <c r="AN374" s="97"/>
      <c r="AO374" s="97"/>
      <c r="AP374" s="97"/>
      <c r="AQ374" s="99"/>
      <c r="AR374" s="99"/>
      <c r="AS374" s="99"/>
    </row>
    <row r="375">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7"/>
      <c r="AC375" s="97"/>
      <c r="AD375" s="97"/>
      <c r="AE375" s="97"/>
      <c r="AF375" s="97"/>
      <c r="AG375" s="97"/>
      <c r="AH375" s="97"/>
      <c r="AI375" s="97"/>
      <c r="AJ375" s="97"/>
      <c r="AK375" s="97"/>
      <c r="AL375" s="97"/>
      <c r="AM375" s="97"/>
      <c r="AN375" s="97"/>
      <c r="AO375" s="97"/>
      <c r="AP375" s="97"/>
      <c r="AQ375" s="99"/>
      <c r="AR375" s="99"/>
      <c r="AS375" s="99"/>
    </row>
    <row r="376">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c r="AE376" s="97"/>
      <c r="AF376" s="97"/>
      <c r="AG376" s="97"/>
      <c r="AH376" s="97"/>
      <c r="AI376" s="97"/>
      <c r="AJ376" s="97"/>
      <c r="AK376" s="97"/>
      <c r="AL376" s="97"/>
      <c r="AM376" s="97"/>
      <c r="AN376" s="97"/>
      <c r="AO376" s="97"/>
      <c r="AP376" s="97"/>
      <c r="AQ376" s="99"/>
      <c r="AR376" s="99"/>
      <c r="AS376" s="99"/>
    </row>
    <row r="377">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c r="AB377" s="97"/>
      <c r="AC377" s="97"/>
      <c r="AD377" s="97"/>
      <c r="AE377" s="97"/>
      <c r="AF377" s="97"/>
      <c r="AG377" s="97"/>
      <c r="AH377" s="97"/>
      <c r="AI377" s="97"/>
      <c r="AJ377" s="97"/>
      <c r="AK377" s="97"/>
      <c r="AL377" s="97"/>
      <c r="AM377" s="97"/>
      <c r="AN377" s="97"/>
      <c r="AO377" s="97"/>
      <c r="AP377" s="97"/>
      <c r="AQ377" s="99"/>
      <c r="AR377" s="99"/>
      <c r="AS377" s="99"/>
    </row>
    <row r="378">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c r="AB378" s="97"/>
      <c r="AC378" s="97"/>
      <c r="AD378" s="97"/>
      <c r="AE378" s="97"/>
      <c r="AF378" s="97"/>
      <c r="AG378" s="97"/>
      <c r="AH378" s="97"/>
      <c r="AI378" s="97"/>
      <c r="AJ378" s="97"/>
      <c r="AK378" s="97"/>
      <c r="AL378" s="97"/>
      <c r="AM378" s="97"/>
      <c r="AN378" s="97"/>
      <c r="AO378" s="97"/>
      <c r="AP378" s="97"/>
      <c r="AQ378" s="99"/>
      <c r="AR378" s="99"/>
      <c r="AS378" s="99"/>
    </row>
    <row r="379">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c r="AB379" s="97"/>
      <c r="AC379" s="97"/>
      <c r="AD379" s="97"/>
      <c r="AE379" s="97"/>
      <c r="AF379" s="97"/>
      <c r="AG379" s="97"/>
      <c r="AH379" s="97"/>
      <c r="AI379" s="97"/>
      <c r="AJ379" s="97"/>
      <c r="AK379" s="97"/>
      <c r="AL379" s="97"/>
      <c r="AM379" s="97"/>
      <c r="AN379" s="97"/>
      <c r="AO379" s="97"/>
      <c r="AP379" s="97"/>
      <c r="AQ379" s="99"/>
      <c r="AR379" s="99"/>
      <c r="AS379" s="99"/>
    </row>
    <row r="380">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c r="AB380" s="97"/>
      <c r="AC380" s="97"/>
      <c r="AD380" s="97"/>
      <c r="AE380" s="97"/>
      <c r="AF380" s="97"/>
      <c r="AG380" s="97"/>
      <c r="AH380" s="97"/>
      <c r="AI380" s="97"/>
      <c r="AJ380" s="97"/>
      <c r="AK380" s="97"/>
      <c r="AL380" s="97"/>
      <c r="AM380" s="97"/>
      <c r="AN380" s="97"/>
      <c r="AO380" s="97"/>
      <c r="AP380" s="97"/>
      <c r="AQ380" s="99"/>
      <c r="AR380" s="99"/>
      <c r="AS380" s="99"/>
    </row>
    <row r="38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c r="AB381" s="97"/>
      <c r="AC381" s="97"/>
      <c r="AD381" s="97"/>
      <c r="AE381" s="97"/>
      <c r="AF381" s="97"/>
      <c r="AG381" s="97"/>
      <c r="AH381" s="97"/>
      <c r="AI381" s="97"/>
      <c r="AJ381" s="97"/>
      <c r="AK381" s="97"/>
      <c r="AL381" s="97"/>
      <c r="AM381" s="97"/>
      <c r="AN381" s="97"/>
      <c r="AO381" s="97"/>
      <c r="AP381" s="97"/>
      <c r="AQ381" s="99"/>
      <c r="AR381" s="99"/>
      <c r="AS381" s="99"/>
    </row>
    <row r="382">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c r="AB382" s="97"/>
      <c r="AC382" s="97"/>
      <c r="AD382" s="97"/>
      <c r="AE382" s="97"/>
      <c r="AF382" s="97"/>
      <c r="AG382" s="97"/>
      <c r="AH382" s="97"/>
      <c r="AI382" s="97"/>
      <c r="AJ382" s="97"/>
      <c r="AK382" s="97"/>
      <c r="AL382" s="97"/>
      <c r="AM382" s="97"/>
      <c r="AN382" s="97"/>
      <c r="AO382" s="97"/>
      <c r="AP382" s="97"/>
      <c r="AQ382" s="99"/>
      <c r="AR382" s="99"/>
      <c r="AS382" s="99"/>
    </row>
    <row r="383">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c r="AB383" s="97"/>
      <c r="AC383" s="97"/>
      <c r="AD383" s="97"/>
      <c r="AE383" s="97"/>
      <c r="AF383" s="97"/>
      <c r="AG383" s="97"/>
      <c r="AH383" s="97"/>
      <c r="AI383" s="97"/>
      <c r="AJ383" s="97"/>
      <c r="AK383" s="97"/>
      <c r="AL383" s="97"/>
      <c r="AM383" s="97"/>
      <c r="AN383" s="97"/>
      <c r="AO383" s="97"/>
      <c r="AP383" s="97"/>
      <c r="AQ383" s="99"/>
      <c r="AR383" s="99"/>
      <c r="AS383" s="99"/>
    </row>
    <row r="384">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c r="AB384" s="97"/>
      <c r="AC384" s="97"/>
      <c r="AD384" s="97"/>
      <c r="AE384" s="97"/>
      <c r="AF384" s="97"/>
      <c r="AG384" s="97"/>
      <c r="AH384" s="97"/>
      <c r="AI384" s="97"/>
      <c r="AJ384" s="97"/>
      <c r="AK384" s="97"/>
      <c r="AL384" s="97"/>
      <c r="AM384" s="97"/>
      <c r="AN384" s="97"/>
      <c r="AO384" s="97"/>
      <c r="AP384" s="97"/>
      <c r="AQ384" s="99"/>
      <c r="AR384" s="99"/>
      <c r="AS384" s="99"/>
    </row>
    <row r="385">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c r="AB385" s="97"/>
      <c r="AC385" s="97"/>
      <c r="AD385" s="97"/>
      <c r="AE385" s="97"/>
      <c r="AF385" s="97"/>
      <c r="AG385" s="97"/>
      <c r="AH385" s="97"/>
      <c r="AI385" s="97"/>
      <c r="AJ385" s="97"/>
      <c r="AK385" s="97"/>
      <c r="AL385" s="97"/>
      <c r="AM385" s="97"/>
      <c r="AN385" s="97"/>
      <c r="AO385" s="97"/>
      <c r="AP385" s="97"/>
      <c r="AQ385" s="99"/>
      <c r="AR385" s="99"/>
      <c r="AS385" s="99"/>
    </row>
    <row r="386">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c r="AB386" s="97"/>
      <c r="AC386" s="97"/>
      <c r="AD386" s="97"/>
      <c r="AE386" s="97"/>
      <c r="AF386" s="97"/>
      <c r="AG386" s="97"/>
      <c r="AH386" s="97"/>
      <c r="AI386" s="97"/>
      <c r="AJ386" s="97"/>
      <c r="AK386" s="97"/>
      <c r="AL386" s="97"/>
      <c r="AM386" s="97"/>
      <c r="AN386" s="97"/>
      <c r="AO386" s="97"/>
      <c r="AP386" s="97"/>
      <c r="AQ386" s="99"/>
      <c r="AR386" s="99"/>
      <c r="AS386" s="99"/>
    </row>
    <row r="387">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c r="AB387" s="97"/>
      <c r="AC387" s="97"/>
      <c r="AD387" s="97"/>
      <c r="AE387" s="97"/>
      <c r="AF387" s="97"/>
      <c r="AG387" s="97"/>
      <c r="AH387" s="97"/>
      <c r="AI387" s="97"/>
      <c r="AJ387" s="97"/>
      <c r="AK387" s="97"/>
      <c r="AL387" s="97"/>
      <c r="AM387" s="97"/>
      <c r="AN387" s="97"/>
      <c r="AO387" s="97"/>
      <c r="AP387" s="97"/>
      <c r="AQ387" s="99"/>
      <c r="AR387" s="99"/>
      <c r="AS387" s="99"/>
    </row>
    <row r="388">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c r="AB388" s="97"/>
      <c r="AC388" s="97"/>
      <c r="AD388" s="97"/>
      <c r="AE388" s="97"/>
      <c r="AF388" s="97"/>
      <c r="AG388" s="97"/>
      <c r="AH388" s="97"/>
      <c r="AI388" s="97"/>
      <c r="AJ388" s="97"/>
      <c r="AK388" s="97"/>
      <c r="AL388" s="97"/>
      <c r="AM388" s="97"/>
      <c r="AN388" s="97"/>
      <c r="AO388" s="97"/>
      <c r="AP388" s="97"/>
      <c r="AQ388" s="99"/>
      <c r="AR388" s="99"/>
      <c r="AS388" s="99"/>
    </row>
    <row r="389">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c r="AB389" s="97"/>
      <c r="AC389" s="97"/>
      <c r="AD389" s="97"/>
      <c r="AE389" s="97"/>
      <c r="AF389" s="97"/>
      <c r="AG389" s="97"/>
      <c r="AH389" s="97"/>
      <c r="AI389" s="97"/>
      <c r="AJ389" s="97"/>
      <c r="AK389" s="97"/>
      <c r="AL389" s="97"/>
      <c r="AM389" s="97"/>
      <c r="AN389" s="97"/>
      <c r="AO389" s="97"/>
      <c r="AP389" s="97"/>
      <c r="AQ389" s="99"/>
      <c r="AR389" s="99"/>
      <c r="AS389" s="99"/>
    </row>
    <row r="390">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c r="AB390" s="97"/>
      <c r="AC390" s="97"/>
      <c r="AD390" s="97"/>
      <c r="AE390" s="97"/>
      <c r="AF390" s="97"/>
      <c r="AG390" s="97"/>
      <c r="AH390" s="97"/>
      <c r="AI390" s="97"/>
      <c r="AJ390" s="97"/>
      <c r="AK390" s="97"/>
      <c r="AL390" s="97"/>
      <c r="AM390" s="97"/>
      <c r="AN390" s="97"/>
      <c r="AO390" s="97"/>
      <c r="AP390" s="97"/>
      <c r="AQ390" s="99"/>
      <c r="AR390" s="99"/>
      <c r="AS390" s="99"/>
    </row>
    <row r="39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c r="AB391" s="97"/>
      <c r="AC391" s="97"/>
      <c r="AD391" s="97"/>
      <c r="AE391" s="97"/>
      <c r="AF391" s="97"/>
      <c r="AG391" s="97"/>
      <c r="AH391" s="97"/>
      <c r="AI391" s="97"/>
      <c r="AJ391" s="97"/>
      <c r="AK391" s="97"/>
      <c r="AL391" s="97"/>
      <c r="AM391" s="97"/>
      <c r="AN391" s="97"/>
      <c r="AO391" s="97"/>
      <c r="AP391" s="97"/>
      <c r="AQ391" s="99"/>
      <c r="AR391" s="99"/>
      <c r="AS391" s="99"/>
    </row>
    <row r="392">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c r="AB392" s="97"/>
      <c r="AC392" s="97"/>
      <c r="AD392" s="97"/>
      <c r="AE392" s="97"/>
      <c r="AF392" s="97"/>
      <c r="AG392" s="97"/>
      <c r="AH392" s="97"/>
      <c r="AI392" s="97"/>
      <c r="AJ392" s="97"/>
      <c r="AK392" s="97"/>
      <c r="AL392" s="97"/>
      <c r="AM392" s="97"/>
      <c r="AN392" s="97"/>
      <c r="AO392" s="97"/>
      <c r="AP392" s="97"/>
      <c r="AQ392" s="99"/>
      <c r="AR392" s="99"/>
      <c r="AS392" s="99"/>
    </row>
    <row r="393">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7"/>
      <c r="AC393" s="97"/>
      <c r="AD393" s="97"/>
      <c r="AE393" s="97"/>
      <c r="AF393" s="97"/>
      <c r="AG393" s="97"/>
      <c r="AH393" s="97"/>
      <c r="AI393" s="97"/>
      <c r="AJ393" s="97"/>
      <c r="AK393" s="97"/>
      <c r="AL393" s="97"/>
      <c r="AM393" s="97"/>
      <c r="AN393" s="97"/>
      <c r="AO393" s="97"/>
      <c r="AP393" s="97"/>
      <c r="AQ393" s="99"/>
      <c r="AR393" s="99"/>
      <c r="AS393" s="99"/>
    </row>
    <row r="394">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7"/>
      <c r="AC394" s="97"/>
      <c r="AD394" s="97"/>
      <c r="AE394" s="97"/>
      <c r="AF394" s="97"/>
      <c r="AG394" s="97"/>
      <c r="AH394" s="97"/>
      <c r="AI394" s="97"/>
      <c r="AJ394" s="97"/>
      <c r="AK394" s="97"/>
      <c r="AL394" s="97"/>
      <c r="AM394" s="97"/>
      <c r="AN394" s="97"/>
      <c r="AO394" s="97"/>
      <c r="AP394" s="97"/>
      <c r="AQ394" s="99"/>
      <c r="AR394" s="99"/>
      <c r="AS394" s="99"/>
    </row>
    <row r="395">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c r="AB395" s="97"/>
      <c r="AC395" s="97"/>
      <c r="AD395" s="97"/>
      <c r="AE395" s="97"/>
      <c r="AF395" s="97"/>
      <c r="AG395" s="97"/>
      <c r="AH395" s="97"/>
      <c r="AI395" s="97"/>
      <c r="AJ395" s="97"/>
      <c r="AK395" s="97"/>
      <c r="AL395" s="97"/>
      <c r="AM395" s="97"/>
      <c r="AN395" s="97"/>
      <c r="AO395" s="97"/>
      <c r="AP395" s="97"/>
      <c r="AQ395" s="99"/>
      <c r="AR395" s="99"/>
      <c r="AS395" s="99"/>
    </row>
    <row r="396">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c r="AB396" s="97"/>
      <c r="AC396" s="97"/>
      <c r="AD396" s="97"/>
      <c r="AE396" s="97"/>
      <c r="AF396" s="97"/>
      <c r="AG396" s="97"/>
      <c r="AH396" s="97"/>
      <c r="AI396" s="97"/>
      <c r="AJ396" s="97"/>
      <c r="AK396" s="97"/>
      <c r="AL396" s="97"/>
      <c r="AM396" s="97"/>
      <c r="AN396" s="97"/>
      <c r="AO396" s="97"/>
      <c r="AP396" s="97"/>
      <c r="AQ396" s="99"/>
      <c r="AR396" s="99"/>
      <c r="AS396" s="99"/>
    </row>
    <row r="397">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c r="AB397" s="97"/>
      <c r="AC397" s="97"/>
      <c r="AD397" s="97"/>
      <c r="AE397" s="97"/>
      <c r="AF397" s="97"/>
      <c r="AG397" s="97"/>
      <c r="AH397" s="97"/>
      <c r="AI397" s="97"/>
      <c r="AJ397" s="97"/>
      <c r="AK397" s="97"/>
      <c r="AL397" s="97"/>
      <c r="AM397" s="97"/>
      <c r="AN397" s="97"/>
      <c r="AO397" s="97"/>
      <c r="AP397" s="97"/>
      <c r="AQ397" s="99"/>
      <c r="AR397" s="99"/>
      <c r="AS397" s="99"/>
    </row>
    <row r="398">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c r="AB398" s="97"/>
      <c r="AC398" s="97"/>
      <c r="AD398" s="97"/>
      <c r="AE398" s="97"/>
      <c r="AF398" s="97"/>
      <c r="AG398" s="97"/>
      <c r="AH398" s="97"/>
      <c r="AI398" s="97"/>
      <c r="AJ398" s="97"/>
      <c r="AK398" s="97"/>
      <c r="AL398" s="97"/>
      <c r="AM398" s="97"/>
      <c r="AN398" s="97"/>
      <c r="AO398" s="97"/>
      <c r="AP398" s="97"/>
      <c r="AQ398" s="99"/>
      <c r="AR398" s="99"/>
      <c r="AS398" s="99"/>
    </row>
    <row r="399">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c r="AB399" s="97"/>
      <c r="AC399" s="97"/>
      <c r="AD399" s="97"/>
      <c r="AE399" s="97"/>
      <c r="AF399" s="97"/>
      <c r="AG399" s="97"/>
      <c r="AH399" s="97"/>
      <c r="AI399" s="97"/>
      <c r="AJ399" s="97"/>
      <c r="AK399" s="97"/>
      <c r="AL399" s="97"/>
      <c r="AM399" s="97"/>
      <c r="AN399" s="97"/>
      <c r="AO399" s="97"/>
      <c r="AP399" s="97"/>
      <c r="AQ399" s="99"/>
      <c r="AR399" s="99"/>
      <c r="AS399" s="99"/>
    </row>
    <row r="400">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c r="AB400" s="97"/>
      <c r="AC400" s="97"/>
      <c r="AD400" s="97"/>
      <c r="AE400" s="97"/>
      <c r="AF400" s="97"/>
      <c r="AG400" s="97"/>
      <c r="AH400" s="97"/>
      <c r="AI400" s="97"/>
      <c r="AJ400" s="97"/>
      <c r="AK400" s="97"/>
      <c r="AL400" s="97"/>
      <c r="AM400" s="97"/>
      <c r="AN400" s="97"/>
      <c r="AO400" s="97"/>
      <c r="AP400" s="97"/>
      <c r="AQ400" s="99"/>
      <c r="AR400" s="99"/>
      <c r="AS400" s="99"/>
    </row>
    <row r="40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c r="AB401" s="97"/>
      <c r="AC401" s="97"/>
      <c r="AD401" s="97"/>
      <c r="AE401" s="97"/>
      <c r="AF401" s="97"/>
      <c r="AG401" s="97"/>
      <c r="AH401" s="97"/>
      <c r="AI401" s="97"/>
      <c r="AJ401" s="97"/>
      <c r="AK401" s="97"/>
      <c r="AL401" s="97"/>
      <c r="AM401" s="97"/>
      <c r="AN401" s="97"/>
      <c r="AO401" s="97"/>
      <c r="AP401" s="97"/>
      <c r="AQ401" s="99"/>
      <c r="AR401" s="99"/>
      <c r="AS401" s="99"/>
    </row>
    <row r="402">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c r="AB402" s="97"/>
      <c r="AC402" s="97"/>
      <c r="AD402" s="97"/>
      <c r="AE402" s="97"/>
      <c r="AF402" s="97"/>
      <c r="AG402" s="97"/>
      <c r="AH402" s="97"/>
      <c r="AI402" s="97"/>
      <c r="AJ402" s="97"/>
      <c r="AK402" s="97"/>
      <c r="AL402" s="97"/>
      <c r="AM402" s="97"/>
      <c r="AN402" s="97"/>
      <c r="AO402" s="97"/>
      <c r="AP402" s="97"/>
      <c r="AQ402" s="99"/>
      <c r="AR402" s="99"/>
      <c r="AS402" s="99"/>
    </row>
    <row r="403">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c r="AB403" s="97"/>
      <c r="AC403" s="97"/>
      <c r="AD403" s="97"/>
      <c r="AE403" s="97"/>
      <c r="AF403" s="97"/>
      <c r="AG403" s="97"/>
      <c r="AH403" s="97"/>
      <c r="AI403" s="97"/>
      <c r="AJ403" s="97"/>
      <c r="AK403" s="97"/>
      <c r="AL403" s="97"/>
      <c r="AM403" s="97"/>
      <c r="AN403" s="97"/>
      <c r="AO403" s="97"/>
      <c r="AP403" s="97"/>
      <c r="AQ403" s="99"/>
      <c r="AR403" s="99"/>
      <c r="AS403" s="99"/>
    </row>
    <row r="404">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c r="AB404" s="97"/>
      <c r="AC404" s="97"/>
      <c r="AD404" s="97"/>
      <c r="AE404" s="97"/>
      <c r="AF404" s="97"/>
      <c r="AG404" s="97"/>
      <c r="AH404" s="97"/>
      <c r="AI404" s="97"/>
      <c r="AJ404" s="97"/>
      <c r="AK404" s="97"/>
      <c r="AL404" s="97"/>
      <c r="AM404" s="97"/>
      <c r="AN404" s="97"/>
      <c r="AO404" s="97"/>
      <c r="AP404" s="97"/>
      <c r="AQ404" s="99"/>
      <c r="AR404" s="99"/>
      <c r="AS404" s="99"/>
    </row>
    <row r="405">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7"/>
      <c r="AC405" s="97"/>
      <c r="AD405" s="97"/>
      <c r="AE405" s="97"/>
      <c r="AF405" s="97"/>
      <c r="AG405" s="97"/>
      <c r="AH405" s="97"/>
      <c r="AI405" s="97"/>
      <c r="AJ405" s="97"/>
      <c r="AK405" s="97"/>
      <c r="AL405" s="97"/>
      <c r="AM405" s="97"/>
      <c r="AN405" s="97"/>
      <c r="AO405" s="97"/>
      <c r="AP405" s="97"/>
      <c r="AQ405" s="99"/>
      <c r="AR405" s="99"/>
      <c r="AS405" s="99"/>
    </row>
    <row r="406">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7"/>
      <c r="AC406" s="97"/>
      <c r="AD406" s="97"/>
      <c r="AE406" s="97"/>
      <c r="AF406" s="97"/>
      <c r="AG406" s="97"/>
      <c r="AH406" s="97"/>
      <c r="AI406" s="97"/>
      <c r="AJ406" s="97"/>
      <c r="AK406" s="97"/>
      <c r="AL406" s="97"/>
      <c r="AM406" s="97"/>
      <c r="AN406" s="97"/>
      <c r="AO406" s="97"/>
      <c r="AP406" s="97"/>
      <c r="AQ406" s="99"/>
      <c r="AR406" s="99"/>
      <c r="AS406" s="99"/>
    </row>
    <row r="407">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c r="AB407" s="97"/>
      <c r="AC407" s="97"/>
      <c r="AD407" s="97"/>
      <c r="AE407" s="97"/>
      <c r="AF407" s="97"/>
      <c r="AG407" s="97"/>
      <c r="AH407" s="97"/>
      <c r="AI407" s="97"/>
      <c r="AJ407" s="97"/>
      <c r="AK407" s="97"/>
      <c r="AL407" s="97"/>
      <c r="AM407" s="97"/>
      <c r="AN407" s="97"/>
      <c r="AO407" s="97"/>
      <c r="AP407" s="97"/>
      <c r="AQ407" s="99"/>
      <c r="AR407" s="99"/>
      <c r="AS407" s="99"/>
    </row>
    <row r="408">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c r="AB408" s="97"/>
      <c r="AC408" s="97"/>
      <c r="AD408" s="97"/>
      <c r="AE408" s="97"/>
      <c r="AF408" s="97"/>
      <c r="AG408" s="97"/>
      <c r="AH408" s="97"/>
      <c r="AI408" s="97"/>
      <c r="AJ408" s="97"/>
      <c r="AK408" s="97"/>
      <c r="AL408" s="97"/>
      <c r="AM408" s="97"/>
      <c r="AN408" s="97"/>
      <c r="AO408" s="97"/>
      <c r="AP408" s="97"/>
      <c r="AQ408" s="99"/>
      <c r="AR408" s="99"/>
      <c r="AS408" s="99"/>
    </row>
    <row r="409">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c r="AB409" s="97"/>
      <c r="AC409" s="97"/>
      <c r="AD409" s="97"/>
      <c r="AE409" s="97"/>
      <c r="AF409" s="97"/>
      <c r="AG409" s="97"/>
      <c r="AH409" s="97"/>
      <c r="AI409" s="97"/>
      <c r="AJ409" s="97"/>
      <c r="AK409" s="97"/>
      <c r="AL409" s="97"/>
      <c r="AM409" s="97"/>
      <c r="AN409" s="97"/>
      <c r="AO409" s="97"/>
      <c r="AP409" s="97"/>
      <c r="AQ409" s="99"/>
      <c r="AR409" s="99"/>
      <c r="AS409" s="99"/>
    </row>
    <row r="410">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c r="AB410" s="97"/>
      <c r="AC410" s="97"/>
      <c r="AD410" s="97"/>
      <c r="AE410" s="97"/>
      <c r="AF410" s="97"/>
      <c r="AG410" s="97"/>
      <c r="AH410" s="97"/>
      <c r="AI410" s="97"/>
      <c r="AJ410" s="97"/>
      <c r="AK410" s="97"/>
      <c r="AL410" s="97"/>
      <c r="AM410" s="97"/>
      <c r="AN410" s="97"/>
      <c r="AO410" s="97"/>
      <c r="AP410" s="97"/>
      <c r="AQ410" s="99"/>
      <c r="AR410" s="99"/>
      <c r="AS410" s="99"/>
    </row>
    <row r="41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c r="AB411" s="97"/>
      <c r="AC411" s="97"/>
      <c r="AD411" s="97"/>
      <c r="AE411" s="97"/>
      <c r="AF411" s="97"/>
      <c r="AG411" s="97"/>
      <c r="AH411" s="97"/>
      <c r="AI411" s="97"/>
      <c r="AJ411" s="97"/>
      <c r="AK411" s="97"/>
      <c r="AL411" s="97"/>
      <c r="AM411" s="97"/>
      <c r="AN411" s="97"/>
      <c r="AO411" s="97"/>
      <c r="AP411" s="97"/>
      <c r="AQ411" s="99"/>
      <c r="AR411" s="99"/>
      <c r="AS411" s="99"/>
    </row>
    <row r="412">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c r="AB412" s="97"/>
      <c r="AC412" s="97"/>
      <c r="AD412" s="97"/>
      <c r="AE412" s="97"/>
      <c r="AF412" s="97"/>
      <c r="AG412" s="97"/>
      <c r="AH412" s="97"/>
      <c r="AI412" s="97"/>
      <c r="AJ412" s="97"/>
      <c r="AK412" s="97"/>
      <c r="AL412" s="97"/>
      <c r="AM412" s="97"/>
      <c r="AN412" s="97"/>
      <c r="AO412" s="97"/>
      <c r="AP412" s="97"/>
      <c r="AQ412" s="99"/>
      <c r="AR412" s="99"/>
      <c r="AS412" s="99"/>
    </row>
    <row r="413">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c r="AB413" s="97"/>
      <c r="AC413" s="97"/>
      <c r="AD413" s="97"/>
      <c r="AE413" s="97"/>
      <c r="AF413" s="97"/>
      <c r="AG413" s="97"/>
      <c r="AH413" s="97"/>
      <c r="AI413" s="97"/>
      <c r="AJ413" s="97"/>
      <c r="AK413" s="97"/>
      <c r="AL413" s="97"/>
      <c r="AM413" s="97"/>
      <c r="AN413" s="97"/>
      <c r="AO413" s="97"/>
      <c r="AP413" s="97"/>
      <c r="AQ413" s="99"/>
      <c r="AR413" s="99"/>
      <c r="AS413" s="99"/>
    </row>
    <row r="414">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c r="AB414" s="97"/>
      <c r="AC414" s="97"/>
      <c r="AD414" s="97"/>
      <c r="AE414" s="97"/>
      <c r="AF414" s="97"/>
      <c r="AG414" s="97"/>
      <c r="AH414" s="97"/>
      <c r="AI414" s="97"/>
      <c r="AJ414" s="97"/>
      <c r="AK414" s="97"/>
      <c r="AL414" s="97"/>
      <c r="AM414" s="97"/>
      <c r="AN414" s="97"/>
      <c r="AO414" s="97"/>
      <c r="AP414" s="97"/>
      <c r="AQ414" s="99"/>
      <c r="AR414" s="99"/>
      <c r="AS414" s="99"/>
    </row>
    <row r="415">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c r="AB415" s="97"/>
      <c r="AC415" s="97"/>
      <c r="AD415" s="97"/>
      <c r="AE415" s="97"/>
      <c r="AF415" s="97"/>
      <c r="AG415" s="97"/>
      <c r="AH415" s="97"/>
      <c r="AI415" s="97"/>
      <c r="AJ415" s="97"/>
      <c r="AK415" s="97"/>
      <c r="AL415" s="97"/>
      <c r="AM415" s="97"/>
      <c r="AN415" s="97"/>
      <c r="AO415" s="97"/>
      <c r="AP415" s="97"/>
      <c r="AQ415" s="99"/>
      <c r="AR415" s="99"/>
      <c r="AS415" s="99"/>
    </row>
    <row r="416">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7"/>
      <c r="AC416" s="97"/>
      <c r="AD416" s="97"/>
      <c r="AE416" s="97"/>
      <c r="AF416" s="97"/>
      <c r="AG416" s="97"/>
      <c r="AH416" s="97"/>
      <c r="AI416" s="97"/>
      <c r="AJ416" s="97"/>
      <c r="AK416" s="97"/>
      <c r="AL416" s="97"/>
      <c r="AM416" s="97"/>
      <c r="AN416" s="97"/>
      <c r="AO416" s="97"/>
      <c r="AP416" s="97"/>
      <c r="AQ416" s="99"/>
      <c r="AR416" s="99"/>
      <c r="AS416" s="99"/>
    </row>
    <row r="417">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c r="AB417" s="97"/>
      <c r="AC417" s="97"/>
      <c r="AD417" s="97"/>
      <c r="AE417" s="97"/>
      <c r="AF417" s="97"/>
      <c r="AG417" s="97"/>
      <c r="AH417" s="97"/>
      <c r="AI417" s="97"/>
      <c r="AJ417" s="97"/>
      <c r="AK417" s="97"/>
      <c r="AL417" s="97"/>
      <c r="AM417" s="97"/>
      <c r="AN417" s="97"/>
      <c r="AO417" s="97"/>
      <c r="AP417" s="97"/>
      <c r="AQ417" s="99"/>
      <c r="AR417" s="99"/>
      <c r="AS417" s="99"/>
    </row>
    <row r="418">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c r="AB418" s="97"/>
      <c r="AC418" s="97"/>
      <c r="AD418" s="97"/>
      <c r="AE418" s="97"/>
      <c r="AF418" s="97"/>
      <c r="AG418" s="97"/>
      <c r="AH418" s="97"/>
      <c r="AI418" s="97"/>
      <c r="AJ418" s="97"/>
      <c r="AK418" s="97"/>
      <c r="AL418" s="97"/>
      <c r="AM418" s="97"/>
      <c r="AN418" s="97"/>
      <c r="AO418" s="97"/>
      <c r="AP418" s="97"/>
      <c r="AQ418" s="99"/>
      <c r="AR418" s="99"/>
      <c r="AS418" s="99"/>
    </row>
    <row r="419">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c r="AB419" s="97"/>
      <c r="AC419" s="97"/>
      <c r="AD419" s="97"/>
      <c r="AE419" s="97"/>
      <c r="AF419" s="97"/>
      <c r="AG419" s="97"/>
      <c r="AH419" s="97"/>
      <c r="AI419" s="97"/>
      <c r="AJ419" s="97"/>
      <c r="AK419" s="97"/>
      <c r="AL419" s="97"/>
      <c r="AM419" s="97"/>
      <c r="AN419" s="97"/>
      <c r="AO419" s="97"/>
      <c r="AP419" s="97"/>
      <c r="AQ419" s="99"/>
      <c r="AR419" s="99"/>
      <c r="AS419" s="99"/>
    </row>
    <row r="420">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c r="AB420" s="97"/>
      <c r="AC420" s="97"/>
      <c r="AD420" s="97"/>
      <c r="AE420" s="97"/>
      <c r="AF420" s="97"/>
      <c r="AG420" s="97"/>
      <c r="AH420" s="97"/>
      <c r="AI420" s="97"/>
      <c r="AJ420" s="97"/>
      <c r="AK420" s="97"/>
      <c r="AL420" s="97"/>
      <c r="AM420" s="97"/>
      <c r="AN420" s="97"/>
      <c r="AO420" s="97"/>
      <c r="AP420" s="97"/>
      <c r="AQ420" s="99"/>
      <c r="AR420" s="99"/>
      <c r="AS420" s="99"/>
    </row>
    <row r="42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c r="AB421" s="97"/>
      <c r="AC421" s="97"/>
      <c r="AD421" s="97"/>
      <c r="AE421" s="97"/>
      <c r="AF421" s="97"/>
      <c r="AG421" s="97"/>
      <c r="AH421" s="97"/>
      <c r="AI421" s="97"/>
      <c r="AJ421" s="97"/>
      <c r="AK421" s="97"/>
      <c r="AL421" s="97"/>
      <c r="AM421" s="97"/>
      <c r="AN421" s="97"/>
      <c r="AO421" s="97"/>
      <c r="AP421" s="97"/>
      <c r="AQ421" s="99"/>
      <c r="AR421" s="99"/>
      <c r="AS421" s="99"/>
    </row>
    <row r="422">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c r="AB422" s="97"/>
      <c r="AC422" s="97"/>
      <c r="AD422" s="97"/>
      <c r="AE422" s="97"/>
      <c r="AF422" s="97"/>
      <c r="AG422" s="97"/>
      <c r="AH422" s="97"/>
      <c r="AI422" s="97"/>
      <c r="AJ422" s="97"/>
      <c r="AK422" s="97"/>
      <c r="AL422" s="97"/>
      <c r="AM422" s="97"/>
      <c r="AN422" s="97"/>
      <c r="AO422" s="97"/>
      <c r="AP422" s="97"/>
      <c r="AQ422" s="99"/>
      <c r="AR422" s="99"/>
      <c r="AS422" s="99"/>
    </row>
    <row r="423">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c r="AB423" s="97"/>
      <c r="AC423" s="97"/>
      <c r="AD423" s="97"/>
      <c r="AE423" s="97"/>
      <c r="AF423" s="97"/>
      <c r="AG423" s="97"/>
      <c r="AH423" s="97"/>
      <c r="AI423" s="97"/>
      <c r="AJ423" s="97"/>
      <c r="AK423" s="97"/>
      <c r="AL423" s="97"/>
      <c r="AM423" s="97"/>
      <c r="AN423" s="97"/>
      <c r="AO423" s="97"/>
      <c r="AP423" s="97"/>
      <c r="AQ423" s="99"/>
      <c r="AR423" s="99"/>
      <c r="AS423" s="99"/>
    </row>
    <row r="424">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c r="AB424" s="97"/>
      <c r="AC424" s="97"/>
      <c r="AD424" s="97"/>
      <c r="AE424" s="97"/>
      <c r="AF424" s="97"/>
      <c r="AG424" s="97"/>
      <c r="AH424" s="97"/>
      <c r="AI424" s="97"/>
      <c r="AJ424" s="97"/>
      <c r="AK424" s="97"/>
      <c r="AL424" s="97"/>
      <c r="AM424" s="97"/>
      <c r="AN424" s="97"/>
      <c r="AO424" s="97"/>
      <c r="AP424" s="97"/>
      <c r="AQ424" s="99"/>
      <c r="AR424" s="99"/>
      <c r="AS424" s="99"/>
    </row>
    <row r="425">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c r="AB425" s="97"/>
      <c r="AC425" s="97"/>
      <c r="AD425" s="97"/>
      <c r="AE425" s="97"/>
      <c r="AF425" s="97"/>
      <c r="AG425" s="97"/>
      <c r="AH425" s="97"/>
      <c r="AI425" s="97"/>
      <c r="AJ425" s="97"/>
      <c r="AK425" s="97"/>
      <c r="AL425" s="97"/>
      <c r="AM425" s="97"/>
      <c r="AN425" s="97"/>
      <c r="AO425" s="97"/>
      <c r="AP425" s="97"/>
      <c r="AQ425" s="99"/>
      <c r="AR425" s="99"/>
      <c r="AS425" s="99"/>
    </row>
    <row r="426">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c r="AB426" s="97"/>
      <c r="AC426" s="97"/>
      <c r="AD426" s="97"/>
      <c r="AE426" s="97"/>
      <c r="AF426" s="97"/>
      <c r="AG426" s="97"/>
      <c r="AH426" s="97"/>
      <c r="AI426" s="97"/>
      <c r="AJ426" s="97"/>
      <c r="AK426" s="97"/>
      <c r="AL426" s="97"/>
      <c r="AM426" s="97"/>
      <c r="AN426" s="97"/>
      <c r="AO426" s="97"/>
      <c r="AP426" s="97"/>
      <c r="AQ426" s="99"/>
      <c r="AR426" s="99"/>
      <c r="AS426" s="99"/>
    </row>
    <row r="427">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c r="AB427" s="97"/>
      <c r="AC427" s="97"/>
      <c r="AD427" s="97"/>
      <c r="AE427" s="97"/>
      <c r="AF427" s="97"/>
      <c r="AG427" s="97"/>
      <c r="AH427" s="97"/>
      <c r="AI427" s="97"/>
      <c r="AJ427" s="97"/>
      <c r="AK427" s="97"/>
      <c r="AL427" s="97"/>
      <c r="AM427" s="97"/>
      <c r="AN427" s="97"/>
      <c r="AO427" s="97"/>
      <c r="AP427" s="97"/>
      <c r="AQ427" s="99"/>
      <c r="AR427" s="99"/>
      <c r="AS427" s="99"/>
    </row>
    <row r="428">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c r="AB428" s="97"/>
      <c r="AC428" s="97"/>
      <c r="AD428" s="97"/>
      <c r="AE428" s="97"/>
      <c r="AF428" s="97"/>
      <c r="AG428" s="97"/>
      <c r="AH428" s="97"/>
      <c r="AI428" s="97"/>
      <c r="AJ428" s="97"/>
      <c r="AK428" s="97"/>
      <c r="AL428" s="97"/>
      <c r="AM428" s="97"/>
      <c r="AN428" s="97"/>
      <c r="AO428" s="97"/>
      <c r="AP428" s="97"/>
      <c r="AQ428" s="99"/>
      <c r="AR428" s="99"/>
      <c r="AS428" s="99"/>
    </row>
    <row r="429">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c r="AB429" s="97"/>
      <c r="AC429" s="97"/>
      <c r="AD429" s="97"/>
      <c r="AE429" s="97"/>
      <c r="AF429" s="97"/>
      <c r="AG429" s="97"/>
      <c r="AH429" s="97"/>
      <c r="AI429" s="97"/>
      <c r="AJ429" s="97"/>
      <c r="AK429" s="97"/>
      <c r="AL429" s="97"/>
      <c r="AM429" s="97"/>
      <c r="AN429" s="97"/>
      <c r="AO429" s="97"/>
      <c r="AP429" s="97"/>
      <c r="AQ429" s="99"/>
      <c r="AR429" s="99"/>
      <c r="AS429" s="99"/>
    </row>
    <row r="430">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c r="AB430" s="97"/>
      <c r="AC430" s="97"/>
      <c r="AD430" s="97"/>
      <c r="AE430" s="97"/>
      <c r="AF430" s="97"/>
      <c r="AG430" s="97"/>
      <c r="AH430" s="97"/>
      <c r="AI430" s="97"/>
      <c r="AJ430" s="97"/>
      <c r="AK430" s="97"/>
      <c r="AL430" s="97"/>
      <c r="AM430" s="97"/>
      <c r="AN430" s="97"/>
      <c r="AO430" s="97"/>
      <c r="AP430" s="97"/>
      <c r="AQ430" s="99"/>
      <c r="AR430" s="99"/>
      <c r="AS430" s="99"/>
    </row>
    <row r="43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c r="AB431" s="97"/>
      <c r="AC431" s="97"/>
      <c r="AD431" s="97"/>
      <c r="AE431" s="97"/>
      <c r="AF431" s="97"/>
      <c r="AG431" s="97"/>
      <c r="AH431" s="97"/>
      <c r="AI431" s="97"/>
      <c r="AJ431" s="97"/>
      <c r="AK431" s="97"/>
      <c r="AL431" s="97"/>
      <c r="AM431" s="97"/>
      <c r="AN431" s="97"/>
      <c r="AO431" s="97"/>
      <c r="AP431" s="97"/>
      <c r="AQ431" s="99"/>
      <c r="AR431" s="99"/>
      <c r="AS431" s="99"/>
    </row>
    <row r="432">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c r="AB432" s="97"/>
      <c r="AC432" s="97"/>
      <c r="AD432" s="97"/>
      <c r="AE432" s="97"/>
      <c r="AF432" s="97"/>
      <c r="AG432" s="97"/>
      <c r="AH432" s="97"/>
      <c r="AI432" s="97"/>
      <c r="AJ432" s="97"/>
      <c r="AK432" s="97"/>
      <c r="AL432" s="97"/>
      <c r="AM432" s="97"/>
      <c r="AN432" s="97"/>
      <c r="AO432" s="97"/>
      <c r="AP432" s="97"/>
      <c r="AQ432" s="99"/>
      <c r="AR432" s="99"/>
      <c r="AS432" s="99"/>
    </row>
    <row r="433">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c r="AB433" s="97"/>
      <c r="AC433" s="97"/>
      <c r="AD433" s="97"/>
      <c r="AE433" s="97"/>
      <c r="AF433" s="97"/>
      <c r="AG433" s="97"/>
      <c r="AH433" s="97"/>
      <c r="AI433" s="97"/>
      <c r="AJ433" s="97"/>
      <c r="AK433" s="97"/>
      <c r="AL433" s="97"/>
      <c r="AM433" s="97"/>
      <c r="AN433" s="97"/>
      <c r="AO433" s="97"/>
      <c r="AP433" s="97"/>
      <c r="AQ433" s="99"/>
      <c r="AR433" s="99"/>
      <c r="AS433" s="99"/>
    </row>
    <row r="434">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c r="AB434" s="97"/>
      <c r="AC434" s="97"/>
      <c r="AD434" s="97"/>
      <c r="AE434" s="97"/>
      <c r="AF434" s="97"/>
      <c r="AG434" s="97"/>
      <c r="AH434" s="97"/>
      <c r="AI434" s="97"/>
      <c r="AJ434" s="97"/>
      <c r="AK434" s="97"/>
      <c r="AL434" s="97"/>
      <c r="AM434" s="97"/>
      <c r="AN434" s="97"/>
      <c r="AO434" s="97"/>
      <c r="AP434" s="97"/>
      <c r="AQ434" s="99"/>
      <c r="AR434" s="99"/>
      <c r="AS434" s="99"/>
    </row>
    <row r="435">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c r="AB435" s="97"/>
      <c r="AC435" s="97"/>
      <c r="AD435" s="97"/>
      <c r="AE435" s="97"/>
      <c r="AF435" s="97"/>
      <c r="AG435" s="97"/>
      <c r="AH435" s="97"/>
      <c r="AI435" s="97"/>
      <c r="AJ435" s="97"/>
      <c r="AK435" s="97"/>
      <c r="AL435" s="97"/>
      <c r="AM435" s="97"/>
      <c r="AN435" s="97"/>
      <c r="AO435" s="97"/>
      <c r="AP435" s="97"/>
      <c r="AQ435" s="99"/>
      <c r="AR435" s="99"/>
      <c r="AS435" s="99"/>
    </row>
    <row r="436">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c r="AB436" s="97"/>
      <c r="AC436" s="97"/>
      <c r="AD436" s="97"/>
      <c r="AE436" s="97"/>
      <c r="AF436" s="97"/>
      <c r="AG436" s="97"/>
      <c r="AH436" s="97"/>
      <c r="AI436" s="97"/>
      <c r="AJ436" s="97"/>
      <c r="AK436" s="97"/>
      <c r="AL436" s="97"/>
      <c r="AM436" s="97"/>
      <c r="AN436" s="97"/>
      <c r="AO436" s="97"/>
      <c r="AP436" s="97"/>
      <c r="AQ436" s="99"/>
      <c r="AR436" s="99"/>
      <c r="AS436" s="99"/>
    </row>
    <row r="437">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c r="AB437" s="97"/>
      <c r="AC437" s="97"/>
      <c r="AD437" s="97"/>
      <c r="AE437" s="97"/>
      <c r="AF437" s="97"/>
      <c r="AG437" s="97"/>
      <c r="AH437" s="97"/>
      <c r="AI437" s="97"/>
      <c r="AJ437" s="97"/>
      <c r="AK437" s="97"/>
      <c r="AL437" s="97"/>
      <c r="AM437" s="97"/>
      <c r="AN437" s="97"/>
      <c r="AO437" s="97"/>
      <c r="AP437" s="97"/>
      <c r="AQ437" s="99"/>
      <c r="AR437" s="99"/>
      <c r="AS437" s="99"/>
    </row>
    <row r="438">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c r="AB438" s="97"/>
      <c r="AC438" s="97"/>
      <c r="AD438" s="97"/>
      <c r="AE438" s="97"/>
      <c r="AF438" s="97"/>
      <c r="AG438" s="97"/>
      <c r="AH438" s="97"/>
      <c r="AI438" s="97"/>
      <c r="AJ438" s="97"/>
      <c r="AK438" s="97"/>
      <c r="AL438" s="97"/>
      <c r="AM438" s="97"/>
      <c r="AN438" s="97"/>
      <c r="AO438" s="97"/>
      <c r="AP438" s="97"/>
      <c r="AQ438" s="99"/>
      <c r="AR438" s="99"/>
      <c r="AS438" s="99"/>
    </row>
    <row r="439">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c r="AB439" s="97"/>
      <c r="AC439" s="97"/>
      <c r="AD439" s="97"/>
      <c r="AE439" s="97"/>
      <c r="AF439" s="97"/>
      <c r="AG439" s="97"/>
      <c r="AH439" s="97"/>
      <c r="AI439" s="97"/>
      <c r="AJ439" s="97"/>
      <c r="AK439" s="97"/>
      <c r="AL439" s="97"/>
      <c r="AM439" s="97"/>
      <c r="AN439" s="97"/>
      <c r="AO439" s="97"/>
      <c r="AP439" s="97"/>
      <c r="AQ439" s="99"/>
      <c r="AR439" s="99"/>
      <c r="AS439" s="99"/>
    </row>
    <row r="440">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c r="AB440" s="97"/>
      <c r="AC440" s="97"/>
      <c r="AD440" s="97"/>
      <c r="AE440" s="97"/>
      <c r="AF440" s="97"/>
      <c r="AG440" s="97"/>
      <c r="AH440" s="97"/>
      <c r="AI440" s="97"/>
      <c r="AJ440" s="97"/>
      <c r="AK440" s="97"/>
      <c r="AL440" s="97"/>
      <c r="AM440" s="97"/>
      <c r="AN440" s="97"/>
      <c r="AO440" s="97"/>
      <c r="AP440" s="97"/>
      <c r="AQ440" s="99"/>
      <c r="AR440" s="99"/>
      <c r="AS440" s="99"/>
    </row>
    <row r="44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c r="AB441" s="97"/>
      <c r="AC441" s="97"/>
      <c r="AD441" s="97"/>
      <c r="AE441" s="97"/>
      <c r="AF441" s="97"/>
      <c r="AG441" s="97"/>
      <c r="AH441" s="97"/>
      <c r="AI441" s="97"/>
      <c r="AJ441" s="97"/>
      <c r="AK441" s="97"/>
      <c r="AL441" s="97"/>
      <c r="AM441" s="97"/>
      <c r="AN441" s="97"/>
      <c r="AO441" s="97"/>
      <c r="AP441" s="97"/>
      <c r="AQ441" s="99"/>
      <c r="AR441" s="99"/>
      <c r="AS441" s="99"/>
    </row>
    <row r="442">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c r="AB442" s="97"/>
      <c r="AC442" s="97"/>
      <c r="AD442" s="97"/>
      <c r="AE442" s="97"/>
      <c r="AF442" s="97"/>
      <c r="AG442" s="97"/>
      <c r="AH442" s="97"/>
      <c r="AI442" s="97"/>
      <c r="AJ442" s="97"/>
      <c r="AK442" s="97"/>
      <c r="AL442" s="97"/>
      <c r="AM442" s="97"/>
      <c r="AN442" s="97"/>
      <c r="AO442" s="97"/>
      <c r="AP442" s="97"/>
      <c r="AQ442" s="99"/>
      <c r="AR442" s="99"/>
      <c r="AS442" s="99"/>
    </row>
    <row r="443">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c r="AB443" s="97"/>
      <c r="AC443" s="97"/>
      <c r="AD443" s="97"/>
      <c r="AE443" s="97"/>
      <c r="AF443" s="97"/>
      <c r="AG443" s="97"/>
      <c r="AH443" s="97"/>
      <c r="AI443" s="97"/>
      <c r="AJ443" s="97"/>
      <c r="AK443" s="97"/>
      <c r="AL443" s="97"/>
      <c r="AM443" s="97"/>
      <c r="AN443" s="97"/>
      <c r="AO443" s="97"/>
      <c r="AP443" s="97"/>
      <c r="AQ443" s="99"/>
      <c r="AR443" s="99"/>
      <c r="AS443" s="99"/>
    </row>
    <row r="444">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c r="AB444" s="97"/>
      <c r="AC444" s="97"/>
      <c r="AD444" s="97"/>
      <c r="AE444" s="97"/>
      <c r="AF444" s="97"/>
      <c r="AG444" s="97"/>
      <c r="AH444" s="97"/>
      <c r="AI444" s="97"/>
      <c r="AJ444" s="97"/>
      <c r="AK444" s="97"/>
      <c r="AL444" s="97"/>
      <c r="AM444" s="97"/>
      <c r="AN444" s="97"/>
      <c r="AO444" s="97"/>
      <c r="AP444" s="97"/>
      <c r="AQ444" s="99"/>
      <c r="AR444" s="99"/>
      <c r="AS444" s="99"/>
    </row>
    <row r="445">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c r="AB445" s="97"/>
      <c r="AC445" s="97"/>
      <c r="AD445" s="97"/>
      <c r="AE445" s="97"/>
      <c r="AF445" s="97"/>
      <c r="AG445" s="97"/>
      <c r="AH445" s="97"/>
      <c r="AI445" s="97"/>
      <c r="AJ445" s="97"/>
      <c r="AK445" s="97"/>
      <c r="AL445" s="97"/>
      <c r="AM445" s="97"/>
      <c r="AN445" s="97"/>
      <c r="AO445" s="97"/>
      <c r="AP445" s="97"/>
      <c r="AQ445" s="99"/>
      <c r="AR445" s="99"/>
      <c r="AS445" s="99"/>
    </row>
    <row r="446">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7"/>
      <c r="AC446" s="97"/>
      <c r="AD446" s="97"/>
      <c r="AE446" s="97"/>
      <c r="AF446" s="97"/>
      <c r="AG446" s="97"/>
      <c r="AH446" s="97"/>
      <c r="AI446" s="97"/>
      <c r="AJ446" s="97"/>
      <c r="AK446" s="97"/>
      <c r="AL446" s="97"/>
      <c r="AM446" s="97"/>
      <c r="AN446" s="97"/>
      <c r="AO446" s="97"/>
      <c r="AP446" s="97"/>
      <c r="AQ446" s="99"/>
      <c r="AR446" s="99"/>
      <c r="AS446" s="99"/>
    </row>
    <row r="447">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c r="AB447" s="97"/>
      <c r="AC447" s="97"/>
      <c r="AD447" s="97"/>
      <c r="AE447" s="97"/>
      <c r="AF447" s="97"/>
      <c r="AG447" s="97"/>
      <c r="AH447" s="97"/>
      <c r="AI447" s="97"/>
      <c r="AJ447" s="97"/>
      <c r="AK447" s="97"/>
      <c r="AL447" s="97"/>
      <c r="AM447" s="97"/>
      <c r="AN447" s="97"/>
      <c r="AO447" s="97"/>
      <c r="AP447" s="97"/>
      <c r="AQ447" s="99"/>
      <c r="AR447" s="99"/>
      <c r="AS447" s="99"/>
    </row>
    <row r="448">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7"/>
      <c r="AC448" s="97"/>
      <c r="AD448" s="97"/>
      <c r="AE448" s="97"/>
      <c r="AF448" s="97"/>
      <c r="AG448" s="97"/>
      <c r="AH448" s="97"/>
      <c r="AI448" s="97"/>
      <c r="AJ448" s="97"/>
      <c r="AK448" s="97"/>
      <c r="AL448" s="97"/>
      <c r="AM448" s="97"/>
      <c r="AN448" s="97"/>
      <c r="AO448" s="97"/>
      <c r="AP448" s="97"/>
      <c r="AQ448" s="99"/>
      <c r="AR448" s="99"/>
      <c r="AS448" s="99"/>
    </row>
    <row r="449">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c r="AB449" s="97"/>
      <c r="AC449" s="97"/>
      <c r="AD449" s="97"/>
      <c r="AE449" s="97"/>
      <c r="AF449" s="97"/>
      <c r="AG449" s="97"/>
      <c r="AH449" s="97"/>
      <c r="AI449" s="97"/>
      <c r="AJ449" s="97"/>
      <c r="AK449" s="97"/>
      <c r="AL449" s="97"/>
      <c r="AM449" s="97"/>
      <c r="AN449" s="97"/>
      <c r="AO449" s="97"/>
      <c r="AP449" s="97"/>
      <c r="AQ449" s="99"/>
      <c r="AR449" s="99"/>
      <c r="AS449" s="99"/>
    </row>
    <row r="450">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7"/>
      <c r="AC450" s="97"/>
      <c r="AD450" s="97"/>
      <c r="AE450" s="97"/>
      <c r="AF450" s="97"/>
      <c r="AG450" s="97"/>
      <c r="AH450" s="97"/>
      <c r="AI450" s="97"/>
      <c r="AJ450" s="97"/>
      <c r="AK450" s="97"/>
      <c r="AL450" s="97"/>
      <c r="AM450" s="97"/>
      <c r="AN450" s="97"/>
      <c r="AO450" s="97"/>
      <c r="AP450" s="97"/>
      <c r="AQ450" s="99"/>
      <c r="AR450" s="99"/>
      <c r="AS450" s="99"/>
    </row>
    <row r="45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c r="AB451" s="97"/>
      <c r="AC451" s="97"/>
      <c r="AD451" s="97"/>
      <c r="AE451" s="97"/>
      <c r="AF451" s="97"/>
      <c r="AG451" s="97"/>
      <c r="AH451" s="97"/>
      <c r="AI451" s="97"/>
      <c r="AJ451" s="97"/>
      <c r="AK451" s="97"/>
      <c r="AL451" s="97"/>
      <c r="AM451" s="97"/>
      <c r="AN451" s="97"/>
      <c r="AO451" s="97"/>
      <c r="AP451" s="97"/>
      <c r="AQ451" s="99"/>
      <c r="AR451" s="99"/>
      <c r="AS451" s="99"/>
    </row>
    <row r="452">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c r="AH452" s="97"/>
      <c r="AI452" s="97"/>
      <c r="AJ452" s="97"/>
      <c r="AK452" s="97"/>
      <c r="AL452" s="97"/>
      <c r="AM452" s="97"/>
      <c r="AN452" s="97"/>
      <c r="AO452" s="97"/>
      <c r="AP452" s="97"/>
      <c r="AQ452" s="99"/>
      <c r="AR452" s="99"/>
      <c r="AS452" s="99"/>
    </row>
    <row r="453">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7"/>
      <c r="AC453" s="97"/>
      <c r="AD453" s="97"/>
      <c r="AE453" s="97"/>
      <c r="AF453" s="97"/>
      <c r="AG453" s="97"/>
      <c r="AH453" s="97"/>
      <c r="AI453" s="97"/>
      <c r="AJ453" s="97"/>
      <c r="AK453" s="97"/>
      <c r="AL453" s="97"/>
      <c r="AM453" s="97"/>
      <c r="AN453" s="97"/>
      <c r="AO453" s="97"/>
      <c r="AP453" s="97"/>
      <c r="AQ453" s="99"/>
      <c r="AR453" s="99"/>
      <c r="AS453" s="99"/>
    </row>
    <row r="454">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c r="AE454" s="97"/>
      <c r="AF454" s="97"/>
      <c r="AG454" s="97"/>
      <c r="AH454" s="97"/>
      <c r="AI454" s="97"/>
      <c r="AJ454" s="97"/>
      <c r="AK454" s="97"/>
      <c r="AL454" s="97"/>
      <c r="AM454" s="97"/>
      <c r="AN454" s="97"/>
      <c r="AO454" s="97"/>
      <c r="AP454" s="97"/>
      <c r="AQ454" s="99"/>
      <c r="AR454" s="99"/>
      <c r="AS454" s="99"/>
    </row>
    <row r="455">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c r="AB455" s="97"/>
      <c r="AC455" s="97"/>
      <c r="AD455" s="97"/>
      <c r="AE455" s="97"/>
      <c r="AF455" s="97"/>
      <c r="AG455" s="97"/>
      <c r="AH455" s="97"/>
      <c r="AI455" s="97"/>
      <c r="AJ455" s="97"/>
      <c r="AK455" s="97"/>
      <c r="AL455" s="97"/>
      <c r="AM455" s="97"/>
      <c r="AN455" s="97"/>
      <c r="AO455" s="97"/>
      <c r="AP455" s="97"/>
      <c r="AQ455" s="99"/>
      <c r="AR455" s="99"/>
      <c r="AS455" s="99"/>
    </row>
    <row r="456">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c r="AB456" s="97"/>
      <c r="AC456" s="97"/>
      <c r="AD456" s="97"/>
      <c r="AE456" s="97"/>
      <c r="AF456" s="97"/>
      <c r="AG456" s="97"/>
      <c r="AH456" s="97"/>
      <c r="AI456" s="97"/>
      <c r="AJ456" s="97"/>
      <c r="AK456" s="97"/>
      <c r="AL456" s="97"/>
      <c r="AM456" s="97"/>
      <c r="AN456" s="97"/>
      <c r="AO456" s="97"/>
      <c r="AP456" s="97"/>
      <c r="AQ456" s="99"/>
      <c r="AR456" s="99"/>
      <c r="AS456" s="99"/>
    </row>
    <row r="457">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c r="AB457" s="97"/>
      <c r="AC457" s="97"/>
      <c r="AD457" s="97"/>
      <c r="AE457" s="97"/>
      <c r="AF457" s="97"/>
      <c r="AG457" s="97"/>
      <c r="AH457" s="97"/>
      <c r="AI457" s="97"/>
      <c r="AJ457" s="97"/>
      <c r="AK457" s="97"/>
      <c r="AL457" s="97"/>
      <c r="AM457" s="97"/>
      <c r="AN457" s="97"/>
      <c r="AO457" s="97"/>
      <c r="AP457" s="97"/>
      <c r="AQ457" s="99"/>
      <c r="AR457" s="99"/>
      <c r="AS457" s="99"/>
    </row>
    <row r="458">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7"/>
      <c r="AC458" s="97"/>
      <c r="AD458" s="97"/>
      <c r="AE458" s="97"/>
      <c r="AF458" s="97"/>
      <c r="AG458" s="97"/>
      <c r="AH458" s="97"/>
      <c r="AI458" s="97"/>
      <c r="AJ458" s="97"/>
      <c r="AK458" s="97"/>
      <c r="AL458" s="97"/>
      <c r="AM458" s="97"/>
      <c r="AN458" s="97"/>
      <c r="AO458" s="97"/>
      <c r="AP458" s="97"/>
      <c r="AQ458" s="99"/>
      <c r="AR458" s="99"/>
      <c r="AS458" s="99"/>
    </row>
    <row r="459">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c r="AB459" s="97"/>
      <c r="AC459" s="97"/>
      <c r="AD459" s="97"/>
      <c r="AE459" s="97"/>
      <c r="AF459" s="97"/>
      <c r="AG459" s="97"/>
      <c r="AH459" s="97"/>
      <c r="AI459" s="97"/>
      <c r="AJ459" s="97"/>
      <c r="AK459" s="97"/>
      <c r="AL459" s="97"/>
      <c r="AM459" s="97"/>
      <c r="AN459" s="97"/>
      <c r="AO459" s="97"/>
      <c r="AP459" s="97"/>
      <c r="AQ459" s="99"/>
      <c r="AR459" s="99"/>
      <c r="AS459" s="99"/>
    </row>
    <row r="460">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c r="AB460" s="97"/>
      <c r="AC460" s="97"/>
      <c r="AD460" s="97"/>
      <c r="AE460" s="97"/>
      <c r="AF460" s="97"/>
      <c r="AG460" s="97"/>
      <c r="AH460" s="97"/>
      <c r="AI460" s="97"/>
      <c r="AJ460" s="97"/>
      <c r="AK460" s="97"/>
      <c r="AL460" s="97"/>
      <c r="AM460" s="97"/>
      <c r="AN460" s="97"/>
      <c r="AO460" s="97"/>
      <c r="AP460" s="97"/>
      <c r="AQ460" s="99"/>
      <c r="AR460" s="99"/>
      <c r="AS460" s="99"/>
    </row>
    <row r="46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c r="AB461" s="97"/>
      <c r="AC461" s="97"/>
      <c r="AD461" s="97"/>
      <c r="AE461" s="97"/>
      <c r="AF461" s="97"/>
      <c r="AG461" s="97"/>
      <c r="AH461" s="97"/>
      <c r="AI461" s="97"/>
      <c r="AJ461" s="97"/>
      <c r="AK461" s="97"/>
      <c r="AL461" s="97"/>
      <c r="AM461" s="97"/>
      <c r="AN461" s="97"/>
      <c r="AO461" s="97"/>
      <c r="AP461" s="97"/>
      <c r="AQ461" s="99"/>
      <c r="AR461" s="99"/>
      <c r="AS461" s="99"/>
    </row>
    <row r="462">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c r="AB462" s="97"/>
      <c r="AC462" s="97"/>
      <c r="AD462" s="97"/>
      <c r="AE462" s="97"/>
      <c r="AF462" s="97"/>
      <c r="AG462" s="97"/>
      <c r="AH462" s="97"/>
      <c r="AI462" s="97"/>
      <c r="AJ462" s="97"/>
      <c r="AK462" s="97"/>
      <c r="AL462" s="97"/>
      <c r="AM462" s="97"/>
      <c r="AN462" s="97"/>
      <c r="AO462" s="97"/>
      <c r="AP462" s="97"/>
      <c r="AQ462" s="99"/>
      <c r="AR462" s="99"/>
      <c r="AS462" s="99"/>
    </row>
    <row r="463">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c r="AB463" s="97"/>
      <c r="AC463" s="97"/>
      <c r="AD463" s="97"/>
      <c r="AE463" s="97"/>
      <c r="AF463" s="97"/>
      <c r="AG463" s="97"/>
      <c r="AH463" s="97"/>
      <c r="AI463" s="97"/>
      <c r="AJ463" s="97"/>
      <c r="AK463" s="97"/>
      <c r="AL463" s="97"/>
      <c r="AM463" s="97"/>
      <c r="AN463" s="97"/>
      <c r="AO463" s="97"/>
      <c r="AP463" s="97"/>
      <c r="AQ463" s="99"/>
      <c r="AR463" s="99"/>
      <c r="AS463" s="99"/>
    </row>
    <row r="464">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c r="AB464" s="97"/>
      <c r="AC464" s="97"/>
      <c r="AD464" s="97"/>
      <c r="AE464" s="97"/>
      <c r="AF464" s="97"/>
      <c r="AG464" s="97"/>
      <c r="AH464" s="97"/>
      <c r="AI464" s="97"/>
      <c r="AJ464" s="97"/>
      <c r="AK464" s="97"/>
      <c r="AL464" s="97"/>
      <c r="AM464" s="97"/>
      <c r="AN464" s="97"/>
      <c r="AO464" s="97"/>
      <c r="AP464" s="97"/>
      <c r="AQ464" s="99"/>
      <c r="AR464" s="99"/>
      <c r="AS464" s="99"/>
    </row>
    <row r="465">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c r="AB465" s="97"/>
      <c r="AC465" s="97"/>
      <c r="AD465" s="97"/>
      <c r="AE465" s="97"/>
      <c r="AF465" s="97"/>
      <c r="AG465" s="97"/>
      <c r="AH465" s="97"/>
      <c r="AI465" s="97"/>
      <c r="AJ465" s="97"/>
      <c r="AK465" s="97"/>
      <c r="AL465" s="97"/>
      <c r="AM465" s="97"/>
      <c r="AN465" s="97"/>
      <c r="AO465" s="97"/>
      <c r="AP465" s="97"/>
      <c r="AQ465" s="99"/>
      <c r="AR465" s="99"/>
      <c r="AS465" s="99"/>
    </row>
    <row r="466">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c r="AB466" s="97"/>
      <c r="AC466" s="97"/>
      <c r="AD466" s="97"/>
      <c r="AE466" s="97"/>
      <c r="AF466" s="97"/>
      <c r="AG466" s="97"/>
      <c r="AH466" s="97"/>
      <c r="AI466" s="97"/>
      <c r="AJ466" s="97"/>
      <c r="AK466" s="97"/>
      <c r="AL466" s="97"/>
      <c r="AM466" s="97"/>
      <c r="AN466" s="97"/>
      <c r="AO466" s="97"/>
      <c r="AP466" s="97"/>
      <c r="AQ466" s="99"/>
      <c r="AR466" s="99"/>
      <c r="AS466" s="99"/>
    </row>
    <row r="467">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c r="AB467" s="97"/>
      <c r="AC467" s="97"/>
      <c r="AD467" s="97"/>
      <c r="AE467" s="97"/>
      <c r="AF467" s="97"/>
      <c r="AG467" s="97"/>
      <c r="AH467" s="97"/>
      <c r="AI467" s="97"/>
      <c r="AJ467" s="97"/>
      <c r="AK467" s="97"/>
      <c r="AL467" s="97"/>
      <c r="AM467" s="97"/>
      <c r="AN467" s="97"/>
      <c r="AO467" s="97"/>
      <c r="AP467" s="97"/>
      <c r="AQ467" s="99"/>
      <c r="AR467" s="99"/>
      <c r="AS467" s="99"/>
    </row>
    <row r="468">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c r="AB468" s="97"/>
      <c r="AC468" s="97"/>
      <c r="AD468" s="97"/>
      <c r="AE468" s="97"/>
      <c r="AF468" s="97"/>
      <c r="AG468" s="97"/>
      <c r="AH468" s="97"/>
      <c r="AI468" s="97"/>
      <c r="AJ468" s="97"/>
      <c r="AK468" s="97"/>
      <c r="AL468" s="97"/>
      <c r="AM468" s="97"/>
      <c r="AN468" s="97"/>
      <c r="AO468" s="97"/>
      <c r="AP468" s="97"/>
      <c r="AQ468" s="99"/>
      <c r="AR468" s="99"/>
      <c r="AS468" s="99"/>
    </row>
    <row r="469">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c r="AB469" s="97"/>
      <c r="AC469" s="97"/>
      <c r="AD469" s="97"/>
      <c r="AE469" s="97"/>
      <c r="AF469" s="97"/>
      <c r="AG469" s="97"/>
      <c r="AH469" s="97"/>
      <c r="AI469" s="97"/>
      <c r="AJ469" s="97"/>
      <c r="AK469" s="97"/>
      <c r="AL469" s="97"/>
      <c r="AM469" s="97"/>
      <c r="AN469" s="97"/>
      <c r="AO469" s="97"/>
      <c r="AP469" s="97"/>
      <c r="AQ469" s="99"/>
      <c r="AR469" s="99"/>
      <c r="AS469" s="99"/>
    </row>
    <row r="470">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c r="AB470" s="97"/>
      <c r="AC470" s="97"/>
      <c r="AD470" s="97"/>
      <c r="AE470" s="97"/>
      <c r="AF470" s="97"/>
      <c r="AG470" s="97"/>
      <c r="AH470" s="97"/>
      <c r="AI470" s="97"/>
      <c r="AJ470" s="97"/>
      <c r="AK470" s="97"/>
      <c r="AL470" s="97"/>
      <c r="AM470" s="97"/>
      <c r="AN470" s="97"/>
      <c r="AO470" s="97"/>
      <c r="AP470" s="97"/>
      <c r="AQ470" s="99"/>
      <c r="AR470" s="99"/>
      <c r="AS470" s="99"/>
    </row>
    <row r="47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c r="AB471" s="97"/>
      <c r="AC471" s="97"/>
      <c r="AD471" s="97"/>
      <c r="AE471" s="97"/>
      <c r="AF471" s="97"/>
      <c r="AG471" s="97"/>
      <c r="AH471" s="97"/>
      <c r="AI471" s="97"/>
      <c r="AJ471" s="97"/>
      <c r="AK471" s="97"/>
      <c r="AL471" s="97"/>
      <c r="AM471" s="97"/>
      <c r="AN471" s="97"/>
      <c r="AO471" s="97"/>
      <c r="AP471" s="97"/>
      <c r="AQ471" s="99"/>
      <c r="AR471" s="99"/>
      <c r="AS471" s="99"/>
    </row>
    <row r="472">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c r="AB472" s="97"/>
      <c r="AC472" s="97"/>
      <c r="AD472" s="97"/>
      <c r="AE472" s="97"/>
      <c r="AF472" s="97"/>
      <c r="AG472" s="97"/>
      <c r="AH472" s="97"/>
      <c r="AI472" s="97"/>
      <c r="AJ472" s="97"/>
      <c r="AK472" s="97"/>
      <c r="AL472" s="97"/>
      <c r="AM472" s="97"/>
      <c r="AN472" s="97"/>
      <c r="AO472" s="97"/>
      <c r="AP472" s="97"/>
      <c r="AQ472" s="99"/>
      <c r="AR472" s="99"/>
      <c r="AS472" s="99"/>
    </row>
    <row r="473">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c r="AB473" s="97"/>
      <c r="AC473" s="97"/>
      <c r="AD473" s="97"/>
      <c r="AE473" s="97"/>
      <c r="AF473" s="97"/>
      <c r="AG473" s="97"/>
      <c r="AH473" s="97"/>
      <c r="AI473" s="97"/>
      <c r="AJ473" s="97"/>
      <c r="AK473" s="97"/>
      <c r="AL473" s="97"/>
      <c r="AM473" s="97"/>
      <c r="AN473" s="97"/>
      <c r="AO473" s="97"/>
      <c r="AP473" s="97"/>
      <c r="AQ473" s="99"/>
      <c r="AR473" s="99"/>
      <c r="AS473" s="99"/>
    </row>
    <row r="474">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c r="AB474" s="97"/>
      <c r="AC474" s="97"/>
      <c r="AD474" s="97"/>
      <c r="AE474" s="97"/>
      <c r="AF474" s="97"/>
      <c r="AG474" s="97"/>
      <c r="AH474" s="97"/>
      <c r="AI474" s="97"/>
      <c r="AJ474" s="97"/>
      <c r="AK474" s="97"/>
      <c r="AL474" s="97"/>
      <c r="AM474" s="97"/>
      <c r="AN474" s="97"/>
      <c r="AO474" s="97"/>
      <c r="AP474" s="97"/>
      <c r="AQ474" s="99"/>
      <c r="AR474" s="99"/>
      <c r="AS474" s="99"/>
    </row>
    <row r="475">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c r="AB475" s="97"/>
      <c r="AC475" s="97"/>
      <c r="AD475" s="97"/>
      <c r="AE475" s="97"/>
      <c r="AF475" s="97"/>
      <c r="AG475" s="97"/>
      <c r="AH475" s="97"/>
      <c r="AI475" s="97"/>
      <c r="AJ475" s="97"/>
      <c r="AK475" s="97"/>
      <c r="AL475" s="97"/>
      <c r="AM475" s="97"/>
      <c r="AN475" s="97"/>
      <c r="AO475" s="97"/>
      <c r="AP475" s="97"/>
      <c r="AQ475" s="99"/>
      <c r="AR475" s="99"/>
      <c r="AS475" s="99"/>
    </row>
    <row r="476">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c r="AB476" s="97"/>
      <c r="AC476" s="97"/>
      <c r="AD476" s="97"/>
      <c r="AE476" s="97"/>
      <c r="AF476" s="97"/>
      <c r="AG476" s="97"/>
      <c r="AH476" s="97"/>
      <c r="AI476" s="97"/>
      <c r="AJ476" s="97"/>
      <c r="AK476" s="97"/>
      <c r="AL476" s="97"/>
      <c r="AM476" s="97"/>
      <c r="AN476" s="97"/>
      <c r="AO476" s="97"/>
      <c r="AP476" s="97"/>
      <c r="AQ476" s="99"/>
      <c r="AR476" s="99"/>
      <c r="AS476" s="99"/>
    </row>
    <row r="477">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c r="AB477" s="97"/>
      <c r="AC477" s="97"/>
      <c r="AD477" s="97"/>
      <c r="AE477" s="97"/>
      <c r="AF477" s="97"/>
      <c r="AG477" s="97"/>
      <c r="AH477" s="97"/>
      <c r="AI477" s="97"/>
      <c r="AJ477" s="97"/>
      <c r="AK477" s="97"/>
      <c r="AL477" s="97"/>
      <c r="AM477" s="97"/>
      <c r="AN477" s="97"/>
      <c r="AO477" s="97"/>
      <c r="AP477" s="97"/>
      <c r="AQ477" s="99"/>
      <c r="AR477" s="99"/>
      <c r="AS477" s="99"/>
    </row>
    <row r="478">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c r="AB478" s="97"/>
      <c r="AC478" s="97"/>
      <c r="AD478" s="97"/>
      <c r="AE478" s="97"/>
      <c r="AF478" s="97"/>
      <c r="AG478" s="97"/>
      <c r="AH478" s="97"/>
      <c r="AI478" s="97"/>
      <c r="AJ478" s="97"/>
      <c r="AK478" s="97"/>
      <c r="AL478" s="97"/>
      <c r="AM478" s="97"/>
      <c r="AN478" s="97"/>
      <c r="AO478" s="97"/>
      <c r="AP478" s="97"/>
      <c r="AQ478" s="99"/>
      <c r="AR478" s="99"/>
      <c r="AS478" s="99"/>
    </row>
    <row r="479">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c r="AB479" s="97"/>
      <c r="AC479" s="97"/>
      <c r="AD479" s="97"/>
      <c r="AE479" s="97"/>
      <c r="AF479" s="97"/>
      <c r="AG479" s="97"/>
      <c r="AH479" s="97"/>
      <c r="AI479" s="97"/>
      <c r="AJ479" s="97"/>
      <c r="AK479" s="97"/>
      <c r="AL479" s="97"/>
      <c r="AM479" s="97"/>
      <c r="AN479" s="97"/>
      <c r="AO479" s="97"/>
      <c r="AP479" s="97"/>
      <c r="AQ479" s="99"/>
      <c r="AR479" s="99"/>
      <c r="AS479" s="99"/>
    </row>
    <row r="480">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c r="AB480" s="97"/>
      <c r="AC480" s="97"/>
      <c r="AD480" s="97"/>
      <c r="AE480" s="97"/>
      <c r="AF480" s="97"/>
      <c r="AG480" s="97"/>
      <c r="AH480" s="97"/>
      <c r="AI480" s="97"/>
      <c r="AJ480" s="97"/>
      <c r="AK480" s="97"/>
      <c r="AL480" s="97"/>
      <c r="AM480" s="97"/>
      <c r="AN480" s="97"/>
      <c r="AO480" s="97"/>
      <c r="AP480" s="97"/>
      <c r="AQ480" s="99"/>
      <c r="AR480" s="99"/>
      <c r="AS480" s="99"/>
    </row>
    <row r="48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c r="AB481" s="97"/>
      <c r="AC481" s="97"/>
      <c r="AD481" s="97"/>
      <c r="AE481" s="97"/>
      <c r="AF481" s="97"/>
      <c r="AG481" s="97"/>
      <c r="AH481" s="97"/>
      <c r="AI481" s="97"/>
      <c r="AJ481" s="97"/>
      <c r="AK481" s="97"/>
      <c r="AL481" s="97"/>
      <c r="AM481" s="97"/>
      <c r="AN481" s="97"/>
      <c r="AO481" s="97"/>
      <c r="AP481" s="97"/>
      <c r="AQ481" s="99"/>
      <c r="AR481" s="99"/>
      <c r="AS481" s="99"/>
    </row>
    <row r="482">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c r="AB482" s="97"/>
      <c r="AC482" s="97"/>
      <c r="AD482" s="97"/>
      <c r="AE482" s="97"/>
      <c r="AF482" s="97"/>
      <c r="AG482" s="97"/>
      <c r="AH482" s="97"/>
      <c r="AI482" s="97"/>
      <c r="AJ482" s="97"/>
      <c r="AK482" s="97"/>
      <c r="AL482" s="97"/>
      <c r="AM482" s="97"/>
      <c r="AN482" s="97"/>
      <c r="AO482" s="97"/>
      <c r="AP482" s="97"/>
      <c r="AQ482" s="99"/>
      <c r="AR482" s="99"/>
      <c r="AS482" s="99"/>
    </row>
    <row r="483">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c r="AB483" s="97"/>
      <c r="AC483" s="97"/>
      <c r="AD483" s="97"/>
      <c r="AE483" s="97"/>
      <c r="AF483" s="97"/>
      <c r="AG483" s="97"/>
      <c r="AH483" s="97"/>
      <c r="AI483" s="97"/>
      <c r="AJ483" s="97"/>
      <c r="AK483" s="97"/>
      <c r="AL483" s="97"/>
      <c r="AM483" s="97"/>
      <c r="AN483" s="97"/>
      <c r="AO483" s="97"/>
      <c r="AP483" s="97"/>
      <c r="AQ483" s="99"/>
      <c r="AR483" s="99"/>
      <c r="AS483" s="99"/>
    </row>
    <row r="484">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c r="AB484" s="97"/>
      <c r="AC484" s="97"/>
      <c r="AD484" s="97"/>
      <c r="AE484" s="97"/>
      <c r="AF484" s="97"/>
      <c r="AG484" s="97"/>
      <c r="AH484" s="97"/>
      <c r="AI484" s="97"/>
      <c r="AJ484" s="97"/>
      <c r="AK484" s="97"/>
      <c r="AL484" s="97"/>
      <c r="AM484" s="97"/>
      <c r="AN484" s="97"/>
      <c r="AO484" s="97"/>
      <c r="AP484" s="97"/>
      <c r="AQ484" s="99"/>
      <c r="AR484" s="99"/>
      <c r="AS484" s="99"/>
    </row>
    <row r="485">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c r="AB485" s="97"/>
      <c r="AC485" s="97"/>
      <c r="AD485" s="97"/>
      <c r="AE485" s="97"/>
      <c r="AF485" s="97"/>
      <c r="AG485" s="97"/>
      <c r="AH485" s="97"/>
      <c r="AI485" s="97"/>
      <c r="AJ485" s="97"/>
      <c r="AK485" s="97"/>
      <c r="AL485" s="97"/>
      <c r="AM485" s="97"/>
      <c r="AN485" s="97"/>
      <c r="AO485" s="97"/>
      <c r="AP485" s="97"/>
      <c r="AQ485" s="99"/>
      <c r="AR485" s="99"/>
      <c r="AS485" s="99"/>
    </row>
    <row r="486">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c r="AB486" s="97"/>
      <c r="AC486" s="97"/>
      <c r="AD486" s="97"/>
      <c r="AE486" s="97"/>
      <c r="AF486" s="97"/>
      <c r="AG486" s="97"/>
      <c r="AH486" s="97"/>
      <c r="AI486" s="97"/>
      <c r="AJ486" s="97"/>
      <c r="AK486" s="97"/>
      <c r="AL486" s="97"/>
      <c r="AM486" s="97"/>
      <c r="AN486" s="97"/>
      <c r="AO486" s="97"/>
      <c r="AP486" s="97"/>
      <c r="AQ486" s="99"/>
      <c r="AR486" s="99"/>
      <c r="AS486" s="99"/>
    </row>
    <row r="487">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c r="AB487" s="97"/>
      <c r="AC487" s="97"/>
      <c r="AD487" s="97"/>
      <c r="AE487" s="97"/>
      <c r="AF487" s="97"/>
      <c r="AG487" s="97"/>
      <c r="AH487" s="97"/>
      <c r="AI487" s="97"/>
      <c r="AJ487" s="97"/>
      <c r="AK487" s="97"/>
      <c r="AL487" s="97"/>
      <c r="AM487" s="97"/>
      <c r="AN487" s="97"/>
      <c r="AO487" s="97"/>
      <c r="AP487" s="97"/>
      <c r="AQ487" s="99"/>
      <c r="AR487" s="99"/>
      <c r="AS487" s="99"/>
    </row>
    <row r="488">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c r="AB488" s="97"/>
      <c r="AC488" s="97"/>
      <c r="AD488" s="97"/>
      <c r="AE488" s="97"/>
      <c r="AF488" s="97"/>
      <c r="AG488" s="97"/>
      <c r="AH488" s="97"/>
      <c r="AI488" s="97"/>
      <c r="AJ488" s="97"/>
      <c r="AK488" s="97"/>
      <c r="AL488" s="97"/>
      <c r="AM488" s="97"/>
      <c r="AN488" s="97"/>
      <c r="AO488" s="97"/>
      <c r="AP488" s="97"/>
      <c r="AQ488" s="99"/>
      <c r="AR488" s="99"/>
      <c r="AS488" s="99"/>
    </row>
    <row r="489">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c r="AB489" s="97"/>
      <c r="AC489" s="97"/>
      <c r="AD489" s="97"/>
      <c r="AE489" s="97"/>
      <c r="AF489" s="97"/>
      <c r="AG489" s="97"/>
      <c r="AH489" s="97"/>
      <c r="AI489" s="97"/>
      <c r="AJ489" s="97"/>
      <c r="AK489" s="97"/>
      <c r="AL489" s="97"/>
      <c r="AM489" s="97"/>
      <c r="AN489" s="97"/>
      <c r="AO489" s="97"/>
      <c r="AP489" s="97"/>
      <c r="AQ489" s="99"/>
      <c r="AR489" s="99"/>
      <c r="AS489" s="99"/>
    </row>
    <row r="490">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c r="AB490" s="97"/>
      <c r="AC490" s="97"/>
      <c r="AD490" s="97"/>
      <c r="AE490" s="97"/>
      <c r="AF490" s="97"/>
      <c r="AG490" s="97"/>
      <c r="AH490" s="97"/>
      <c r="AI490" s="97"/>
      <c r="AJ490" s="97"/>
      <c r="AK490" s="97"/>
      <c r="AL490" s="97"/>
      <c r="AM490" s="97"/>
      <c r="AN490" s="97"/>
      <c r="AO490" s="97"/>
      <c r="AP490" s="97"/>
      <c r="AQ490" s="99"/>
      <c r="AR490" s="99"/>
      <c r="AS490" s="99"/>
    </row>
    <row r="49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c r="AB491" s="97"/>
      <c r="AC491" s="97"/>
      <c r="AD491" s="97"/>
      <c r="AE491" s="97"/>
      <c r="AF491" s="97"/>
      <c r="AG491" s="97"/>
      <c r="AH491" s="97"/>
      <c r="AI491" s="97"/>
      <c r="AJ491" s="97"/>
      <c r="AK491" s="97"/>
      <c r="AL491" s="97"/>
      <c r="AM491" s="97"/>
      <c r="AN491" s="97"/>
      <c r="AO491" s="97"/>
      <c r="AP491" s="97"/>
      <c r="AQ491" s="99"/>
      <c r="AR491" s="99"/>
      <c r="AS491" s="99"/>
    </row>
    <row r="492">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c r="AB492" s="97"/>
      <c r="AC492" s="97"/>
      <c r="AD492" s="97"/>
      <c r="AE492" s="97"/>
      <c r="AF492" s="97"/>
      <c r="AG492" s="97"/>
      <c r="AH492" s="97"/>
      <c r="AI492" s="97"/>
      <c r="AJ492" s="97"/>
      <c r="AK492" s="97"/>
      <c r="AL492" s="97"/>
      <c r="AM492" s="97"/>
      <c r="AN492" s="97"/>
      <c r="AO492" s="97"/>
      <c r="AP492" s="97"/>
      <c r="AQ492" s="99"/>
      <c r="AR492" s="99"/>
      <c r="AS492" s="99"/>
    </row>
    <row r="493">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c r="AB493" s="97"/>
      <c r="AC493" s="97"/>
      <c r="AD493" s="97"/>
      <c r="AE493" s="97"/>
      <c r="AF493" s="97"/>
      <c r="AG493" s="97"/>
      <c r="AH493" s="97"/>
      <c r="AI493" s="97"/>
      <c r="AJ493" s="97"/>
      <c r="AK493" s="97"/>
      <c r="AL493" s="97"/>
      <c r="AM493" s="97"/>
      <c r="AN493" s="97"/>
      <c r="AO493" s="97"/>
      <c r="AP493" s="97"/>
      <c r="AQ493" s="99"/>
      <c r="AR493" s="99"/>
      <c r="AS493" s="99"/>
    </row>
    <row r="494">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c r="AB494" s="97"/>
      <c r="AC494" s="97"/>
      <c r="AD494" s="97"/>
      <c r="AE494" s="97"/>
      <c r="AF494" s="97"/>
      <c r="AG494" s="97"/>
      <c r="AH494" s="97"/>
      <c r="AI494" s="97"/>
      <c r="AJ494" s="97"/>
      <c r="AK494" s="97"/>
      <c r="AL494" s="97"/>
      <c r="AM494" s="97"/>
      <c r="AN494" s="97"/>
      <c r="AO494" s="97"/>
      <c r="AP494" s="97"/>
      <c r="AQ494" s="99"/>
      <c r="AR494" s="99"/>
      <c r="AS494" s="99"/>
    </row>
    <row r="49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c r="AB495" s="97"/>
      <c r="AC495" s="97"/>
      <c r="AD495" s="97"/>
      <c r="AE495" s="97"/>
      <c r="AF495" s="97"/>
      <c r="AG495" s="97"/>
      <c r="AH495" s="97"/>
      <c r="AI495" s="97"/>
      <c r="AJ495" s="97"/>
      <c r="AK495" s="97"/>
      <c r="AL495" s="97"/>
      <c r="AM495" s="97"/>
      <c r="AN495" s="97"/>
      <c r="AO495" s="97"/>
      <c r="AP495" s="97"/>
      <c r="AQ495" s="99"/>
      <c r="AR495" s="99"/>
      <c r="AS495" s="99"/>
    </row>
    <row r="496">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c r="AB496" s="97"/>
      <c r="AC496" s="97"/>
      <c r="AD496" s="97"/>
      <c r="AE496" s="97"/>
      <c r="AF496" s="97"/>
      <c r="AG496" s="97"/>
      <c r="AH496" s="97"/>
      <c r="AI496" s="97"/>
      <c r="AJ496" s="97"/>
      <c r="AK496" s="97"/>
      <c r="AL496" s="97"/>
      <c r="AM496" s="97"/>
      <c r="AN496" s="97"/>
      <c r="AO496" s="97"/>
      <c r="AP496" s="97"/>
      <c r="AQ496" s="99"/>
      <c r="AR496" s="99"/>
      <c r="AS496" s="99"/>
    </row>
    <row r="497">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c r="AB497" s="97"/>
      <c r="AC497" s="97"/>
      <c r="AD497" s="97"/>
      <c r="AE497" s="97"/>
      <c r="AF497" s="97"/>
      <c r="AG497" s="97"/>
      <c r="AH497" s="97"/>
      <c r="AI497" s="97"/>
      <c r="AJ497" s="97"/>
      <c r="AK497" s="97"/>
      <c r="AL497" s="97"/>
      <c r="AM497" s="97"/>
      <c r="AN497" s="97"/>
      <c r="AO497" s="97"/>
      <c r="AP497" s="97"/>
      <c r="AQ497" s="99"/>
      <c r="AR497" s="99"/>
      <c r="AS497" s="99"/>
    </row>
    <row r="498">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c r="AB498" s="97"/>
      <c r="AC498" s="97"/>
      <c r="AD498" s="97"/>
      <c r="AE498" s="97"/>
      <c r="AF498" s="97"/>
      <c r="AG498" s="97"/>
      <c r="AH498" s="97"/>
      <c r="AI498" s="97"/>
      <c r="AJ498" s="97"/>
      <c r="AK498" s="97"/>
      <c r="AL498" s="97"/>
      <c r="AM498" s="97"/>
      <c r="AN498" s="97"/>
      <c r="AO498" s="97"/>
      <c r="AP498" s="97"/>
      <c r="AQ498" s="99"/>
      <c r="AR498" s="99"/>
      <c r="AS498" s="99"/>
    </row>
    <row r="499">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c r="AB499" s="97"/>
      <c r="AC499" s="97"/>
      <c r="AD499" s="97"/>
      <c r="AE499" s="97"/>
      <c r="AF499" s="97"/>
      <c r="AG499" s="97"/>
      <c r="AH499" s="97"/>
      <c r="AI499" s="97"/>
      <c r="AJ499" s="97"/>
      <c r="AK499" s="97"/>
      <c r="AL499" s="97"/>
      <c r="AM499" s="97"/>
      <c r="AN499" s="97"/>
      <c r="AO499" s="97"/>
      <c r="AP499" s="97"/>
      <c r="AQ499" s="99"/>
      <c r="AR499" s="99"/>
      <c r="AS499" s="99"/>
    </row>
    <row r="500">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c r="AB500" s="97"/>
      <c r="AC500" s="97"/>
      <c r="AD500" s="97"/>
      <c r="AE500" s="97"/>
      <c r="AF500" s="97"/>
      <c r="AG500" s="97"/>
      <c r="AH500" s="97"/>
      <c r="AI500" s="97"/>
      <c r="AJ500" s="97"/>
      <c r="AK500" s="97"/>
      <c r="AL500" s="97"/>
      <c r="AM500" s="97"/>
      <c r="AN500" s="97"/>
      <c r="AO500" s="97"/>
      <c r="AP500" s="97"/>
      <c r="AQ500" s="99"/>
      <c r="AR500" s="99"/>
      <c r="AS500" s="99"/>
    </row>
    <row r="50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c r="AB501" s="97"/>
      <c r="AC501" s="97"/>
      <c r="AD501" s="97"/>
      <c r="AE501" s="97"/>
      <c r="AF501" s="97"/>
      <c r="AG501" s="97"/>
      <c r="AH501" s="97"/>
      <c r="AI501" s="97"/>
      <c r="AJ501" s="97"/>
      <c r="AK501" s="97"/>
      <c r="AL501" s="97"/>
      <c r="AM501" s="97"/>
      <c r="AN501" s="97"/>
      <c r="AO501" s="97"/>
      <c r="AP501" s="97"/>
      <c r="AQ501" s="99"/>
      <c r="AR501" s="99"/>
      <c r="AS501" s="99"/>
    </row>
    <row r="502">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c r="AB502" s="97"/>
      <c r="AC502" s="97"/>
      <c r="AD502" s="97"/>
      <c r="AE502" s="97"/>
      <c r="AF502" s="97"/>
      <c r="AG502" s="97"/>
      <c r="AH502" s="97"/>
      <c r="AI502" s="97"/>
      <c r="AJ502" s="97"/>
      <c r="AK502" s="97"/>
      <c r="AL502" s="97"/>
      <c r="AM502" s="97"/>
      <c r="AN502" s="97"/>
      <c r="AO502" s="97"/>
      <c r="AP502" s="97"/>
      <c r="AQ502" s="99"/>
      <c r="AR502" s="99"/>
      <c r="AS502" s="99"/>
    </row>
    <row r="503">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c r="AB503" s="97"/>
      <c r="AC503" s="97"/>
      <c r="AD503" s="97"/>
      <c r="AE503" s="97"/>
      <c r="AF503" s="97"/>
      <c r="AG503" s="97"/>
      <c r="AH503" s="97"/>
      <c r="AI503" s="97"/>
      <c r="AJ503" s="97"/>
      <c r="AK503" s="97"/>
      <c r="AL503" s="97"/>
      <c r="AM503" s="97"/>
      <c r="AN503" s="97"/>
      <c r="AO503" s="97"/>
      <c r="AP503" s="97"/>
      <c r="AQ503" s="99"/>
      <c r="AR503" s="99"/>
      <c r="AS503" s="99"/>
    </row>
    <row r="504">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c r="AB504" s="97"/>
      <c r="AC504" s="97"/>
      <c r="AD504" s="97"/>
      <c r="AE504" s="97"/>
      <c r="AF504" s="97"/>
      <c r="AG504" s="97"/>
      <c r="AH504" s="97"/>
      <c r="AI504" s="97"/>
      <c r="AJ504" s="97"/>
      <c r="AK504" s="97"/>
      <c r="AL504" s="97"/>
      <c r="AM504" s="97"/>
      <c r="AN504" s="97"/>
      <c r="AO504" s="97"/>
      <c r="AP504" s="97"/>
      <c r="AQ504" s="99"/>
      <c r="AR504" s="99"/>
      <c r="AS504" s="99"/>
    </row>
    <row r="50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c r="AB505" s="97"/>
      <c r="AC505" s="97"/>
      <c r="AD505" s="97"/>
      <c r="AE505" s="97"/>
      <c r="AF505" s="97"/>
      <c r="AG505" s="97"/>
      <c r="AH505" s="97"/>
      <c r="AI505" s="97"/>
      <c r="AJ505" s="97"/>
      <c r="AK505" s="97"/>
      <c r="AL505" s="97"/>
      <c r="AM505" s="97"/>
      <c r="AN505" s="97"/>
      <c r="AO505" s="97"/>
      <c r="AP505" s="97"/>
      <c r="AQ505" s="99"/>
      <c r="AR505" s="99"/>
      <c r="AS505" s="99"/>
    </row>
    <row r="506">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c r="AB506" s="97"/>
      <c r="AC506" s="97"/>
      <c r="AD506" s="97"/>
      <c r="AE506" s="97"/>
      <c r="AF506" s="97"/>
      <c r="AG506" s="97"/>
      <c r="AH506" s="97"/>
      <c r="AI506" s="97"/>
      <c r="AJ506" s="97"/>
      <c r="AK506" s="97"/>
      <c r="AL506" s="97"/>
      <c r="AM506" s="97"/>
      <c r="AN506" s="97"/>
      <c r="AO506" s="97"/>
      <c r="AP506" s="97"/>
      <c r="AQ506" s="99"/>
      <c r="AR506" s="99"/>
      <c r="AS506" s="99"/>
    </row>
    <row r="507">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c r="AB507" s="97"/>
      <c r="AC507" s="97"/>
      <c r="AD507" s="97"/>
      <c r="AE507" s="97"/>
      <c r="AF507" s="97"/>
      <c r="AG507" s="97"/>
      <c r="AH507" s="97"/>
      <c r="AI507" s="97"/>
      <c r="AJ507" s="97"/>
      <c r="AK507" s="97"/>
      <c r="AL507" s="97"/>
      <c r="AM507" s="97"/>
      <c r="AN507" s="97"/>
      <c r="AO507" s="97"/>
      <c r="AP507" s="97"/>
      <c r="AQ507" s="99"/>
      <c r="AR507" s="99"/>
      <c r="AS507" s="99"/>
    </row>
    <row r="508">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c r="AB508" s="97"/>
      <c r="AC508" s="97"/>
      <c r="AD508" s="97"/>
      <c r="AE508" s="97"/>
      <c r="AF508" s="97"/>
      <c r="AG508" s="97"/>
      <c r="AH508" s="97"/>
      <c r="AI508" s="97"/>
      <c r="AJ508" s="97"/>
      <c r="AK508" s="97"/>
      <c r="AL508" s="97"/>
      <c r="AM508" s="97"/>
      <c r="AN508" s="97"/>
      <c r="AO508" s="97"/>
      <c r="AP508" s="97"/>
      <c r="AQ508" s="99"/>
      <c r="AR508" s="99"/>
      <c r="AS508" s="99"/>
    </row>
    <row r="509">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c r="AB509" s="97"/>
      <c r="AC509" s="97"/>
      <c r="AD509" s="97"/>
      <c r="AE509" s="97"/>
      <c r="AF509" s="97"/>
      <c r="AG509" s="97"/>
      <c r="AH509" s="97"/>
      <c r="AI509" s="97"/>
      <c r="AJ509" s="97"/>
      <c r="AK509" s="97"/>
      <c r="AL509" s="97"/>
      <c r="AM509" s="97"/>
      <c r="AN509" s="97"/>
      <c r="AO509" s="97"/>
      <c r="AP509" s="97"/>
      <c r="AQ509" s="99"/>
      <c r="AR509" s="99"/>
      <c r="AS509" s="99"/>
    </row>
    <row r="510">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c r="AB510" s="97"/>
      <c r="AC510" s="97"/>
      <c r="AD510" s="97"/>
      <c r="AE510" s="97"/>
      <c r="AF510" s="97"/>
      <c r="AG510" s="97"/>
      <c r="AH510" s="97"/>
      <c r="AI510" s="97"/>
      <c r="AJ510" s="97"/>
      <c r="AK510" s="97"/>
      <c r="AL510" s="97"/>
      <c r="AM510" s="97"/>
      <c r="AN510" s="97"/>
      <c r="AO510" s="97"/>
      <c r="AP510" s="97"/>
      <c r="AQ510" s="99"/>
      <c r="AR510" s="99"/>
      <c r="AS510" s="99"/>
    </row>
    <row r="51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c r="AB511" s="97"/>
      <c r="AC511" s="97"/>
      <c r="AD511" s="97"/>
      <c r="AE511" s="97"/>
      <c r="AF511" s="97"/>
      <c r="AG511" s="97"/>
      <c r="AH511" s="97"/>
      <c r="AI511" s="97"/>
      <c r="AJ511" s="97"/>
      <c r="AK511" s="97"/>
      <c r="AL511" s="97"/>
      <c r="AM511" s="97"/>
      <c r="AN511" s="97"/>
      <c r="AO511" s="97"/>
      <c r="AP511" s="97"/>
      <c r="AQ511" s="99"/>
      <c r="AR511" s="99"/>
      <c r="AS511" s="99"/>
    </row>
    <row r="512">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c r="AB512" s="97"/>
      <c r="AC512" s="97"/>
      <c r="AD512" s="97"/>
      <c r="AE512" s="97"/>
      <c r="AF512" s="97"/>
      <c r="AG512" s="97"/>
      <c r="AH512" s="97"/>
      <c r="AI512" s="97"/>
      <c r="AJ512" s="97"/>
      <c r="AK512" s="97"/>
      <c r="AL512" s="97"/>
      <c r="AM512" s="97"/>
      <c r="AN512" s="97"/>
      <c r="AO512" s="97"/>
      <c r="AP512" s="97"/>
      <c r="AQ512" s="99"/>
      <c r="AR512" s="99"/>
      <c r="AS512" s="99"/>
    </row>
    <row r="513">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c r="AB513" s="97"/>
      <c r="AC513" s="97"/>
      <c r="AD513" s="97"/>
      <c r="AE513" s="97"/>
      <c r="AF513" s="97"/>
      <c r="AG513" s="97"/>
      <c r="AH513" s="97"/>
      <c r="AI513" s="97"/>
      <c r="AJ513" s="97"/>
      <c r="AK513" s="97"/>
      <c r="AL513" s="97"/>
      <c r="AM513" s="97"/>
      <c r="AN513" s="97"/>
      <c r="AO513" s="97"/>
      <c r="AP513" s="97"/>
      <c r="AQ513" s="99"/>
      <c r="AR513" s="99"/>
      <c r="AS513" s="99"/>
    </row>
    <row r="514">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c r="AB514" s="97"/>
      <c r="AC514" s="97"/>
      <c r="AD514" s="97"/>
      <c r="AE514" s="97"/>
      <c r="AF514" s="97"/>
      <c r="AG514" s="97"/>
      <c r="AH514" s="97"/>
      <c r="AI514" s="97"/>
      <c r="AJ514" s="97"/>
      <c r="AK514" s="97"/>
      <c r="AL514" s="97"/>
      <c r="AM514" s="97"/>
      <c r="AN514" s="97"/>
      <c r="AO514" s="97"/>
      <c r="AP514" s="97"/>
      <c r="AQ514" s="99"/>
      <c r="AR514" s="99"/>
      <c r="AS514" s="99"/>
    </row>
    <row r="51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c r="AB515" s="97"/>
      <c r="AC515" s="97"/>
      <c r="AD515" s="97"/>
      <c r="AE515" s="97"/>
      <c r="AF515" s="97"/>
      <c r="AG515" s="97"/>
      <c r="AH515" s="97"/>
      <c r="AI515" s="97"/>
      <c r="AJ515" s="97"/>
      <c r="AK515" s="97"/>
      <c r="AL515" s="97"/>
      <c r="AM515" s="97"/>
      <c r="AN515" s="97"/>
      <c r="AO515" s="97"/>
      <c r="AP515" s="97"/>
      <c r="AQ515" s="99"/>
      <c r="AR515" s="99"/>
      <c r="AS515" s="99"/>
    </row>
    <row r="516">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c r="AB516" s="97"/>
      <c r="AC516" s="97"/>
      <c r="AD516" s="97"/>
      <c r="AE516" s="97"/>
      <c r="AF516" s="97"/>
      <c r="AG516" s="97"/>
      <c r="AH516" s="97"/>
      <c r="AI516" s="97"/>
      <c r="AJ516" s="97"/>
      <c r="AK516" s="97"/>
      <c r="AL516" s="97"/>
      <c r="AM516" s="97"/>
      <c r="AN516" s="97"/>
      <c r="AO516" s="97"/>
      <c r="AP516" s="97"/>
      <c r="AQ516" s="99"/>
      <c r="AR516" s="99"/>
      <c r="AS516" s="99"/>
    </row>
    <row r="517">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c r="AB517" s="97"/>
      <c r="AC517" s="97"/>
      <c r="AD517" s="97"/>
      <c r="AE517" s="97"/>
      <c r="AF517" s="97"/>
      <c r="AG517" s="97"/>
      <c r="AH517" s="97"/>
      <c r="AI517" s="97"/>
      <c r="AJ517" s="97"/>
      <c r="AK517" s="97"/>
      <c r="AL517" s="97"/>
      <c r="AM517" s="97"/>
      <c r="AN517" s="97"/>
      <c r="AO517" s="97"/>
      <c r="AP517" s="97"/>
      <c r="AQ517" s="99"/>
      <c r="AR517" s="99"/>
      <c r="AS517" s="99"/>
    </row>
    <row r="518">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c r="AB518" s="97"/>
      <c r="AC518" s="97"/>
      <c r="AD518" s="97"/>
      <c r="AE518" s="97"/>
      <c r="AF518" s="97"/>
      <c r="AG518" s="97"/>
      <c r="AH518" s="97"/>
      <c r="AI518" s="97"/>
      <c r="AJ518" s="97"/>
      <c r="AK518" s="97"/>
      <c r="AL518" s="97"/>
      <c r="AM518" s="97"/>
      <c r="AN518" s="97"/>
      <c r="AO518" s="97"/>
      <c r="AP518" s="97"/>
      <c r="AQ518" s="99"/>
      <c r="AR518" s="99"/>
      <c r="AS518" s="99"/>
    </row>
    <row r="519">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c r="AB519" s="97"/>
      <c r="AC519" s="97"/>
      <c r="AD519" s="97"/>
      <c r="AE519" s="97"/>
      <c r="AF519" s="97"/>
      <c r="AG519" s="97"/>
      <c r="AH519" s="97"/>
      <c r="AI519" s="97"/>
      <c r="AJ519" s="97"/>
      <c r="AK519" s="97"/>
      <c r="AL519" s="97"/>
      <c r="AM519" s="97"/>
      <c r="AN519" s="97"/>
      <c r="AO519" s="97"/>
      <c r="AP519" s="97"/>
      <c r="AQ519" s="99"/>
      <c r="AR519" s="99"/>
      <c r="AS519" s="99"/>
    </row>
    <row r="520">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c r="AB520" s="97"/>
      <c r="AC520" s="97"/>
      <c r="AD520" s="97"/>
      <c r="AE520" s="97"/>
      <c r="AF520" s="97"/>
      <c r="AG520" s="97"/>
      <c r="AH520" s="97"/>
      <c r="AI520" s="97"/>
      <c r="AJ520" s="97"/>
      <c r="AK520" s="97"/>
      <c r="AL520" s="97"/>
      <c r="AM520" s="97"/>
      <c r="AN520" s="97"/>
      <c r="AO520" s="97"/>
      <c r="AP520" s="97"/>
      <c r="AQ520" s="99"/>
      <c r="AR520" s="99"/>
      <c r="AS520" s="99"/>
    </row>
    <row r="52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c r="AB521" s="97"/>
      <c r="AC521" s="97"/>
      <c r="AD521" s="97"/>
      <c r="AE521" s="97"/>
      <c r="AF521" s="97"/>
      <c r="AG521" s="97"/>
      <c r="AH521" s="97"/>
      <c r="AI521" s="97"/>
      <c r="AJ521" s="97"/>
      <c r="AK521" s="97"/>
      <c r="AL521" s="97"/>
      <c r="AM521" s="97"/>
      <c r="AN521" s="97"/>
      <c r="AO521" s="97"/>
      <c r="AP521" s="97"/>
      <c r="AQ521" s="99"/>
      <c r="AR521" s="99"/>
      <c r="AS521" s="99"/>
    </row>
    <row r="522">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c r="AB522" s="97"/>
      <c r="AC522" s="97"/>
      <c r="AD522" s="97"/>
      <c r="AE522" s="97"/>
      <c r="AF522" s="97"/>
      <c r="AG522" s="97"/>
      <c r="AH522" s="97"/>
      <c r="AI522" s="97"/>
      <c r="AJ522" s="97"/>
      <c r="AK522" s="97"/>
      <c r="AL522" s="97"/>
      <c r="AM522" s="97"/>
      <c r="AN522" s="97"/>
      <c r="AO522" s="97"/>
      <c r="AP522" s="97"/>
      <c r="AQ522" s="99"/>
      <c r="AR522" s="99"/>
      <c r="AS522" s="99"/>
    </row>
    <row r="523">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c r="AB523" s="97"/>
      <c r="AC523" s="97"/>
      <c r="AD523" s="97"/>
      <c r="AE523" s="97"/>
      <c r="AF523" s="97"/>
      <c r="AG523" s="97"/>
      <c r="AH523" s="97"/>
      <c r="AI523" s="97"/>
      <c r="AJ523" s="97"/>
      <c r="AK523" s="97"/>
      <c r="AL523" s="97"/>
      <c r="AM523" s="97"/>
      <c r="AN523" s="97"/>
      <c r="AO523" s="97"/>
      <c r="AP523" s="97"/>
      <c r="AQ523" s="99"/>
      <c r="AR523" s="99"/>
      <c r="AS523" s="99"/>
    </row>
    <row r="524">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c r="AB524" s="97"/>
      <c r="AC524" s="97"/>
      <c r="AD524" s="97"/>
      <c r="AE524" s="97"/>
      <c r="AF524" s="97"/>
      <c r="AG524" s="97"/>
      <c r="AH524" s="97"/>
      <c r="AI524" s="97"/>
      <c r="AJ524" s="97"/>
      <c r="AK524" s="97"/>
      <c r="AL524" s="97"/>
      <c r="AM524" s="97"/>
      <c r="AN524" s="97"/>
      <c r="AO524" s="97"/>
      <c r="AP524" s="97"/>
      <c r="AQ524" s="99"/>
      <c r="AR524" s="99"/>
      <c r="AS524" s="99"/>
    </row>
    <row r="52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c r="AB525" s="97"/>
      <c r="AC525" s="97"/>
      <c r="AD525" s="97"/>
      <c r="AE525" s="97"/>
      <c r="AF525" s="97"/>
      <c r="AG525" s="97"/>
      <c r="AH525" s="97"/>
      <c r="AI525" s="97"/>
      <c r="AJ525" s="97"/>
      <c r="AK525" s="97"/>
      <c r="AL525" s="97"/>
      <c r="AM525" s="97"/>
      <c r="AN525" s="97"/>
      <c r="AO525" s="97"/>
      <c r="AP525" s="97"/>
      <c r="AQ525" s="99"/>
      <c r="AR525" s="99"/>
      <c r="AS525" s="99"/>
    </row>
    <row r="526">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c r="AB526" s="97"/>
      <c r="AC526" s="97"/>
      <c r="AD526" s="97"/>
      <c r="AE526" s="97"/>
      <c r="AF526" s="97"/>
      <c r="AG526" s="97"/>
      <c r="AH526" s="97"/>
      <c r="AI526" s="97"/>
      <c r="AJ526" s="97"/>
      <c r="AK526" s="97"/>
      <c r="AL526" s="97"/>
      <c r="AM526" s="97"/>
      <c r="AN526" s="97"/>
      <c r="AO526" s="97"/>
      <c r="AP526" s="97"/>
      <c r="AQ526" s="99"/>
      <c r="AR526" s="99"/>
      <c r="AS526" s="99"/>
    </row>
    <row r="527">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c r="AB527" s="97"/>
      <c r="AC527" s="97"/>
      <c r="AD527" s="97"/>
      <c r="AE527" s="97"/>
      <c r="AF527" s="97"/>
      <c r="AG527" s="97"/>
      <c r="AH527" s="97"/>
      <c r="AI527" s="97"/>
      <c r="AJ527" s="97"/>
      <c r="AK527" s="97"/>
      <c r="AL527" s="97"/>
      <c r="AM527" s="97"/>
      <c r="AN527" s="97"/>
      <c r="AO527" s="97"/>
      <c r="AP527" s="97"/>
      <c r="AQ527" s="99"/>
      <c r="AR527" s="99"/>
      <c r="AS527" s="99"/>
    </row>
    <row r="528">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c r="AB528" s="97"/>
      <c r="AC528" s="97"/>
      <c r="AD528" s="97"/>
      <c r="AE528" s="97"/>
      <c r="AF528" s="97"/>
      <c r="AG528" s="97"/>
      <c r="AH528" s="97"/>
      <c r="AI528" s="97"/>
      <c r="AJ528" s="97"/>
      <c r="AK528" s="97"/>
      <c r="AL528" s="97"/>
      <c r="AM528" s="97"/>
      <c r="AN528" s="97"/>
      <c r="AO528" s="97"/>
      <c r="AP528" s="97"/>
      <c r="AQ528" s="99"/>
      <c r="AR528" s="99"/>
      <c r="AS528" s="99"/>
    </row>
    <row r="529">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c r="AB529" s="97"/>
      <c r="AC529" s="97"/>
      <c r="AD529" s="97"/>
      <c r="AE529" s="97"/>
      <c r="AF529" s="97"/>
      <c r="AG529" s="97"/>
      <c r="AH529" s="97"/>
      <c r="AI529" s="97"/>
      <c r="AJ529" s="97"/>
      <c r="AK529" s="97"/>
      <c r="AL529" s="97"/>
      <c r="AM529" s="97"/>
      <c r="AN529" s="97"/>
      <c r="AO529" s="97"/>
      <c r="AP529" s="97"/>
      <c r="AQ529" s="99"/>
      <c r="AR529" s="99"/>
      <c r="AS529" s="99"/>
    </row>
    <row r="530">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c r="AB530" s="97"/>
      <c r="AC530" s="97"/>
      <c r="AD530" s="97"/>
      <c r="AE530" s="97"/>
      <c r="AF530" s="97"/>
      <c r="AG530" s="97"/>
      <c r="AH530" s="97"/>
      <c r="AI530" s="97"/>
      <c r="AJ530" s="97"/>
      <c r="AK530" s="97"/>
      <c r="AL530" s="97"/>
      <c r="AM530" s="97"/>
      <c r="AN530" s="97"/>
      <c r="AO530" s="97"/>
      <c r="AP530" s="97"/>
      <c r="AQ530" s="99"/>
      <c r="AR530" s="99"/>
      <c r="AS530" s="99"/>
    </row>
    <row r="53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c r="AB531" s="97"/>
      <c r="AC531" s="97"/>
      <c r="AD531" s="97"/>
      <c r="AE531" s="97"/>
      <c r="AF531" s="97"/>
      <c r="AG531" s="97"/>
      <c r="AH531" s="97"/>
      <c r="AI531" s="97"/>
      <c r="AJ531" s="97"/>
      <c r="AK531" s="97"/>
      <c r="AL531" s="97"/>
      <c r="AM531" s="97"/>
      <c r="AN531" s="97"/>
      <c r="AO531" s="97"/>
      <c r="AP531" s="97"/>
      <c r="AQ531" s="99"/>
      <c r="AR531" s="99"/>
      <c r="AS531" s="99"/>
    </row>
    <row r="532">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c r="AB532" s="97"/>
      <c r="AC532" s="97"/>
      <c r="AD532" s="97"/>
      <c r="AE532" s="97"/>
      <c r="AF532" s="97"/>
      <c r="AG532" s="97"/>
      <c r="AH532" s="97"/>
      <c r="AI532" s="97"/>
      <c r="AJ532" s="97"/>
      <c r="AK532" s="97"/>
      <c r="AL532" s="97"/>
      <c r="AM532" s="97"/>
      <c r="AN532" s="97"/>
      <c r="AO532" s="97"/>
      <c r="AP532" s="97"/>
      <c r="AQ532" s="99"/>
      <c r="AR532" s="99"/>
      <c r="AS532" s="99"/>
    </row>
    <row r="533">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c r="AB533" s="97"/>
      <c r="AC533" s="97"/>
      <c r="AD533" s="97"/>
      <c r="AE533" s="97"/>
      <c r="AF533" s="97"/>
      <c r="AG533" s="97"/>
      <c r="AH533" s="97"/>
      <c r="AI533" s="97"/>
      <c r="AJ533" s="97"/>
      <c r="AK533" s="97"/>
      <c r="AL533" s="97"/>
      <c r="AM533" s="97"/>
      <c r="AN533" s="97"/>
      <c r="AO533" s="97"/>
      <c r="AP533" s="97"/>
      <c r="AQ533" s="99"/>
      <c r="AR533" s="99"/>
      <c r="AS533" s="99"/>
    </row>
    <row r="534">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c r="AB534" s="97"/>
      <c r="AC534" s="97"/>
      <c r="AD534" s="97"/>
      <c r="AE534" s="97"/>
      <c r="AF534" s="97"/>
      <c r="AG534" s="97"/>
      <c r="AH534" s="97"/>
      <c r="AI534" s="97"/>
      <c r="AJ534" s="97"/>
      <c r="AK534" s="97"/>
      <c r="AL534" s="97"/>
      <c r="AM534" s="97"/>
      <c r="AN534" s="97"/>
      <c r="AO534" s="97"/>
      <c r="AP534" s="97"/>
      <c r="AQ534" s="99"/>
      <c r="AR534" s="99"/>
      <c r="AS534" s="99"/>
    </row>
    <row r="53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c r="AB535" s="97"/>
      <c r="AC535" s="97"/>
      <c r="AD535" s="97"/>
      <c r="AE535" s="97"/>
      <c r="AF535" s="97"/>
      <c r="AG535" s="97"/>
      <c r="AH535" s="97"/>
      <c r="AI535" s="97"/>
      <c r="AJ535" s="97"/>
      <c r="AK535" s="97"/>
      <c r="AL535" s="97"/>
      <c r="AM535" s="97"/>
      <c r="AN535" s="97"/>
      <c r="AO535" s="97"/>
      <c r="AP535" s="97"/>
      <c r="AQ535" s="99"/>
      <c r="AR535" s="99"/>
      <c r="AS535" s="99"/>
    </row>
    <row r="536">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c r="AB536" s="97"/>
      <c r="AC536" s="97"/>
      <c r="AD536" s="97"/>
      <c r="AE536" s="97"/>
      <c r="AF536" s="97"/>
      <c r="AG536" s="97"/>
      <c r="AH536" s="97"/>
      <c r="AI536" s="97"/>
      <c r="AJ536" s="97"/>
      <c r="AK536" s="97"/>
      <c r="AL536" s="97"/>
      <c r="AM536" s="97"/>
      <c r="AN536" s="97"/>
      <c r="AO536" s="97"/>
      <c r="AP536" s="97"/>
      <c r="AQ536" s="99"/>
      <c r="AR536" s="99"/>
      <c r="AS536" s="99"/>
    </row>
    <row r="537">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c r="AB537" s="97"/>
      <c r="AC537" s="97"/>
      <c r="AD537" s="97"/>
      <c r="AE537" s="97"/>
      <c r="AF537" s="97"/>
      <c r="AG537" s="97"/>
      <c r="AH537" s="97"/>
      <c r="AI537" s="97"/>
      <c r="AJ537" s="97"/>
      <c r="AK537" s="97"/>
      <c r="AL537" s="97"/>
      <c r="AM537" s="97"/>
      <c r="AN537" s="97"/>
      <c r="AO537" s="97"/>
      <c r="AP537" s="97"/>
      <c r="AQ537" s="99"/>
      <c r="AR537" s="99"/>
      <c r="AS537" s="99"/>
    </row>
    <row r="538">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c r="AB538" s="97"/>
      <c r="AC538" s="97"/>
      <c r="AD538" s="97"/>
      <c r="AE538" s="97"/>
      <c r="AF538" s="97"/>
      <c r="AG538" s="97"/>
      <c r="AH538" s="97"/>
      <c r="AI538" s="97"/>
      <c r="AJ538" s="97"/>
      <c r="AK538" s="97"/>
      <c r="AL538" s="97"/>
      <c r="AM538" s="97"/>
      <c r="AN538" s="97"/>
      <c r="AO538" s="97"/>
      <c r="AP538" s="97"/>
      <c r="AQ538" s="99"/>
      <c r="AR538" s="99"/>
      <c r="AS538" s="99"/>
    </row>
    <row r="539">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c r="AB539" s="97"/>
      <c r="AC539" s="97"/>
      <c r="AD539" s="97"/>
      <c r="AE539" s="97"/>
      <c r="AF539" s="97"/>
      <c r="AG539" s="97"/>
      <c r="AH539" s="97"/>
      <c r="AI539" s="97"/>
      <c r="AJ539" s="97"/>
      <c r="AK539" s="97"/>
      <c r="AL539" s="97"/>
      <c r="AM539" s="97"/>
      <c r="AN539" s="97"/>
      <c r="AO539" s="97"/>
      <c r="AP539" s="97"/>
      <c r="AQ539" s="99"/>
      <c r="AR539" s="99"/>
      <c r="AS539" s="99"/>
    </row>
    <row r="540">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c r="AB540" s="97"/>
      <c r="AC540" s="97"/>
      <c r="AD540" s="97"/>
      <c r="AE540" s="97"/>
      <c r="AF540" s="97"/>
      <c r="AG540" s="97"/>
      <c r="AH540" s="97"/>
      <c r="AI540" s="97"/>
      <c r="AJ540" s="97"/>
      <c r="AK540" s="97"/>
      <c r="AL540" s="97"/>
      <c r="AM540" s="97"/>
      <c r="AN540" s="97"/>
      <c r="AO540" s="97"/>
      <c r="AP540" s="97"/>
      <c r="AQ540" s="99"/>
      <c r="AR540" s="99"/>
      <c r="AS540" s="99"/>
    </row>
    <row r="54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c r="AB541" s="97"/>
      <c r="AC541" s="97"/>
      <c r="AD541" s="97"/>
      <c r="AE541" s="97"/>
      <c r="AF541" s="97"/>
      <c r="AG541" s="97"/>
      <c r="AH541" s="97"/>
      <c r="AI541" s="97"/>
      <c r="AJ541" s="97"/>
      <c r="AK541" s="97"/>
      <c r="AL541" s="97"/>
      <c r="AM541" s="97"/>
      <c r="AN541" s="97"/>
      <c r="AO541" s="97"/>
      <c r="AP541" s="97"/>
      <c r="AQ541" s="99"/>
      <c r="AR541" s="99"/>
      <c r="AS541" s="99"/>
    </row>
    <row r="542">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c r="AB542" s="97"/>
      <c r="AC542" s="97"/>
      <c r="AD542" s="97"/>
      <c r="AE542" s="97"/>
      <c r="AF542" s="97"/>
      <c r="AG542" s="97"/>
      <c r="AH542" s="97"/>
      <c r="AI542" s="97"/>
      <c r="AJ542" s="97"/>
      <c r="AK542" s="97"/>
      <c r="AL542" s="97"/>
      <c r="AM542" s="97"/>
      <c r="AN542" s="97"/>
      <c r="AO542" s="97"/>
      <c r="AP542" s="97"/>
      <c r="AQ542" s="99"/>
      <c r="AR542" s="99"/>
      <c r="AS542" s="99"/>
    </row>
    <row r="543">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c r="AB543" s="97"/>
      <c r="AC543" s="97"/>
      <c r="AD543" s="97"/>
      <c r="AE543" s="97"/>
      <c r="AF543" s="97"/>
      <c r="AG543" s="97"/>
      <c r="AH543" s="97"/>
      <c r="AI543" s="97"/>
      <c r="AJ543" s="97"/>
      <c r="AK543" s="97"/>
      <c r="AL543" s="97"/>
      <c r="AM543" s="97"/>
      <c r="AN543" s="97"/>
      <c r="AO543" s="97"/>
      <c r="AP543" s="97"/>
      <c r="AQ543" s="99"/>
      <c r="AR543" s="99"/>
      <c r="AS543" s="99"/>
    </row>
    <row r="544">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c r="AB544" s="97"/>
      <c r="AC544" s="97"/>
      <c r="AD544" s="97"/>
      <c r="AE544" s="97"/>
      <c r="AF544" s="97"/>
      <c r="AG544" s="97"/>
      <c r="AH544" s="97"/>
      <c r="AI544" s="97"/>
      <c r="AJ544" s="97"/>
      <c r="AK544" s="97"/>
      <c r="AL544" s="97"/>
      <c r="AM544" s="97"/>
      <c r="AN544" s="97"/>
      <c r="AO544" s="97"/>
      <c r="AP544" s="97"/>
      <c r="AQ544" s="99"/>
      <c r="AR544" s="99"/>
      <c r="AS544" s="99"/>
    </row>
    <row r="54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c r="AB545" s="97"/>
      <c r="AC545" s="97"/>
      <c r="AD545" s="97"/>
      <c r="AE545" s="97"/>
      <c r="AF545" s="97"/>
      <c r="AG545" s="97"/>
      <c r="AH545" s="97"/>
      <c r="AI545" s="97"/>
      <c r="AJ545" s="97"/>
      <c r="AK545" s="97"/>
      <c r="AL545" s="97"/>
      <c r="AM545" s="97"/>
      <c r="AN545" s="97"/>
      <c r="AO545" s="97"/>
      <c r="AP545" s="97"/>
      <c r="AQ545" s="99"/>
      <c r="AR545" s="99"/>
      <c r="AS545" s="99"/>
    </row>
    <row r="546">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c r="AB546" s="97"/>
      <c r="AC546" s="97"/>
      <c r="AD546" s="97"/>
      <c r="AE546" s="97"/>
      <c r="AF546" s="97"/>
      <c r="AG546" s="97"/>
      <c r="AH546" s="97"/>
      <c r="AI546" s="97"/>
      <c r="AJ546" s="97"/>
      <c r="AK546" s="97"/>
      <c r="AL546" s="97"/>
      <c r="AM546" s="97"/>
      <c r="AN546" s="97"/>
      <c r="AO546" s="97"/>
      <c r="AP546" s="97"/>
      <c r="AQ546" s="99"/>
      <c r="AR546" s="99"/>
      <c r="AS546" s="99"/>
    </row>
    <row r="547">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c r="AB547" s="97"/>
      <c r="AC547" s="97"/>
      <c r="AD547" s="97"/>
      <c r="AE547" s="97"/>
      <c r="AF547" s="97"/>
      <c r="AG547" s="97"/>
      <c r="AH547" s="97"/>
      <c r="AI547" s="97"/>
      <c r="AJ547" s="97"/>
      <c r="AK547" s="97"/>
      <c r="AL547" s="97"/>
      <c r="AM547" s="97"/>
      <c r="AN547" s="97"/>
      <c r="AO547" s="97"/>
      <c r="AP547" s="97"/>
      <c r="AQ547" s="99"/>
      <c r="AR547" s="99"/>
      <c r="AS547" s="99"/>
    </row>
    <row r="548">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c r="AB548" s="97"/>
      <c r="AC548" s="97"/>
      <c r="AD548" s="97"/>
      <c r="AE548" s="97"/>
      <c r="AF548" s="97"/>
      <c r="AG548" s="97"/>
      <c r="AH548" s="97"/>
      <c r="AI548" s="97"/>
      <c r="AJ548" s="97"/>
      <c r="AK548" s="97"/>
      <c r="AL548" s="97"/>
      <c r="AM548" s="97"/>
      <c r="AN548" s="97"/>
      <c r="AO548" s="97"/>
      <c r="AP548" s="97"/>
      <c r="AQ548" s="99"/>
      <c r="AR548" s="99"/>
      <c r="AS548" s="99"/>
    </row>
    <row r="549">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c r="AB549" s="97"/>
      <c r="AC549" s="97"/>
      <c r="AD549" s="97"/>
      <c r="AE549" s="97"/>
      <c r="AF549" s="97"/>
      <c r="AG549" s="97"/>
      <c r="AH549" s="97"/>
      <c r="AI549" s="97"/>
      <c r="AJ549" s="97"/>
      <c r="AK549" s="97"/>
      <c r="AL549" s="97"/>
      <c r="AM549" s="97"/>
      <c r="AN549" s="97"/>
      <c r="AO549" s="97"/>
      <c r="AP549" s="97"/>
      <c r="AQ549" s="99"/>
      <c r="AR549" s="99"/>
      <c r="AS549" s="99"/>
    </row>
    <row r="550">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c r="AB550" s="97"/>
      <c r="AC550" s="97"/>
      <c r="AD550" s="97"/>
      <c r="AE550" s="97"/>
      <c r="AF550" s="97"/>
      <c r="AG550" s="97"/>
      <c r="AH550" s="97"/>
      <c r="AI550" s="97"/>
      <c r="AJ550" s="97"/>
      <c r="AK550" s="97"/>
      <c r="AL550" s="97"/>
      <c r="AM550" s="97"/>
      <c r="AN550" s="97"/>
      <c r="AO550" s="97"/>
      <c r="AP550" s="97"/>
      <c r="AQ550" s="99"/>
      <c r="AR550" s="99"/>
      <c r="AS550" s="99"/>
    </row>
    <row r="55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c r="AB551" s="97"/>
      <c r="AC551" s="97"/>
      <c r="AD551" s="97"/>
      <c r="AE551" s="97"/>
      <c r="AF551" s="97"/>
      <c r="AG551" s="97"/>
      <c r="AH551" s="97"/>
      <c r="AI551" s="97"/>
      <c r="AJ551" s="97"/>
      <c r="AK551" s="97"/>
      <c r="AL551" s="97"/>
      <c r="AM551" s="97"/>
      <c r="AN551" s="97"/>
      <c r="AO551" s="97"/>
      <c r="AP551" s="97"/>
      <c r="AQ551" s="99"/>
      <c r="AR551" s="99"/>
      <c r="AS551" s="99"/>
    </row>
    <row r="552">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c r="AB552" s="97"/>
      <c r="AC552" s="97"/>
      <c r="AD552" s="97"/>
      <c r="AE552" s="97"/>
      <c r="AF552" s="97"/>
      <c r="AG552" s="97"/>
      <c r="AH552" s="97"/>
      <c r="AI552" s="97"/>
      <c r="AJ552" s="97"/>
      <c r="AK552" s="97"/>
      <c r="AL552" s="97"/>
      <c r="AM552" s="97"/>
      <c r="AN552" s="97"/>
      <c r="AO552" s="97"/>
      <c r="AP552" s="97"/>
      <c r="AQ552" s="99"/>
      <c r="AR552" s="99"/>
      <c r="AS552" s="99"/>
    </row>
    <row r="553">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c r="AB553" s="97"/>
      <c r="AC553" s="97"/>
      <c r="AD553" s="97"/>
      <c r="AE553" s="97"/>
      <c r="AF553" s="97"/>
      <c r="AG553" s="97"/>
      <c r="AH553" s="97"/>
      <c r="AI553" s="97"/>
      <c r="AJ553" s="97"/>
      <c r="AK553" s="97"/>
      <c r="AL553" s="97"/>
      <c r="AM553" s="97"/>
      <c r="AN553" s="97"/>
      <c r="AO553" s="97"/>
      <c r="AP553" s="97"/>
      <c r="AQ553" s="99"/>
      <c r="AR553" s="99"/>
      <c r="AS553" s="99"/>
    </row>
    <row r="554">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c r="AB554" s="97"/>
      <c r="AC554" s="97"/>
      <c r="AD554" s="97"/>
      <c r="AE554" s="97"/>
      <c r="AF554" s="97"/>
      <c r="AG554" s="97"/>
      <c r="AH554" s="97"/>
      <c r="AI554" s="97"/>
      <c r="AJ554" s="97"/>
      <c r="AK554" s="97"/>
      <c r="AL554" s="97"/>
      <c r="AM554" s="97"/>
      <c r="AN554" s="97"/>
      <c r="AO554" s="97"/>
      <c r="AP554" s="97"/>
      <c r="AQ554" s="99"/>
      <c r="AR554" s="99"/>
      <c r="AS554" s="99"/>
    </row>
    <row r="55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c r="AB555" s="97"/>
      <c r="AC555" s="97"/>
      <c r="AD555" s="97"/>
      <c r="AE555" s="97"/>
      <c r="AF555" s="97"/>
      <c r="AG555" s="97"/>
      <c r="AH555" s="97"/>
      <c r="AI555" s="97"/>
      <c r="AJ555" s="97"/>
      <c r="AK555" s="97"/>
      <c r="AL555" s="97"/>
      <c r="AM555" s="97"/>
      <c r="AN555" s="97"/>
      <c r="AO555" s="97"/>
      <c r="AP555" s="97"/>
      <c r="AQ555" s="99"/>
      <c r="AR555" s="99"/>
      <c r="AS555" s="99"/>
    </row>
    <row r="556">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c r="AB556" s="97"/>
      <c r="AC556" s="97"/>
      <c r="AD556" s="97"/>
      <c r="AE556" s="97"/>
      <c r="AF556" s="97"/>
      <c r="AG556" s="97"/>
      <c r="AH556" s="97"/>
      <c r="AI556" s="97"/>
      <c r="AJ556" s="97"/>
      <c r="AK556" s="97"/>
      <c r="AL556" s="97"/>
      <c r="AM556" s="97"/>
      <c r="AN556" s="97"/>
      <c r="AO556" s="97"/>
      <c r="AP556" s="97"/>
      <c r="AQ556" s="99"/>
      <c r="AR556" s="99"/>
      <c r="AS556" s="99"/>
    </row>
    <row r="557">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c r="AF557" s="97"/>
      <c r="AG557" s="97"/>
      <c r="AH557" s="97"/>
      <c r="AI557" s="97"/>
      <c r="AJ557" s="97"/>
      <c r="AK557" s="97"/>
      <c r="AL557" s="97"/>
      <c r="AM557" s="97"/>
      <c r="AN557" s="97"/>
      <c r="AO557" s="97"/>
      <c r="AP557" s="97"/>
      <c r="AQ557" s="99"/>
      <c r="AR557" s="99"/>
      <c r="AS557" s="99"/>
    </row>
    <row r="558">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c r="AB558" s="97"/>
      <c r="AC558" s="97"/>
      <c r="AD558" s="97"/>
      <c r="AE558" s="97"/>
      <c r="AF558" s="97"/>
      <c r="AG558" s="97"/>
      <c r="AH558" s="97"/>
      <c r="AI558" s="97"/>
      <c r="AJ558" s="97"/>
      <c r="AK558" s="97"/>
      <c r="AL558" s="97"/>
      <c r="AM558" s="97"/>
      <c r="AN558" s="97"/>
      <c r="AO558" s="97"/>
      <c r="AP558" s="97"/>
      <c r="AQ558" s="99"/>
      <c r="AR558" s="99"/>
      <c r="AS558" s="99"/>
    </row>
    <row r="559">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c r="AB559" s="97"/>
      <c r="AC559" s="97"/>
      <c r="AD559" s="97"/>
      <c r="AE559" s="97"/>
      <c r="AF559" s="97"/>
      <c r="AG559" s="97"/>
      <c r="AH559" s="97"/>
      <c r="AI559" s="97"/>
      <c r="AJ559" s="97"/>
      <c r="AK559" s="97"/>
      <c r="AL559" s="97"/>
      <c r="AM559" s="97"/>
      <c r="AN559" s="97"/>
      <c r="AO559" s="97"/>
      <c r="AP559" s="97"/>
      <c r="AQ559" s="99"/>
      <c r="AR559" s="99"/>
      <c r="AS559" s="99"/>
    </row>
    <row r="560">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c r="AB560" s="97"/>
      <c r="AC560" s="97"/>
      <c r="AD560" s="97"/>
      <c r="AE560" s="97"/>
      <c r="AF560" s="97"/>
      <c r="AG560" s="97"/>
      <c r="AH560" s="97"/>
      <c r="AI560" s="97"/>
      <c r="AJ560" s="97"/>
      <c r="AK560" s="97"/>
      <c r="AL560" s="97"/>
      <c r="AM560" s="97"/>
      <c r="AN560" s="97"/>
      <c r="AO560" s="97"/>
      <c r="AP560" s="97"/>
      <c r="AQ560" s="99"/>
      <c r="AR560" s="99"/>
      <c r="AS560" s="99"/>
    </row>
    <row r="56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c r="AB561" s="97"/>
      <c r="AC561" s="97"/>
      <c r="AD561" s="97"/>
      <c r="AE561" s="97"/>
      <c r="AF561" s="97"/>
      <c r="AG561" s="97"/>
      <c r="AH561" s="97"/>
      <c r="AI561" s="97"/>
      <c r="AJ561" s="97"/>
      <c r="AK561" s="97"/>
      <c r="AL561" s="97"/>
      <c r="AM561" s="97"/>
      <c r="AN561" s="97"/>
      <c r="AO561" s="97"/>
      <c r="AP561" s="97"/>
      <c r="AQ561" s="99"/>
      <c r="AR561" s="99"/>
      <c r="AS561" s="99"/>
    </row>
    <row r="562">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c r="AB562" s="97"/>
      <c r="AC562" s="97"/>
      <c r="AD562" s="97"/>
      <c r="AE562" s="97"/>
      <c r="AF562" s="97"/>
      <c r="AG562" s="97"/>
      <c r="AH562" s="97"/>
      <c r="AI562" s="97"/>
      <c r="AJ562" s="97"/>
      <c r="AK562" s="97"/>
      <c r="AL562" s="97"/>
      <c r="AM562" s="97"/>
      <c r="AN562" s="97"/>
      <c r="AO562" s="97"/>
      <c r="AP562" s="97"/>
      <c r="AQ562" s="99"/>
      <c r="AR562" s="99"/>
      <c r="AS562" s="99"/>
    </row>
    <row r="563">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c r="AB563" s="97"/>
      <c r="AC563" s="97"/>
      <c r="AD563" s="97"/>
      <c r="AE563" s="97"/>
      <c r="AF563" s="97"/>
      <c r="AG563" s="97"/>
      <c r="AH563" s="97"/>
      <c r="AI563" s="97"/>
      <c r="AJ563" s="97"/>
      <c r="AK563" s="97"/>
      <c r="AL563" s="97"/>
      <c r="AM563" s="97"/>
      <c r="AN563" s="97"/>
      <c r="AO563" s="97"/>
      <c r="AP563" s="97"/>
      <c r="AQ563" s="99"/>
      <c r="AR563" s="99"/>
      <c r="AS563" s="99"/>
    </row>
    <row r="564">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c r="AB564" s="97"/>
      <c r="AC564" s="97"/>
      <c r="AD564" s="97"/>
      <c r="AE564" s="97"/>
      <c r="AF564" s="97"/>
      <c r="AG564" s="97"/>
      <c r="AH564" s="97"/>
      <c r="AI564" s="97"/>
      <c r="AJ564" s="97"/>
      <c r="AK564" s="97"/>
      <c r="AL564" s="97"/>
      <c r="AM564" s="97"/>
      <c r="AN564" s="97"/>
      <c r="AO564" s="97"/>
      <c r="AP564" s="97"/>
      <c r="AQ564" s="99"/>
      <c r="AR564" s="99"/>
      <c r="AS564" s="99"/>
    </row>
    <row r="56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c r="AB565" s="97"/>
      <c r="AC565" s="97"/>
      <c r="AD565" s="97"/>
      <c r="AE565" s="97"/>
      <c r="AF565" s="97"/>
      <c r="AG565" s="97"/>
      <c r="AH565" s="97"/>
      <c r="AI565" s="97"/>
      <c r="AJ565" s="97"/>
      <c r="AK565" s="97"/>
      <c r="AL565" s="97"/>
      <c r="AM565" s="97"/>
      <c r="AN565" s="97"/>
      <c r="AO565" s="97"/>
      <c r="AP565" s="97"/>
      <c r="AQ565" s="99"/>
      <c r="AR565" s="99"/>
      <c r="AS565" s="99"/>
    </row>
    <row r="566">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c r="AB566" s="97"/>
      <c r="AC566" s="97"/>
      <c r="AD566" s="97"/>
      <c r="AE566" s="97"/>
      <c r="AF566" s="97"/>
      <c r="AG566" s="97"/>
      <c r="AH566" s="97"/>
      <c r="AI566" s="97"/>
      <c r="AJ566" s="97"/>
      <c r="AK566" s="97"/>
      <c r="AL566" s="97"/>
      <c r="AM566" s="97"/>
      <c r="AN566" s="97"/>
      <c r="AO566" s="97"/>
      <c r="AP566" s="97"/>
      <c r="AQ566" s="99"/>
      <c r="AR566" s="99"/>
      <c r="AS566" s="99"/>
    </row>
    <row r="567">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c r="AB567" s="97"/>
      <c r="AC567" s="97"/>
      <c r="AD567" s="97"/>
      <c r="AE567" s="97"/>
      <c r="AF567" s="97"/>
      <c r="AG567" s="97"/>
      <c r="AH567" s="97"/>
      <c r="AI567" s="97"/>
      <c r="AJ567" s="97"/>
      <c r="AK567" s="97"/>
      <c r="AL567" s="97"/>
      <c r="AM567" s="97"/>
      <c r="AN567" s="97"/>
      <c r="AO567" s="97"/>
      <c r="AP567" s="97"/>
      <c r="AQ567" s="99"/>
      <c r="AR567" s="99"/>
      <c r="AS567" s="99"/>
    </row>
    <row r="568">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c r="AB568" s="97"/>
      <c r="AC568" s="97"/>
      <c r="AD568" s="97"/>
      <c r="AE568" s="97"/>
      <c r="AF568" s="97"/>
      <c r="AG568" s="97"/>
      <c r="AH568" s="97"/>
      <c r="AI568" s="97"/>
      <c r="AJ568" s="97"/>
      <c r="AK568" s="97"/>
      <c r="AL568" s="97"/>
      <c r="AM568" s="97"/>
      <c r="AN568" s="97"/>
      <c r="AO568" s="97"/>
      <c r="AP568" s="97"/>
      <c r="AQ568" s="99"/>
      <c r="AR568" s="99"/>
      <c r="AS568" s="99"/>
    </row>
    <row r="569">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c r="AB569" s="97"/>
      <c r="AC569" s="97"/>
      <c r="AD569" s="97"/>
      <c r="AE569" s="97"/>
      <c r="AF569" s="97"/>
      <c r="AG569" s="97"/>
      <c r="AH569" s="97"/>
      <c r="AI569" s="97"/>
      <c r="AJ569" s="97"/>
      <c r="AK569" s="97"/>
      <c r="AL569" s="97"/>
      <c r="AM569" s="97"/>
      <c r="AN569" s="97"/>
      <c r="AO569" s="97"/>
      <c r="AP569" s="97"/>
      <c r="AQ569" s="99"/>
      <c r="AR569" s="99"/>
      <c r="AS569" s="99"/>
    </row>
    <row r="570">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c r="AB570" s="97"/>
      <c r="AC570" s="97"/>
      <c r="AD570" s="97"/>
      <c r="AE570" s="97"/>
      <c r="AF570" s="97"/>
      <c r="AG570" s="97"/>
      <c r="AH570" s="97"/>
      <c r="AI570" s="97"/>
      <c r="AJ570" s="97"/>
      <c r="AK570" s="97"/>
      <c r="AL570" s="97"/>
      <c r="AM570" s="97"/>
      <c r="AN570" s="97"/>
      <c r="AO570" s="97"/>
      <c r="AP570" s="97"/>
      <c r="AQ570" s="99"/>
      <c r="AR570" s="99"/>
      <c r="AS570" s="99"/>
    </row>
    <row r="57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c r="AB571" s="97"/>
      <c r="AC571" s="97"/>
      <c r="AD571" s="97"/>
      <c r="AE571" s="97"/>
      <c r="AF571" s="97"/>
      <c r="AG571" s="97"/>
      <c r="AH571" s="97"/>
      <c r="AI571" s="97"/>
      <c r="AJ571" s="97"/>
      <c r="AK571" s="97"/>
      <c r="AL571" s="97"/>
      <c r="AM571" s="97"/>
      <c r="AN571" s="97"/>
      <c r="AO571" s="97"/>
      <c r="AP571" s="97"/>
      <c r="AQ571" s="99"/>
      <c r="AR571" s="99"/>
      <c r="AS571" s="99"/>
    </row>
    <row r="572">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c r="AB572" s="97"/>
      <c r="AC572" s="97"/>
      <c r="AD572" s="97"/>
      <c r="AE572" s="97"/>
      <c r="AF572" s="97"/>
      <c r="AG572" s="97"/>
      <c r="AH572" s="97"/>
      <c r="AI572" s="97"/>
      <c r="AJ572" s="97"/>
      <c r="AK572" s="97"/>
      <c r="AL572" s="97"/>
      <c r="AM572" s="97"/>
      <c r="AN572" s="97"/>
      <c r="AO572" s="97"/>
      <c r="AP572" s="97"/>
      <c r="AQ572" s="99"/>
      <c r="AR572" s="99"/>
      <c r="AS572" s="99"/>
    </row>
    <row r="573">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c r="AB573" s="97"/>
      <c r="AC573" s="97"/>
      <c r="AD573" s="97"/>
      <c r="AE573" s="97"/>
      <c r="AF573" s="97"/>
      <c r="AG573" s="97"/>
      <c r="AH573" s="97"/>
      <c r="AI573" s="97"/>
      <c r="AJ573" s="97"/>
      <c r="AK573" s="97"/>
      <c r="AL573" s="97"/>
      <c r="AM573" s="97"/>
      <c r="AN573" s="97"/>
      <c r="AO573" s="97"/>
      <c r="AP573" s="97"/>
      <c r="AQ573" s="99"/>
      <c r="AR573" s="99"/>
      <c r="AS573" s="99"/>
    </row>
    <row r="574">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c r="AB574" s="97"/>
      <c r="AC574" s="97"/>
      <c r="AD574" s="97"/>
      <c r="AE574" s="97"/>
      <c r="AF574" s="97"/>
      <c r="AG574" s="97"/>
      <c r="AH574" s="97"/>
      <c r="AI574" s="97"/>
      <c r="AJ574" s="97"/>
      <c r="AK574" s="97"/>
      <c r="AL574" s="97"/>
      <c r="AM574" s="97"/>
      <c r="AN574" s="97"/>
      <c r="AO574" s="97"/>
      <c r="AP574" s="97"/>
      <c r="AQ574" s="99"/>
      <c r="AR574" s="99"/>
      <c r="AS574" s="99"/>
    </row>
    <row r="57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c r="AB575" s="97"/>
      <c r="AC575" s="97"/>
      <c r="AD575" s="97"/>
      <c r="AE575" s="97"/>
      <c r="AF575" s="97"/>
      <c r="AG575" s="97"/>
      <c r="AH575" s="97"/>
      <c r="AI575" s="97"/>
      <c r="AJ575" s="97"/>
      <c r="AK575" s="97"/>
      <c r="AL575" s="97"/>
      <c r="AM575" s="97"/>
      <c r="AN575" s="97"/>
      <c r="AO575" s="97"/>
      <c r="AP575" s="97"/>
      <c r="AQ575" s="99"/>
      <c r="AR575" s="99"/>
      <c r="AS575" s="99"/>
    </row>
    <row r="576">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c r="AB576" s="97"/>
      <c r="AC576" s="97"/>
      <c r="AD576" s="97"/>
      <c r="AE576" s="97"/>
      <c r="AF576" s="97"/>
      <c r="AG576" s="97"/>
      <c r="AH576" s="97"/>
      <c r="AI576" s="97"/>
      <c r="AJ576" s="97"/>
      <c r="AK576" s="97"/>
      <c r="AL576" s="97"/>
      <c r="AM576" s="97"/>
      <c r="AN576" s="97"/>
      <c r="AO576" s="97"/>
      <c r="AP576" s="97"/>
      <c r="AQ576" s="99"/>
      <c r="AR576" s="99"/>
      <c r="AS576" s="99"/>
    </row>
    <row r="577">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c r="AB577" s="97"/>
      <c r="AC577" s="97"/>
      <c r="AD577" s="97"/>
      <c r="AE577" s="97"/>
      <c r="AF577" s="97"/>
      <c r="AG577" s="97"/>
      <c r="AH577" s="97"/>
      <c r="AI577" s="97"/>
      <c r="AJ577" s="97"/>
      <c r="AK577" s="97"/>
      <c r="AL577" s="97"/>
      <c r="AM577" s="97"/>
      <c r="AN577" s="97"/>
      <c r="AO577" s="97"/>
      <c r="AP577" s="97"/>
      <c r="AQ577" s="99"/>
      <c r="AR577" s="99"/>
      <c r="AS577" s="99"/>
    </row>
    <row r="578">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c r="AB578" s="97"/>
      <c r="AC578" s="97"/>
      <c r="AD578" s="97"/>
      <c r="AE578" s="97"/>
      <c r="AF578" s="97"/>
      <c r="AG578" s="97"/>
      <c r="AH578" s="97"/>
      <c r="AI578" s="97"/>
      <c r="AJ578" s="97"/>
      <c r="AK578" s="97"/>
      <c r="AL578" s="97"/>
      <c r="AM578" s="97"/>
      <c r="AN578" s="97"/>
      <c r="AO578" s="97"/>
      <c r="AP578" s="97"/>
      <c r="AQ578" s="99"/>
      <c r="AR578" s="99"/>
      <c r="AS578" s="99"/>
    </row>
    <row r="579">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7"/>
      <c r="AC579" s="97"/>
      <c r="AD579" s="97"/>
      <c r="AE579" s="97"/>
      <c r="AF579" s="97"/>
      <c r="AG579" s="97"/>
      <c r="AH579" s="97"/>
      <c r="AI579" s="97"/>
      <c r="AJ579" s="97"/>
      <c r="AK579" s="97"/>
      <c r="AL579" s="97"/>
      <c r="AM579" s="97"/>
      <c r="AN579" s="97"/>
      <c r="AO579" s="97"/>
      <c r="AP579" s="97"/>
      <c r="AQ579" s="99"/>
      <c r="AR579" s="99"/>
      <c r="AS579" s="99"/>
    </row>
    <row r="580">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c r="AB580" s="97"/>
      <c r="AC580" s="97"/>
      <c r="AD580" s="97"/>
      <c r="AE580" s="97"/>
      <c r="AF580" s="97"/>
      <c r="AG580" s="97"/>
      <c r="AH580" s="97"/>
      <c r="AI580" s="97"/>
      <c r="AJ580" s="97"/>
      <c r="AK580" s="97"/>
      <c r="AL580" s="97"/>
      <c r="AM580" s="97"/>
      <c r="AN580" s="97"/>
      <c r="AO580" s="97"/>
      <c r="AP580" s="97"/>
      <c r="AQ580" s="99"/>
      <c r="AR580" s="99"/>
      <c r="AS580" s="99"/>
    </row>
    <row r="58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9"/>
      <c r="AR581" s="99"/>
      <c r="AS581" s="99"/>
    </row>
    <row r="582">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c r="AB582" s="97"/>
      <c r="AC582" s="97"/>
      <c r="AD582" s="97"/>
      <c r="AE582" s="97"/>
      <c r="AF582" s="97"/>
      <c r="AG582" s="97"/>
      <c r="AH582" s="97"/>
      <c r="AI582" s="97"/>
      <c r="AJ582" s="97"/>
      <c r="AK582" s="97"/>
      <c r="AL582" s="97"/>
      <c r="AM582" s="97"/>
      <c r="AN582" s="97"/>
      <c r="AO582" s="97"/>
      <c r="AP582" s="97"/>
      <c r="AQ582" s="99"/>
      <c r="AR582" s="99"/>
      <c r="AS582" s="99"/>
    </row>
    <row r="583">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c r="AB583" s="97"/>
      <c r="AC583" s="97"/>
      <c r="AD583" s="97"/>
      <c r="AE583" s="97"/>
      <c r="AF583" s="97"/>
      <c r="AG583" s="97"/>
      <c r="AH583" s="97"/>
      <c r="AI583" s="97"/>
      <c r="AJ583" s="97"/>
      <c r="AK583" s="97"/>
      <c r="AL583" s="97"/>
      <c r="AM583" s="97"/>
      <c r="AN583" s="97"/>
      <c r="AO583" s="97"/>
      <c r="AP583" s="97"/>
      <c r="AQ583" s="99"/>
      <c r="AR583" s="99"/>
      <c r="AS583" s="99"/>
    </row>
    <row r="584">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c r="AB584" s="97"/>
      <c r="AC584" s="97"/>
      <c r="AD584" s="97"/>
      <c r="AE584" s="97"/>
      <c r="AF584" s="97"/>
      <c r="AG584" s="97"/>
      <c r="AH584" s="97"/>
      <c r="AI584" s="97"/>
      <c r="AJ584" s="97"/>
      <c r="AK584" s="97"/>
      <c r="AL584" s="97"/>
      <c r="AM584" s="97"/>
      <c r="AN584" s="97"/>
      <c r="AO584" s="97"/>
      <c r="AP584" s="97"/>
      <c r="AQ584" s="99"/>
      <c r="AR584" s="99"/>
      <c r="AS584" s="99"/>
    </row>
    <row r="58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c r="AB585" s="97"/>
      <c r="AC585" s="97"/>
      <c r="AD585" s="97"/>
      <c r="AE585" s="97"/>
      <c r="AF585" s="97"/>
      <c r="AG585" s="97"/>
      <c r="AH585" s="97"/>
      <c r="AI585" s="97"/>
      <c r="AJ585" s="97"/>
      <c r="AK585" s="97"/>
      <c r="AL585" s="97"/>
      <c r="AM585" s="97"/>
      <c r="AN585" s="97"/>
      <c r="AO585" s="97"/>
      <c r="AP585" s="97"/>
      <c r="AQ585" s="99"/>
      <c r="AR585" s="99"/>
      <c r="AS585" s="99"/>
    </row>
    <row r="586">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c r="AB586" s="97"/>
      <c r="AC586" s="97"/>
      <c r="AD586" s="97"/>
      <c r="AE586" s="97"/>
      <c r="AF586" s="97"/>
      <c r="AG586" s="97"/>
      <c r="AH586" s="97"/>
      <c r="AI586" s="97"/>
      <c r="AJ586" s="97"/>
      <c r="AK586" s="97"/>
      <c r="AL586" s="97"/>
      <c r="AM586" s="97"/>
      <c r="AN586" s="97"/>
      <c r="AO586" s="97"/>
      <c r="AP586" s="97"/>
      <c r="AQ586" s="99"/>
      <c r="AR586" s="99"/>
      <c r="AS586" s="99"/>
    </row>
    <row r="587">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c r="AB587" s="97"/>
      <c r="AC587" s="97"/>
      <c r="AD587" s="97"/>
      <c r="AE587" s="97"/>
      <c r="AF587" s="97"/>
      <c r="AG587" s="97"/>
      <c r="AH587" s="97"/>
      <c r="AI587" s="97"/>
      <c r="AJ587" s="97"/>
      <c r="AK587" s="97"/>
      <c r="AL587" s="97"/>
      <c r="AM587" s="97"/>
      <c r="AN587" s="97"/>
      <c r="AO587" s="97"/>
      <c r="AP587" s="97"/>
      <c r="AQ587" s="99"/>
      <c r="AR587" s="99"/>
      <c r="AS587" s="99"/>
    </row>
    <row r="588">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c r="AB588" s="97"/>
      <c r="AC588" s="97"/>
      <c r="AD588" s="97"/>
      <c r="AE588" s="97"/>
      <c r="AF588" s="97"/>
      <c r="AG588" s="97"/>
      <c r="AH588" s="97"/>
      <c r="AI588" s="97"/>
      <c r="AJ588" s="97"/>
      <c r="AK588" s="97"/>
      <c r="AL588" s="97"/>
      <c r="AM588" s="97"/>
      <c r="AN588" s="97"/>
      <c r="AO588" s="97"/>
      <c r="AP588" s="97"/>
      <c r="AQ588" s="99"/>
      <c r="AR588" s="99"/>
      <c r="AS588" s="99"/>
    </row>
    <row r="589">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c r="AB589" s="97"/>
      <c r="AC589" s="97"/>
      <c r="AD589" s="97"/>
      <c r="AE589" s="97"/>
      <c r="AF589" s="97"/>
      <c r="AG589" s="97"/>
      <c r="AH589" s="97"/>
      <c r="AI589" s="97"/>
      <c r="AJ589" s="97"/>
      <c r="AK589" s="97"/>
      <c r="AL589" s="97"/>
      <c r="AM589" s="97"/>
      <c r="AN589" s="97"/>
      <c r="AO589" s="97"/>
      <c r="AP589" s="97"/>
      <c r="AQ589" s="99"/>
      <c r="AR589" s="99"/>
      <c r="AS589" s="99"/>
    </row>
    <row r="590">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c r="AB590" s="97"/>
      <c r="AC590" s="97"/>
      <c r="AD590" s="97"/>
      <c r="AE590" s="97"/>
      <c r="AF590" s="97"/>
      <c r="AG590" s="97"/>
      <c r="AH590" s="97"/>
      <c r="AI590" s="97"/>
      <c r="AJ590" s="97"/>
      <c r="AK590" s="97"/>
      <c r="AL590" s="97"/>
      <c r="AM590" s="97"/>
      <c r="AN590" s="97"/>
      <c r="AO590" s="97"/>
      <c r="AP590" s="97"/>
      <c r="AQ590" s="99"/>
      <c r="AR590" s="99"/>
      <c r="AS590" s="99"/>
    </row>
    <row r="59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c r="AB591" s="97"/>
      <c r="AC591" s="97"/>
      <c r="AD591" s="97"/>
      <c r="AE591" s="97"/>
      <c r="AF591" s="97"/>
      <c r="AG591" s="97"/>
      <c r="AH591" s="97"/>
      <c r="AI591" s="97"/>
      <c r="AJ591" s="97"/>
      <c r="AK591" s="97"/>
      <c r="AL591" s="97"/>
      <c r="AM591" s="97"/>
      <c r="AN591" s="97"/>
      <c r="AO591" s="97"/>
      <c r="AP591" s="97"/>
      <c r="AQ591" s="99"/>
      <c r="AR591" s="99"/>
      <c r="AS591" s="99"/>
    </row>
    <row r="592">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c r="AB592" s="97"/>
      <c r="AC592" s="97"/>
      <c r="AD592" s="97"/>
      <c r="AE592" s="97"/>
      <c r="AF592" s="97"/>
      <c r="AG592" s="97"/>
      <c r="AH592" s="97"/>
      <c r="AI592" s="97"/>
      <c r="AJ592" s="97"/>
      <c r="AK592" s="97"/>
      <c r="AL592" s="97"/>
      <c r="AM592" s="97"/>
      <c r="AN592" s="97"/>
      <c r="AO592" s="97"/>
      <c r="AP592" s="97"/>
      <c r="AQ592" s="99"/>
      <c r="AR592" s="99"/>
      <c r="AS592" s="99"/>
    </row>
    <row r="593">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c r="AB593" s="97"/>
      <c r="AC593" s="97"/>
      <c r="AD593" s="97"/>
      <c r="AE593" s="97"/>
      <c r="AF593" s="97"/>
      <c r="AG593" s="97"/>
      <c r="AH593" s="97"/>
      <c r="AI593" s="97"/>
      <c r="AJ593" s="97"/>
      <c r="AK593" s="97"/>
      <c r="AL593" s="97"/>
      <c r="AM593" s="97"/>
      <c r="AN593" s="97"/>
      <c r="AO593" s="97"/>
      <c r="AP593" s="97"/>
      <c r="AQ593" s="99"/>
      <c r="AR593" s="99"/>
      <c r="AS593" s="99"/>
    </row>
    <row r="594">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c r="AB594" s="97"/>
      <c r="AC594" s="97"/>
      <c r="AD594" s="97"/>
      <c r="AE594" s="97"/>
      <c r="AF594" s="97"/>
      <c r="AG594" s="97"/>
      <c r="AH594" s="97"/>
      <c r="AI594" s="97"/>
      <c r="AJ594" s="97"/>
      <c r="AK594" s="97"/>
      <c r="AL594" s="97"/>
      <c r="AM594" s="97"/>
      <c r="AN594" s="97"/>
      <c r="AO594" s="97"/>
      <c r="AP594" s="97"/>
      <c r="AQ594" s="99"/>
      <c r="AR594" s="99"/>
      <c r="AS594" s="99"/>
    </row>
    <row r="59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c r="AB595" s="97"/>
      <c r="AC595" s="97"/>
      <c r="AD595" s="97"/>
      <c r="AE595" s="97"/>
      <c r="AF595" s="97"/>
      <c r="AG595" s="97"/>
      <c r="AH595" s="97"/>
      <c r="AI595" s="97"/>
      <c r="AJ595" s="97"/>
      <c r="AK595" s="97"/>
      <c r="AL595" s="97"/>
      <c r="AM595" s="97"/>
      <c r="AN595" s="97"/>
      <c r="AO595" s="97"/>
      <c r="AP595" s="97"/>
      <c r="AQ595" s="99"/>
      <c r="AR595" s="99"/>
      <c r="AS595" s="99"/>
    </row>
    <row r="596">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c r="AB596" s="97"/>
      <c r="AC596" s="97"/>
      <c r="AD596" s="97"/>
      <c r="AE596" s="97"/>
      <c r="AF596" s="97"/>
      <c r="AG596" s="97"/>
      <c r="AH596" s="97"/>
      <c r="AI596" s="97"/>
      <c r="AJ596" s="97"/>
      <c r="AK596" s="97"/>
      <c r="AL596" s="97"/>
      <c r="AM596" s="97"/>
      <c r="AN596" s="97"/>
      <c r="AO596" s="97"/>
      <c r="AP596" s="97"/>
      <c r="AQ596" s="99"/>
      <c r="AR596" s="99"/>
      <c r="AS596" s="99"/>
    </row>
    <row r="597">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c r="AB597" s="97"/>
      <c r="AC597" s="97"/>
      <c r="AD597" s="97"/>
      <c r="AE597" s="97"/>
      <c r="AF597" s="97"/>
      <c r="AG597" s="97"/>
      <c r="AH597" s="97"/>
      <c r="AI597" s="97"/>
      <c r="AJ597" s="97"/>
      <c r="AK597" s="97"/>
      <c r="AL597" s="97"/>
      <c r="AM597" s="97"/>
      <c r="AN597" s="97"/>
      <c r="AO597" s="97"/>
      <c r="AP597" s="97"/>
      <c r="AQ597" s="99"/>
      <c r="AR597" s="99"/>
      <c r="AS597" s="99"/>
    </row>
    <row r="598">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7"/>
      <c r="AC598" s="97"/>
      <c r="AD598" s="97"/>
      <c r="AE598" s="97"/>
      <c r="AF598" s="97"/>
      <c r="AG598" s="97"/>
      <c r="AH598" s="97"/>
      <c r="AI598" s="97"/>
      <c r="AJ598" s="97"/>
      <c r="AK598" s="97"/>
      <c r="AL598" s="97"/>
      <c r="AM598" s="97"/>
      <c r="AN598" s="97"/>
      <c r="AO598" s="97"/>
      <c r="AP598" s="97"/>
      <c r="AQ598" s="99"/>
      <c r="AR598" s="99"/>
      <c r="AS598" s="99"/>
    </row>
    <row r="599">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7"/>
      <c r="AC599" s="97"/>
      <c r="AD599" s="97"/>
      <c r="AE599" s="97"/>
      <c r="AF599" s="97"/>
      <c r="AG599" s="97"/>
      <c r="AH599" s="97"/>
      <c r="AI599" s="97"/>
      <c r="AJ599" s="97"/>
      <c r="AK599" s="97"/>
      <c r="AL599" s="97"/>
      <c r="AM599" s="97"/>
      <c r="AN599" s="97"/>
      <c r="AO599" s="97"/>
      <c r="AP599" s="97"/>
      <c r="AQ599" s="99"/>
      <c r="AR599" s="99"/>
      <c r="AS599" s="99"/>
    </row>
    <row r="600">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c r="AB600" s="97"/>
      <c r="AC600" s="97"/>
      <c r="AD600" s="97"/>
      <c r="AE600" s="97"/>
      <c r="AF600" s="97"/>
      <c r="AG600" s="97"/>
      <c r="AH600" s="97"/>
      <c r="AI600" s="97"/>
      <c r="AJ600" s="97"/>
      <c r="AK600" s="97"/>
      <c r="AL600" s="97"/>
      <c r="AM600" s="97"/>
      <c r="AN600" s="97"/>
      <c r="AO600" s="97"/>
      <c r="AP600" s="97"/>
      <c r="AQ600" s="99"/>
      <c r="AR600" s="99"/>
      <c r="AS600" s="99"/>
    </row>
    <row r="60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7"/>
      <c r="AC601" s="97"/>
      <c r="AD601" s="97"/>
      <c r="AE601" s="97"/>
      <c r="AF601" s="97"/>
      <c r="AG601" s="97"/>
      <c r="AH601" s="97"/>
      <c r="AI601" s="97"/>
      <c r="AJ601" s="97"/>
      <c r="AK601" s="97"/>
      <c r="AL601" s="97"/>
      <c r="AM601" s="97"/>
      <c r="AN601" s="97"/>
      <c r="AO601" s="97"/>
      <c r="AP601" s="97"/>
      <c r="AQ601" s="99"/>
      <c r="AR601" s="99"/>
      <c r="AS601" s="99"/>
    </row>
    <row r="602">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7"/>
      <c r="AC602" s="97"/>
      <c r="AD602" s="97"/>
      <c r="AE602" s="97"/>
      <c r="AF602" s="97"/>
      <c r="AG602" s="97"/>
      <c r="AH602" s="97"/>
      <c r="AI602" s="97"/>
      <c r="AJ602" s="97"/>
      <c r="AK602" s="97"/>
      <c r="AL602" s="97"/>
      <c r="AM602" s="97"/>
      <c r="AN602" s="97"/>
      <c r="AO602" s="97"/>
      <c r="AP602" s="97"/>
      <c r="AQ602" s="99"/>
      <c r="AR602" s="99"/>
      <c r="AS602" s="99"/>
    </row>
    <row r="603">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c r="AB603" s="97"/>
      <c r="AC603" s="97"/>
      <c r="AD603" s="97"/>
      <c r="AE603" s="97"/>
      <c r="AF603" s="97"/>
      <c r="AG603" s="97"/>
      <c r="AH603" s="97"/>
      <c r="AI603" s="97"/>
      <c r="AJ603" s="97"/>
      <c r="AK603" s="97"/>
      <c r="AL603" s="97"/>
      <c r="AM603" s="97"/>
      <c r="AN603" s="97"/>
      <c r="AO603" s="97"/>
      <c r="AP603" s="97"/>
      <c r="AQ603" s="99"/>
      <c r="AR603" s="99"/>
      <c r="AS603" s="99"/>
    </row>
    <row r="604">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c r="AB604" s="97"/>
      <c r="AC604" s="97"/>
      <c r="AD604" s="97"/>
      <c r="AE604" s="97"/>
      <c r="AF604" s="97"/>
      <c r="AG604" s="97"/>
      <c r="AH604" s="97"/>
      <c r="AI604" s="97"/>
      <c r="AJ604" s="97"/>
      <c r="AK604" s="97"/>
      <c r="AL604" s="97"/>
      <c r="AM604" s="97"/>
      <c r="AN604" s="97"/>
      <c r="AO604" s="97"/>
      <c r="AP604" s="97"/>
      <c r="AQ604" s="99"/>
      <c r="AR604" s="99"/>
      <c r="AS604" s="99"/>
    </row>
    <row r="60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c r="AB605" s="97"/>
      <c r="AC605" s="97"/>
      <c r="AD605" s="97"/>
      <c r="AE605" s="97"/>
      <c r="AF605" s="97"/>
      <c r="AG605" s="97"/>
      <c r="AH605" s="97"/>
      <c r="AI605" s="97"/>
      <c r="AJ605" s="97"/>
      <c r="AK605" s="97"/>
      <c r="AL605" s="97"/>
      <c r="AM605" s="97"/>
      <c r="AN605" s="97"/>
      <c r="AO605" s="97"/>
      <c r="AP605" s="97"/>
      <c r="AQ605" s="99"/>
      <c r="AR605" s="99"/>
      <c r="AS605" s="99"/>
    </row>
    <row r="606">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c r="AB606" s="97"/>
      <c r="AC606" s="97"/>
      <c r="AD606" s="97"/>
      <c r="AE606" s="97"/>
      <c r="AF606" s="97"/>
      <c r="AG606" s="97"/>
      <c r="AH606" s="97"/>
      <c r="AI606" s="97"/>
      <c r="AJ606" s="97"/>
      <c r="AK606" s="97"/>
      <c r="AL606" s="97"/>
      <c r="AM606" s="97"/>
      <c r="AN606" s="97"/>
      <c r="AO606" s="97"/>
      <c r="AP606" s="97"/>
      <c r="AQ606" s="99"/>
      <c r="AR606" s="99"/>
      <c r="AS606" s="99"/>
    </row>
    <row r="607">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c r="AB607" s="97"/>
      <c r="AC607" s="97"/>
      <c r="AD607" s="97"/>
      <c r="AE607" s="97"/>
      <c r="AF607" s="97"/>
      <c r="AG607" s="97"/>
      <c r="AH607" s="97"/>
      <c r="AI607" s="97"/>
      <c r="AJ607" s="97"/>
      <c r="AK607" s="97"/>
      <c r="AL607" s="97"/>
      <c r="AM607" s="97"/>
      <c r="AN607" s="97"/>
      <c r="AO607" s="97"/>
      <c r="AP607" s="97"/>
      <c r="AQ607" s="99"/>
      <c r="AR607" s="99"/>
      <c r="AS607" s="99"/>
    </row>
    <row r="608">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c r="AB608" s="97"/>
      <c r="AC608" s="97"/>
      <c r="AD608" s="97"/>
      <c r="AE608" s="97"/>
      <c r="AF608" s="97"/>
      <c r="AG608" s="97"/>
      <c r="AH608" s="97"/>
      <c r="AI608" s="97"/>
      <c r="AJ608" s="97"/>
      <c r="AK608" s="97"/>
      <c r="AL608" s="97"/>
      <c r="AM608" s="97"/>
      <c r="AN608" s="97"/>
      <c r="AO608" s="97"/>
      <c r="AP608" s="97"/>
      <c r="AQ608" s="99"/>
      <c r="AR608" s="99"/>
      <c r="AS608" s="99"/>
    </row>
    <row r="609">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c r="AB609" s="97"/>
      <c r="AC609" s="97"/>
      <c r="AD609" s="97"/>
      <c r="AE609" s="97"/>
      <c r="AF609" s="97"/>
      <c r="AG609" s="97"/>
      <c r="AH609" s="97"/>
      <c r="AI609" s="97"/>
      <c r="AJ609" s="97"/>
      <c r="AK609" s="97"/>
      <c r="AL609" s="97"/>
      <c r="AM609" s="97"/>
      <c r="AN609" s="97"/>
      <c r="AO609" s="97"/>
      <c r="AP609" s="97"/>
      <c r="AQ609" s="99"/>
      <c r="AR609" s="99"/>
      <c r="AS609" s="99"/>
    </row>
    <row r="610">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c r="AB610" s="97"/>
      <c r="AC610" s="97"/>
      <c r="AD610" s="97"/>
      <c r="AE610" s="97"/>
      <c r="AF610" s="97"/>
      <c r="AG610" s="97"/>
      <c r="AH610" s="97"/>
      <c r="AI610" s="97"/>
      <c r="AJ610" s="97"/>
      <c r="AK610" s="97"/>
      <c r="AL610" s="97"/>
      <c r="AM610" s="97"/>
      <c r="AN610" s="97"/>
      <c r="AO610" s="97"/>
      <c r="AP610" s="97"/>
      <c r="AQ610" s="99"/>
      <c r="AR610" s="99"/>
      <c r="AS610" s="99"/>
    </row>
    <row r="61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c r="AB611" s="97"/>
      <c r="AC611" s="97"/>
      <c r="AD611" s="97"/>
      <c r="AE611" s="97"/>
      <c r="AF611" s="97"/>
      <c r="AG611" s="97"/>
      <c r="AH611" s="97"/>
      <c r="AI611" s="97"/>
      <c r="AJ611" s="97"/>
      <c r="AK611" s="97"/>
      <c r="AL611" s="97"/>
      <c r="AM611" s="97"/>
      <c r="AN611" s="97"/>
      <c r="AO611" s="97"/>
      <c r="AP611" s="97"/>
      <c r="AQ611" s="99"/>
      <c r="AR611" s="99"/>
      <c r="AS611" s="99"/>
    </row>
    <row r="612">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c r="AB612" s="97"/>
      <c r="AC612" s="97"/>
      <c r="AD612" s="97"/>
      <c r="AE612" s="97"/>
      <c r="AF612" s="97"/>
      <c r="AG612" s="97"/>
      <c r="AH612" s="97"/>
      <c r="AI612" s="97"/>
      <c r="AJ612" s="97"/>
      <c r="AK612" s="97"/>
      <c r="AL612" s="97"/>
      <c r="AM612" s="97"/>
      <c r="AN612" s="97"/>
      <c r="AO612" s="97"/>
      <c r="AP612" s="97"/>
      <c r="AQ612" s="99"/>
      <c r="AR612" s="99"/>
      <c r="AS612" s="99"/>
    </row>
    <row r="613">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c r="AB613" s="97"/>
      <c r="AC613" s="97"/>
      <c r="AD613" s="97"/>
      <c r="AE613" s="97"/>
      <c r="AF613" s="97"/>
      <c r="AG613" s="97"/>
      <c r="AH613" s="97"/>
      <c r="AI613" s="97"/>
      <c r="AJ613" s="97"/>
      <c r="AK613" s="97"/>
      <c r="AL613" s="97"/>
      <c r="AM613" s="97"/>
      <c r="AN613" s="97"/>
      <c r="AO613" s="97"/>
      <c r="AP613" s="97"/>
      <c r="AQ613" s="99"/>
      <c r="AR613" s="99"/>
      <c r="AS613" s="99"/>
    </row>
    <row r="614">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c r="AB614" s="97"/>
      <c r="AC614" s="97"/>
      <c r="AD614" s="97"/>
      <c r="AE614" s="97"/>
      <c r="AF614" s="97"/>
      <c r="AG614" s="97"/>
      <c r="AH614" s="97"/>
      <c r="AI614" s="97"/>
      <c r="AJ614" s="97"/>
      <c r="AK614" s="97"/>
      <c r="AL614" s="97"/>
      <c r="AM614" s="97"/>
      <c r="AN614" s="97"/>
      <c r="AO614" s="97"/>
      <c r="AP614" s="97"/>
      <c r="AQ614" s="99"/>
      <c r="AR614" s="99"/>
      <c r="AS614" s="99"/>
    </row>
    <row r="61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c r="AB615" s="97"/>
      <c r="AC615" s="97"/>
      <c r="AD615" s="97"/>
      <c r="AE615" s="97"/>
      <c r="AF615" s="97"/>
      <c r="AG615" s="97"/>
      <c r="AH615" s="97"/>
      <c r="AI615" s="97"/>
      <c r="AJ615" s="97"/>
      <c r="AK615" s="97"/>
      <c r="AL615" s="97"/>
      <c r="AM615" s="97"/>
      <c r="AN615" s="97"/>
      <c r="AO615" s="97"/>
      <c r="AP615" s="97"/>
      <c r="AQ615" s="99"/>
      <c r="AR615" s="99"/>
      <c r="AS615" s="99"/>
    </row>
    <row r="616">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c r="AB616" s="97"/>
      <c r="AC616" s="97"/>
      <c r="AD616" s="97"/>
      <c r="AE616" s="97"/>
      <c r="AF616" s="97"/>
      <c r="AG616" s="97"/>
      <c r="AH616" s="97"/>
      <c r="AI616" s="97"/>
      <c r="AJ616" s="97"/>
      <c r="AK616" s="97"/>
      <c r="AL616" s="97"/>
      <c r="AM616" s="97"/>
      <c r="AN616" s="97"/>
      <c r="AO616" s="97"/>
      <c r="AP616" s="97"/>
      <c r="AQ616" s="99"/>
      <c r="AR616" s="99"/>
      <c r="AS616" s="99"/>
    </row>
    <row r="617">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c r="AB617" s="97"/>
      <c r="AC617" s="97"/>
      <c r="AD617" s="97"/>
      <c r="AE617" s="97"/>
      <c r="AF617" s="97"/>
      <c r="AG617" s="97"/>
      <c r="AH617" s="97"/>
      <c r="AI617" s="97"/>
      <c r="AJ617" s="97"/>
      <c r="AK617" s="97"/>
      <c r="AL617" s="97"/>
      <c r="AM617" s="97"/>
      <c r="AN617" s="97"/>
      <c r="AO617" s="97"/>
      <c r="AP617" s="97"/>
      <c r="AQ617" s="99"/>
      <c r="AR617" s="99"/>
      <c r="AS617" s="99"/>
    </row>
    <row r="618">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c r="AB618" s="97"/>
      <c r="AC618" s="97"/>
      <c r="AD618" s="97"/>
      <c r="AE618" s="97"/>
      <c r="AF618" s="97"/>
      <c r="AG618" s="97"/>
      <c r="AH618" s="97"/>
      <c r="AI618" s="97"/>
      <c r="AJ618" s="97"/>
      <c r="AK618" s="97"/>
      <c r="AL618" s="97"/>
      <c r="AM618" s="97"/>
      <c r="AN618" s="97"/>
      <c r="AO618" s="97"/>
      <c r="AP618" s="97"/>
      <c r="AQ618" s="99"/>
      <c r="AR618" s="99"/>
      <c r="AS618" s="99"/>
    </row>
    <row r="619">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c r="AB619" s="97"/>
      <c r="AC619" s="97"/>
      <c r="AD619" s="97"/>
      <c r="AE619" s="97"/>
      <c r="AF619" s="97"/>
      <c r="AG619" s="97"/>
      <c r="AH619" s="97"/>
      <c r="AI619" s="97"/>
      <c r="AJ619" s="97"/>
      <c r="AK619" s="97"/>
      <c r="AL619" s="97"/>
      <c r="AM619" s="97"/>
      <c r="AN619" s="97"/>
      <c r="AO619" s="97"/>
      <c r="AP619" s="97"/>
      <c r="AQ619" s="99"/>
      <c r="AR619" s="99"/>
      <c r="AS619" s="99"/>
    </row>
    <row r="620">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c r="AB620" s="97"/>
      <c r="AC620" s="97"/>
      <c r="AD620" s="97"/>
      <c r="AE620" s="97"/>
      <c r="AF620" s="97"/>
      <c r="AG620" s="97"/>
      <c r="AH620" s="97"/>
      <c r="AI620" s="97"/>
      <c r="AJ620" s="97"/>
      <c r="AK620" s="97"/>
      <c r="AL620" s="97"/>
      <c r="AM620" s="97"/>
      <c r="AN620" s="97"/>
      <c r="AO620" s="97"/>
      <c r="AP620" s="97"/>
      <c r="AQ620" s="99"/>
      <c r="AR620" s="99"/>
      <c r="AS620" s="99"/>
    </row>
    <row r="62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7"/>
      <c r="AC621" s="97"/>
      <c r="AD621" s="97"/>
      <c r="AE621" s="97"/>
      <c r="AF621" s="97"/>
      <c r="AG621" s="97"/>
      <c r="AH621" s="97"/>
      <c r="AI621" s="97"/>
      <c r="AJ621" s="97"/>
      <c r="AK621" s="97"/>
      <c r="AL621" s="97"/>
      <c r="AM621" s="97"/>
      <c r="AN621" s="97"/>
      <c r="AO621" s="97"/>
      <c r="AP621" s="97"/>
      <c r="AQ621" s="99"/>
      <c r="AR621" s="99"/>
      <c r="AS621" s="99"/>
    </row>
    <row r="622">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c r="AB622" s="97"/>
      <c r="AC622" s="97"/>
      <c r="AD622" s="97"/>
      <c r="AE622" s="97"/>
      <c r="AF622" s="97"/>
      <c r="AG622" s="97"/>
      <c r="AH622" s="97"/>
      <c r="AI622" s="97"/>
      <c r="AJ622" s="97"/>
      <c r="AK622" s="97"/>
      <c r="AL622" s="97"/>
      <c r="AM622" s="97"/>
      <c r="AN622" s="97"/>
      <c r="AO622" s="97"/>
      <c r="AP622" s="97"/>
      <c r="AQ622" s="99"/>
      <c r="AR622" s="99"/>
      <c r="AS622" s="99"/>
    </row>
    <row r="623">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c r="AB623" s="97"/>
      <c r="AC623" s="97"/>
      <c r="AD623" s="97"/>
      <c r="AE623" s="97"/>
      <c r="AF623" s="97"/>
      <c r="AG623" s="97"/>
      <c r="AH623" s="97"/>
      <c r="AI623" s="97"/>
      <c r="AJ623" s="97"/>
      <c r="AK623" s="97"/>
      <c r="AL623" s="97"/>
      <c r="AM623" s="97"/>
      <c r="AN623" s="97"/>
      <c r="AO623" s="97"/>
      <c r="AP623" s="97"/>
      <c r="AQ623" s="99"/>
      <c r="AR623" s="99"/>
      <c r="AS623" s="99"/>
    </row>
    <row r="624">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c r="AB624" s="97"/>
      <c r="AC624" s="97"/>
      <c r="AD624" s="97"/>
      <c r="AE624" s="97"/>
      <c r="AF624" s="97"/>
      <c r="AG624" s="97"/>
      <c r="AH624" s="97"/>
      <c r="AI624" s="97"/>
      <c r="AJ624" s="97"/>
      <c r="AK624" s="97"/>
      <c r="AL624" s="97"/>
      <c r="AM624" s="97"/>
      <c r="AN624" s="97"/>
      <c r="AO624" s="97"/>
      <c r="AP624" s="97"/>
      <c r="AQ624" s="99"/>
      <c r="AR624" s="99"/>
      <c r="AS624" s="99"/>
    </row>
    <row r="62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c r="AB625" s="97"/>
      <c r="AC625" s="97"/>
      <c r="AD625" s="97"/>
      <c r="AE625" s="97"/>
      <c r="AF625" s="97"/>
      <c r="AG625" s="97"/>
      <c r="AH625" s="97"/>
      <c r="AI625" s="97"/>
      <c r="AJ625" s="97"/>
      <c r="AK625" s="97"/>
      <c r="AL625" s="97"/>
      <c r="AM625" s="97"/>
      <c r="AN625" s="97"/>
      <c r="AO625" s="97"/>
      <c r="AP625" s="97"/>
      <c r="AQ625" s="99"/>
      <c r="AR625" s="99"/>
      <c r="AS625" s="99"/>
    </row>
    <row r="626">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c r="AB626" s="97"/>
      <c r="AC626" s="97"/>
      <c r="AD626" s="97"/>
      <c r="AE626" s="97"/>
      <c r="AF626" s="97"/>
      <c r="AG626" s="97"/>
      <c r="AH626" s="97"/>
      <c r="AI626" s="97"/>
      <c r="AJ626" s="97"/>
      <c r="AK626" s="97"/>
      <c r="AL626" s="97"/>
      <c r="AM626" s="97"/>
      <c r="AN626" s="97"/>
      <c r="AO626" s="97"/>
      <c r="AP626" s="97"/>
      <c r="AQ626" s="99"/>
      <c r="AR626" s="99"/>
      <c r="AS626" s="99"/>
    </row>
    <row r="627">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c r="AB627" s="97"/>
      <c r="AC627" s="97"/>
      <c r="AD627" s="97"/>
      <c r="AE627" s="97"/>
      <c r="AF627" s="97"/>
      <c r="AG627" s="97"/>
      <c r="AH627" s="97"/>
      <c r="AI627" s="97"/>
      <c r="AJ627" s="97"/>
      <c r="AK627" s="97"/>
      <c r="AL627" s="97"/>
      <c r="AM627" s="97"/>
      <c r="AN627" s="97"/>
      <c r="AO627" s="97"/>
      <c r="AP627" s="97"/>
      <c r="AQ627" s="99"/>
      <c r="AR627" s="99"/>
      <c r="AS627" s="99"/>
    </row>
    <row r="628">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c r="AB628" s="97"/>
      <c r="AC628" s="97"/>
      <c r="AD628" s="97"/>
      <c r="AE628" s="97"/>
      <c r="AF628" s="97"/>
      <c r="AG628" s="97"/>
      <c r="AH628" s="97"/>
      <c r="AI628" s="97"/>
      <c r="AJ628" s="97"/>
      <c r="AK628" s="97"/>
      <c r="AL628" s="97"/>
      <c r="AM628" s="97"/>
      <c r="AN628" s="97"/>
      <c r="AO628" s="97"/>
      <c r="AP628" s="97"/>
      <c r="AQ628" s="99"/>
      <c r="AR628" s="99"/>
      <c r="AS628" s="99"/>
    </row>
    <row r="629">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c r="AB629" s="97"/>
      <c r="AC629" s="97"/>
      <c r="AD629" s="97"/>
      <c r="AE629" s="97"/>
      <c r="AF629" s="97"/>
      <c r="AG629" s="97"/>
      <c r="AH629" s="97"/>
      <c r="AI629" s="97"/>
      <c r="AJ629" s="97"/>
      <c r="AK629" s="97"/>
      <c r="AL629" s="97"/>
      <c r="AM629" s="97"/>
      <c r="AN629" s="97"/>
      <c r="AO629" s="97"/>
      <c r="AP629" s="97"/>
      <c r="AQ629" s="99"/>
      <c r="AR629" s="99"/>
      <c r="AS629" s="99"/>
    </row>
    <row r="630">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c r="AB630" s="97"/>
      <c r="AC630" s="97"/>
      <c r="AD630" s="97"/>
      <c r="AE630" s="97"/>
      <c r="AF630" s="97"/>
      <c r="AG630" s="97"/>
      <c r="AH630" s="97"/>
      <c r="AI630" s="97"/>
      <c r="AJ630" s="97"/>
      <c r="AK630" s="97"/>
      <c r="AL630" s="97"/>
      <c r="AM630" s="97"/>
      <c r="AN630" s="97"/>
      <c r="AO630" s="97"/>
      <c r="AP630" s="97"/>
      <c r="AQ630" s="99"/>
      <c r="AR630" s="99"/>
      <c r="AS630" s="99"/>
    </row>
    <row r="63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c r="AB631" s="97"/>
      <c r="AC631" s="97"/>
      <c r="AD631" s="97"/>
      <c r="AE631" s="97"/>
      <c r="AF631" s="97"/>
      <c r="AG631" s="97"/>
      <c r="AH631" s="97"/>
      <c r="AI631" s="97"/>
      <c r="AJ631" s="97"/>
      <c r="AK631" s="97"/>
      <c r="AL631" s="97"/>
      <c r="AM631" s="97"/>
      <c r="AN631" s="97"/>
      <c r="AO631" s="97"/>
      <c r="AP631" s="97"/>
      <c r="AQ631" s="99"/>
      <c r="AR631" s="99"/>
      <c r="AS631" s="99"/>
    </row>
    <row r="632">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c r="AB632" s="97"/>
      <c r="AC632" s="97"/>
      <c r="AD632" s="97"/>
      <c r="AE632" s="97"/>
      <c r="AF632" s="97"/>
      <c r="AG632" s="97"/>
      <c r="AH632" s="97"/>
      <c r="AI632" s="97"/>
      <c r="AJ632" s="97"/>
      <c r="AK632" s="97"/>
      <c r="AL632" s="97"/>
      <c r="AM632" s="97"/>
      <c r="AN632" s="97"/>
      <c r="AO632" s="97"/>
      <c r="AP632" s="97"/>
      <c r="AQ632" s="99"/>
      <c r="AR632" s="99"/>
      <c r="AS632" s="99"/>
    </row>
    <row r="633">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c r="AB633" s="97"/>
      <c r="AC633" s="97"/>
      <c r="AD633" s="97"/>
      <c r="AE633" s="97"/>
      <c r="AF633" s="97"/>
      <c r="AG633" s="97"/>
      <c r="AH633" s="97"/>
      <c r="AI633" s="97"/>
      <c r="AJ633" s="97"/>
      <c r="AK633" s="97"/>
      <c r="AL633" s="97"/>
      <c r="AM633" s="97"/>
      <c r="AN633" s="97"/>
      <c r="AO633" s="97"/>
      <c r="AP633" s="97"/>
      <c r="AQ633" s="99"/>
      <c r="AR633" s="99"/>
      <c r="AS633" s="99"/>
    </row>
    <row r="634">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c r="AB634" s="97"/>
      <c r="AC634" s="97"/>
      <c r="AD634" s="97"/>
      <c r="AE634" s="97"/>
      <c r="AF634" s="97"/>
      <c r="AG634" s="97"/>
      <c r="AH634" s="97"/>
      <c r="AI634" s="97"/>
      <c r="AJ634" s="97"/>
      <c r="AK634" s="97"/>
      <c r="AL634" s="97"/>
      <c r="AM634" s="97"/>
      <c r="AN634" s="97"/>
      <c r="AO634" s="97"/>
      <c r="AP634" s="97"/>
      <c r="AQ634" s="99"/>
      <c r="AR634" s="99"/>
      <c r="AS634" s="99"/>
    </row>
    <row r="63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c r="AB635" s="97"/>
      <c r="AC635" s="97"/>
      <c r="AD635" s="97"/>
      <c r="AE635" s="97"/>
      <c r="AF635" s="97"/>
      <c r="AG635" s="97"/>
      <c r="AH635" s="97"/>
      <c r="AI635" s="97"/>
      <c r="AJ635" s="97"/>
      <c r="AK635" s="97"/>
      <c r="AL635" s="97"/>
      <c r="AM635" s="97"/>
      <c r="AN635" s="97"/>
      <c r="AO635" s="97"/>
      <c r="AP635" s="97"/>
      <c r="AQ635" s="99"/>
      <c r="AR635" s="99"/>
      <c r="AS635" s="99"/>
    </row>
    <row r="636">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c r="AB636" s="97"/>
      <c r="AC636" s="97"/>
      <c r="AD636" s="97"/>
      <c r="AE636" s="97"/>
      <c r="AF636" s="97"/>
      <c r="AG636" s="97"/>
      <c r="AH636" s="97"/>
      <c r="AI636" s="97"/>
      <c r="AJ636" s="97"/>
      <c r="AK636" s="97"/>
      <c r="AL636" s="97"/>
      <c r="AM636" s="97"/>
      <c r="AN636" s="97"/>
      <c r="AO636" s="97"/>
      <c r="AP636" s="97"/>
      <c r="AQ636" s="99"/>
      <c r="AR636" s="99"/>
      <c r="AS636" s="99"/>
    </row>
    <row r="637">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c r="AB637" s="97"/>
      <c r="AC637" s="97"/>
      <c r="AD637" s="97"/>
      <c r="AE637" s="97"/>
      <c r="AF637" s="97"/>
      <c r="AG637" s="97"/>
      <c r="AH637" s="97"/>
      <c r="AI637" s="97"/>
      <c r="AJ637" s="97"/>
      <c r="AK637" s="97"/>
      <c r="AL637" s="97"/>
      <c r="AM637" s="97"/>
      <c r="AN637" s="97"/>
      <c r="AO637" s="97"/>
      <c r="AP637" s="97"/>
      <c r="AQ637" s="99"/>
      <c r="AR637" s="99"/>
      <c r="AS637" s="99"/>
    </row>
    <row r="638">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c r="AF638" s="97"/>
      <c r="AG638" s="97"/>
      <c r="AH638" s="97"/>
      <c r="AI638" s="97"/>
      <c r="AJ638" s="97"/>
      <c r="AK638" s="97"/>
      <c r="AL638" s="97"/>
      <c r="AM638" s="97"/>
      <c r="AN638" s="97"/>
      <c r="AO638" s="97"/>
      <c r="AP638" s="97"/>
      <c r="AQ638" s="99"/>
      <c r="AR638" s="99"/>
      <c r="AS638" s="99"/>
    </row>
    <row r="639">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c r="AB639" s="97"/>
      <c r="AC639" s="97"/>
      <c r="AD639" s="97"/>
      <c r="AE639" s="97"/>
      <c r="AF639" s="97"/>
      <c r="AG639" s="97"/>
      <c r="AH639" s="97"/>
      <c r="AI639" s="97"/>
      <c r="AJ639" s="97"/>
      <c r="AK639" s="97"/>
      <c r="AL639" s="97"/>
      <c r="AM639" s="97"/>
      <c r="AN639" s="97"/>
      <c r="AO639" s="97"/>
      <c r="AP639" s="97"/>
      <c r="AQ639" s="99"/>
      <c r="AR639" s="99"/>
      <c r="AS639" s="99"/>
    </row>
    <row r="640">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7"/>
      <c r="AC640" s="97"/>
      <c r="AD640" s="97"/>
      <c r="AE640" s="97"/>
      <c r="AF640" s="97"/>
      <c r="AG640" s="97"/>
      <c r="AH640" s="97"/>
      <c r="AI640" s="97"/>
      <c r="AJ640" s="97"/>
      <c r="AK640" s="97"/>
      <c r="AL640" s="97"/>
      <c r="AM640" s="97"/>
      <c r="AN640" s="97"/>
      <c r="AO640" s="97"/>
      <c r="AP640" s="97"/>
      <c r="AQ640" s="99"/>
      <c r="AR640" s="99"/>
      <c r="AS640" s="99"/>
    </row>
    <row r="64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7"/>
      <c r="AC641" s="97"/>
      <c r="AD641" s="97"/>
      <c r="AE641" s="97"/>
      <c r="AF641" s="97"/>
      <c r="AG641" s="97"/>
      <c r="AH641" s="97"/>
      <c r="AI641" s="97"/>
      <c r="AJ641" s="97"/>
      <c r="AK641" s="97"/>
      <c r="AL641" s="97"/>
      <c r="AM641" s="97"/>
      <c r="AN641" s="97"/>
      <c r="AO641" s="97"/>
      <c r="AP641" s="97"/>
      <c r="AQ641" s="99"/>
      <c r="AR641" s="99"/>
      <c r="AS641" s="99"/>
    </row>
    <row r="642">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7"/>
      <c r="AC642" s="97"/>
      <c r="AD642" s="97"/>
      <c r="AE642" s="97"/>
      <c r="AF642" s="97"/>
      <c r="AG642" s="97"/>
      <c r="AH642" s="97"/>
      <c r="AI642" s="97"/>
      <c r="AJ642" s="97"/>
      <c r="AK642" s="97"/>
      <c r="AL642" s="97"/>
      <c r="AM642" s="97"/>
      <c r="AN642" s="97"/>
      <c r="AO642" s="97"/>
      <c r="AP642" s="97"/>
      <c r="AQ642" s="99"/>
      <c r="AR642" s="99"/>
      <c r="AS642" s="99"/>
    </row>
    <row r="643">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7"/>
      <c r="AC643" s="97"/>
      <c r="AD643" s="97"/>
      <c r="AE643" s="97"/>
      <c r="AF643" s="97"/>
      <c r="AG643" s="97"/>
      <c r="AH643" s="97"/>
      <c r="AI643" s="97"/>
      <c r="AJ643" s="97"/>
      <c r="AK643" s="97"/>
      <c r="AL643" s="97"/>
      <c r="AM643" s="97"/>
      <c r="AN643" s="97"/>
      <c r="AO643" s="97"/>
      <c r="AP643" s="97"/>
      <c r="AQ643" s="99"/>
      <c r="AR643" s="99"/>
      <c r="AS643" s="99"/>
    </row>
    <row r="644">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7"/>
      <c r="AC644" s="97"/>
      <c r="AD644" s="97"/>
      <c r="AE644" s="97"/>
      <c r="AF644" s="97"/>
      <c r="AG644" s="97"/>
      <c r="AH644" s="97"/>
      <c r="AI644" s="97"/>
      <c r="AJ644" s="97"/>
      <c r="AK644" s="97"/>
      <c r="AL644" s="97"/>
      <c r="AM644" s="97"/>
      <c r="AN644" s="97"/>
      <c r="AO644" s="97"/>
      <c r="AP644" s="97"/>
      <c r="AQ644" s="99"/>
      <c r="AR644" s="99"/>
      <c r="AS644" s="99"/>
    </row>
    <row r="64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7"/>
      <c r="AC645" s="97"/>
      <c r="AD645" s="97"/>
      <c r="AE645" s="97"/>
      <c r="AF645" s="97"/>
      <c r="AG645" s="97"/>
      <c r="AH645" s="97"/>
      <c r="AI645" s="97"/>
      <c r="AJ645" s="97"/>
      <c r="AK645" s="97"/>
      <c r="AL645" s="97"/>
      <c r="AM645" s="97"/>
      <c r="AN645" s="97"/>
      <c r="AO645" s="97"/>
      <c r="AP645" s="97"/>
      <c r="AQ645" s="99"/>
      <c r="AR645" s="99"/>
      <c r="AS645" s="99"/>
    </row>
    <row r="646">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7"/>
      <c r="AC646" s="97"/>
      <c r="AD646" s="97"/>
      <c r="AE646" s="97"/>
      <c r="AF646" s="97"/>
      <c r="AG646" s="97"/>
      <c r="AH646" s="97"/>
      <c r="AI646" s="97"/>
      <c r="AJ646" s="97"/>
      <c r="AK646" s="97"/>
      <c r="AL646" s="97"/>
      <c r="AM646" s="97"/>
      <c r="AN646" s="97"/>
      <c r="AO646" s="97"/>
      <c r="AP646" s="97"/>
      <c r="AQ646" s="99"/>
      <c r="AR646" s="99"/>
      <c r="AS646" s="99"/>
    </row>
    <row r="647">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7"/>
      <c r="AC647" s="97"/>
      <c r="AD647" s="97"/>
      <c r="AE647" s="97"/>
      <c r="AF647" s="97"/>
      <c r="AG647" s="97"/>
      <c r="AH647" s="97"/>
      <c r="AI647" s="97"/>
      <c r="AJ647" s="97"/>
      <c r="AK647" s="97"/>
      <c r="AL647" s="97"/>
      <c r="AM647" s="97"/>
      <c r="AN647" s="97"/>
      <c r="AO647" s="97"/>
      <c r="AP647" s="97"/>
      <c r="AQ647" s="99"/>
      <c r="AR647" s="99"/>
      <c r="AS647" s="99"/>
    </row>
    <row r="648">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7"/>
      <c r="AC648" s="97"/>
      <c r="AD648" s="97"/>
      <c r="AE648" s="97"/>
      <c r="AF648" s="97"/>
      <c r="AG648" s="97"/>
      <c r="AH648" s="97"/>
      <c r="AI648" s="97"/>
      <c r="AJ648" s="97"/>
      <c r="AK648" s="97"/>
      <c r="AL648" s="97"/>
      <c r="AM648" s="97"/>
      <c r="AN648" s="97"/>
      <c r="AO648" s="97"/>
      <c r="AP648" s="97"/>
      <c r="AQ648" s="99"/>
      <c r="AR648" s="99"/>
      <c r="AS648" s="99"/>
    </row>
    <row r="649">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7"/>
      <c r="AC649" s="97"/>
      <c r="AD649" s="97"/>
      <c r="AE649" s="97"/>
      <c r="AF649" s="97"/>
      <c r="AG649" s="97"/>
      <c r="AH649" s="97"/>
      <c r="AI649" s="97"/>
      <c r="AJ649" s="97"/>
      <c r="AK649" s="97"/>
      <c r="AL649" s="97"/>
      <c r="AM649" s="97"/>
      <c r="AN649" s="97"/>
      <c r="AO649" s="97"/>
      <c r="AP649" s="97"/>
      <c r="AQ649" s="99"/>
      <c r="AR649" s="99"/>
      <c r="AS649" s="99"/>
    </row>
    <row r="650">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7"/>
      <c r="AC650" s="97"/>
      <c r="AD650" s="97"/>
      <c r="AE650" s="97"/>
      <c r="AF650" s="97"/>
      <c r="AG650" s="97"/>
      <c r="AH650" s="97"/>
      <c r="AI650" s="97"/>
      <c r="AJ650" s="97"/>
      <c r="AK650" s="97"/>
      <c r="AL650" s="97"/>
      <c r="AM650" s="97"/>
      <c r="AN650" s="97"/>
      <c r="AO650" s="97"/>
      <c r="AP650" s="97"/>
      <c r="AQ650" s="99"/>
      <c r="AR650" s="99"/>
      <c r="AS650" s="99"/>
    </row>
    <row r="65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7"/>
      <c r="AC651" s="97"/>
      <c r="AD651" s="97"/>
      <c r="AE651" s="97"/>
      <c r="AF651" s="97"/>
      <c r="AG651" s="97"/>
      <c r="AH651" s="97"/>
      <c r="AI651" s="97"/>
      <c r="AJ651" s="97"/>
      <c r="AK651" s="97"/>
      <c r="AL651" s="97"/>
      <c r="AM651" s="97"/>
      <c r="AN651" s="97"/>
      <c r="AO651" s="97"/>
      <c r="AP651" s="97"/>
      <c r="AQ651" s="99"/>
      <c r="AR651" s="99"/>
      <c r="AS651" s="99"/>
    </row>
    <row r="652">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7"/>
      <c r="AC652" s="97"/>
      <c r="AD652" s="97"/>
      <c r="AE652" s="97"/>
      <c r="AF652" s="97"/>
      <c r="AG652" s="97"/>
      <c r="AH652" s="97"/>
      <c r="AI652" s="97"/>
      <c r="AJ652" s="97"/>
      <c r="AK652" s="97"/>
      <c r="AL652" s="97"/>
      <c r="AM652" s="97"/>
      <c r="AN652" s="97"/>
      <c r="AO652" s="97"/>
      <c r="AP652" s="97"/>
      <c r="AQ652" s="99"/>
      <c r="AR652" s="99"/>
      <c r="AS652" s="99"/>
    </row>
    <row r="653">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7"/>
      <c r="AC653" s="97"/>
      <c r="AD653" s="97"/>
      <c r="AE653" s="97"/>
      <c r="AF653" s="97"/>
      <c r="AG653" s="97"/>
      <c r="AH653" s="97"/>
      <c r="AI653" s="97"/>
      <c r="AJ653" s="97"/>
      <c r="AK653" s="97"/>
      <c r="AL653" s="97"/>
      <c r="AM653" s="97"/>
      <c r="AN653" s="97"/>
      <c r="AO653" s="97"/>
      <c r="AP653" s="97"/>
      <c r="AQ653" s="99"/>
      <c r="AR653" s="99"/>
      <c r="AS653" s="99"/>
    </row>
    <row r="654">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c r="AC654" s="97"/>
      <c r="AD654" s="97"/>
      <c r="AE654" s="97"/>
      <c r="AF654" s="97"/>
      <c r="AG654" s="97"/>
      <c r="AH654" s="97"/>
      <c r="AI654" s="97"/>
      <c r="AJ654" s="97"/>
      <c r="AK654" s="97"/>
      <c r="AL654" s="97"/>
      <c r="AM654" s="97"/>
      <c r="AN654" s="97"/>
      <c r="AO654" s="97"/>
      <c r="AP654" s="97"/>
      <c r="AQ654" s="99"/>
      <c r="AR654" s="99"/>
      <c r="AS654" s="99"/>
    </row>
    <row r="65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c r="AC655" s="97"/>
      <c r="AD655" s="97"/>
      <c r="AE655" s="97"/>
      <c r="AF655" s="97"/>
      <c r="AG655" s="97"/>
      <c r="AH655" s="97"/>
      <c r="AI655" s="97"/>
      <c r="AJ655" s="97"/>
      <c r="AK655" s="97"/>
      <c r="AL655" s="97"/>
      <c r="AM655" s="97"/>
      <c r="AN655" s="97"/>
      <c r="AO655" s="97"/>
      <c r="AP655" s="97"/>
      <c r="AQ655" s="99"/>
      <c r="AR655" s="99"/>
      <c r="AS655" s="99"/>
    </row>
    <row r="656">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c r="AC656" s="97"/>
      <c r="AD656" s="97"/>
      <c r="AE656" s="97"/>
      <c r="AF656" s="97"/>
      <c r="AG656" s="97"/>
      <c r="AH656" s="97"/>
      <c r="AI656" s="97"/>
      <c r="AJ656" s="97"/>
      <c r="AK656" s="97"/>
      <c r="AL656" s="97"/>
      <c r="AM656" s="97"/>
      <c r="AN656" s="97"/>
      <c r="AO656" s="97"/>
      <c r="AP656" s="97"/>
      <c r="AQ656" s="99"/>
      <c r="AR656" s="99"/>
      <c r="AS656" s="99"/>
    </row>
    <row r="657">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c r="AC657" s="97"/>
      <c r="AD657" s="97"/>
      <c r="AE657" s="97"/>
      <c r="AF657" s="97"/>
      <c r="AG657" s="97"/>
      <c r="AH657" s="97"/>
      <c r="AI657" s="97"/>
      <c r="AJ657" s="97"/>
      <c r="AK657" s="97"/>
      <c r="AL657" s="97"/>
      <c r="AM657" s="97"/>
      <c r="AN657" s="97"/>
      <c r="AO657" s="97"/>
      <c r="AP657" s="97"/>
      <c r="AQ657" s="99"/>
      <c r="AR657" s="99"/>
      <c r="AS657" s="99"/>
    </row>
    <row r="658">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c r="AC658" s="97"/>
      <c r="AD658" s="97"/>
      <c r="AE658" s="97"/>
      <c r="AF658" s="97"/>
      <c r="AG658" s="97"/>
      <c r="AH658" s="97"/>
      <c r="AI658" s="97"/>
      <c r="AJ658" s="97"/>
      <c r="AK658" s="97"/>
      <c r="AL658" s="97"/>
      <c r="AM658" s="97"/>
      <c r="AN658" s="97"/>
      <c r="AO658" s="97"/>
      <c r="AP658" s="97"/>
      <c r="AQ658" s="99"/>
      <c r="AR658" s="99"/>
      <c r="AS658" s="99"/>
    </row>
    <row r="659">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c r="AC659" s="97"/>
      <c r="AD659" s="97"/>
      <c r="AE659" s="97"/>
      <c r="AF659" s="97"/>
      <c r="AG659" s="97"/>
      <c r="AH659" s="97"/>
      <c r="AI659" s="97"/>
      <c r="AJ659" s="97"/>
      <c r="AK659" s="97"/>
      <c r="AL659" s="97"/>
      <c r="AM659" s="97"/>
      <c r="AN659" s="97"/>
      <c r="AO659" s="97"/>
      <c r="AP659" s="97"/>
      <c r="AQ659" s="99"/>
      <c r="AR659" s="99"/>
      <c r="AS659" s="99"/>
    </row>
    <row r="660">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7"/>
      <c r="AC660" s="97"/>
      <c r="AD660" s="97"/>
      <c r="AE660" s="97"/>
      <c r="AF660" s="97"/>
      <c r="AG660" s="97"/>
      <c r="AH660" s="97"/>
      <c r="AI660" s="97"/>
      <c r="AJ660" s="97"/>
      <c r="AK660" s="97"/>
      <c r="AL660" s="97"/>
      <c r="AM660" s="97"/>
      <c r="AN660" s="97"/>
      <c r="AO660" s="97"/>
      <c r="AP660" s="97"/>
      <c r="AQ660" s="99"/>
      <c r="AR660" s="99"/>
      <c r="AS660" s="99"/>
    </row>
    <row r="66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c r="AE661" s="97"/>
      <c r="AF661" s="97"/>
      <c r="AG661" s="97"/>
      <c r="AH661" s="97"/>
      <c r="AI661" s="97"/>
      <c r="AJ661" s="97"/>
      <c r="AK661" s="97"/>
      <c r="AL661" s="97"/>
      <c r="AM661" s="97"/>
      <c r="AN661" s="97"/>
      <c r="AO661" s="97"/>
      <c r="AP661" s="97"/>
      <c r="AQ661" s="99"/>
      <c r="AR661" s="99"/>
      <c r="AS661" s="99"/>
    </row>
    <row r="662">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c r="AE662" s="97"/>
      <c r="AF662" s="97"/>
      <c r="AG662" s="97"/>
      <c r="AH662" s="97"/>
      <c r="AI662" s="97"/>
      <c r="AJ662" s="97"/>
      <c r="AK662" s="97"/>
      <c r="AL662" s="97"/>
      <c r="AM662" s="97"/>
      <c r="AN662" s="97"/>
      <c r="AO662" s="97"/>
      <c r="AP662" s="97"/>
      <c r="AQ662" s="99"/>
      <c r="AR662" s="99"/>
      <c r="AS662" s="99"/>
    </row>
    <row r="663">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c r="AE663" s="97"/>
      <c r="AF663" s="97"/>
      <c r="AG663" s="97"/>
      <c r="AH663" s="97"/>
      <c r="AI663" s="97"/>
      <c r="AJ663" s="97"/>
      <c r="AK663" s="97"/>
      <c r="AL663" s="97"/>
      <c r="AM663" s="97"/>
      <c r="AN663" s="97"/>
      <c r="AO663" s="97"/>
      <c r="AP663" s="97"/>
      <c r="AQ663" s="99"/>
      <c r="AR663" s="99"/>
      <c r="AS663" s="99"/>
    </row>
    <row r="664">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c r="AE664" s="97"/>
      <c r="AF664" s="97"/>
      <c r="AG664" s="97"/>
      <c r="AH664" s="97"/>
      <c r="AI664" s="97"/>
      <c r="AJ664" s="97"/>
      <c r="AK664" s="97"/>
      <c r="AL664" s="97"/>
      <c r="AM664" s="97"/>
      <c r="AN664" s="97"/>
      <c r="AO664" s="97"/>
      <c r="AP664" s="97"/>
      <c r="AQ664" s="99"/>
      <c r="AR664" s="99"/>
      <c r="AS664" s="99"/>
    </row>
    <row r="66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c r="AE665" s="97"/>
      <c r="AF665" s="97"/>
      <c r="AG665" s="97"/>
      <c r="AH665" s="97"/>
      <c r="AI665" s="97"/>
      <c r="AJ665" s="97"/>
      <c r="AK665" s="97"/>
      <c r="AL665" s="97"/>
      <c r="AM665" s="97"/>
      <c r="AN665" s="97"/>
      <c r="AO665" s="97"/>
      <c r="AP665" s="97"/>
      <c r="AQ665" s="99"/>
      <c r="AR665" s="99"/>
      <c r="AS665" s="99"/>
    </row>
    <row r="666">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c r="AE666" s="97"/>
      <c r="AF666" s="97"/>
      <c r="AG666" s="97"/>
      <c r="AH666" s="97"/>
      <c r="AI666" s="97"/>
      <c r="AJ666" s="97"/>
      <c r="AK666" s="97"/>
      <c r="AL666" s="97"/>
      <c r="AM666" s="97"/>
      <c r="AN666" s="97"/>
      <c r="AO666" s="97"/>
      <c r="AP666" s="97"/>
      <c r="AQ666" s="99"/>
      <c r="AR666" s="99"/>
      <c r="AS666" s="99"/>
    </row>
    <row r="667">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c r="AE667" s="97"/>
      <c r="AF667" s="97"/>
      <c r="AG667" s="97"/>
      <c r="AH667" s="97"/>
      <c r="AI667" s="97"/>
      <c r="AJ667" s="97"/>
      <c r="AK667" s="97"/>
      <c r="AL667" s="97"/>
      <c r="AM667" s="97"/>
      <c r="AN667" s="97"/>
      <c r="AO667" s="97"/>
      <c r="AP667" s="97"/>
      <c r="AQ667" s="99"/>
      <c r="AR667" s="99"/>
      <c r="AS667" s="99"/>
    </row>
    <row r="668">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c r="AE668" s="97"/>
      <c r="AF668" s="97"/>
      <c r="AG668" s="97"/>
      <c r="AH668" s="97"/>
      <c r="AI668" s="97"/>
      <c r="AJ668" s="97"/>
      <c r="AK668" s="97"/>
      <c r="AL668" s="97"/>
      <c r="AM668" s="97"/>
      <c r="AN668" s="97"/>
      <c r="AO668" s="97"/>
      <c r="AP668" s="97"/>
      <c r="AQ668" s="99"/>
      <c r="AR668" s="99"/>
      <c r="AS668" s="99"/>
    </row>
    <row r="669">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c r="AE669" s="97"/>
      <c r="AF669" s="97"/>
      <c r="AG669" s="97"/>
      <c r="AH669" s="97"/>
      <c r="AI669" s="97"/>
      <c r="AJ669" s="97"/>
      <c r="AK669" s="97"/>
      <c r="AL669" s="97"/>
      <c r="AM669" s="97"/>
      <c r="AN669" s="97"/>
      <c r="AO669" s="97"/>
      <c r="AP669" s="97"/>
      <c r="AQ669" s="99"/>
      <c r="AR669" s="99"/>
      <c r="AS669" s="99"/>
    </row>
    <row r="670">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c r="AC670" s="97"/>
      <c r="AD670" s="97"/>
      <c r="AE670" s="97"/>
      <c r="AF670" s="97"/>
      <c r="AG670" s="97"/>
      <c r="AH670" s="97"/>
      <c r="AI670" s="97"/>
      <c r="AJ670" s="97"/>
      <c r="AK670" s="97"/>
      <c r="AL670" s="97"/>
      <c r="AM670" s="97"/>
      <c r="AN670" s="97"/>
      <c r="AO670" s="97"/>
      <c r="AP670" s="97"/>
      <c r="AQ670" s="99"/>
      <c r="AR670" s="99"/>
      <c r="AS670" s="99"/>
    </row>
    <row r="67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c r="AC671" s="97"/>
      <c r="AD671" s="97"/>
      <c r="AE671" s="97"/>
      <c r="AF671" s="97"/>
      <c r="AG671" s="97"/>
      <c r="AH671" s="97"/>
      <c r="AI671" s="97"/>
      <c r="AJ671" s="97"/>
      <c r="AK671" s="97"/>
      <c r="AL671" s="97"/>
      <c r="AM671" s="97"/>
      <c r="AN671" s="97"/>
      <c r="AO671" s="97"/>
      <c r="AP671" s="97"/>
      <c r="AQ671" s="99"/>
      <c r="AR671" s="99"/>
      <c r="AS671" s="99"/>
    </row>
    <row r="672">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c r="AC672" s="97"/>
      <c r="AD672" s="97"/>
      <c r="AE672" s="97"/>
      <c r="AF672" s="97"/>
      <c r="AG672" s="97"/>
      <c r="AH672" s="97"/>
      <c r="AI672" s="97"/>
      <c r="AJ672" s="97"/>
      <c r="AK672" s="97"/>
      <c r="AL672" s="97"/>
      <c r="AM672" s="97"/>
      <c r="AN672" s="97"/>
      <c r="AO672" s="97"/>
      <c r="AP672" s="97"/>
      <c r="AQ672" s="99"/>
      <c r="AR672" s="99"/>
      <c r="AS672" s="99"/>
    </row>
    <row r="673">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c r="AC673" s="97"/>
      <c r="AD673" s="97"/>
      <c r="AE673" s="97"/>
      <c r="AF673" s="97"/>
      <c r="AG673" s="97"/>
      <c r="AH673" s="97"/>
      <c r="AI673" s="97"/>
      <c r="AJ673" s="97"/>
      <c r="AK673" s="97"/>
      <c r="AL673" s="97"/>
      <c r="AM673" s="97"/>
      <c r="AN673" s="97"/>
      <c r="AO673" s="97"/>
      <c r="AP673" s="97"/>
      <c r="AQ673" s="99"/>
      <c r="AR673" s="99"/>
      <c r="AS673" s="99"/>
    </row>
    <row r="674">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c r="AE674" s="97"/>
      <c r="AF674" s="97"/>
      <c r="AG674" s="97"/>
      <c r="AH674" s="97"/>
      <c r="AI674" s="97"/>
      <c r="AJ674" s="97"/>
      <c r="AK674" s="97"/>
      <c r="AL674" s="97"/>
      <c r="AM674" s="97"/>
      <c r="AN674" s="97"/>
      <c r="AO674" s="97"/>
      <c r="AP674" s="97"/>
      <c r="AQ674" s="99"/>
      <c r="AR674" s="99"/>
      <c r="AS674" s="99"/>
    </row>
    <row r="67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c r="AC675" s="97"/>
      <c r="AD675" s="97"/>
      <c r="AE675" s="97"/>
      <c r="AF675" s="97"/>
      <c r="AG675" s="97"/>
      <c r="AH675" s="97"/>
      <c r="AI675" s="97"/>
      <c r="AJ675" s="97"/>
      <c r="AK675" s="97"/>
      <c r="AL675" s="97"/>
      <c r="AM675" s="97"/>
      <c r="AN675" s="97"/>
      <c r="AO675" s="97"/>
      <c r="AP675" s="97"/>
      <c r="AQ675" s="99"/>
      <c r="AR675" s="99"/>
      <c r="AS675" s="99"/>
    </row>
    <row r="676">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c r="AE676" s="97"/>
      <c r="AF676" s="97"/>
      <c r="AG676" s="97"/>
      <c r="AH676" s="97"/>
      <c r="AI676" s="97"/>
      <c r="AJ676" s="97"/>
      <c r="AK676" s="97"/>
      <c r="AL676" s="97"/>
      <c r="AM676" s="97"/>
      <c r="AN676" s="97"/>
      <c r="AO676" s="97"/>
      <c r="AP676" s="97"/>
      <c r="AQ676" s="99"/>
      <c r="AR676" s="99"/>
      <c r="AS676" s="99"/>
    </row>
    <row r="677">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c r="AC677" s="97"/>
      <c r="AD677" s="97"/>
      <c r="AE677" s="97"/>
      <c r="AF677" s="97"/>
      <c r="AG677" s="97"/>
      <c r="AH677" s="97"/>
      <c r="AI677" s="97"/>
      <c r="AJ677" s="97"/>
      <c r="AK677" s="97"/>
      <c r="AL677" s="97"/>
      <c r="AM677" s="97"/>
      <c r="AN677" s="97"/>
      <c r="AO677" s="97"/>
      <c r="AP677" s="97"/>
      <c r="AQ677" s="99"/>
      <c r="AR677" s="99"/>
      <c r="AS677" s="99"/>
    </row>
    <row r="678">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c r="AE678" s="97"/>
      <c r="AF678" s="97"/>
      <c r="AG678" s="97"/>
      <c r="AH678" s="97"/>
      <c r="AI678" s="97"/>
      <c r="AJ678" s="97"/>
      <c r="AK678" s="97"/>
      <c r="AL678" s="97"/>
      <c r="AM678" s="97"/>
      <c r="AN678" s="97"/>
      <c r="AO678" s="97"/>
      <c r="AP678" s="97"/>
      <c r="AQ678" s="99"/>
      <c r="AR678" s="99"/>
      <c r="AS678" s="99"/>
    </row>
    <row r="679">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c r="AC679" s="97"/>
      <c r="AD679" s="97"/>
      <c r="AE679" s="97"/>
      <c r="AF679" s="97"/>
      <c r="AG679" s="97"/>
      <c r="AH679" s="97"/>
      <c r="AI679" s="97"/>
      <c r="AJ679" s="97"/>
      <c r="AK679" s="97"/>
      <c r="AL679" s="97"/>
      <c r="AM679" s="97"/>
      <c r="AN679" s="97"/>
      <c r="AO679" s="97"/>
      <c r="AP679" s="97"/>
      <c r="AQ679" s="99"/>
      <c r="AR679" s="99"/>
      <c r="AS679" s="99"/>
    </row>
    <row r="680">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c r="AE680" s="97"/>
      <c r="AF680" s="97"/>
      <c r="AG680" s="97"/>
      <c r="AH680" s="97"/>
      <c r="AI680" s="97"/>
      <c r="AJ680" s="97"/>
      <c r="AK680" s="97"/>
      <c r="AL680" s="97"/>
      <c r="AM680" s="97"/>
      <c r="AN680" s="97"/>
      <c r="AO680" s="97"/>
      <c r="AP680" s="97"/>
      <c r="AQ680" s="99"/>
      <c r="AR680" s="99"/>
      <c r="AS680" s="99"/>
    </row>
    <row r="68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c r="AE681" s="97"/>
      <c r="AF681" s="97"/>
      <c r="AG681" s="97"/>
      <c r="AH681" s="97"/>
      <c r="AI681" s="97"/>
      <c r="AJ681" s="97"/>
      <c r="AK681" s="97"/>
      <c r="AL681" s="97"/>
      <c r="AM681" s="97"/>
      <c r="AN681" s="97"/>
      <c r="AO681" s="97"/>
      <c r="AP681" s="97"/>
      <c r="AQ681" s="99"/>
      <c r="AR681" s="99"/>
      <c r="AS681" s="99"/>
    </row>
    <row r="682">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c r="AE682" s="97"/>
      <c r="AF682" s="97"/>
      <c r="AG682" s="97"/>
      <c r="AH682" s="97"/>
      <c r="AI682" s="97"/>
      <c r="AJ682" s="97"/>
      <c r="AK682" s="97"/>
      <c r="AL682" s="97"/>
      <c r="AM682" s="97"/>
      <c r="AN682" s="97"/>
      <c r="AO682" s="97"/>
      <c r="AP682" s="97"/>
      <c r="AQ682" s="99"/>
      <c r="AR682" s="99"/>
      <c r="AS682" s="99"/>
    </row>
    <row r="683">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c r="AC683" s="97"/>
      <c r="AD683" s="97"/>
      <c r="AE683" s="97"/>
      <c r="AF683" s="97"/>
      <c r="AG683" s="97"/>
      <c r="AH683" s="97"/>
      <c r="AI683" s="97"/>
      <c r="AJ683" s="97"/>
      <c r="AK683" s="97"/>
      <c r="AL683" s="97"/>
      <c r="AM683" s="97"/>
      <c r="AN683" s="97"/>
      <c r="AO683" s="97"/>
      <c r="AP683" s="97"/>
      <c r="AQ683" s="99"/>
      <c r="AR683" s="99"/>
      <c r="AS683" s="99"/>
    </row>
    <row r="684">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c r="AE684" s="97"/>
      <c r="AF684" s="97"/>
      <c r="AG684" s="97"/>
      <c r="AH684" s="97"/>
      <c r="AI684" s="97"/>
      <c r="AJ684" s="97"/>
      <c r="AK684" s="97"/>
      <c r="AL684" s="97"/>
      <c r="AM684" s="97"/>
      <c r="AN684" s="97"/>
      <c r="AO684" s="97"/>
      <c r="AP684" s="97"/>
      <c r="AQ684" s="99"/>
      <c r="AR684" s="99"/>
      <c r="AS684" s="99"/>
    </row>
    <row r="68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c r="AC685" s="97"/>
      <c r="AD685" s="97"/>
      <c r="AE685" s="97"/>
      <c r="AF685" s="97"/>
      <c r="AG685" s="97"/>
      <c r="AH685" s="97"/>
      <c r="AI685" s="97"/>
      <c r="AJ685" s="97"/>
      <c r="AK685" s="97"/>
      <c r="AL685" s="97"/>
      <c r="AM685" s="97"/>
      <c r="AN685" s="97"/>
      <c r="AO685" s="97"/>
      <c r="AP685" s="97"/>
      <c r="AQ685" s="99"/>
      <c r="AR685" s="99"/>
      <c r="AS685" s="99"/>
    </row>
    <row r="686">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c r="AE686" s="97"/>
      <c r="AF686" s="97"/>
      <c r="AG686" s="97"/>
      <c r="AH686" s="97"/>
      <c r="AI686" s="97"/>
      <c r="AJ686" s="97"/>
      <c r="AK686" s="97"/>
      <c r="AL686" s="97"/>
      <c r="AM686" s="97"/>
      <c r="AN686" s="97"/>
      <c r="AO686" s="97"/>
      <c r="AP686" s="97"/>
      <c r="AQ686" s="99"/>
      <c r="AR686" s="99"/>
      <c r="AS686" s="99"/>
    </row>
    <row r="687">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c r="AC687" s="97"/>
      <c r="AD687" s="97"/>
      <c r="AE687" s="97"/>
      <c r="AF687" s="97"/>
      <c r="AG687" s="97"/>
      <c r="AH687" s="97"/>
      <c r="AI687" s="97"/>
      <c r="AJ687" s="97"/>
      <c r="AK687" s="97"/>
      <c r="AL687" s="97"/>
      <c r="AM687" s="97"/>
      <c r="AN687" s="97"/>
      <c r="AO687" s="97"/>
      <c r="AP687" s="97"/>
      <c r="AQ687" s="99"/>
      <c r="AR687" s="99"/>
      <c r="AS687" s="99"/>
    </row>
    <row r="688">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c r="AE688" s="97"/>
      <c r="AF688" s="97"/>
      <c r="AG688" s="97"/>
      <c r="AH688" s="97"/>
      <c r="AI688" s="97"/>
      <c r="AJ688" s="97"/>
      <c r="AK688" s="97"/>
      <c r="AL688" s="97"/>
      <c r="AM688" s="97"/>
      <c r="AN688" s="97"/>
      <c r="AO688" s="97"/>
      <c r="AP688" s="97"/>
      <c r="AQ688" s="99"/>
      <c r="AR688" s="99"/>
      <c r="AS688" s="99"/>
    </row>
    <row r="689">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c r="AC689" s="97"/>
      <c r="AD689" s="97"/>
      <c r="AE689" s="97"/>
      <c r="AF689" s="97"/>
      <c r="AG689" s="97"/>
      <c r="AH689" s="97"/>
      <c r="AI689" s="97"/>
      <c r="AJ689" s="97"/>
      <c r="AK689" s="97"/>
      <c r="AL689" s="97"/>
      <c r="AM689" s="97"/>
      <c r="AN689" s="97"/>
      <c r="AO689" s="97"/>
      <c r="AP689" s="97"/>
      <c r="AQ689" s="99"/>
      <c r="AR689" s="99"/>
      <c r="AS689" s="99"/>
    </row>
    <row r="690">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c r="AE690" s="97"/>
      <c r="AF690" s="97"/>
      <c r="AG690" s="97"/>
      <c r="AH690" s="97"/>
      <c r="AI690" s="97"/>
      <c r="AJ690" s="97"/>
      <c r="AK690" s="97"/>
      <c r="AL690" s="97"/>
      <c r="AM690" s="97"/>
      <c r="AN690" s="97"/>
      <c r="AO690" s="97"/>
      <c r="AP690" s="97"/>
      <c r="AQ690" s="99"/>
      <c r="AR690" s="99"/>
      <c r="AS690" s="99"/>
    </row>
    <row r="69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c r="AE691" s="97"/>
      <c r="AF691" s="97"/>
      <c r="AG691" s="97"/>
      <c r="AH691" s="97"/>
      <c r="AI691" s="97"/>
      <c r="AJ691" s="97"/>
      <c r="AK691" s="97"/>
      <c r="AL691" s="97"/>
      <c r="AM691" s="97"/>
      <c r="AN691" s="97"/>
      <c r="AO691" s="97"/>
      <c r="AP691" s="97"/>
      <c r="AQ691" s="99"/>
      <c r="AR691" s="99"/>
      <c r="AS691" s="99"/>
    </row>
    <row r="692">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c r="AE692" s="97"/>
      <c r="AF692" s="97"/>
      <c r="AG692" s="97"/>
      <c r="AH692" s="97"/>
      <c r="AI692" s="97"/>
      <c r="AJ692" s="97"/>
      <c r="AK692" s="97"/>
      <c r="AL692" s="97"/>
      <c r="AM692" s="97"/>
      <c r="AN692" s="97"/>
      <c r="AO692" s="97"/>
      <c r="AP692" s="97"/>
      <c r="AQ692" s="99"/>
      <c r="AR692" s="99"/>
      <c r="AS692" s="99"/>
    </row>
    <row r="693">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c r="AE693" s="97"/>
      <c r="AF693" s="97"/>
      <c r="AG693" s="97"/>
      <c r="AH693" s="97"/>
      <c r="AI693" s="97"/>
      <c r="AJ693" s="97"/>
      <c r="AK693" s="97"/>
      <c r="AL693" s="97"/>
      <c r="AM693" s="97"/>
      <c r="AN693" s="97"/>
      <c r="AO693" s="97"/>
      <c r="AP693" s="97"/>
      <c r="AQ693" s="99"/>
      <c r="AR693" s="99"/>
      <c r="AS693" s="99"/>
    </row>
    <row r="694">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c r="AE694" s="97"/>
      <c r="AF694" s="97"/>
      <c r="AG694" s="97"/>
      <c r="AH694" s="97"/>
      <c r="AI694" s="97"/>
      <c r="AJ694" s="97"/>
      <c r="AK694" s="97"/>
      <c r="AL694" s="97"/>
      <c r="AM694" s="97"/>
      <c r="AN694" s="97"/>
      <c r="AO694" s="97"/>
      <c r="AP694" s="97"/>
      <c r="AQ694" s="99"/>
      <c r="AR694" s="99"/>
      <c r="AS694" s="99"/>
    </row>
    <row r="69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c r="AC695" s="97"/>
      <c r="AD695" s="97"/>
      <c r="AE695" s="97"/>
      <c r="AF695" s="97"/>
      <c r="AG695" s="97"/>
      <c r="AH695" s="97"/>
      <c r="AI695" s="97"/>
      <c r="AJ695" s="97"/>
      <c r="AK695" s="97"/>
      <c r="AL695" s="97"/>
      <c r="AM695" s="97"/>
      <c r="AN695" s="97"/>
      <c r="AO695" s="97"/>
      <c r="AP695" s="97"/>
      <c r="AQ695" s="99"/>
      <c r="AR695" s="99"/>
      <c r="AS695" s="99"/>
    </row>
    <row r="696">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c r="AE696" s="97"/>
      <c r="AF696" s="97"/>
      <c r="AG696" s="97"/>
      <c r="AH696" s="97"/>
      <c r="AI696" s="97"/>
      <c r="AJ696" s="97"/>
      <c r="AK696" s="97"/>
      <c r="AL696" s="97"/>
      <c r="AM696" s="97"/>
      <c r="AN696" s="97"/>
      <c r="AO696" s="97"/>
      <c r="AP696" s="97"/>
      <c r="AQ696" s="99"/>
      <c r="AR696" s="99"/>
      <c r="AS696" s="99"/>
    </row>
    <row r="697">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c r="AE697" s="97"/>
      <c r="AF697" s="97"/>
      <c r="AG697" s="97"/>
      <c r="AH697" s="97"/>
      <c r="AI697" s="97"/>
      <c r="AJ697" s="97"/>
      <c r="AK697" s="97"/>
      <c r="AL697" s="97"/>
      <c r="AM697" s="97"/>
      <c r="AN697" s="97"/>
      <c r="AO697" s="97"/>
      <c r="AP697" s="97"/>
      <c r="AQ697" s="99"/>
      <c r="AR697" s="99"/>
      <c r="AS697" s="99"/>
    </row>
    <row r="698">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c r="AE698" s="97"/>
      <c r="AF698" s="97"/>
      <c r="AG698" s="97"/>
      <c r="AH698" s="97"/>
      <c r="AI698" s="97"/>
      <c r="AJ698" s="97"/>
      <c r="AK698" s="97"/>
      <c r="AL698" s="97"/>
      <c r="AM698" s="97"/>
      <c r="AN698" s="97"/>
      <c r="AO698" s="97"/>
      <c r="AP698" s="97"/>
      <c r="AQ698" s="99"/>
      <c r="AR698" s="99"/>
      <c r="AS698" s="99"/>
    </row>
    <row r="699">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c r="AE699" s="97"/>
      <c r="AF699" s="97"/>
      <c r="AG699" s="97"/>
      <c r="AH699" s="97"/>
      <c r="AI699" s="97"/>
      <c r="AJ699" s="97"/>
      <c r="AK699" s="97"/>
      <c r="AL699" s="97"/>
      <c r="AM699" s="97"/>
      <c r="AN699" s="97"/>
      <c r="AO699" s="97"/>
      <c r="AP699" s="97"/>
      <c r="AQ699" s="99"/>
      <c r="AR699" s="99"/>
      <c r="AS699" s="99"/>
    </row>
    <row r="700">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c r="AE700" s="97"/>
      <c r="AF700" s="97"/>
      <c r="AG700" s="97"/>
      <c r="AH700" s="97"/>
      <c r="AI700" s="97"/>
      <c r="AJ700" s="97"/>
      <c r="AK700" s="97"/>
      <c r="AL700" s="97"/>
      <c r="AM700" s="97"/>
      <c r="AN700" s="97"/>
      <c r="AO700" s="97"/>
      <c r="AP700" s="97"/>
      <c r="AQ700" s="99"/>
      <c r="AR700" s="99"/>
      <c r="AS700" s="99"/>
    </row>
    <row r="70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c r="AE701" s="97"/>
      <c r="AF701" s="97"/>
      <c r="AG701" s="97"/>
      <c r="AH701" s="97"/>
      <c r="AI701" s="97"/>
      <c r="AJ701" s="97"/>
      <c r="AK701" s="97"/>
      <c r="AL701" s="97"/>
      <c r="AM701" s="97"/>
      <c r="AN701" s="97"/>
      <c r="AO701" s="97"/>
      <c r="AP701" s="97"/>
      <c r="AQ701" s="99"/>
      <c r="AR701" s="99"/>
      <c r="AS701" s="99"/>
    </row>
    <row r="702">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c r="AE702" s="97"/>
      <c r="AF702" s="97"/>
      <c r="AG702" s="97"/>
      <c r="AH702" s="97"/>
      <c r="AI702" s="97"/>
      <c r="AJ702" s="97"/>
      <c r="AK702" s="97"/>
      <c r="AL702" s="97"/>
      <c r="AM702" s="97"/>
      <c r="AN702" s="97"/>
      <c r="AO702" s="97"/>
      <c r="AP702" s="97"/>
      <c r="AQ702" s="99"/>
      <c r="AR702" s="99"/>
      <c r="AS702" s="99"/>
    </row>
    <row r="703">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c r="AE703" s="97"/>
      <c r="AF703" s="97"/>
      <c r="AG703" s="97"/>
      <c r="AH703" s="97"/>
      <c r="AI703" s="97"/>
      <c r="AJ703" s="97"/>
      <c r="AK703" s="97"/>
      <c r="AL703" s="97"/>
      <c r="AM703" s="97"/>
      <c r="AN703" s="97"/>
      <c r="AO703" s="97"/>
      <c r="AP703" s="97"/>
      <c r="AQ703" s="99"/>
      <c r="AR703" s="99"/>
      <c r="AS703" s="99"/>
    </row>
    <row r="704">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c r="AE704" s="97"/>
      <c r="AF704" s="97"/>
      <c r="AG704" s="97"/>
      <c r="AH704" s="97"/>
      <c r="AI704" s="97"/>
      <c r="AJ704" s="97"/>
      <c r="AK704" s="97"/>
      <c r="AL704" s="97"/>
      <c r="AM704" s="97"/>
      <c r="AN704" s="97"/>
      <c r="AO704" s="97"/>
      <c r="AP704" s="97"/>
      <c r="AQ704" s="99"/>
      <c r="AR704" s="99"/>
      <c r="AS704" s="99"/>
    </row>
    <row r="70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c r="AE705" s="97"/>
      <c r="AF705" s="97"/>
      <c r="AG705" s="97"/>
      <c r="AH705" s="97"/>
      <c r="AI705" s="97"/>
      <c r="AJ705" s="97"/>
      <c r="AK705" s="97"/>
      <c r="AL705" s="97"/>
      <c r="AM705" s="97"/>
      <c r="AN705" s="97"/>
      <c r="AO705" s="97"/>
      <c r="AP705" s="97"/>
      <c r="AQ705" s="99"/>
      <c r="AR705" s="99"/>
      <c r="AS705" s="99"/>
    </row>
    <row r="706">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c r="AC706" s="97"/>
      <c r="AD706" s="97"/>
      <c r="AE706" s="97"/>
      <c r="AF706" s="97"/>
      <c r="AG706" s="97"/>
      <c r="AH706" s="97"/>
      <c r="AI706" s="97"/>
      <c r="AJ706" s="97"/>
      <c r="AK706" s="97"/>
      <c r="AL706" s="97"/>
      <c r="AM706" s="97"/>
      <c r="AN706" s="97"/>
      <c r="AO706" s="97"/>
      <c r="AP706" s="97"/>
      <c r="AQ706" s="99"/>
      <c r="AR706" s="99"/>
      <c r="AS706" s="99"/>
    </row>
    <row r="707">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c r="AC707" s="97"/>
      <c r="AD707" s="97"/>
      <c r="AE707" s="97"/>
      <c r="AF707" s="97"/>
      <c r="AG707" s="97"/>
      <c r="AH707" s="97"/>
      <c r="AI707" s="97"/>
      <c r="AJ707" s="97"/>
      <c r="AK707" s="97"/>
      <c r="AL707" s="97"/>
      <c r="AM707" s="97"/>
      <c r="AN707" s="97"/>
      <c r="AO707" s="97"/>
      <c r="AP707" s="97"/>
      <c r="AQ707" s="99"/>
      <c r="AR707" s="99"/>
      <c r="AS707" s="99"/>
    </row>
    <row r="708">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c r="AC708" s="97"/>
      <c r="AD708" s="97"/>
      <c r="AE708" s="97"/>
      <c r="AF708" s="97"/>
      <c r="AG708" s="97"/>
      <c r="AH708" s="97"/>
      <c r="AI708" s="97"/>
      <c r="AJ708" s="97"/>
      <c r="AK708" s="97"/>
      <c r="AL708" s="97"/>
      <c r="AM708" s="97"/>
      <c r="AN708" s="97"/>
      <c r="AO708" s="97"/>
      <c r="AP708" s="97"/>
      <c r="AQ708" s="99"/>
      <c r="AR708" s="99"/>
      <c r="AS708" s="99"/>
    </row>
    <row r="709">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c r="AC709" s="97"/>
      <c r="AD709" s="97"/>
      <c r="AE709" s="97"/>
      <c r="AF709" s="97"/>
      <c r="AG709" s="97"/>
      <c r="AH709" s="97"/>
      <c r="AI709" s="97"/>
      <c r="AJ709" s="97"/>
      <c r="AK709" s="97"/>
      <c r="AL709" s="97"/>
      <c r="AM709" s="97"/>
      <c r="AN709" s="97"/>
      <c r="AO709" s="97"/>
      <c r="AP709" s="97"/>
      <c r="AQ709" s="99"/>
      <c r="AR709" s="99"/>
      <c r="AS709" s="99"/>
    </row>
    <row r="710">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c r="AF710" s="97"/>
      <c r="AG710" s="97"/>
      <c r="AH710" s="97"/>
      <c r="AI710" s="97"/>
      <c r="AJ710" s="97"/>
      <c r="AK710" s="97"/>
      <c r="AL710" s="97"/>
      <c r="AM710" s="97"/>
      <c r="AN710" s="97"/>
      <c r="AO710" s="97"/>
      <c r="AP710" s="97"/>
      <c r="AQ710" s="99"/>
      <c r="AR710" s="99"/>
      <c r="AS710" s="99"/>
    </row>
    <row r="71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c r="AC711" s="97"/>
      <c r="AD711" s="97"/>
      <c r="AE711" s="97"/>
      <c r="AF711" s="97"/>
      <c r="AG711" s="97"/>
      <c r="AH711" s="97"/>
      <c r="AI711" s="97"/>
      <c r="AJ711" s="97"/>
      <c r="AK711" s="97"/>
      <c r="AL711" s="97"/>
      <c r="AM711" s="97"/>
      <c r="AN711" s="97"/>
      <c r="AO711" s="97"/>
      <c r="AP711" s="97"/>
      <c r="AQ711" s="99"/>
      <c r="AR711" s="99"/>
      <c r="AS711" s="99"/>
    </row>
    <row r="712">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c r="AC712" s="97"/>
      <c r="AD712" s="97"/>
      <c r="AE712" s="97"/>
      <c r="AF712" s="97"/>
      <c r="AG712" s="97"/>
      <c r="AH712" s="97"/>
      <c r="AI712" s="97"/>
      <c r="AJ712" s="97"/>
      <c r="AK712" s="97"/>
      <c r="AL712" s="97"/>
      <c r="AM712" s="97"/>
      <c r="AN712" s="97"/>
      <c r="AO712" s="97"/>
      <c r="AP712" s="97"/>
      <c r="AQ712" s="99"/>
      <c r="AR712" s="99"/>
      <c r="AS712" s="99"/>
    </row>
    <row r="713">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c r="AE713" s="97"/>
      <c r="AF713" s="97"/>
      <c r="AG713" s="97"/>
      <c r="AH713" s="97"/>
      <c r="AI713" s="97"/>
      <c r="AJ713" s="97"/>
      <c r="AK713" s="97"/>
      <c r="AL713" s="97"/>
      <c r="AM713" s="97"/>
      <c r="AN713" s="97"/>
      <c r="AO713" s="97"/>
      <c r="AP713" s="97"/>
      <c r="AQ713" s="99"/>
      <c r="AR713" s="99"/>
      <c r="AS713" s="99"/>
    </row>
    <row r="714">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c r="AE714" s="97"/>
      <c r="AF714" s="97"/>
      <c r="AG714" s="97"/>
      <c r="AH714" s="97"/>
      <c r="AI714" s="97"/>
      <c r="AJ714" s="97"/>
      <c r="AK714" s="97"/>
      <c r="AL714" s="97"/>
      <c r="AM714" s="97"/>
      <c r="AN714" s="97"/>
      <c r="AO714" s="97"/>
      <c r="AP714" s="97"/>
      <c r="AQ714" s="99"/>
      <c r="AR714" s="99"/>
      <c r="AS714" s="99"/>
    </row>
    <row r="71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c r="AE715" s="97"/>
      <c r="AF715" s="97"/>
      <c r="AG715" s="97"/>
      <c r="AH715" s="97"/>
      <c r="AI715" s="97"/>
      <c r="AJ715" s="97"/>
      <c r="AK715" s="97"/>
      <c r="AL715" s="97"/>
      <c r="AM715" s="97"/>
      <c r="AN715" s="97"/>
      <c r="AO715" s="97"/>
      <c r="AP715" s="97"/>
      <c r="AQ715" s="99"/>
      <c r="AR715" s="99"/>
      <c r="AS715" s="99"/>
    </row>
    <row r="716">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c r="AE716" s="97"/>
      <c r="AF716" s="97"/>
      <c r="AG716" s="97"/>
      <c r="AH716" s="97"/>
      <c r="AI716" s="97"/>
      <c r="AJ716" s="97"/>
      <c r="AK716" s="97"/>
      <c r="AL716" s="97"/>
      <c r="AM716" s="97"/>
      <c r="AN716" s="97"/>
      <c r="AO716" s="97"/>
      <c r="AP716" s="97"/>
      <c r="AQ716" s="99"/>
      <c r="AR716" s="99"/>
      <c r="AS716" s="99"/>
    </row>
    <row r="717">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c r="AE717" s="97"/>
      <c r="AF717" s="97"/>
      <c r="AG717" s="97"/>
      <c r="AH717" s="97"/>
      <c r="AI717" s="97"/>
      <c r="AJ717" s="97"/>
      <c r="AK717" s="97"/>
      <c r="AL717" s="97"/>
      <c r="AM717" s="97"/>
      <c r="AN717" s="97"/>
      <c r="AO717" s="97"/>
      <c r="AP717" s="97"/>
      <c r="AQ717" s="99"/>
      <c r="AR717" s="99"/>
      <c r="AS717" s="99"/>
    </row>
    <row r="718">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c r="AE718" s="97"/>
      <c r="AF718" s="97"/>
      <c r="AG718" s="97"/>
      <c r="AH718" s="97"/>
      <c r="AI718" s="97"/>
      <c r="AJ718" s="97"/>
      <c r="AK718" s="97"/>
      <c r="AL718" s="97"/>
      <c r="AM718" s="97"/>
      <c r="AN718" s="97"/>
      <c r="AO718" s="97"/>
      <c r="AP718" s="97"/>
      <c r="AQ718" s="99"/>
      <c r="AR718" s="99"/>
      <c r="AS718" s="99"/>
    </row>
    <row r="719">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c r="AE719" s="97"/>
      <c r="AF719" s="97"/>
      <c r="AG719" s="97"/>
      <c r="AH719" s="97"/>
      <c r="AI719" s="97"/>
      <c r="AJ719" s="97"/>
      <c r="AK719" s="97"/>
      <c r="AL719" s="97"/>
      <c r="AM719" s="97"/>
      <c r="AN719" s="97"/>
      <c r="AO719" s="97"/>
      <c r="AP719" s="97"/>
      <c r="AQ719" s="99"/>
      <c r="AR719" s="99"/>
      <c r="AS719" s="99"/>
    </row>
    <row r="720">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c r="AC720" s="97"/>
      <c r="AD720" s="97"/>
      <c r="AE720" s="97"/>
      <c r="AF720" s="97"/>
      <c r="AG720" s="97"/>
      <c r="AH720" s="97"/>
      <c r="AI720" s="97"/>
      <c r="AJ720" s="97"/>
      <c r="AK720" s="97"/>
      <c r="AL720" s="97"/>
      <c r="AM720" s="97"/>
      <c r="AN720" s="97"/>
      <c r="AO720" s="97"/>
      <c r="AP720" s="97"/>
      <c r="AQ720" s="99"/>
      <c r="AR720" s="99"/>
      <c r="AS720" s="99"/>
    </row>
    <row r="72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c r="AC721" s="97"/>
      <c r="AD721" s="97"/>
      <c r="AE721" s="97"/>
      <c r="AF721" s="97"/>
      <c r="AG721" s="97"/>
      <c r="AH721" s="97"/>
      <c r="AI721" s="97"/>
      <c r="AJ721" s="97"/>
      <c r="AK721" s="97"/>
      <c r="AL721" s="97"/>
      <c r="AM721" s="97"/>
      <c r="AN721" s="97"/>
      <c r="AO721" s="97"/>
      <c r="AP721" s="97"/>
      <c r="AQ721" s="99"/>
      <c r="AR721" s="99"/>
      <c r="AS721" s="99"/>
    </row>
    <row r="722">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c r="AC722" s="97"/>
      <c r="AD722" s="97"/>
      <c r="AE722" s="97"/>
      <c r="AF722" s="97"/>
      <c r="AG722" s="97"/>
      <c r="AH722" s="97"/>
      <c r="AI722" s="97"/>
      <c r="AJ722" s="97"/>
      <c r="AK722" s="97"/>
      <c r="AL722" s="97"/>
      <c r="AM722" s="97"/>
      <c r="AN722" s="97"/>
      <c r="AO722" s="97"/>
      <c r="AP722" s="97"/>
      <c r="AQ722" s="99"/>
      <c r="AR722" s="99"/>
      <c r="AS722" s="99"/>
    </row>
    <row r="723">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c r="AC723" s="97"/>
      <c r="AD723" s="97"/>
      <c r="AE723" s="97"/>
      <c r="AF723" s="97"/>
      <c r="AG723" s="97"/>
      <c r="AH723" s="97"/>
      <c r="AI723" s="97"/>
      <c r="AJ723" s="97"/>
      <c r="AK723" s="97"/>
      <c r="AL723" s="97"/>
      <c r="AM723" s="97"/>
      <c r="AN723" s="97"/>
      <c r="AO723" s="97"/>
      <c r="AP723" s="97"/>
      <c r="AQ723" s="99"/>
      <c r="AR723" s="99"/>
      <c r="AS723" s="99"/>
    </row>
    <row r="724">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c r="AC724" s="97"/>
      <c r="AD724" s="97"/>
      <c r="AE724" s="97"/>
      <c r="AF724" s="97"/>
      <c r="AG724" s="97"/>
      <c r="AH724" s="97"/>
      <c r="AI724" s="97"/>
      <c r="AJ724" s="97"/>
      <c r="AK724" s="97"/>
      <c r="AL724" s="97"/>
      <c r="AM724" s="97"/>
      <c r="AN724" s="97"/>
      <c r="AO724" s="97"/>
      <c r="AP724" s="97"/>
      <c r="AQ724" s="99"/>
      <c r="AR724" s="99"/>
      <c r="AS724" s="99"/>
    </row>
    <row r="72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c r="AC725" s="97"/>
      <c r="AD725" s="97"/>
      <c r="AE725" s="97"/>
      <c r="AF725" s="97"/>
      <c r="AG725" s="97"/>
      <c r="AH725" s="97"/>
      <c r="AI725" s="97"/>
      <c r="AJ725" s="97"/>
      <c r="AK725" s="97"/>
      <c r="AL725" s="97"/>
      <c r="AM725" s="97"/>
      <c r="AN725" s="97"/>
      <c r="AO725" s="97"/>
      <c r="AP725" s="97"/>
      <c r="AQ725" s="99"/>
      <c r="AR725" s="99"/>
      <c r="AS725" s="99"/>
    </row>
    <row r="726">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c r="AC726" s="97"/>
      <c r="AD726" s="97"/>
      <c r="AE726" s="97"/>
      <c r="AF726" s="97"/>
      <c r="AG726" s="97"/>
      <c r="AH726" s="97"/>
      <c r="AI726" s="97"/>
      <c r="AJ726" s="97"/>
      <c r="AK726" s="97"/>
      <c r="AL726" s="97"/>
      <c r="AM726" s="97"/>
      <c r="AN726" s="97"/>
      <c r="AO726" s="97"/>
      <c r="AP726" s="97"/>
      <c r="AQ726" s="99"/>
      <c r="AR726" s="99"/>
      <c r="AS726" s="99"/>
    </row>
    <row r="727">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c r="AC727" s="97"/>
      <c r="AD727" s="97"/>
      <c r="AE727" s="97"/>
      <c r="AF727" s="97"/>
      <c r="AG727" s="97"/>
      <c r="AH727" s="97"/>
      <c r="AI727" s="97"/>
      <c r="AJ727" s="97"/>
      <c r="AK727" s="97"/>
      <c r="AL727" s="97"/>
      <c r="AM727" s="97"/>
      <c r="AN727" s="97"/>
      <c r="AO727" s="97"/>
      <c r="AP727" s="97"/>
      <c r="AQ727" s="99"/>
      <c r="AR727" s="99"/>
      <c r="AS727" s="99"/>
    </row>
    <row r="728">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c r="AC728" s="97"/>
      <c r="AD728" s="97"/>
      <c r="AE728" s="97"/>
      <c r="AF728" s="97"/>
      <c r="AG728" s="97"/>
      <c r="AH728" s="97"/>
      <c r="AI728" s="97"/>
      <c r="AJ728" s="97"/>
      <c r="AK728" s="97"/>
      <c r="AL728" s="97"/>
      <c r="AM728" s="97"/>
      <c r="AN728" s="97"/>
      <c r="AO728" s="97"/>
      <c r="AP728" s="97"/>
      <c r="AQ728" s="99"/>
      <c r="AR728" s="99"/>
      <c r="AS728" s="99"/>
    </row>
    <row r="729">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c r="AE729" s="97"/>
      <c r="AF729" s="97"/>
      <c r="AG729" s="97"/>
      <c r="AH729" s="97"/>
      <c r="AI729" s="97"/>
      <c r="AJ729" s="97"/>
      <c r="AK729" s="97"/>
      <c r="AL729" s="97"/>
      <c r="AM729" s="97"/>
      <c r="AN729" s="97"/>
      <c r="AO729" s="97"/>
      <c r="AP729" s="97"/>
      <c r="AQ729" s="99"/>
      <c r="AR729" s="99"/>
      <c r="AS729" s="99"/>
    </row>
    <row r="730">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c r="AE730" s="97"/>
      <c r="AF730" s="97"/>
      <c r="AG730" s="97"/>
      <c r="AH730" s="97"/>
      <c r="AI730" s="97"/>
      <c r="AJ730" s="97"/>
      <c r="AK730" s="97"/>
      <c r="AL730" s="97"/>
      <c r="AM730" s="97"/>
      <c r="AN730" s="97"/>
      <c r="AO730" s="97"/>
      <c r="AP730" s="97"/>
      <c r="AQ730" s="99"/>
      <c r="AR730" s="99"/>
      <c r="AS730" s="99"/>
    </row>
    <row r="73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c r="AC731" s="97"/>
      <c r="AD731" s="97"/>
      <c r="AE731" s="97"/>
      <c r="AF731" s="97"/>
      <c r="AG731" s="97"/>
      <c r="AH731" s="97"/>
      <c r="AI731" s="97"/>
      <c r="AJ731" s="97"/>
      <c r="AK731" s="97"/>
      <c r="AL731" s="97"/>
      <c r="AM731" s="97"/>
      <c r="AN731" s="97"/>
      <c r="AO731" s="97"/>
      <c r="AP731" s="97"/>
      <c r="AQ731" s="99"/>
      <c r="AR731" s="99"/>
      <c r="AS731" s="99"/>
    </row>
    <row r="732">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c r="AC732" s="97"/>
      <c r="AD732" s="97"/>
      <c r="AE732" s="97"/>
      <c r="AF732" s="97"/>
      <c r="AG732" s="97"/>
      <c r="AH732" s="97"/>
      <c r="AI732" s="97"/>
      <c r="AJ732" s="97"/>
      <c r="AK732" s="97"/>
      <c r="AL732" s="97"/>
      <c r="AM732" s="97"/>
      <c r="AN732" s="97"/>
      <c r="AO732" s="97"/>
      <c r="AP732" s="97"/>
      <c r="AQ732" s="99"/>
      <c r="AR732" s="99"/>
      <c r="AS732" s="99"/>
    </row>
    <row r="733">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c r="AC733" s="97"/>
      <c r="AD733" s="97"/>
      <c r="AE733" s="97"/>
      <c r="AF733" s="97"/>
      <c r="AG733" s="97"/>
      <c r="AH733" s="97"/>
      <c r="AI733" s="97"/>
      <c r="AJ733" s="97"/>
      <c r="AK733" s="97"/>
      <c r="AL733" s="97"/>
      <c r="AM733" s="97"/>
      <c r="AN733" s="97"/>
      <c r="AO733" s="97"/>
      <c r="AP733" s="97"/>
      <c r="AQ733" s="99"/>
      <c r="AR733" s="99"/>
      <c r="AS733" s="99"/>
    </row>
    <row r="734">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c r="AE734" s="97"/>
      <c r="AF734" s="97"/>
      <c r="AG734" s="97"/>
      <c r="AH734" s="97"/>
      <c r="AI734" s="97"/>
      <c r="AJ734" s="97"/>
      <c r="AK734" s="97"/>
      <c r="AL734" s="97"/>
      <c r="AM734" s="97"/>
      <c r="AN734" s="97"/>
      <c r="AO734" s="97"/>
      <c r="AP734" s="97"/>
      <c r="AQ734" s="99"/>
      <c r="AR734" s="99"/>
      <c r="AS734" s="99"/>
    </row>
    <row r="73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c r="AC735" s="97"/>
      <c r="AD735" s="97"/>
      <c r="AE735" s="97"/>
      <c r="AF735" s="97"/>
      <c r="AG735" s="97"/>
      <c r="AH735" s="97"/>
      <c r="AI735" s="97"/>
      <c r="AJ735" s="97"/>
      <c r="AK735" s="97"/>
      <c r="AL735" s="97"/>
      <c r="AM735" s="97"/>
      <c r="AN735" s="97"/>
      <c r="AO735" s="97"/>
      <c r="AP735" s="97"/>
      <c r="AQ735" s="99"/>
      <c r="AR735" s="99"/>
      <c r="AS735" s="99"/>
    </row>
    <row r="736">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c r="AC736" s="97"/>
      <c r="AD736" s="97"/>
      <c r="AE736" s="97"/>
      <c r="AF736" s="97"/>
      <c r="AG736" s="97"/>
      <c r="AH736" s="97"/>
      <c r="AI736" s="97"/>
      <c r="AJ736" s="97"/>
      <c r="AK736" s="97"/>
      <c r="AL736" s="97"/>
      <c r="AM736" s="97"/>
      <c r="AN736" s="97"/>
      <c r="AO736" s="97"/>
      <c r="AP736" s="97"/>
      <c r="AQ736" s="99"/>
      <c r="AR736" s="99"/>
      <c r="AS736" s="99"/>
    </row>
    <row r="737">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c r="AC737" s="97"/>
      <c r="AD737" s="97"/>
      <c r="AE737" s="97"/>
      <c r="AF737" s="97"/>
      <c r="AG737" s="97"/>
      <c r="AH737" s="97"/>
      <c r="AI737" s="97"/>
      <c r="AJ737" s="97"/>
      <c r="AK737" s="97"/>
      <c r="AL737" s="97"/>
      <c r="AM737" s="97"/>
      <c r="AN737" s="97"/>
      <c r="AO737" s="97"/>
      <c r="AP737" s="97"/>
      <c r="AQ737" s="99"/>
      <c r="AR737" s="99"/>
      <c r="AS737" s="99"/>
    </row>
    <row r="738">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c r="AE738" s="97"/>
      <c r="AF738" s="97"/>
      <c r="AG738" s="97"/>
      <c r="AH738" s="97"/>
      <c r="AI738" s="97"/>
      <c r="AJ738" s="97"/>
      <c r="AK738" s="97"/>
      <c r="AL738" s="97"/>
      <c r="AM738" s="97"/>
      <c r="AN738" s="97"/>
      <c r="AO738" s="97"/>
      <c r="AP738" s="97"/>
      <c r="AQ738" s="99"/>
      <c r="AR738" s="99"/>
      <c r="AS738" s="99"/>
    </row>
    <row r="739">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c r="AE739" s="97"/>
      <c r="AF739" s="97"/>
      <c r="AG739" s="97"/>
      <c r="AH739" s="97"/>
      <c r="AI739" s="97"/>
      <c r="AJ739" s="97"/>
      <c r="AK739" s="97"/>
      <c r="AL739" s="97"/>
      <c r="AM739" s="97"/>
      <c r="AN739" s="97"/>
      <c r="AO739" s="97"/>
      <c r="AP739" s="97"/>
      <c r="AQ739" s="99"/>
      <c r="AR739" s="99"/>
      <c r="AS739" s="99"/>
    </row>
    <row r="740">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c r="AE740" s="97"/>
      <c r="AF740" s="97"/>
      <c r="AG740" s="97"/>
      <c r="AH740" s="97"/>
      <c r="AI740" s="97"/>
      <c r="AJ740" s="97"/>
      <c r="AK740" s="97"/>
      <c r="AL740" s="97"/>
      <c r="AM740" s="97"/>
      <c r="AN740" s="97"/>
      <c r="AO740" s="97"/>
      <c r="AP740" s="97"/>
      <c r="AQ740" s="99"/>
      <c r="AR740" s="99"/>
      <c r="AS740" s="99"/>
    </row>
    <row r="74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c r="AE741" s="97"/>
      <c r="AF741" s="97"/>
      <c r="AG741" s="97"/>
      <c r="AH741" s="97"/>
      <c r="AI741" s="97"/>
      <c r="AJ741" s="97"/>
      <c r="AK741" s="97"/>
      <c r="AL741" s="97"/>
      <c r="AM741" s="97"/>
      <c r="AN741" s="97"/>
      <c r="AO741" s="97"/>
      <c r="AP741" s="97"/>
      <c r="AQ741" s="99"/>
      <c r="AR741" s="99"/>
      <c r="AS741" s="99"/>
    </row>
    <row r="742">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c r="AE742" s="97"/>
      <c r="AF742" s="97"/>
      <c r="AG742" s="97"/>
      <c r="AH742" s="97"/>
      <c r="AI742" s="97"/>
      <c r="AJ742" s="97"/>
      <c r="AK742" s="97"/>
      <c r="AL742" s="97"/>
      <c r="AM742" s="97"/>
      <c r="AN742" s="97"/>
      <c r="AO742" s="97"/>
      <c r="AP742" s="97"/>
      <c r="AQ742" s="99"/>
      <c r="AR742" s="99"/>
      <c r="AS742" s="99"/>
    </row>
    <row r="743">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c r="AE743" s="97"/>
      <c r="AF743" s="97"/>
      <c r="AG743" s="97"/>
      <c r="AH743" s="97"/>
      <c r="AI743" s="97"/>
      <c r="AJ743" s="97"/>
      <c r="AK743" s="97"/>
      <c r="AL743" s="97"/>
      <c r="AM743" s="97"/>
      <c r="AN743" s="97"/>
      <c r="AO743" s="97"/>
      <c r="AP743" s="97"/>
      <c r="AQ743" s="99"/>
      <c r="AR743" s="99"/>
      <c r="AS743" s="99"/>
    </row>
    <row r="744">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7"/>
      <c r="AC744" s="97"/>
      <c r="AD744" s="97"/>
      <c r="AE744" s="97"/>
      <c r="AF744" s="97"/>
      <c r="AG744" s="97"/>
      <c r="AH744" s="97"/>
      <c r="AI744" s="97"/>
      <c r="AJ744" s="97"/>
      <c r="AK744" s="97"/>
      <c r="AL744" s="97"/>
      <c r="AM744" s="97"/>
      <c r="AN744" s="97"/>
      <c r="AO744" s="97"/>
      <c r="AP744" s="97"/>
      <c r="AQ744" s="99"/>
      <c r="AR744" s="99"/>
      <c r="AS744" s="99"/>
    </row>
    <row r="74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c r="AE745" s="97"/>
      <c r="AF745" s="97"/>
      <c r="AG745" s="97"/>
      <c r="AH745" s="97"/>
      <c r="AI745" s="97"/>
      <c r="AJ745" s="97"/>
      <c r="AK745" s="97"/>
      <c r="AL745" s="97"/>
      <c r="AM745" s="97"/>
      <c r="AN745" s="97"/>
      <c r="AO745" s="97"/>
      <c r="AP745" s="97"/>
      <c r="AQ745" s="99"/>
      <c r="AR745" s="99"/>
      <c r="AS745" s="99"/>
    </row>
    <row r="746">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c r="AE746" s="97"/>
      <c r="AF746" s="97"/>
      <c r="AG746" s="97"/>
      <c r="AH746" s="97"/>
      <c r="AI746" s="97"/>
      <c r="AJ746" s="97"/>
      <c r="AK746" s="97"/>
      <c r="AL746" s="97"/>
      <c r="AM746" s="97"/>
      <c r="AN746" s="97"/>
      <c r="AO746" s="97"/>
      <c r="AP746" s="97"/>
      <c r="AQ746" s="99"/>
      <c r="AR746" s="99"/>
      <c r="AS746" s="99"/>
    </row>
    <row r="747">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c r="AE747" s="97"/>
      <c r="AF747" s="97"/>
      <c r="AG747" s="97"/>
      <c r="AH747" s="97"/>
      <c r="AI747" s="97"/>
      <c r="AJ747" s="97"/>
      <c r="AK747" s="97"/>
      <c r="AL747" s="97"/>
      <c r="AM747" s="97"/>
      <c r="AN747" s="97"/>
      <c r="AO747" s="97"/>
      <c r="AP747" s="97"/>
      <c r="AQ747" s="99"/>
      <c r="AR747" s="99"/>
      <c r="AS747" s="99"/>
    </row>
    <row r="748">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7"/>
      <c r="AC748" s="97"/>
      <c r="AD748" s="97"/>
      <c r="AE748" s="97"/>
      <c r="AF748" s="97"/>
      <c r="AG748" s="97"/>
      <c r="AH748" s="97"/>
      <c r="AI748" s="97"/>
      <c r="AJ748" s="97"/>
      <c r="AK748" s="97"/>
      <c r="AL748" s="97"/>
      <c r="AM748" s="97"/>
      <c r="AN748" s="97"/>
      <c r="AO748" s="97"/>
      <c r="AP748" s="97"/>
      <c r="AQ748" s="99"/>
      <c r="AR748" s="99"/>
      <c r="AS748" s="99"/>
    </row>
    <row r="749">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7"/>
      <c r="AC749" s="97"/>
      <c r="AD749" s="97"/>
      <c r="AE749" s="97"/>
      <c r="AF749" s="97"/>
      <c r="AG749" s="97"/>
      <c r="AH749" s="97"/>
      <c r="AI749" s="97"/>
      <c r="AJ749" s="97"/>
      <c r="AK749" s="97"/>
      <c r="AL749" s="97"/>
      <c r="AM749" s="97"/>
      <c r="AN749" s="97"/>
      <c r="AO749" s="97"/>
      <c r="AP749" s="97"/>
      <c r="AQ749" s="99"/>
      <c r="AR749" s="99"/>
      <c r="AS749" s="99"/>
    </row>
    <row r="750">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7"/>
      <c r="AC750" s="97"/>
      <c r="AD750" s="97"/>
      <c r="AE750" s="97"/>
      <c r="AF750" s="97"/>
      <c r="AG750" s="97"/>
      <c r="AH750" s="97"/>
      <c r="AI750" s="97"/>
      <c r="AJ750" s="97"/>
      <c r="AK750" s="97"/>
      <c r="AL750" s="97"/>
      <c r="AM750" s="97"/>
      <c r="AN750" s="97"/>
      <c r="AO750" s="97"/>
      <c r="AP750" s="97"/>
      <c r="AQ750" s="99"/>
      <c r="AR750" s="99"/>
      <c r="AS750" s="99"/>
    </row>
    <row r="75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7"/>
      <c r="AC751" s="97"/>
      <c r="AD751" s="97"/>
      <c r="AE751" s="97"/>
      <c r="AF751" s="97"/>
      <c r="AG751" s="97"/>
      <c r="AH751" s="97"/>
      <c r="AI751" s="97"/>
      <c r="AJ751" s="97"/>
      <c r="AK751" s="97"/>
      <c r="AL751" s="97"/>
      <c r="AM751" s="97"/>
      <c r="AN751" s="97"/>
      <c r="AO751" s="97"/>
      <c r="AP751" s="97"/>
      <c r="AQ751" s="99"/>
      <c r="AR751" s="99"/>
      <c r="AS751" s="99"/>
    </row>
    <row r="752">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7"/>
      <c r="AC752" s="97"/>
      <c r="AD752" s="97"/>
      <c r="AE752" s="97"/>
      <c r="AF752" s="97"/>
      <c r="AG752" s="97"/>
      <c r="AH752" s="97"/>
      <c r="AI752" s="97"/>
      <c r="AJ752" s="97"/>
      <c r="AK752" s="97"/>
      <c r="AL752" s="97"/>
      <c r="AM752" s="97"/>
      <c r="AN752" s="97"/>
      <c r="AO752" s="97"/>
      <c r="AP752" s="97"/>
      <c r="AQ752" s="99"/>
      <c r="AR752" s="99"/>
      <c r="AS752" s="99"/>
    </row>
    <row r="753">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97"/>
      <c r="AE753" s="97"/>
      <c r="AF753" s="97"/>
      <c r="AG753" s="97"/>
      <c r="AH753" s="97"/>
      <c r="AI753" s="97"/>
      <c r="AJ753" s="97"/>
      <c r="AK753" s="97"/>
      <c r="AL753" s="97"/>
      <c r="AM753" s="97"/>
      <c r="AN753" s="97"/>
      <c r="AO753" s="97"/>
      <c r="AP753" s="97"/>
      <c r="AQ753" s="99"/>
      <c r="AR753" s="99"/>
      <c r="AS753" s="99"/>
    </row>
    <row r="754">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97"/>
      <c r="AE754" s="97"/>
      <c r="AF754" s="97"/>
      <c r="AG754" s="97"/>
      <c r="AH754" s="97"/>
      <c r="AI754" s="97"/>
      <c r="AJ754" s="97"/>
      <c r="AK754" s="97"/>
      <c r="AL754" s="97"/>
      <c r="AM754" s="97"/>
      <c r="AN754" s="97"/>
      <c r="AO754" s="97"/>
      <c r="AP754" s="97"/>
      <c r="AQ754" s="99"/>
      <c r="AR754" s="99"/>
      <c r="AS754" s="99"/>
    </row>
    <row r="75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7"/>
      <c r="AC755" s="97"/>
      <c r="AD755" s="97"/>
      <c r="AE755" s="97"/>
      <c r="AF755" s="97"/>
      <c r="AG755" s="97"/>
      <c r="AH755" s="97"/>
      <c r="AI755" s="97"/>
      <c r="AJ755" s="97"/>
      <c r="AK755" s="97"/>
      <c r="AL755" s="97"/>
      <c r="AM755" s="97"/>
      <c r="AN755" s="97"/>
      <c r="AO755" s="97"/>
      <c r="AP755" s="97"/>
      <c r="AQ755" s="99"/>
      <c r="AR755" s="99"/>
      <c r="AS755" s="99"/>
    </row>
    <row r="756">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7"/>
      <c r="AC756" s="97"/>
      <c r="AD756" s="97"/>
      <c r="AE756" s="97"/>
      <c r="AF756" s="97"/>
      <c r="AG756" s="97"/>
      <c r="AH756" s="97"/>
      <c r="AI756" s="97"/>
      <c r="AJ756" s="97"/>
      <c r="AK756" s="97"/>
      <c r="AL756" s="97"/>
      <c r="AM756" s="97"/>
      <c r="AN756" s="97"/>
      <c r="AO756" s="97"/>
      <c r="AP756" s="97"/>
      <c r="AQ756" s="99"/>
      <c r="AR756" s="99"/>
      <c r="AS756" s="99"/>
    </row>
    <row r="757">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97"/>
      <c r="AE757" s="97"/>
      <c r="AF757" s="97"/>
      <c r="AG757" s="97"/>
      <c r="AH757" s="97"/>
      <c r="AI757" s="97"/>
      <c r="AJ757" s="97"/>
      <c r="AK757" s="97"/>
      <c r="AL757" s="97"/>
      <c r="AM757" s="97"/>
      <c r="AN757" s="97"/>
      <c r="AO757" s="97"/>
      <c r="AP757" s="97"/>
      <c r="AQ757" s="99"/>
      <c r="AR757" s="99"/>
      <c r="AS757" s="99"/>
    </row>
    <row r="758">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97"/>
      <c r="AE758" s="97"/>
      <c r="AF758" s="97"/>
      <c r="AG758" s="97"/>
      <c r="AH758" s="97"/>
      <c r="AI758" s="97"/>
      <c r="AJ758" s="97"/>
      <c r="AK758" s="97"/>
      <c r="AL758" s="97"/>
      <c r="AM758" s="97"/>
      <c r="AN758" s="97"/>
      <c r="AO758" s="97"/>
      <c r="AP758" s="97"/>
      <c r="AQ758" s="99"/>
      <c r="AR758" s="99"/>
      <c r="AS758" s="99"/>
    </row>
    <row r="759">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7"/>
      <c r="AC759" s="97"/>
      <c r="AD759" s="97"/>
      <c r="AE759" s="97"/>
      <c r="AF759" s="97"/>
      <c r="AG759" s="97"/>
      <c r="AH759" s="97"/>
      <c r="AI759" s="97"/>
      <c r="AJ759" s="97"/>
      <c r="AK759" s="97"/>
      <c r="AL759" s="97"/>
      <c r="AM759" s="97"/>
      <c r="AN759" s="97"/>
      <c r="AO759" s="97"/>
      <c r="AP759" s="97"/>
      <c r="AQ759" s="99"/>
      <c r="AR759" s="99"/>
      <c r="AS759" s="99"/>
    </row>
    <row r="760">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7"/>
      <c r="AC760" s="97"/>
      <c r="AD760" s="97"/>
      <c r="AE760" s="97"/>
      <c r="AF760" s="97"/>
      <c r="AG760" s="97"/>
      <c r="AH760" s="97"/>
      <c r="AI760" s="97"/>
      <c r="AJ760" s="97"/>
      <c r="AK760" s="97"/>
      <c r="AL760" s="97"/>
      <c r="AM760" s="97"/>
      <c r="AN760" s="97"/>
      <c r="AO760" s="97"/>
      <c r="AP760" s="97"/>
      <c r="AQ760" s="99"/>
      <c r="AR760" s="99"/>
      <c r="AS760" s="99"/>
    </row>
    <row r="76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7"/>
      <c r="AC761" s="97"/>
      <c r="AD761" s="97"/>
      <c r="AE761" s="97"/>
      <c r="AF761" s="97"/>
      <c r="AG761" s="97"/>
      <c r="AH761" s="97"/>
      <c r="AI761" s="97"/>
      <c r="AJ761" s="97"/>
      <c r="AK761" s="97"/>
      <c r="AL761" s="97"/>
      <c r="AM761" s="97"/>
      <c r="AN761" s="97"/>
      <c r="AO761" s="97"/>
      <c r="AP761" s="97"/>
      <c r="AQ761" s="99"/>
      <c r="AR761" s="99"/>
      <c r="AS761" s="99"/>
    </row>
    <row r="762">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7"/>
      <c r="AC762" s="97"/>
      <c r="AD762" s="97"/>
      <c r="AE762" s="97"/>
      <c r="AF762" s="97"/>
      <c r="AG762" s="97"/>
      <c r="AH762" s="97"/>
      <c r="AI762" s="97"/>
      <c r="AJ762" s="97"/>
      <c r="AK762" s="97"/>
      <c r="AL762" s="97"/>
      <c r="AM762" s="97"/>
      <c r="AN762" s="97"/>
      <c r="AO762" s="97"/>
      <c r="AP762" s="97"/>
      <c r="AQ762" s="99"/>
      <c r="AR762" s="99"/>
      <c r="AS762" s="99"/>
    </row>
    <row r="763">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7"/>
      <c r="AC763" s="97"/>
      <c r="AD763" s="97"/>
      <c r="AE763" s="97"/>
      <c r="AF763" s="97"/>
      <c r="AG763" s="97"/>
      <c r="AH763" s="97"/>
      <c r="AI763" s="97"/>
      <c r="AJ763" s="97"/>
      <c r="AK763" s="97"/>
      <c r="AL763" s="97"/>
      <c r="AM763" s="97"/>
      <c r="AN763" s="97"/>
      <c r="AO763" s="97"/>
      <c r="AP763" s="97"/>
      <c r="AQ763" s="99"/>
      <c r="AR763" s="99"/>
      <c r="AS763" s="99"/>
    </row>
    <row r="764">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7"/>
      <c r="AC764" s="97"/>
      <c r="AD764" s="97"/>
      <c r="AE764" s="97"/>
      <c r="AF764" s="97"/>
      <c r="AG764" s="97"/>
      <c r="AH764" s="97"/>
      <c r="AI764" s="97"/>
      <c r="AJ764" s="97"/>
      <c r="AK764" s="97"/>
      <c r="AL764" s="97"/>
      <c r="AM764" s="97"/>
      <c r="AN764" s="97"/>
      <c r="AO764" s="97"/>
      <c r="AP764" s="97"/>
      <c r="AQ764" s="99"/>
      <c r="AR764" s="99"/>
      <c r="AS764" s="99"/>
    </row>
    <row r="76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7"/>
      <c r="AC765" s="97"/>
      <c r="AD765" s="97"/>
      <c r="AE765" s="97"/>
      <c r="AF765" s="97"/>
      <c r="AG765" s="97"/>
      <c r="AH765" s="97"/>
      <c r="AI765" s="97"/>
      <c r="AJ765" s="97"/>
      <c r="AK765" s="97"/>
      <c r="AL765" s="97"/>
      <c r="AM765" s="97"/>
      <c r="AN765" s="97"/>
      <c r="AO765" s="97"/>
      <c r="AP765" s="97"/>
      <c r="AQ765" s="99"/>
      <c r="AR765" s="99"/>
      <c r="AS765" s="99"/>
    </row>
    <row r="766">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7"/>
      <c r="AC766" s="97"/>
      <c r="AD766" s="97"/>
      <c r="AE766" s="97"/>
      <c r="AF766" s="97"/>
      <c r="AG766" s="97"/>
      <c r="AH766" s="97"/>
      <c r="AI766" s="97"/>
      <c r="AJ766" s="97"/>
      <c r="AK766" s="97"/>
      <c r="AL766" s="97"/>
      <c r="AM766" s="97"/>
      <c r="AN766" s="97"/>
      <c r="AO766" s="97"/>
      <c r="AP766" s="97"/>
      <c r="AQ766" s="99"/>
      <c r="AR766" s="99"/>
      <c r="AS766" s="99"/>
    </row>
    <row r="767">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7"/>
      <c r="AC767" s="97"/>
      <c r="AD767" s="97"/>
      <c r="AE767" s="97"/>
      <c r="AF767" s="97"/>
      <c r="AG767" s="97"/>
      <c r="AH767" s="97"/>
      <c r="AI767" s="97"/>
      <c r="AJ767" s="97"/>
      <c r="AK767" s="97"/>
      <c r="AL767" s="97"/>
      <c r="AM767" s="97"/>
      <c r="AN767" s="97"/>
      <c r="AO767" s="97"/>
      <c r="AP767" s="97"/>
      <c r="AQ767" s="99"/>
      <c r="AR767" s="99"/>
      <c r="AS767" s="99"/>
    </row>
    <row r="768">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7"/>
      <c r="AC768" s="97"/>
      <c r="AD768" s="97"/>
      <c r="AE768" s="97"/>
      <c r="AF768" s="97"/>
      <c r="AG768" s="97"/>
      <c r="AH768" s="97"/>
      <c r="AI768" s="97"/>
      <c r="AJ768" s="97"/>
      <c r="AK768" s="97"/>
      <c r="AL768" s="97"/>
      <c r="AM768" s="97"/>
      <c r="AN768" s="97"/>
      <c r="AO768" s="97"/>
      <c r="AP768" s="97"/>
      <c r="AQ768" s="99"/>
      <c r="AR768" s="99"/>
      <c r="AS768" s="99"/>
    </row>
    <row r="769">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7"/>
      <c r="AC769" s="97"/>
      <c r="AD769" s="97"/>
      <c r="AE769" s="97"/>
      <c r="AF769" s="97"/>
      <c r="AG769" s="97"/>
      <c r="AH769" s="97"/>
      <c r="AI769" s="97"/>
      <c r="AJ769" s="97"/>
      <c r="AK769" s="97"/>
      <c r="AL769" s="97"/>
      <c r="AM769" s="97"/>
      <c r="AN769" s="97"/>
      <c r="AO769" s="97"/>
      <c r="AP769" s="97"/>
      <c r="AQ769" s="99"/>
      <c r="AR769" s="99"/>
      <c r="AS769" s="99"/>
    </row>
    <row r="770">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7"/>
      <c r="AC770" s="97"/>
      <c r="AD770" s="97"/>
      <c r="AE770" s="97"/>
      <c r="AF770" s="97"/>
      <c r="AG770" s="97"/>
      <c r="AH770" s="97"/>
      <c r="AI770" s="97"/>
      <c r="AJ770" s="97"/>
      <c r="AK770" s="97"/>
      <c r="AL770" s="97"/>
      <c r="AM770" s="97"/>
      <c r="AN770" s="97"/>
      <c r="AO770" s="97"/>
      <c r="AP770" s="97"/>
      <c r="AQ770" s="99"/>
      <c r="AR770" s="99"/>
      <c r="AS770" s="99"/>
    </row>
    <row r="77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7"/>
      <c r="AC771" s="97"/>
      <c r="AD771" s="97"/>
      <c r="AE771" s="97"/>
      <c r="AF771" s="97"/>
      <c r="AG771" s="97"/>
      <c r="AH771" s="97"/>
      <c r="AI771" s="97"/>
      <c r="AJ771" s="97"/>
      <c r="AK771" s="97"/>
      <c r="AL771" s="97"/>
      <c r="AM771" s="97"/>
      <c r="AN771" s="97"/>
      <c r="AO771" s="97"/>
      <c r="AP771" s="97"/>
      <c r="AQ771" s="99"/>
      <c r="AR771" s="99"/>
      <c r="AS771" s="99"/>
    </row>
    <row r="772">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7"/>
      <c r="AC772" s="97"/>
      <c r="AD772" s="97"/>
      <c r="AE772" s="97"/>
      <c r="AF772" s="97"/>
      <c r="AG772" s="97"/>
      <c r="AH772" s="97"/>
      <c r="AI772" s="97"/>
      <c r="AJ772" s="97"/>
      <c r="AK772" s="97"/>
      <c r="AL772" s="97"/>
      <c r="AM772" s="97"/>
      <c r="AN772" s="97"/>
      <c r="AO772" s="97"/>
      <c r="AP772" s="97"/>
      <c r="AQ772" s="99"/>
      <c r="AR772" s="99"/>
      <c r="AS772" s="99"/>
    </row>
    <row r="773">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7"/>
      <c r="AC773" s="97"/>
      <c r="AD773" s="97"/>
      <c r="AE773" s="97"/>
      <c r="AF773" s="97"/>
      <c r="AG773" s="97"/>
      <c r="AH773" s="97"/>
      <c r="AI773" s="97"/>
      <c r="AJ773" s="97"/>
      <c r="AK773" s="97"/>
      <c r="AL773" s="97"/>
      <c r="AM773" s="97"/>
      <c r="AN773" s="97"/>
      <c r="AO773" s="97"/>
      <c r="AP773" s="97"/>
      <c r="AQ773" s="99"/>
      <c r="AR773" s="99"/>
      <c r="AS773" s="99"/>
    </row>
    <row r="774">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c r="AE774" s="97"/>
      <c r="AF774" s="97"/>
      <c r="AG774" s="97"/>
      <c r="AH774" s="97"/>
      <c r="AI774" s="97"/>
      <c r="AJ774" s="97"/>
      <c r="AK774" s="97"/>
      <c r="AL774" s="97"/>
      <c r="AM774" s="97"/>
      <c r="AN774" s="97"/>
      <c r="AO774" s="97"/>
      <c r="AP774" s="97"/>
      <c r="AQ774" s="99"/>
      <c r="AR774" s="99"/>
      <c r="AS774" s="99"/>
    </row>
    <row r="77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7"/>
      <c r="AC775" s="97"/>
      <c r="AD775" s="97"/>
      <c r="AE775" s="97"/>
      <c r="AF775" s="97"/>
      <c r="AG775" s="97"/>
      <c r="AH775" s="97"/>
      <c r="AI775" s="97"/>
      <c r="AJ775" s="97"/>
      <c r="AK775" s="97"/>
      <c r="AL775" s="97"/>
      <c r="AM775" s="97"/>
      <c r="AN775" s="97"/>
      <c r="AO775" s="97"/>
      <c r="AP775" s="97"/>
      <c r="AQ775" s="99"/>
      <c r="AR775" s="99"/>
      <c r="AS775" s="99"/>
    </row>
    <row r="776">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7"/>
      <c r="AC776" s="97"/>
      <c r="AD776" s="97"/>
      <c r="AE776" s="97"/>
      <c r="AF776" s="97"/>
      <c r="AG776" s="97"/>
      <c r="AH776" s="97"/>
      <c r="AI776" s="97"/>
      <c r="AJ776" s="97"/>
      <c r="AK776" s="97"/>
      <c r="AL776" s="97"/>
      <c r="AM776" s="97"/>
      <c r="AN776" s="97"/>
      <c r="AO776" s="97"/>
      <c r="AP776" s="97"/>
      <c r="AQ776" s="99"/>
      <c r="AR776" s="99"/>
      <c r="AS776" s="99"/>
    </row>
    <row r="777">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7"/>
      <c r="AC777" s="97"/>
      <c r="AD777" s="97"/>
      <c r="AE777" s="97"/>
      <c r="AF777" s="97"/>
      <c r="AG777" s="97"/>
      <c r="AH777" s="97"/>
      <c r="AI777" s="97"/>
      <c r="AJ777" s="97"/>
      <c r="AK777" s="97"/>
      <c r="AL777" s="97"/>
      <c r="AM777" s="97"/>
      <c r="AN777" s="97"/>
      <c r="AO777" s="97"/>
      <c r="AP777" s="97"/>
      <c r="AQ777" s="99"/>
      <c r="AR777" s="99"/>
      <c r="AS777" s="99"/>
    </row>
    <row r="778">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7"/>
      <c r="AC778" s="97"/>
      <c r="AD778" s="97"/>
      <c r="AE778" s="97"/>
      <c r="AF778" s="97"/>
      <c r="AG778" s="97"/>
      <c r="AH778" s="97"/>
      <c r="AI778" s="97"/>
      <c r="AJ778" s="97"/>
      <c r="AK778" s="97"/>
      <c r="AL778" s="97"/>
      <c r="AM778" s="97"/>
      <c r="AN778" s="97"/>
      <c r="AO778" s="97"/>
      <c r="AP778" s="97"/>
      <c r="AQ778" s="99"/>
      <c r="AR778" s="99"/>
      <c r="AS778" s="99"/>
    </row>
    <row r="779">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7"/>
      <c r="AC779" s="97"/>
      <c r="AD779" s="97"/>
      <c r="AE779" s="97"/>
      <c r="AF779" s="97"/>
      <c r="AG779" s="97"/>
      <c r="AH779" s="97"/>
      <c r="AI779" s="97"/>
      <c r="AJ779" s="97"/>
      <c r="AK779" s="97"/>
      <c r="AL779" s="97"/>
      <c r="AM779" s="97"/>
      <c r="AN779" s="97"/>
      <c r="AO779" s="97"/>
      <c r="AP779" s="97"/>
      <c r="AQ779" s="99"/>
      <c r="AR779" s="99"/>
      <c r="AS779" s="99"/>
    </row>
    <row r="780">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c r="AE780" s="97"/>
      <c r="AF780" s="97"/>
      <c r="AG780" s="97"/>
      <c r="AH780" s="97"/>
      <c r="AI780" s="97"/>
      <c r="AJ780" s="97"/>
      <c r="AK780" s="97"/>
      <c r="AL780" s="97"/>
      <c r="AM780" s="97"/>
      <c r="AN780" s="97"/>
      <c r="AO780" s="97"/>
      <c r="AP780" s="97"/>
      <c r="AQ780" s="99"/>
      <c r="AR780" s="99"/>
      <c r="AS780" s="99"/>
    </row>
    <row r="78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c r="AE781" s="97"/>
      <c r="AF781" s="97"/>
      <c r="AG781" s="97"/>
      <c r="AH781" s="97"/>
      <c r="AI781" s="97"/>
      <c r="AJ781" s="97"/>
      <c r="AK781" s="97"/>
      <c r="AL781" s="97"/>
      <c r="AM781" s="97"/>
      <c r="AN781" s="97"/>
      <c r="AO781" s="97"/>
      <c r="AP781" s="97"/>
      <c r="AQ781" s="99"/>
      <c r="AR781" s="99"/>
      <c r="AS781" s="99"/>
    </row>
    <row r="782">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c r="AE782" s="97"/>
      <c r="AF782" s="97"/>
      <c r="AG782" s="97"/>
      <c r="AH782" s="97"/>
      <c r="AI782" s="97"/>
      <c r="AJ782" s="97"/>
      <c r="AK782" s="97"/>
      <c r="AL782" s="97"/>
      <c r="AM782" s="97"/>
      <c r="AN782" s="97"/>
      <c r="AO782" s="97"/>
      <c r="AP782" s="97"/>
      <c r="AQ782" s="99"/>
      <c r="AR782" s="99"/>
      <c r="AS782" s="99"/>
    </row>
    <row r="783">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c r="AE783" s="97"/>
      <c r="AF783" s="97"/>
      <c r="AG783" s="97"/>
      <c r="AH783" s="97"/>
      <c r="AI783" s="97"/>
      <c r="AJ783" s="97"/>
      <c r="AK783" s="97"/>
      <c r="AL783" s="97"/>
      <c r="AM783" s="97"/>
      <c r="AN783" s="97"/>
      <c r="AO783" s="97"/>
      <c r="AP783" s="97"/>
      <c r="AQ783" s="99"/>
      <c r="AR783" s="99"/>
      <c r="AS783" s="99"/>
    </row>
    <row r="784">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c r="AE784" s="97"/>
      <c r="AF784" s="97"/>
      <c r="AG784" s="97"/>
      <c r="AH784" s="97"/>
      <c r="AI784" s="97"/>
      <c r="AJ784" s="97"/>
      <c r="AK784" s="97"/>
      <c r="AL784" s="97"/>
      <c r="AM784" s="97"/>
      <c r="AN784" s="97"/>
      <c r="AO784" s="97"/>
      <c r="AP784" s="97"/>
      <c r="AQ784" s="99"/>
      <c r="AR784" s="99"/>
      <c r="AS784" s="99"/>
    </row>
    <row r="78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c r="AE785" s="97"/>
      <c r="AF785" s="97"/>
      <c r="AG785" s="97"/>
      <c r="AH785" s="97"/>
      <c r="AI785" s="97"/>
      <c r="AJ785" s="97"/>
      <c r="AK785" s="97"/>
      <c r="AL785" s="97"/>
      <c r="AM785" s="97"/>
      <c r="AN785" s="97"/>
      <c r="AO785" s="97"/>
      <c r="AP785" s="97"/>
      <c r="AQ785" s="99"/>
      <c r="AR785" s="99"/>
      <c r="AS785" s="99"/>
    </row>
    <row r="786">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7"/>
      <c r="AC786" s="97"/>
      <c r="AD786" s="97"/>
      <c r="AE786" s="97"/>
      <c r="AF786" s="97"/>
      <c r="AG786" s="97"/>
      <c r="AH786" s="97"/>
      <c r="AI786" s="97"/>
      <c r="AJ786" s="97"/>
      <c r="AK786" s="97"/>
      <c r="AL786" s="97"/>
      <c r="AM786" s="97"/>
      <c r="AN786" s="97"/>
      <c r="AO786" s="97"/>
      <c r="AP786" s="97"/>
      <c r="AQ786" s="99"/>
      <c r="AR786" s="99"/>
      <c r="AS786" s="99"/>
    </row>
    <row r="787">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c r="AE787" s="97"/>
      <c r="AF787" s="97"/>
      <c r="AG787" s="97"/>
      <c r="AH787" s="97"/>
      <c r="AI787" s="97"/>
      <c r="AJ787" s="97"/>
      <c r="AK787" s="97"/>
      <c r="AL787" s="97"/>
      <c r="AM787" s="97"/>
      <c r="AN787" s="97"/>
      <c r="AO787" s="97"/>
      <c r="AP787" s="97"/>
      <c r="AQ787" s="99"/>
      <c r="AR787" s="99"/>
      <c r="AS787" s="99"/>
    </row>
    <row r="788">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c r="AE788" s="97"/>
      <c r="AF788" s="97"/>
      <c r="AG788" s="97"/>
      <c r="AH788" s="97"/>
      <c r="AI788" s="97"/>
      <c r="AJ788" s="97"/>
      <c r="AK788" s="97"/>
      <c r="AL788" s="97"/>
      <c r="AM788" s="97"/>
      <c r="AN788" s="97"/>
      <c r="AO788" s="97"/>
      <c r="AP788" s="97"/>
      <c r="AQ788" s="99"/>
      <c r="AR788" s="99"/>
      <c r="AS788" s="99"/>
    </row>
    <row r="789">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c r="AE789" s="97"/>
      <c r="AF789" s="97"/>
      <c r="AG789" s="97"/>
      <c r="AH789" s="97"/>
      <c r="AI789" s="97"/>
      <c r="AJ789" s="97"/>
      <c r="AK789" s="97"/>
      <c r="AL789" s="97"/>
      <c r="AM789" s="97"/>
      <c r="AN789" s="97"/>
      <c r="AO789" s="97"/>
      <c r="AP789" s="97"/>
      <c r="AQ789" s="99"/>
      <c r="AR789" s="99"/>
      <c r="AS789" s="99"/>
    </row>
    <row r="790">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c r="AE790" s="97"/>
      <c r="AF790" s="97"/>
      <c r="AG790" s="97"/>
      <c r="AH790" s="97"/>
      <c r="AI790" s="97"/>
      <c r="AJ790" s="97"/>
      <c r="AK790" s="97"/>
      <c r="AL790" s="97"/>
      <c r="AM790" s="97"/>
      <c r="AN790" s="97"/>
      <c r="AO790" s="97"/>
      <c r="AP790" s="97"/>
      <c r="AQ790" s="99"/>
      <c r="AR790" s="99"/>
      <c r="AS790" s="99"/>
    </row>
    <row r="79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c r="AE791" s="97"/>
      <c r="AF791" s="97"/>
      <c r="AG791" s="97"/>
      <c r="AH791" s="97"/>
      <c r="AI791" s="97"/>
      <c r="AJ791" s="97"/>
      <c r="AK791" s="97"/>
      <c r="AL791" s="97"/>
      <c r="AM791" s="97"/>
      <c r="AN791" s="97"/>
      <c r="AO791" s="97"/>
      <c r="AP791" s="97"/>
      <c r="AQ791" s="99"/>
      <c r="AR791" s="99"/>
      <c r="AS791" s="99"/>
    </row>
    <row r="792">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7"/>
      <c r="AC792" s="97"/>
      <c r="AD792" s="97"/>
      <c r="AE792" s="97"/>
      <c r="AF792" s="97"/>
      <c r="AG792" s="97"/>
      <c r="AH792" s="97"/>
      <c r="AI792" s="97"/>
      <c r="AJ792" s="97"/>
      <c r="AK792" s="97"/>
      <c r="AL792" s="97"/>
      <c r="AM792" s="97"/>
      <c r="AN792" s="97"/>
      <c r="AO792" s="97"/>
      <c r="AP792" s="97"/>
      <c r="AQ792" s="99"/>
      <c r="AR792" s="99"/>
      <c r="AS792" s="99"/>
    </row>
    <row r="793">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7"/>
      <c r="AC793" s="97"/>
      <c r="AD793" s="97"/>
      <c r="AE793" s="97"/>
      <c r="AF793" s="97"/>
      <c r="AG793" s="97"/>
      <c r="AH793" s="97"/>
      <c r="AI793" s="97"/>
      <c r="AJ793" s="97"/>
      <c r="AK793" s="97"/>
      <c r="AL793" s="97"/>
      <c r="AM793" s="97"/>
      <c r="AN793" s="97"/>
      <c r="AO793" s="97"/>
      <c r="AP793" s="97"/>
      <c r="AQ793" s="99"/>
      <c r="AR793" s="99"/>
      <c r="AS793" s="99"/>
    </row>
    <row r="794">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7"/>
      <c r="AC794" s="97"/>
      <c r="AD794" s="97"/>
      <c r="AE794" s="97"/>
      <c r="AF794" s="97"/>
      <c r="AG794" s="97"/>
      <c r="AH794" s="97"/>
      <c r="AI794" s="97"/>
      <c r="AJ794" s="97"/>
      <c r="AK794" s="97"/>
      <c r="AL794" s="97"/>
      <c r="AM794" s="97"/>
      <c r="AN794" s="97"/>
      <c r="AO794" s="97"/>
      <c r="AP794" s="97"/>
      <c r="AQ794" s="99"/>
      <c r="AR794" s="99"/>
      <c r="AS794" s="99"/>
    </row>
    <row r="79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c r="AE795" s="97"/>
      <c r="AF795" s="97"/>
      <c r="AG795" s="97"/>
      <c r="AH795" s="97"/>
      <c r="AI795" s="97"/>
      <c r="AJ795" s="97"/>
      <c r="AK795" s="97"/>
      <c r="AL795" s="97"/>
      <c r="AM795" s="97"/>
      <c r="AN795" s="97"/>
      <c r="AO795" s="97"/>
      <c r="AP795" s="97"/>
      <c r="AQ795" s="99"/>
      <c r="AR795" s="99"/>
      <c r="AS795" s="99"/>
    </row>
    <row r="796">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7"/>
      <c r="AC796" s="97"/>
      <c r="AD796" s="97"/>
      <c r="AE796" s="97"/>
      <c r="AF796" s="97"/>
      <c r="AG796" s="97"/>
      <c r="AH796" s="97"/>
      <c r="AI796" s="97"/>
      <c r="AJ796" s="97"/>
      <c r="AK796" s="97"/>
      <c r="AL796" s="97"/>
      <c r="AM796" s="97"/>
      <c r="AN796" s="97"/>
      <c r="AO796" s="97"/>
      <c r="AP796" s="97"/>
      <c r="AQ796" s="99"/>
      <c r="AR796" s="99"/>
      <c r="AS796" s="99"/>
    </row>
    <row r="797">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7"/>
      <c r="AC797" s="97"/>
      <c r="AD797" s="97"/>
      <c r="AE797" s="97"/>
      <c r="AF797" s="97"/>
      <c r="AG797" s="97"/>
      <c r="AH797" s="97"/>
      <c r="AI797" s="97"/>
      <c r="AJ797" s="97"/>
      <c r="AK797" s="97"/>
      <c r="AL797" s="97"/>
      <c r="AM797" s="97"/>
      <c r="AN797" s="97"/>
      <c r="AO797" s="97"/>
      <c r="AP797" s="97"/>
      <c r="AQ797" s="99"/>
      <c r="AR797" s="99"/>
      <c r="AS797" s="99"/>
    </row>
    <row r="798">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7"/>
      <c r="AC798" s="97"/>
      <c r="AD798" s="97"/>
      <c r="AE798" s="97"/>
      <c r="AF798" s="97"/>
      <c r="AG798" s="97"/>
      <c r="AH798" s="97"/>
      <c r="AI798" s="97"/>
      <c r="AJ798" s="97"/>
      <c r="AK798" s="97"/>
      <c r="AL798" s="97"/>
      <c r="AM798" s="97"/>
      <c r="AN798" s="97"/>
      <c r="AO798" s="97"/>
      <c r="AP798" s="97"/>
      <c r="AQ798" s="99"/>
      <c r="AR798" s="99"/>
      <c r="AS798" s="99"/>
    </row>
    <row r="799">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c r="AE799" s="97"/>
      <c r="AF799" s="97"/>
      <c r="AG799" s="97"/>
      <c r="AH799" s="97"/>
      <c r="AI799" s="97"/>
      <c r="AJ799" s="97"/>
      <c r="AK799" s="97"/>
      <c r="AL799" s="97"/>
      <c r="AM799" s="97"/>
      <c r="AN799" s="97"/>
      <c r="AO799" s="97"/>
      <c r="AP799" s="97"/>
      <c r="AQ799" s="99"/>
      <c r="AR799" s="99"/>
      <c r="AS799" s="99"/>
    </row>
    <row r="800">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c r="AE800" s="97"/>
      <c r="AF800" s="97"/>
      <c r="AG800" s="97"/>
      <c r="AH800" s="97"/>
      <c r="AI800" s="97"/>
      <c r="AJ800" s="97"/>
      <c r="AK800" s="97"/>
      <c r="AL800" s="97"/>
      <c r="AM800" s="97"/>
      <c r="AN800" s="97"/>
      <c r="AO800" s="97"/>
      <c r="AP800" s="97"/>
      <c r="AQ800" s="99"/>
      <c r="AR800" s="99"/>
      <c r="AS800" s="99"/>
    </row>
    <row r="80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c r="AE801" s="97"/>
      <c r="AF801" s="97"/>
      <c r="AG801" s="97"/>
      <c r="AH801" s="97"/>
      <c r="AI801" s="97"/>
      <c r="AJ801" s="97"/>
      <c r="AK801" s="97"/>
      <c r="AL801" s="97"/>
      <c r="AM801" s="97"/>
      <c r="AN801" s="97"/>
      <c r="AO801" s="97"/>
      <c r="AP801" s="97"/>
      <c r="AQ801" s="99"/>
      <c r="AR801" s="99"/>
      <c r="AS801" s="99"/>
    </row>
    <row r="802">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7"/>
      <c r="AC802" s="97"/>
      <c r="AD802" s="97"/>
      <c r="AE802" s="97"/>
      <c r="AF802" s="97"/>
      <c r="AG802" s="97"/>
      <c r="AH802" s="97"/>
      <c r="AI802" s="97"/>
      <c r="AJ802" s="97"/>
      <c r="AK802" s="97"/>
      <c r="AL802" s="97"/>
      <c r="AM802" s="97"/>
      <c r="AN802" s="97"/>
      <c r="AO802" s="97"/>
      <c r="AP802" s="97"/>
      <c r="AQ802" s="99"/>
      <c r="AR802" s="99"/>
      <c r="AS802" s="99"/>
    </row>
    <row r="803">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7"/>
      <c r="AC803" s="97"/>
      <c r="AD803" s="97"/>
      <c r="AE803" s="97"/>
      <c r="AF803" s="97"/>
      <c r="AG803" s="97"/>
      <c r="AH803" s="97"/>
      <c r="AI803" s="97"/>
      <c r="AJ803" s="97"/>
      <c r="AK803" s="97"/>
      <c r="AL803" s="97"/>
      <c r="AM803" s="97"/>
      <c r="AN803" s="97"/>
      <c r="AO803" s="97"/>
      <c r="AP803" s="97"/>
      <c r="AQ803" s="99"/>
      <c r="AR803" s="99"/>
      <c r="AS803" s="99"/>
    </row>
    <row r="804">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7"/>
      <c r="AC804" s="97"/>
      <c r="AD804" s="97"/>
      <c r="AE804" s="97"/>
      <c r="AF804" s="97"/>
      <c r="AG804" s="97"/>
      <c r="AH804" s="97"/>
      <c r="AI804" s="97"/>
      <c r="AJ804" s="97"/>
      <c r="AK804" s="97"/>
      <c r="AL804" s="97"/>
      <c r="AM804" s="97"/>
      <c r="AN804" s="97"/>
      <c r="AO804" s="97"/>
      <c r="AP804" s="97"/>
      <c r="AQ804" s="99"/>
      <c r="AR804" s="99"/>
      <c r="AS804" s="99"/>
    </row>
    <row r="80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7"/>
      <c r="AC805" s="97"/>
      <c r="AD805" s="97"/>
      <c r="AE805" s="97"/>
      <c r="AF805" s="97"/>
      <c r="AG805" s="97"/>
      <c r="AH805" s="97"/>
      <c r="AI805" s="97"/>
      <c r="AJ805" s="97"/>
      <c r="AK805" s="97"/>
      <c r="AL805" s="97"/>
      <c r="AM805" s="97"/>
      <c r="AN805" s="97"/>
      <c r="AO805" s="97"/>
      <c r="AP805" s="97"/>
      <c r="AQ805" s="99"/>
      <c r="AR805" s="99"/>
      <c r="AS805" s="99"/>
    </row>
    <row r="806">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97"/>
      <c r="AE806" s="97"/>
      <c r="AF806" s="97"/>
      <c r="AG806" s="97"/>
      <c r="AH806" s="97"/>
      <c r="AI806" s="97"/>
      <c r="AJ806" s="97"/>
      <c r="AK806" s="97"/>
      <c r="AL806" s="97"/>
      <c r="AM806" s="97"/>
      <c r="AN806" s="97"/>
      <c r="AO806" s="97"/>
      <c r="AP806" s="97"/>
      <c r="AQ806" s="99"/>
      <c r="AR806" s="99"/>
      <c r="AS806" s="99"/>
    </row>
    <row r="807">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7"/>
      <c r="AC807" s="97"/>
      <c r="AD807" s="97"/>
      <c r="AE807" s="97"/>
      <c r="AF807" s="97"/>
      <c r="AG807" s="97"/>
      <c r="AH807" s="97"/>
      <c r="AI807" s="97"/>
      <c r="AJ807" s="97"/>
      <c r="AK807" s="97"/>
      <c r="AL807" s="97"/>
      <c r="AM807" s="97"/>
      <c r="AN807" s="97"/>
      <c r="AO807" s="97"/>
      <c r="AP807" s="97"/>
      <c r="AQ807" s="99"/>
      <c r="AR807" s="99"/>
      <c r="AS807" s="99"/>
    </row>
    <row r="808">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7"/>
      <c r="AC808" s="97"/>
      <c r="AD808" s="97"/>
      <c r="AE808" s="97"/>
      <c r="AF808" s="97"/>
      <c r="AG808" s="97"/>
      <c r="AH808" s="97"/>
      <c r="AI808" s="97"/>
      <c r="AJ808" s="97"/>
      <c r="AK808" s="97"/>
      <c r="AL808" s="97"/>
      <c r="AM808" s="97"/>
      <c r="AN808" s="97"/>
      <c r="AO808" s="97"/>
      <c r="AP808" s="97"/>
      <c r="AQ808" s="99"/>
      <c r="AR808" s="99"/>
      <c r="AS808" s="99"/>
    </row>
    <row r="809">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7"/>
      <c r="AC809" s="97"/>
      <c r="AD809" s="97"/>
      <c r="AE809" s="97"/>
      <c r="AF809" s="97"/>
      <c r="AG809" s="97"/>
      <c r="AH809" s="97"/>
      <c r="AI809" s="97"/>
      <c r="AJ809" s="97"/>
      <c r="AK809" s="97"/>
      <c r="AL809" s="97"/>
      <c r="AM809" s="97"/>
      <c r="AN809" s="97"/>
      <c r="AO809" s="97"/>
      <c r="AP809" s="97"/>
      <c r="AQ809" s="99"/>
      <c r="AR809" s="99"/>
      <c r="AS809" s="99"/>
    </row>
    <row r="810">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7"/>
      <c r="AC810" s="97"/>
      <c r="AD810" s="97"/>
      <c r="AE810" s="97"/>
      <c r="AF810" s="97"/>
      <c r="AG810" s="97"/>
      <c r="AH810" s="97"/>
      <c r="AI810" s="97"/>
      <c r="AJ810" s="97"/>
      <c r="AK810" s="97"/>
      <c r="AL810" s="97"/>
      <c r="AM810" s="97"/>
      <c r="AN810" s="97"/>
      <c r="AO810" s="97"/>
      <c r="AP810" s="97"/>
      <c r="AQ810" s="99"/>
      <c r="AR810" s="99"/>
      <c r="AS810" s="99"/>
    </row>
    <row r="81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7"/>
      <c r="AC811" s="97"/>
      <c r="AD811" s="97"/>
      <c r="AE811" s="97"/>
      <c r="AF811" s="97"/>
      <c r="AG811" s="97"/>
      <c r="AH811" s="97"/>
      <c r="AI811" s="97"/>
      <c r="AJ811" s="97"/>
      <c r="AK811" s="97"/>
      <c r="AL811" s="97"/>
      <c r="AM811" s="97"/>
      <c r="AN811" s="97"/>
      <c r="AO811" s="97"/>
      <c r="AP811" s="97"/>
      <c r="AQ811" s="99"/>
      <c r="AR811" s="99"/>
      <c r="AS811" s="99"/>
    </row>
    <row r="812">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7"/>
      <c r="AC812" s="97"/>
      <c r="AD812" s="97"/>
      <c r="AE812" s="97"/>
      <c r="AF812" s="97"/>
      <c r="AG812" s="97"/>
      <c r="AH812" s="97"/>
      <c r="AI812" s="97"/>
      <c r="AJ812" s="97"/>
      <c r="AK812" s="97"/>
      <c r="AL812" s="97"/>
      <c r="AM812" s="97"/>
      <c r="AN812" s="97"/>
      <c r="AO812" s="97"/>
      <c r="AP812" s="97"/>
      <c r="AQ812" s="99"/>
      <c r="AR812" s="99"/>
      <c r="AS812" s="99"/>
    </row>
    <row r="813">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7"/>
      <c r="AC813" s="97"/>
      <c r="AD813" s="97"/>
      <c r="AE813" s="97"/>
      <c r="AF813" s="97"/>
      <c r="AG813" s="97"/>
      <c r="AH813" s="97"/>
      <c r="AI813" s="97"/>
      <c r="AJ813" s="97"/>
      <c r="AK813" s="97"/>
      <c r="AL813" s="97"/>
      <c r="AM813" s="97"/>
      <c r="AN813" s="97"/>
      <c r="AO813" s="97"/>
      <c r="AP813" s="97"/>
      <c r="AQ813" s="99"/>
      <c r="AR813" s="99"/>
      <c r="AS813" s="99"/>
    </row>
    <row r="814">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7"/>
      <c r="AC814" s="97"/>
      <c r="AD814" s="97"/>
      <c r="AE814" s="97"/>
      <c r="AF814" s="97"/>
      <c r="AG814" s="97"/>
      <c r="AH814" s="97"/>
      <c r="AI814" s="97"/>
      <c r="AJ814" s="97"/>
      <c r="AK814" s="97"/>
      <c r="AL814" s="97"/>
      <c r="AM814" s="97"/>
      <c r="AN814" s="97"/>
      <c r="AO814" s="97"/>
      <c r="AP814" s="97"/>
      <c r="AQ814" s="99"/>
      <c r="AR814" s="99"/>
      <c r="AS814" s="99"/>
    </row>
    <row r="81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7"/>
      <c r="AC815" s="97"/>
      <c r="AD815" s="97"/>
      <c r="AE815" s="97"/>
      <c r="AF815" s="97"/>
      <c r="AG815" s="97"/>
      <c r="AH815" s="97"/>
      <c r="AI815" s="97"/>
      <c r="AJ815" s="97"/>
      <c r="AK815" s="97"/>
      <c r="AL815" s="97"/>
      <c r="AM815" s="97"/>
      <c r="AN815" s="97"/>
      <c r="AO815" s="97"/>
      <c r="AP815" s="97"/>
      <c r="AQ815" s="99"/>
      <c r="AR815" s="99"/>
      <c r="AS815" s="99"/>
    </row>
    <row r="816">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7"/>
      <c r="AC816" s="97"/>
      <c r="AD816" s="97"/>
      <c r="AE816" s="97"/>
      <c r="AF816" s="97"/>
      <c r="AG816" s="97"/>
      <c r="AH816" s="97"/>
      <c r="AI816" s="97"/>
      <c r="AJ816" s="97"/>
      <c r="AK816" s="97"/>
      <c r="AL816" s="97"/>
      <c r="AM816" s="97"/>
      <c r="AN816" s="97"/>
      <c r="AO816" s="97"/>
      <c r="AP816" s="97"/>
      <c r="AQ816" s="99"/>
      <c r="AR816" s="99"/>
      <c r="AS816" s="99"/>
    </row>
    <row r="817">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97"/>
      <c r="AE817" s="97"/>
      <c r="AF817" s="97"/>
      <c r="AG817" s="97"/>
      <c r="AH817" s="97"/>
      <c r="AI817" s="97"/>
      <c r="AJ817" s="97"/>
      <c r="AK817" s="97"/>
      <c r="AL817" s="97"/>
      <c r="AM817" s="97"/>
      <c r="AN817" s="97"/>
      <c r="AO817" s="97"/>
      <c r="AP817" s="97"/>
      <c r="AQ817" s="99"/>
      <c r="AR817" s="99"/>
      <c r="AS817" s="99"/>
    </row>
    <row r="818">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c r="AE818" s="97"/>
      <c r="AF818" s="97"/>
      <c r="AG818" s="97"/>
      <c r="AH818" s="97"/>
      <c r="AI818" s="97"/>
      <c r="AJ818" s="97"/>
      <c r="AK818" s="97"/>
      <c r="AL818" s="97"/>
      <c r="AM818" s="97"/>
      <c r="AN818" s="97"/>
      <c r="AO818" s="97"/>
      <c r="AP818" s="97"/>
      <c r="AQ818" s="99"/>
      <c r="AR818" s="99"/>
      <c r="AS818" s="99"/>
    </row>
    <row r="819">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97"/>
      <c r="AE819" s="97"/>
      <c r="AF819" s="97"/>
      <c r="AG819" s="97"/>
      <c r="AH819" s="97"/>
      <c r="AI819" s="97"/>
      <c r="AJ819" s="97"/>
      <c r="AK819" s="97"/>
      <c r="AL819" s="97"/>
      <c r="AM819" s="97"/>
      <c r="AN819" s="97"/>
      <c r="AO819" s="97"/>
      <c r="AP819" s="97"/>
      <c r="AQ819" s="99"/>
      <c r="AR819" s="99"/>
      <c r="AS819" s="99"/>
    </row>
    <row r="820">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7"/>
      <c r="AC820" s="97"/>
      <c r="AD820" s="97"/>
      <c r="AE820" s="97"/>
      <c r="AF820" s="97"/>
      <c r="AG820" s="97"/>
      <c r="AH820" s="97"/>
      <c r="AI820" s="97"/>
      <c r="AJ820" s="97"/>
      <c r="AK820" s="97"/>
      <c r="AL820" s="97"/>
      <c r="AM820" s="97"/>
      <c r="AN820" s="97"/>
      <c r="AO820" s="97"/>
      <c r="AP820" s="97"/>
      <c r="AQ820" s="99"/>
      <c r="AR820" s="99"/>
      <c r="AS820" s="99"/>
    </row>
    <row r="82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7"/>
      <c r="AC821" s="97"/>
      <c r="AD821" s="97"/>
      <c r="AE821" s="97"/>
      <c r="AF821" s="97"/>
      <c r="AG821" s="97"/>
      <c r="AH821" s="97"/>
      <c r="AI821" s="97"/>
      <c r="AJ821" s="97"/>
      <c r="AK821" s="97"/>
      <c r="AL821" s="97"/>
      <c r="AM821" s="97"/>
      <c r="AN821" s="97"/>
      <c r="AO821" s="97"/>
      <c r="AP821" s="97"/>
      <c r="AQ821" s="99"/>
      <c r="AR821" s="99"/>
      <c r="AS821" s="99"/>
    </row>
    <row r="822">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c r="AE822" s="97"/>
      <c r="AF822" s="97"/>
      <c r="AG822" s="97"/>
      <c r="AH822" s="97"/>
      <c r="AI822" s="97"/>
      <c r="AJ822" s="97"/>
      <c r="AK822" s="97"/>
      <c r="AL822" s="97"/>
      <c r="AM822" s="97"/>
      <c r="AN822" s="97"/>
      <c r="AO822" s="97"/>
      <c r="AP822" s="97"/>
      <c r="AQ822" s="99"/>
      <c r="AR822" s="99"/>
      <c r="AS822" s="99"/>
    </row>
    <row r="823">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c r="AE823" s="97"/>
      <c r="AF823" s="97"/>
      <c r="AG823" s="97"/>
      <c r="AH823" s="97"/>
      <c r="AI823" s="97"/>
      <c r="AJ823" s="97"/>
      <c r="AK823" s="97"/>
      <c r="AL823" s="97"/>
      <c r="AM823" s="97"/>
      <c r="AN823" s="97"/>
      <c r="AO823" s="97"/>
      <c r="AP823" s="97"/>
      <c r="AQ823" s="99"/>
      <c r="AR823" s="99"/>
      <c r="AS823" s="99"/>
    </row>
    <row r="824">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c r="AE824" s="97"/>
      <c r="AF824" s="97"/>
      <c r="AG824" s="97"/>
      <c r="AH824" s="97"/>
      <c r="AI824" s="97"/>
      <c r="AJ824" s="97"/>
      <c r="AK824" s="97"/>
      <c r="AL824" s="97"/>
      <c r="AM824" s="97"/>
      <c r="AN824" s="97"/>
      <c r="AO824" s="97"/>
      <c r="AP824" s="97"/>
      <c r="AQ824" s="99"/>
      <c r="AR824" s="99"/>
      <c r="AS824" s="99"/>
    </row>
    <row r="82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c r="AE825" s="97"/>
      <c r="AF825" s="97"/>
      <c r="AG825" s="97"/>
      <c r="AH825" s="97"/>
      <c r="AI825" s="97"/>
      <c r="AJ825" s="97"/>
      <c r="AK825" s="97"/>
      <c r="AL825" s="97"/>
      <c r="AM825" s="97"/>
      <c r="AN825" s="97"/>
      <c r="AO825" s="97"/>
      <c r="AP825" s="97"/>
      <c r="AQ825" s="99"/>
      <c r="AR825" s="99"/>
      <c r="AS825" s="99"/>
    </row>
    <row r="826">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c r="AE826" s="97"/>
      <c r="AF826" s="97"/>
      <c r="AG826" s="97"/>
      <c r="AH826" s="97"/>
      <c r="AI826" s="97"/>
      <c r="AJ826" s="97"/>
      <c r="AK826" s="97"/>
      <c r="AL826" s="97"/>
      <c r="AM826" s="97"/>
      <c r="AN826" s="97"/>
      <c r="AO826" s="97"/>
      <c r="AP826" s="97"/>
      <c r="AQ826" s="99"/>
      <c r="AR826" s="99"/>
      <c r="AS826" s="99"/>
    </row>
    <row r="827">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c r="AE827" s="97"/>
      <c r="AF827" s="97"/>
      <c r="AG827" s="97"/>
      <c r="AH827" s="97"/>
      <c r="AI827" s="97"/>
      <c r="AJ827" s="97"/>
      <c r="AK827" s="97"/>
      <c r="AL827" s="97"/>
      <c r="AM827" s="97"/>
      <c r="AN827" s="97"/>
      <c r="AO827" s="97"/>
      <c r="AP827" s="97"/>
      <c r="AQ827" s="99"/>
      <c r="AR827" s="99"/>
      <c r="AS827" s="99"/>
    </row>
    <row r="828">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7"/>
      <c r="AC828" s="97"/>
      <c r="AD828" s="97"/>
      <c r="AE828" s="97"/>
      <c r="AF828" s="97"/>
      <c r="AG828" s="97"/>
      <c r="AH828" s="97"/>
      <c r="AI828" s="97"/>
      <c r="AJ828" s="97"/>
      <c r="AK828" s="97"/>
      <c r="AL828" s="97"/>
      <c r="AM828" s="97"/>
      <c r="AN828" s="97"/>
      <c r="AO828" s="97"/>
      <c r="AP828" s="97"/>
      <c r="AQ828" s="99"/>
      <c r="AR828" s="99"/>
      <c r="AS828" s="99"/>
    </row>
    <row r="829">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c r="AE829" s="97"/>
      <c r="AF829" s="97"/>
      <c r="AG829" s="97"/>
      <c r="AH829" s="97"/>
      <c r="AI829" s="97"/>
      <c r="AJ829" s="97"/>
      <c r="AK829" s="97"/>
      <c r="AL829" s="97"/>
      <c r="AM829" s="97"/>
      <c r="AN829" s="97"/>
      <c r="AO829" s="97"/>
      <c r="AP829" s="97"/>
      <c r="AQ829" s="99"/>
      <c r="AR829" s="99"/>
      <c r="AS829" s="99"/>
    </row>
    <row r="830">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c r="AE830" s="97"/>
      <c r="AF830" s="97"/>
      <c r="AG830" s="97"/>
      <c r="AH830" s="97"/>
      <c r="AI830" s="97"/>
      <c r="AJ830" s="97"/>
      <c r="AK830" s="97"/>
      <c r="AL830" s="97"/>
      <c r="AM830" s="97"/>
      <c r="AN830" s="97"/>
      <c r="AO830" s="97"/>
      <c r="AP830" s="97"/>
      <c r="AQ830" s="99"/>
      <c r="AR830" s="99"/>
      <c r="AS830" s="99"/>
    </row>
    <row r="83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c r="AE831" s="97"/>
      <c r="AF831" s="97"/>
      <c r="AG831" s="97"/>
      <c r="AH831" s="97"/>
      <c r="AI831" s="97"/>
      <c r="AJ831" s="97"/>
      <c r="AK831" s="97"/>
      <c r="AL831" s="97"/>
      <c r="AM831" s="97"/>
      <c r="AN831" s="97"/>
      <c r="AO831" s="97"/>
      <c r="AP831" s="97"/>
      <c r="AQ831" s="99"/>
      <c r="AR831" s="99"/>
      <c r="AS831" s="99"/>
    </row>
    <row r="832">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c r="AE832" s="97"/>
      <c r="AF832" s="97"/>
      <c r="AG832" s="97"/>
      <c r="AH832" s="97"/>
      <c r="AI832" s="97"/>
      <c r="AJ832" s="97"/>
      <c r="AK832" s="97"/>
      <c r="AL832" s="97"/>
      <c r="AM832" s="97"/>
      <c r="AN832" s="97"/>
      <c r="AO832" s="97"/>
      <c r="AP832" s="97"/>
      <c r="AQ832" s="99"/>
      <c r="AR832" s="99"/>
      <c r="AS832" s="99"/>
    </row>
    <row r="833">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7"/>
      <c r="AC833" s="97"/>
      <c r="AD833" s="97"/>
      <c r="AE833" s="97"/>
      <c r="AF833" s="97"/>
      <c r="AG833" s="97"/>
      <c r="AH833" s="97"/>
      <c r="AI833" s="97"/>
      <c r="AJ833" s="97"/>
      <c r="AK833" s="97"/>
      <c r="AL833" s="97"/>
      <c r="AM833" s="97"/>
      <c r="AN833" s="97"/>
      <c r="AO833" s="97"/>
      <c r="AP833" s="97"/>
      <c r="AQ833" s="99"/>
      <c r="AR833" s="99"/>
      <c r="AS833" s="99"/>
    </row>
    <row r="834">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7"/>
      <c r="AC834" s="97"/>
      <c r="AD834" s="97"/>
      <c r="AE834" s="97"/>
      <c r="AF834" s="97"/>
      <c r="AG834" s="97"/>
      <c r="AH834" s="97"/>
      <c r="AI834" s="97"/>
      <c r="AJ834" s="97"/>
      <c r="AK834" s="97"/>
      <c r="AL834" s="97"/>
      <c r="AM834" s="97"/>
      <c r="AN834" s="97"/>
      <c r="AO834" s="97"/>
      <c r="AP834" s="97"/>
      <c r="AQ834" s="99"/>
      <c r="AR834" s="99"/>
      <c r="AS834" s="99"/>
    </row>
    <row r="83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7"/>
      <c r="AC835" s="97"/>
      <c r="AD835" s="97"/>
      <c r="AE835" s="97"/>
      <c r="AF835" s="97"/>
      <c r="AG835" s="97"/>
      <c r="AH835" s="97"/>
      <c r="AI835" s="97"/>
      <c r="AJ835" s="97"/>
      <c r="AK835" s="97"/>
      <c r="AL835" s="97"/>
      <c r="AM835" s="97"/>
      <c r="AN835" s="97"/>
      <c r="AO835" s="97"/>
      <c r="AP835" s="97"/>
      <c r="AQ835" s="99"/>
      <c r="AR835" s="99"/>
      <c r="AS835" s="99"/>
    </row>
    <row r="836">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7"/>
      <c r="AC836" s="97"/>
      <c r="AD836" s="97"/>
      <c r="AE836" s="97"/>
      <c r="AF836" s="97"/>
      <c r="AG836" s="97"/>
      <c r="AH836" s="97"/>
      <c r="AI836" s="97"/>
      <c r="AJ836" s="97"/>
      <c r="AK836" s="97"/>
      <c r="AL836" s="97"/>
      <c r="AM836" s="97"/>
      <c r="AN836" s="97"/>
      <c r="AO836" s="97"/>
      <c r="AP836" s="97"/>
      <c r="AQ836" s="99"/>
      <c r="AR836" s="99"/>
      <c r="AS836" s="99"/>
    </row>
    <row r="837">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7"/>
      <c r="AC837" s="97"/>
      <c r="AD837" s="97"/>
      <c r="AE837" s="97"/>
      <c r="AF837" s="97"/>
      <c r="AG837" s="97"/>
      <c r="AH837" s="97"/>
      <c r="AI837" s="97"/>
      <c r="AJ837" s="97"/>
      <c r="AK837" s="97"/>
      <c r="AL837" s="97"/>
      <c r="AM837" s="97"/>
      <c r="AN837" s="97"/>
      <c r="AO837" s="97"/>
      <c r="AP837" s="97"/>
      <c r="AQ837" s="99"/>
      <c r="AR837" s="99"/>
      <c r="AS837" s="99"/>
    </row>
    <row r="838">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7"/>
      <c r="AC838" s="97"/>
      <c r="AD838" s="97"/>
      <c r="AE838" s="97"/>
      <c r="AF838" s="97"/>
      <c r="AG838" s="97"/>
      <c r="AH838" s="97"/>
      <c r="AI838" s="97"/>
      <c r="AJ838" s="97"/>
      <c r="AK838" s="97"/>
      <c r="AL838" s="97"/>
      <c r="AM838" s="97"/>
      <c r="AN838" s="97"/>
      <c r="AO838" s="97"/>
      <c r="AP838" s="97"/>
      <c r="AQ838" s="99"/>
      <c r="AR838" s="99"/>
      <c r="AS838" s="99"/>
    </row>
    <row r="839">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7"/>
      <c r="AC839" s="97"/>
      <c r="AD839" s="97"/>
      <c r="AE839" s="97"/>
      <c r="AF839" s="97"/>
      <c r="AG839" s="97"/>
      <c r="AH839" s="97"/>
      <c r="AI839" s="97"/>
      <c r="AJ839" s="97"/>
      <c r="AK839" s="97"/>
      <c r="AL839" s="97"/>
      <c r="AM839" s="97"/>
      <c r="AN839" s="97"/>
      <c r="AO839" s="97"/>
      <c r="AP839" s="97"/>
      <c r="AQ839" s="99"/>
      <c r="AR839" s="99"/>
      <c r="AS839" s="99"/>
    </row>
    <row r="840">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7"/>
      <c r="AC840" s="97"/>
      <c r="AD840" s="97"/>
      <c r="AE840" s="97"/>
      <c r="AF840" s="97"/>
      <c r="AG840" s="97"/>
      <c r="AH840" s="97"/>
      <c r="AI840" s="97"/>
      <c r="AJ840" s="97"/>
      <c r="AK840" s="97"/>
      <c r="AL840" s="97"/>
      <c r="AM840" s="97"/>
      <c r="AN840" s="97"/>
      <c r="AO840" s="97"/>
      <c r="AP840" s="97"/>
      <c r="AQ840" s="99"/>
      <c r="AR840" s="99"/>
      <c r="AS840" s="99"/>
    </row>
    <row r="84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7"/>
      <c r="AC841" s="97"/>
      <c r="AD841" s="97"/>
      <c r="AE841" s="97"/>
      <c r="AF841" s="97"/>
      <c r="AG841" s="97"/>
      <c r="AH841" s="97"/>
      <c r="AI841" s="97"/>
      <c r="AJ841" s="97"/>
      <c r="AK841" s="97"/>
      <c r="AL841" s="97"/>
      <c r="AM841" s="97"/>
      <c r="AN841" s="97"/>
      <c r="AO841" s="97"/>
      <c r="AP841" s="97"/>
      <c r="AQ841" s="99"/>
      <c r="AR841" s="99"/>
      <c r="AS841" s="99"/>
    </row>
    <row r="842">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7"/>
      <c r="AC842" s="97"/>
      <c r="AD842" s="97"/>
      <c r="AE842" s="97"/>
      <c r="AF842" s="97"/>
      <c r="AG842" s="97"/>
      <c r="AH842" s="97"/>
      <c r="AI842" s="97"/>
      <c r="AJ842" s="97"/>
      <c r="AK842" s="97"/>
      <c r="AL842" s="97"/>
      <c r="AM842" s="97"/>
      <c r="AN842" s="97"/>
      <c r="AO842" s="97"/>
      <c r="AP842" s="97"/>
      <c r="AQ842" s="99"/>
      <c r="AR842" s="99"/>
      <c r="AS842" s="99"/>
    </row>
    <row r="843">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7"/>
      <c r="AC843" s="97"/>
      <c r="AD843" s="97"/>
      <c r="AE843" s="97"/>
      <c r="AF843" s="97"/>
      <c r="AG843" s="97"/>
      <c r="AH843" s="97"/>
      <c r="AI843" s="97"/>
      <c r="AJ843" s="97"/>
      <c r="AK843" s="97"/>
      <c r="AL843" s="97"/>
      <c r="AM843" s="97"/>
      <c r="AN843" s="97"/>
      <c r="AO843" s="97"/>
      <c r="AP843" s="97"/>
      <c r="AQ843" s="99"/>
      <c r="AR843" s="99"/>
      <c r="AS843" s="99"/>
    </row>
    <row r="844">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7"/>
      <c r="AC844" s="97"/>
      <c r="AD844" s="97"/>
      <c r="AE844" s="97"/>
      <c r="AF844" s="97"/>
      <c r="AG844" s="97"/>
      <c r="AH844" s="97"/>
      <c r="AI844" s="97"/>
      <c r="AJ844" s="97"/>
      <c r="AK844" s="97"/>
      <c r="AL844" s="97"/>
      <c r="AM844" s="97"/>
      <c r="AN844" s="97"/>
      <c r="AO844" s="97"/>
      <c r="AP844" s="97"/>
      <c r="AQ844" s="99"/>
      <c r="AR844" s="99"/>
      <c r="AS844" s="99"/>
    </row>
    <row r="84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7"/>
      <c r="AC845" s="97"/>
      <c r="AD845" s="97"/>
      <c r="AE845" s="97"/>
      <c r="AF845" s="97"/>
      <c r="AG845" s="97"/>
      <c r="AH845" s="97"/>
      <c r="AI845" s="97"/>
      <c r="AJ845" s="97"/>
      <c r="AK845" s="97"/>
      <c r="AL845" s="97"/>
      <c r="AM845" s="97"/>
      <c r="AN845" s="97"/>
      <c r="AO845" s="97"/>
      <c r="AP845" s="97"/>
      <c r="AQ845" s="99"/>
      <c r="AR845" s="99"/>
      <c r="AS845" s="99"/>
    </row>
    <row r="846">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7"/>
      <c r="AC846" s="97"/>
      <c r="AD846" s="97"/>
      <c r="AE846" s="97"/>
      <c r="AF846" s="97"/>
      <c r="AG846" s="97"/>
      <c r="AH846" s="97"/>
      <c r="AI846" s="97"/>
      <c r="AJ846" s="97"/>
      <c r="AK846" s="97"/>
      <c r="AL846" s="97"/>
      <c r="AM846" s="97"/>
      <c r="AN846" s="97"/>
      <c r="AO846" s="97"/>
      <c r="AP846" s="97"/>
      <c r="AQ846" s="99"/>
      <c r="AR846" s="99"/>
      <c r="AS846" s="99"/>
    </row>
    <row r="847">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7"/>
      <c r="AC847" s="97"/>
      <c r="AD847" s="97"/>
      <c r="AE847" s="97"/>
      <c r="AF847" s="97"/>
      <c r="AG847" s="97"/>
      <c r="AH847" s="97"/>
      <c r="AI847" s="97"/>
      <c r="AJ847" s="97"/>
      <c r="AK847" s="97"/>
      <c r="AL847" s="97"/>
      <c r="AM847" s="97"/>
      <c r="AN847" s="97"/>
      <c r="AO847" s="97"/>
      <c r="AP847" s="97"/>
      <c r="AQ847" s="99"/>
      <c r="AR847" s="99"/>
      <c r="AS847" s="99"/>
    </row>
    <row r="848">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7"/>
      <c r="AC848" s="97"/>
      <c r="AD848" s="97"/>
      <c r="AE848" s="97"/>
      <c r="AF848" s="97"/>
      <c r="AG848" s="97"/>
      <c r="AH848" s="97"/>
      <c r="AI848" s="97"/>
      <c r="AJ848" s="97"/>
      <c r="AK848" s="97"/>
      <c r="AL848" s="97"/>
      <c r="AM848" s="97"/>
      <c r="AN848" s="97"/>
      <c r="AO848" s="97"/>
      <c r="AP848" s="97"/>
      <c r="AQ848" s="99"/>
      <c r="AR848" s="99"/>
      <c r="AS848" s="99"/>
    </row>
    <row r="849">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7"/>
      <c r="AC849" s="97"/>
      <c r="AD849" s="97"/>
      <c r="AE849" s="97"/>
      <c r="AF849" s="97"/>
      <c r="AG849" s="97"/>
      <c r="AH849" s="97"/>
      <c r="AI849" s="97"/>
      <c r="AJ849" s="97"/>
      <c r="AK849" s="97"/>
      <c r="AL849" s="97"/>
      <c r="AM849" s="97"/>
      <c r="AN849" s="97"/>
      <c r="AO849" s="97"/>
      <c r="AP849" s="97"/>
      <c r="AQ849" s="99"/>
      <c r="AR849" s="99"/>
      <c r="AS849" s="99"/>
    </row>
    <row r="850">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7"/>
      <c r="AC850" s="97"/>
      <c r="AD850" s="97"/>
      <c r="AE850" s="97"/>
      <c r="AF850" s="97"/>
      <c r="AG850" s="97"/>
      <c r="AH850" s="97"/>
      <c r="AI850" s="97"/>
      <c r="AJ850" s="97"/>
      <c r="AK850" s="97"/>
      <c r="AL850" s="97"/>
      <c r="AM850" s="97"/>
      <c r="AN850" s="97"/>
      <c r="AO850" s="97"/>
      <c r="AP850" s="97"/>
      <c r="AQ850" s="99"/>
      <c r="AR850" s="99"/>
      <c r="AS850" s="99"/>
    </row>
    <row r="85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7"/>
      <c r="AC851" s="97"/>
      <c r="AD851" s="97"/>
      <c r="AE851" s="97"/>
      <c r="AF851" s="97"/>
      <c r="AG851" s="97"/>
      <c r="AH851" s="97"/>
      <c r="AI851" s="97"/>
      <c r="AJ851" s="97"/>
      <c r="AK851" s="97"/>
      <c r="AL851" s="97"/>
      <c r="AM851" s="97"/>
      <c r="AN851" s="97"/>
      <c r="AO851" s="97"/>
      <c r="AP851" s="97"/>
      <c r="AQ851" s="99"/>
      <c r="AR851" s="99"/>
      <c r="AS851" s="99"/>
    </row>
    <row r="852">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7"/>
      <c r="AC852" s="97"/>
      <c r="AD852" s="97"/>
      <c r="AE852" s="97"/>
      <c r="AF852" s="97"/>
      <c r="AG852" s="97"/>
      <c r="AH852" s="97"/>
      <c r="AI852" s="97"/>
      <c r="AJ852" s="97"/>
      <c r="AK852" s="97"/>
      <c r="AL852" s="97"/>
      <c r="AM852" s="97"/>
      <c r="AN852" s="97"/>
      <c r="AO852" s="97"/>
      <c r="AP852" s="97"/>
      <c r="AQ852" s="99"/>
      <c r="AR852" s="99"/>
      <c r="AS852" s="99"/>
    </row>
    <row r="853">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7"/>
      <c r="AC853" s="97"/>
      <c r="AD853" s="97"/>
      <c r="AE853" s="97"/>
      <c r="AF853" s="97"/>
      <c r="AG853" s="97"/>
      <c r="AH853" s="97"/>
      <c r="AI853" s="97"/>
      <c r="AJ853" s="97"/>
      <c r="AK853" s="97"/>
      <c r="AL853" s="97"/>
      <c r="AM853" s="97"/>
      <c r="AN853" s="97"/>
      <c r="AO853" s="97"/>
      <c r="AP853" s="97"/>
      <c r="AQ853" s="99"/>
      <c r="AR853" s="99"/>
      <c r="AS853" s="99"/>
    </row>
    <row r="854">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7"/>
      <c r="AC854" s="97"/>
      <c r="AD854" s="97"/>
      <c r="AE854" s="97"/>
      <c r="AF854" s="97"/>
      <c r="AG854" s="97"/>
      <c r="AH854" s="97"/>
      <c r="AI854" s="97"/>
      <c r="AJ854" s="97"/>
      <c r="AK854" s="97"/>
      <c r="AL854" s="97"/>
      <c r="AM854" s="97"/>
      <c r="AN854" s="97"/>
      <c r="AO854" s="97"/>
      <c r="AP854" s="97"/>
      <c r="AQ854" s="99"/>
      <c r="AR854" s="99"/>
      <c r="AS854" s="99"/>
    </row>
    <row r="85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7"/>
      <c r="AC855" s="97"/>
      <c r="AD855" s="97"/>
      <c r="AE855" s="97"/>
      <c r="AF855" s="97"/>
      <c r="AG855" s="97"/>
      <c r="AH855" s="97"/>
      <c r="AI855" s="97"/>
      <c r="AJ855" s="97"/>
      <c r="AK855" s="97"/>
      <c r="AL855" s="97"/>
      <c r="AM855" s="97"/>
      <c r="AN855" s="97"/>
      <c r="AO855" s="97"/>
      <c r="AP855" s="97"/>
      <c r="AQ855" s="99"/>
      <c r="AR855" s="99"/>
      <c r="AS855" s="99"/>
    </row>
    <row r="856">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7"/>
      <c r="AC856" s="97"/>
      <c r="AD856" s="97"/>
      <c r="AE856" s="97"/>
      <c r="AF856" s="97"/>
      <c r="AG856" s="97"/>
      <c r="AH856" s="97"/>
      <c r="AI856" s="97"/>
      <c r="AJ856" s="97"/>
      <c r="AK856" s="97"/>
      <c r="AL856" s="97"/>
      <c r="AM856" s="97"/>
      <c r="AN856" s="97"/>
      <c r="AO856" s="97"/>
      <c r="AP856" s="97"/>
      <c r="AQ856" s="99"/>
      <c r="AR856" s="99"/>
      <c r="AS856" s="99"/>
    </row>
    <row r="857">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7"/>
      <c r="AC857" s="97"/>
      <c r="AD857" s="97"/>
      <c r="AE857" s="97"/>
      <c r="AF857" s="97"/>
      <c r="AG857" s="97"/>
      <c r="AH857" s="97"/>
      <c r="AI857" s="97"/>
      <c r="AJ857" s="97"/>
      <c r="AK857" s="97"/>
      <c r="AL857" s="97"/>
      <c r="AM857" s="97"/>
      <c r="AN857" s="97"/>
      <c r="AO857" s="97"/>
      <c r="AP857" s="97"/>
      <c r="AQ857" s="99"/>
      <c r="AR857" s="99"/>
      <c r="AS857" s="99"/>
    </row>
    <row r="858">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7"/>
      <c r="AC858" s="97"/>
      <c r="AD858" s="97"/>
      <c r="AE858" s="97"/>
      <c r="AF858" s="97"/>
      <c r="AG858" s="97"/>
      <c r="AH858" s="97"/>
      <c r="AI858" s="97"/>
      <c r="AJ858" s="97"/>
      <c r="AK858" s="97"/>
      <c r="AL858" s="97"/>
      <c r="AM858" s="97"/>
      <c r="AN858" s="97"/>
      <c r="AO858" s="97"/>
      <c r="AP858" s="97"/>
      <c r="AQ858" s="99"/>
      <c r="AR858" s="99"/>
      <c r="AS858" s="99"/>
    </row>
    <row r="859">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7"/>
      <c r="AC859" s="97"/>
      <c r="AD859" s="97"/>
      <c r="AE859" s="97"/>
      <c r="AF859" s="97"/>
      <c r="AG859" s="97"/>
      <c r="AH859" s="97"/>
      <c r="AI859" s="97"/>
      <c r="AJ859" s="97"/>
      <c r="AK859" s="97"/>
      <c r="AL859" s="97"/>
      <c r="AM859" s="97"/>
      <c r="AN859" s="97"/>
      <c r="AO859" s="97"/>
      <c r="AP859" s="97"/>
      <c r="AQ859" s="99"/>
      <c r="AR859" s="99"/>
      <c r="AS859" s="99"/>
    </row>
    <row r="860">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7"/>
      <c r="AC860" s="97"/>
      <c r="AD860" s="97"/>
      <c r="AE860" s="97"/>
      <c r="AF860" s="97"/>
      <c r="AG860" s="97"/>
      <c r="AH860" s="97"/>
      <c r="AI860" s="97"/>
      <c r="AJ860" s="97"/>
      <c r="AK860" s="97"/>
      <c r="AL860" s="97"/>
      <c r="AM860" s="97"/>
      <c r="AN860" s="97"/>
      <c r="AO860" s="97"/>
      <c r="AP860" s="97"/>
      <c r="AQ860" s="99"/>
      <c r="AR860" s="99"/>
      <c r="AS860" s="99"/>
    </row>
    <row r="86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c r="AE861" s="97"/>
      <c r="AF861" s="97"/>
      <c r="AG861" s="97"/>
      <c r="AH861" s="97"/>
      <c r="AI861" s="97"/>
      <c r="AJ861" s="97"/>
      <c r="AK861" s="97"/>
      <c r="AL861" s="97"/>
      <c r="AM861" s="97"/>
      <c r="AN861" s="97"/>
      <c r="AO861" s="97"/>
      <c r="AP861" s="97"/>
      <c r="AQ861" s="99"/>
      <c r="AR861" s="99"/>
      <c r="AS861" s="99"/>
    </row>
    <row r="862">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c r="AE862" s="97"/>
      <c r="AF862" s="97"/>
      <c r="AG862" s="97"/>
      <c r="AH862" s="97"/>
      <c r="AI862" s="97"/>
      <c r="AJ862" s="97"/>
      <c r="AK862" s="97"/>
      <c r="AL862" s="97"/>
      <c r="AM862" s="97"/>
      <c r="AN862" s="97"/>
      <c r="AO862" s="97"/>
      <c r="AP862" s="97"/>
      <c r="AQ862" s="99"/>
      <c r="AR862" s="99"/>
      <c r="AS862" s="99"/>
    </row>
    <row r="863">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c r="AE863" s="97"/>
      <c r="AF863" s="97"/>
      <c r="AG863" s="97"/>
      <c r="AH863" s="97"/>
      <c r="AI863" s="97"/>
      <c r="AJ863" s="97"/>
      <c r="AK863" s="97"/>
      <c r="AL863" s="97"/>
      <c r="AM863" s="97"/>
      <c r="AN863" s="97"/>
      <c r="AO863" s="97"/>
      <c r="AP863" s="97"/>
      <c r="AQ863" s="99"/>
      <c r="AR863" s="99"/>
      <c r="AS863" s="99"/>
    </row>
    <row r="864">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c r="AE864" s="97"/>
      <c r="AF864" s="97"/>
      <c r="AG864" s="97"/>
      <c r="AH864" s="97"/>
      <c r="AI864" s="97"/>
      <c r="AJ864" s="97"/>
      <c r="AK864" s="97"/>
      <c r="AL864" s="97"/>
      <c r="AM864" s="97"/>
      <c r="AN864" s="97"/>
      <c r="AO864" s="97"/>
      <c r="AP864" s="97"/>
      <c r="AQ864" s="99"/>
      <c r="AR864" s="99"/>
      <c r="AS864" s="99"/>
    </row>
    <row r="86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c r="AE865" s="97"/>
      <c r="AF865" s="97"/>
      <c r="AG865" s="97"/>
      <c r="AH865" s="97"/>
      <c r="AI865" s="97"/>
      <c r="AJ865" s="97"/>
      <c r="AK865" s="97"/>
      <c r="AL865" s="97"/>
      <c r="AM865" s="97"/>
      <c r="AN865" s="97"/>
      <c r="AO865" s="97"/>
      <c r="AP865" s="97"/>
      <c r="AQ865" s="99"/>
      <c r="AR865" s="99"/>
      <c r="AS865" s="99"/>
    </row>
    <row r="866">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c r="AE866" s="97"/>
      <c r="AF866" s="97"/>
      <c r="AG866" s="97"/>
      <c r="AH866" s="97"/>
      <c r="AI866" s="97"/>
      <c r="AJ866" s="97"/>
      <c r="AK866" s="97"/>
      <c r="AL866" s="97"/>
      <c r="AM866" s="97"/>
      <c r="AN866" s="97"/>
      <c r="AO866" s="97"/>
      <c r="AP866" s="97"/>
      <c r="AQ866" s="99"/>
      <c r="AR866" s="99"/>
      <c r="AS866" s="99"/>
    </row>
    <row r="867">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c r="AE867" s="97"/>
      <c r="AF867" s="97"/>
      <c r="AG867" s="97"/>
      <c r="AH867" s="97"/>
      <c r="AI867" s="97"/>
      <c r="AJ867" s="97"/>
      <c r="AK867" s="97"/>
      <c r="AL867" s="97"/>
      <c r="AM867" s="97"/>
      <c r="AN867" s="97"/>
      <c r="AO867" s="97"/>
      <c r="AP867" s="97"/>
      <c r="AQ867" s="99"/>
      <c r="AR867" s="99"/>
      <c r="AS867" s="99"/>
    </row>
    <row r="868">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c r="AE868" s="97"/>
      <c r="AF868" s="97"/>
      <c r="AG868" s="97"/>
      <c r="AH868" s="97"/>
      <c r="AI868" s="97"/>
      <c r="AJ868" s="97"/>
      <c r="AK868" s="97"/>
      <c r="AL868" s="97"/>
      <c r="AM868" s="97"/>
      <c r="AN868" s="97"/>
      <c r="AO868" s="97"/>
      <c r="AP868" s="97"/>
      <c r="AQ868" s="99"/>
      <c r="AR868" s="99"/>
      <c r="AS868" s="99"/>
    </row>
    <row r="869">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c r="AE869" s="97"/>
      <c r="AF869" s="97"/>
      <c r="AG869" s="97"/>
      <c r="AH869" s="97"/>
      <c r="AI869" s="97"/>
      <c r="AJ869" s="97"/>
      <c r="AK869" s="97"/>
      <c r="AL869" s="97"/>
      <c r="AM869" s="97"/>
      <c r="AN869" s="97"/>
      <c r="AO869" s="97"/>
      <c r="AP869" s="97"/>
      <c r="AQ869" s="99"/>
      <c r="AR869" s="99"/>
      <c r="AS869" s="99"/>
    </row>
    <row r="870">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c r="AE870" s="97"/>
      <c r="AF870" s="97"/>
      <c r="AG870" s="97"/>
      <c r="AH870" s="97"/>
      <c r="AI870" s="97"/>
      <c r="AJ870" s="97"/>
      <c r="AK870" s="97"/>
      <c r="AL870" s="97"/>
      <c r="AM870" s="97"/>
      <c r="AN870" s="97"/>
      <c r="AO870" s="97"/>
      <c r="AP870" s="97"/>
      <c r="AQ870" s="99"/>
      <c r="AR870" s="99"/>
      <c r="AS870" s="99"/>
    </row>
    <row r="87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c r="AE871" s="97"/>
      <c r="AF871" s="97"/>
      <c r="AG871" s="97"/>
      <c r="AH871" s="97"/>
      <c r="AI871" s="97"/>
      <c r="AJ871" s="97"/>
      <c r="AK871" s="97"/>
      <c r="AL871" s="97"/>
      <c r="AM871" s="97"/>
      <c r="AN871" s="97"/>
      <c r="AO871" s="97"/>
      <c r="AP871" s="97"/>
      <c r="AQ871" s="99"/>
      <c r="AR871" s="99"/>
      <c r="AS871" s="99"/>
    </row>
    <row r="872">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c r="AE872" s="97"/>
      <c r="AF872" s="97"/>
      <c r="AG872" s="97"/>
      <c r="AH872" s="97"/>
      <c r="AI872" s="97"/>
      <c r="AJ872" s="97"/>
      <c r="AK872" s="97"/>
      <c r="AL872" s="97"/>
      <c r="AM872" s="97"/>
      <c r="AN872" s="97"/>
      <c r="AO872" s="97"/>
      <c r="AP872" s="97"/>
      <c r="AQ872" s="99"/>
      <c r="AR872" s="99"/>
      <c r="AS872" s="99"/>
    </row>
    <row r="873">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97"/>
      <c r="AF873" s="97"/>
      <c r="AG873" s="97"/>
      <c r="AH873" s="97"/>
      <c r="AI873" s="97"/>
      <c r="AJ873" s="97"/>
      <c r="AK873" s="97"/>
      <c r="AL873" s="97"/>
      <c r="AM873" s="97"/>
      <c r="AN873" s="97"/>
      <c r="AO873" s="97"/>
      <c r="AP873" s="97"/>
      <c r="AQ873" s="99"/>
      <c r="AR873" s="99"/>
      <c r="AS873" s="99"/>
    </row>
    <row r="874">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c r="AE874" s="97"/>
      <c r="AF874" s="97"/>
      <c r="AG874" s="97"/>
      <c r="AH874" s="97"/>
      <c r="AI874" s="97"/>
      <c r="AJ874" s="97"/>
      <c r="AK874" s="97"/>
      <c r="AL874" s="97"/>
      <c r="AM874" s="97"/>
      <c r="AN874" s="97"/>
      <c r="AO874" s="97"/>
      <c r="AP874" s="97"/>
      <c r="AQ874" s="99"/>
      <c r="AR874" s="99"/>
      <c r="AS874" s="99"/>
    </row>
    <row r="87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c r="AE875" s="97"/>
      <c r="AF875" s="97"/>
      <c r="AG875" s="97"/>
      <c r="AH875" s="97"/>
      <c r="AI875" s="97"/>
      <c r="AJ875" s="97"/>
      <c r="AK875" s="97"/>
      <c r="AL875" s="97"/>
      <c r="AM875" s="97"/>
      <c r="AN875" s="97"/>
      <c r="AO875" s="97"/>
      <c r="AP875" s="97"/>
      <c r="AQ875" s="99"/>
      <c r="AR875" s="99"/>
      <c r="AS875" s="99"/>
    </row>
    <row r="876">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c r="AE876" s="97"/>
      <c r="AF876" s="97"/>
      <c r="AG876" s="97"/>
      <c r="AH876" s="97"/>
      <c r="AI876" s="97"/>
      <c r="AJ876" s="97"/>
      <c r="AK876" s="97"/>
      <c r="AL876" s="97"/>
      <c r="AM876" s="97"/>
      <c r="AN876" s="97"/>
      <c r="AO876" s="97"/>
      <c r="AP876" s="97"/>
      <c r="AQ876" s="99"/>
      <c r="AR876" s="99"/>
      <c r="AS876" s="99"/>
    </row>
    <row r="877">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c r="AE877" s="97"/>
      <c r="AF877" s="97"/>
      <c r="AG877" s="97"/>
      <c r="AH877" s="97"/>
      <c r="AI877" s="97"/>
      <c r="AJ877" s="97"/>
      <c r="AK877" s="97"/>
      <c r="AL877" s="97"/>
      <c r="AM877" s="97"/>
      <c r="AN877" s="97"/>
      <c r="AO877" s="97"/>
      <c r="AP877" s="97"/>
      <c r="AQ877" s="99"/>
      <c r="AR877" s="99"/>
      <c r="AS877" s="99"/>
    </row>
    <row r="878">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c r="AE878" s="97"/>
      <c r="AF878" s="97"/>
      <c r="AG878" s="97"/>
      <c r="AH878" s="97"/>
      <c r="AI878" s="97"/>
      <c r="AJ878" s="97"/>
      <c r="AK878" s="97"/>
      <c r="AL878" s="97"/>
      <c r="AM878" s="97"/>
      <c r="AN878" s="97"/>
      <c r="AO878" s="97"/>
      <c r="AP878" s="97"/>
      <c r="AQ878" s="99"/>
      <c r="AR878" s="99"/>
      <c r="AS878" s="99"/>
    </row>
    <row r="879">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c r="AE879" s="97"/>
      <c r="AF879" s="97"/>
      <c r="AG879" s="97"/>
      <c r="AH879" s="97"/>
      <c r="AI879" s="97"/>
      <c r="AJ879" s="97"/>
      <c r="AK879" s="97"/>
      <c r="AL879" s="97"/>
      <c r="AM879" s="97"/>
      <c r="AN879" s="97"/>
      <c r="AO879" s="97"/>
      <c r="AP879" s="97"/>
      <c r="AQ879" s="99"/>
      <c r="AR879" s="99"/>
      <c r="AS879" s="99"/>
    </row>
    <row r="880">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c r="AE880" s="97"/>
      <c r="AF880" s="97"/>
      <c r="AG880" s="97"/>
      <c r="AH880" s="97"/>
      <c r="AI880" s="97"/>
      <c r="AJ880" s="97"/>
      <c r="AK880" s="97"/>
      <c r="AL880" s="97"/>
      <c r="AM880" s="97"/>
      <c r="AN880" s="97"/>
      <c r="AO880" s="97"/>
      <c r="AP880" s="97"/>
      <c r="AQ880" s="99"/>
      <c r="AR880" s="99"/>
      <c r="AS880" s="99"/>
    </row>
    <row r="88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c r="AE881" s="97"/>
      <c r="AF881" s="97"/>
      <c r="AG881" s="97"/>
      <c r="AH881" s="97"/>
      <c r="AI881" s="97"/>
      <c r="AJ881" s="97"/>
      <c r="AK881" s="97"/>
      <c r="AL881" s="97"/>
      <c r="AM881" s="97"/>
      <c r="AN881" s="97"/>
      <c r="AO881" s="97"/>
      <c r="AP881" s="97"/>
      <c r="AQ881" s="99"/>
      <c r="AR881" s="99"/>
      <c r="AS881" s="99"/>
    </row>
    <row r="882">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c r="AE882" s="97"/>
      <c r="AF882" s="97"/>
      <c r="AG882" s="97"/>
      <c r="AH882" s="97"/>
      <c r="AI882" s="97"/>
      <c r="AJ882" s="97"/>
      <c r="AK882" s="97"/>
      <c r="AL882" s="97"/>
      <c r="AM882" s="97"/>
      <c r="AN882" s="97"/>
      <c r="AO882" s="97"/>
      <c r="AP882" s="97"/>
      <c r="AQ882" s="99"/>
      <c r="AR882" s="99"/>
      <c r="AS882" s="99"/>
    </row>
    <row r="883">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c r="AE883" s="97"/>
      <c r="AF883" s="97"/>
      <c r="AG883" s="97"/>
      <c r="AH883" s="97"/>
      <c r="AI883" s="97"/>
      <c r="AJ883" s="97"/>
      <c r="AK883" s="97"/>
      <c r="AL883" s="97"/>
      <c r="AM883" s="97"/>
      <c r="AN883" s="97"/>
      <c r="AO883" s="97"/>
      <c r="AP883" s="97"/>
      <c r="AQ883" s="99"/>
      <c r="AR883" s="99"/>
      <c r="AS883" s="99"/>
    </row>
    <row r="884">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c r="AE884" s="97"/>
      <c r="AF884" s="97"/>
      <c r="AG884" s="97"/>
      <c r="AH884" s="97"/>
      <c r="AI884" s="97"/>
      <c r="AJ884" s="97"/>
      <c r="AK884" s="97"/>
      <c r="AL884" s="97"/>
      <c r="AM884" s="97"/>
      <c r="AN884" s="97"/>
      <c r="AO884" s="97"/>
      <c r="AP884" s="97"/>
      <c r="AQ884" s="99"/>
      <c r="AR884" s="99"/>
      <c r="AS884" s="99"/>
    </row>
    <row r="88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c r="AE885" s="97"/>
      <c r="AF885" s="97"/>
      <c r="AG885" s="97"/>
      <c r="AH885" s="97"/>
      <c r="AI885" s="97"/>
      <c r="AJ885" s="97"/>
      <c r="AK885" s="97"/>
      <c r="AL885" s="97"/>
      <c r="AM885" s="97"/>
      <c r="AN885" s="97"/>
      <c r="AO885" s="97"/>
      <c r="AP885" s="97"/>
      <c r="AQ885" s="99"/>
      <c r="AR885" s="99"/>
      <c r="AS885" s="99"/>
    </row>
    <row r="886">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c r="AG886" s="97"/>
      <c r="AH886" s="97"/>
      <c r="AI886" s="97"/>
      <c r="AJ886" s="97"/>
      <c r="AK886" s="97"/>
      <c r="AL886" s="97"/>
      <c r="AM886" s="97"/>
      <c r="AN886" s="97"/>
      <c r="AO886" s="97"/>
      <c r="AP886" s="97"/>
      <c r="AQ886" s="99"/>
      <c r="AR886" s="99"/>
      <c r="AS886" s="99"/>
    </row>
    <row r="887">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c r="AE887" s="97"/>
      <c r="AF887" s="97"/>
      <c r="AG887" s="97"/>
      <c r="AH887" s="97"/>
      <c r="AI887" s="97"/>
      <c r="AJ887" s="97"/>
      <c r="AK887" s="97"/>
      <c r="AL887" s="97"/>
      <c r="AM887" s="97"/>
      <c r="AN887" s="97"/>
      <c r="AO887" s="97"/>
      <c r="AP887" s="97"/>
      <c r="AQ887" s="99"/>
      <c r="AR887" s="99"/>
      <c r="AS887" s="99"/>
    </row>
    <row r="888">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c r="AE888" s="97"/>
      <c r="AF888" s="97"/>
      <c r="AG888" s="97"/>
      <c r="AH888" s="97"/>
      <c r="AI888" s="97"/>
      <c r="AJ888" s="97"/>
      <c r="AK888" s="97"/>
      <c r="AL888" s="97"/>
      <c r="AM888" s="97"/>
      <c r="AN888" s="97"/>
      <c r="AO888" s="97"/>
      <c r="AP888" s="97"/>
      <c r="AQ888" s="99"/>
      <c r="AR888" s="99"/>
      <c r="AS888" s="99"/>
    </row>
    <row r="889">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c r="AE889" s="97"/>
      <c r="AF889" s="97"/>
      <c r="AG889" s="97"/>
      <c r="AH889" s="97"/>
      <c r="AI889" s="97"/>
      <c r="AJ889" s="97"/>
      <c r="AK889" s="97"/>
      <c r="AL889" s="97"/>
      <c r="AM889" s="97"/>
      <c r="AN889" s="97"/>
      <c r="AO889" s="97"/>
      <c r="AP889" s="97"/>
      <c r="AQ889" s="99"/>
      <c r="AR889" s="99"/>
      <c r="AS889" s="99"/>
    </row>
    <row r="890">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c r="AE890" s="97"/>
      <c r="AF890" s="97"/>
      <c r="AG890" s="97"/>
      <c r="AH890" s="97"/>
      <c r="AI890" s="97"/>
      <c r="AJ890" s="97"/>
      <c r="AK890" s="97"/>
      <c r="AL890" s="97"/>
      <c r="AM890" s="97"/>
      <c r="AN890" s="97"/>
      <c r="AO890" s="97"/>
      <c r="AP890" s="97"/>
      <c r="AQ890" s="99"/>
      <c r="AR890" s="99"/>
      <c r="AS890" s="99"/>
    </row>
    <row r="89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c r="AE891" s="97"/>
      <c r="AF891" s="97"/>
      <c r="AG891" s="97"/>
      <c r="AH891" s="97"/>
      <c r="AI891" s="97"/>
      <c r="AJ891" s="97"/>
      <c r="AK891" s="97"/>
      <c r="AL891" s="97"/>
      <c r="AM891" s="97"/>
      <c r="AN891" s="97"/>
      <c r="AO891" s="97"/>
      <c r="AP891" s="97"/>
      <c r="AQ891" s="99"/>
      <c r="AR891" s="99"/>
      <c r="AS891" s="99"/>
    </row>
    <row r="892">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c r="AE892" s="97"/>
      <c r="AF892" s="97"/>
      <c r="AG892" s="97"/>
      <c r="AH892" s="97"/>
      <c r="AI892" s="97"/>
      <c r="AJ892" s="97"/>
      <c r="AK892" s="97"/>
      <c r="AL892" s="97"/>
      <c r="AM892" s="97"/>
      <c r="AN892" s="97"/>
      <c r="AO892" s="97"/>
      <c r="AP892" s="97"/>
      <c r="AQ892" s="99"/>
      <c r="AR892" s="99"/>
      <c r="AS892" s="99"/>
    </row>
    <row r="893">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c r="AE893" s="97"/>
      <c r="AF893" s="97"/>
      <c r="AG893" s="97"/>
      <c r="AH893" s="97"/>
      <c r="AI893" s="97"/>
      <c r="AJ893" s="97"/>
      <c r="AK893" s="97"/>
      <c r="AL893" s="97"/>
      <c r="AM893" s="97"/>
      <c r="AN893" s="97"/>
      <c r="AO893" s="97"/>
      <c r="AP893" s="97"/>
      <c r="AQ893" s="99"/>
      <c r="AR893" s="99"/>
      <c r="AS893" s="99"/>
    </row>
    <row r="894">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c r="AE894" s="97"/>
      <c r="AF894" s="97"/>
      <c r="AG894" s="97"/>
      <c r="AH894" s="97"/>
      <c r="AI894" s="97"/>
      <c r="AJ894" s="97"/>
      <c r="AK894" s="97"/>
      <c r="AL894" s="97"/>
      <c r="AM894" s="97"/>
      <c r="AN894" s="97"/>
      <c r="AO894" s="97"/>
      <c r="AP894" s="97"/>
      <c r="AQ894" s="99"/>
      <c r="AR894" s="99"/>
      <c r="AS894" s="99"/>
    </row>
    <row r="89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c r="AE895" s="97"/>
      <c r="AF895" s="97"/>
      <c r="AG895" s="97"/>
      <c r="AH895" s="97"/>
      <c r="AI895" s="97"/>
      <c r="AJ895" s="97"/>
      <c r="AK895" s="97"/>
      <c r="AL895" s="97"/>
      <c r="AM895" s="97"/>
      <c r="AN895" s="97"/>
      <c r="AO895" s="97"/>
      <c r="AP895" s="97"/>
      <c r="AQ895" s="99"/>
      <c r="AR895" s="99"/>
      <c r="AS895" s="99"/>
    </row>
    <row r="896">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c r="AE896" s="97"/>
      <c r="AF896" s="97"/>
      <c r="AG896" s="97"/>
      <c r="AH896" s="97"/>
      <c r="AI896" s="97"/>
      <c r="AJ896" s="97"/>
      <c r="AK896" s="97"/>
      <c r="AL896" s="97"/>
      <c r="AM896" s="97"/>
      <c r="AN896" s="97"/>
      <c r="AO896" s="97"/>
      <c r="AP896" s="97"/>
      <c r="AQ896" s="99"/>
      <c r="AR896" s="99"/>
      <c r="AS896" s="99"/>
    </row>
    <row r="897">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c r="AE897" s="97"/>
      <c r="AF897" s="97"/>
      <c r="AG897" s="97"/>
      <c r="AH897" s="97"/>
      <c r="AI897" s="97"/>
      <c r="AJ897" s="97"/>
      <c r="AK897" s="97"/>
      <c r="AL897" s="97"/>
      <c r="AM897" s="97"/>
      <c r="AN897" s="97"/>
      <c r="AO897" s="97"/>
      <c r="AP897" s="97"/>
      <c r="AQ897" s="99"/>
      <c r="AR897" s="99"/>
      <c r="AS897" s="99"/>
    </row>
    <row r="898">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c r="AE898" s="97"/>
      <c r="AF898" s="97"/>
      <c r="AG898" s="97"/>
      <c r="AH898" s="97"/>
      <c r="AI898" s="97"/>
      <c r="AJ898" s="97"/>
      <c r="AK898" s="97"/>
      <c r="AL898" s="97"/>
      <c r="AM898" s="97"/>
      <c r="AN898" s="97"/>
      <c r="AO898" s="97"/>
      <c r="AP898" s="97"/>
      <c r="AQ898" s="99"/>
      <c r="AR898" s="99"/>
      <c r="AS898" s="99"/>
    </row>
    <row r="899">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c r="AE899" s="97"/>
      <c r="AF899" s="97"/>
      <c r="AG899" s="97"/>
      <c r="AH899" s="97"/>
      <c r="AI899" s="97"/>
      <c r="AJ899" s="97"/>
      <c r="AK899" s="97"/>
      <c r="AL899" s="97"/>
      <c r="AM899" s="97"/>
      <c r="AN899" s="97"/>
      <c r="AO899" s="97"/>
      <c r="AP899" s="97"/>
      <c r="AQ899" s="99"/>
      <c r="AR899" s="99"/>
      <c r="AS899" s="99"/>
    </row>
    <row r="900">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c r="AE900" s="97"/>
      <c r="AF900" s="97"/>
      <c r="AG900" s="97"/>
      <c r="AH900" s="97"/>
      <c r="AI900" s="97"/>
      <c r="AJ900" s="97"/>
      <c r="AK900" s="97"/>
      <c r="AL900" s="97"/>
      <c r="AM900" s="97"/>
      <c r="AN900" s="97"/>
      <c r="AO900" s="97"/>
      <c r="AP900" s="97"/>
      <c r="AQ900" s="99"/>
      <c r="AR900" s="99"/>
      <c r="AS900" s="99"/>
    </row>
    <row r="90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c r="AB901" s="97"/>
      <c r="AC901" s="97"/>
      <c r="AD901" s="97"/>
      <c r="AE901" s="97"/>
      <c r="AF901" s="97"/>
      <c r="AG901" s="97"/>
      <c r="AH901" s="97"/>
      <c r="AI901" s="97"/>
      <c r="AJ901" s="97"/>
      <c r="AK901" s="97"/>
      <c r="AL901" s="97"/>
      <c r="AM901" s="97"/>
      <c r="AN901" s="97"/>
      <c r="AO901" s="97"/>
      <c r="AP901" s="97"/>
      <c r="AQ901" s="99"/>
      <c r="AR901" s="99"/>
      <c r="AS901" s="99"/>
    </row>
    <row r="902">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c r="AB902" s="97"/>
      <c r="AC902" s="97"/>
      <c r="AD902" s="97"/>
      <c r="AE902" s="97"/>
      <c r="AF902" s="97"/>
      <c r="AG902" s="97"/>
      <c r="AH902" s="97"/>
      <c r="AI902" s="97"/>
      <c r="AJ902" s="97"/>
      <c r="AK902" s="97"/>
      <c r="AL902" s="97"/>
      <c r="AM902" s="97"/>
      <c r="AN902" s="97"/>
      <c r="AO902" s="97"/>
      <c r="AP902" s="97"/>
      <c r="AQ902" s="99"/>
      <c r="AR902" s="99"/>
      <c r="AS902" s="99"/>
    </row>
    <row r="903">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c r="AB903" s="97"/>
      <c r="AC903" s="97"/>
      <c r="AD903" s="97"/>
      <c r="AE903" s="97"/>
      <c r="AF903" s="97"/>
      <c r="AG903" s="97"/>
      <c r="AH903" s="97"/>
      <c r="AI903" s="97"/>
      <c r="AJ903" s="97"/>
      <c r="AK903" s="97"/>
      <c r="AL903" s="97"/>
      <c r="AM903" s="97"/>
      <c r="AN903" s="97"/>
      <c r="AO903" s="97"/>
      <c r="AP903" s="97"/>
      <c r="AQ903" s="99"/>
      <c r="AR903" s="99"/>
      <c r="AS903" s="99"/>
    </row>
    <row r="904">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c r="AB904" s="97"/>
      <c r="AC904" s="97"/>
      <c r="AD904" s="97"/>
      <c r="AE904" s="97"/>
      <c r="AF904" s="97"/>
      <c r="AG904" s="97"/>
      <c r="AH904" s="97"/>
      <c r="AI904" s="97"/>
      <c r="AJ904" s="97"/>
      <c r="AK904" s="97"/>
      <c r="AL904" s="97"/>
      <c r="AM904" s="97"/>
      <c r="AN904" s="97"/>
      <c r="AO904" s="97"/>
      <c r="AP904" s="97"/>
      <c r="AQ904" s="99"/>
      <c r="AR904" s="99"/>
      <c r="AS904" s="99"/>
    </row>
    <row r="90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c r="AB905" s="97"/>
      <c r="AC905" s="97"/>
      <c r="AD905" s="97"/>
      <c r="AE905" s="97"/>
      <c r="AF905" s="97"/>
      <c r="AG905" s="97"/>
      <c r="AH905" s="97"/>
      <c r="AI905" s="97"/>
      <c r="AJ905" s="97"/>
      <c r="AK905" s="97"/>
      <c r="AL905" s="97"/>
      <c r="AM905" s="97"/>
      <c r="AN905" s="97"/>
      <c r="AO905" s="97"/>
      <c r="AP905" s="97"/>
      <c r="AQ905" s="99"/>
      <c r="AR905" s="99"/>
      <c r="AS905" s="99"/>
    </row>
    <row r="906">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7"/>
      <c r="AC906" s="97"/>
      <c r="AD906" s="97"/>
      <c r="AE906" s="97"/>
      <c r="AF906" s="97"/>
      <c r="AG906" s="97"/>
      <c r="AH906" s="97"/>
      <c r="AI906" s="97"/>
      <c r="AJ906" s="97"/>
      <c r="AK906" s="97"/>
      <c r="AL906" s="97"/>
      <c r="AM906" s="97"/>
      <c r="AN906" s="97"/>
      <c r="AO906" s="97"/>
      <c r="AP906" s="97"/>
      <c r="AQ906" s="99"/>
      <c r="AR906" s="99"/>
      <c r="AS906" s="99"/>
    </row>
    <row r="907">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7"/>
      <c r="AC907" s="97"/>
      <c r="AD907" s="97"/>
      <c r="AE907" s="97"/>
      <c r="AF907" s="97"/>
      <c r="AG907" s="97"/>
      <c r="AH907" s="97"/>
      <c r="AI907" s="97"/>
      <c r="AJ907" s="97"/>
      <c r="AK907" s="97"/>
      <c r="AL907" s="97"/>
      <c r="AM907" s="97"/>
      <c r="AN907" s="97"/>
      <c r="AO907" s="97"/>
      <c r="AP907" s="97"/>
      <c r="AQ907" s="99"/>
      <c r="AR907" s="99"/>
      <c r="AS907" s="99"/>
    </row>
    <row r="908">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7"/>
      <c r="AC908" s="97"/>
      <c r="AD908" s="97"/>
      <c r="AE908" s="97"/>
      <c r="AF908" s="97"/>
      <c r="AG908" s="97"/>
      <c r="AH908" s="97"/>
      <c r="AI908" s="97"/>
      <c r="AJ908" s="97"/>
      <c r="AK908" s="97"/>
      <c r="AL908" s="97"/>
      <c r="AM908" s="97"/>
      <c r="AN908" s="97"/>
      <c r="AO908" s="97"/>
      <c r="AP908" s="97"/>
      <c r="AQ908" s="99"/>
      <c r="AR908" s="99"/>
      <c r="AS908" s="99"/>
    </row>
    <row r="909">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7"/>
      <c r="AC909" s="97"/>
      <c r="AD909" s="97"/>
      <c r="AE909" s="97"/>
      <c r="AF909" s="97"/>
      <c r="AG909" s="97"/>
      <c r="AH909" s="97"/>
      <c r="AI909" s="97"/>
      <c r="AJ909" s="97"/>
      <c r="AK909" s="97"/>
      <c r="AL909" s="97"/>
      <c r="AM909" s="97"/>
      <c r="AN909" s="97"/>
      <c r="AO909" s="97"/>
      <c r="AP909" s="97"/>
      <c r="AQ909" s="99"/>
      <c r="AR909" s="99"/>
      <c r="AS909" s="99"/>
    </row>
    <row r="910">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7"/>
      <c r="AC910" s="97"/>
      <c r="AD910" s="97"/>
      <c r="AE910" s="97"/>
      <c r="AF910" s="97"/>
      <c r="AG910" s="97"/>
      <c r="AH910" s="97"/>
      <c r="AI910" s="97"/>
      <c r="AJ910" s="97"/>
      <c r="AK910" s="97"/>
      <c r="AL910" s="97"/>
      <c r="AM910" s="97"/>
      <c r="AN910" s="97"/>
      <c r="AO910" s="97"/>
      <c r="AP910" s="97"/>
      <c r="AQ910" s="99"/>
      <c r="AR910" s="99"/>
      <c r="AS910" s="99"/>
    </row>
    <row r="91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7"/>
      <c r="AC911" s="97"/>
      <c r="AD911" s="97"/>
      <c r="AE911" s="97"/>
      <c r="AF911" s="97"/>
      <c r="AG911" s="97"/>
      <c r="AH911" s="97"/>
      <c r="AI911" s="97"/>
      <c r="AJ911" s="97"/>
      <c r="AK911" s="97"/>
      <c r="AL911" s="97"/>
      <c r="AM911" s="97"/>
      <c r="AN911" s="97"/>
      <c r="AO911" s="97"/>
      <c r="AP911" s="97"/>
      <c r="AQ911" s="99"/>
      <c r="AR911" s="99"/>
      <c r="AS911" s="99"/>
    </row>
    <row r="912">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c r="AB912" s="97"/>
      <c r="AC912" s="97"/>
      <c r="AD912" s="97"/>
      <c r="AE912" s="97"/>
      <c r="AF912" s="97"/>
      <c r="AG912" s="97"/>
      <c r="AH912" s="97"/>
      <c r="AI912" s="97"/>
      <c r="AJ912" s="97"/>
      <c r="AK912" s="97"/>
      <c r="AL912" s="97"/>
      <c r="AM912" s="97"/>
      <c r="AN912" s="97"/>
      <c r="AO912" s="97"/>
      <c r="AP912" s="97"/>
      <c r="AQ912" s="99"/>
      <c r="AR912" s="99"/>
      <c r="AS912" s="99"/>
    </row>
    <row r="913">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7"/>
      <c r="AC913" s="97"/>
      <c r="AD913" s="97"/>
      <c r="AE913" s="97"/>
      <c r="AF913" s="97"/>
      <c r="AG913" s="97"/>
      <c r="AH913" s="97"/>
      <c r="AI913" s="97"/>
      <c r="AJ913" s="97"/>
      <c r="AK913" s="97"/>
      <c r="AL913" s="97"/>
      <c r="AM913" s="97"/>
      <c r="AN913" s="97"/>
      <c r="AO913" s="97"/>
      <c r="AP913" s="97"/>
      <c r="AQ913" s="99"/>
      <c r="AR913" s="99"/>
      <c r="AS913" s="99"/>
    </row>
    <row r="914">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7"/>
      <c r="AC914" s="97"/>
      <c r="AD914" s="97"/>
      <c r="AE914" s="97"/>
      <c r="AF914" s="97"/>
      <c r="AG914" s="97"/>
      <c r="AH914" s="97"/>
      <c r="AI914" s="97"/>
      <c r="AJ914" s="97"/>
      <c r="AK914" s="97"/>
      <c r="AL914" s="97"/>
      <c r="AM914" s="97"/>
      <c r="AN914" s="97"/>
      <c r="AO914" s="97"/>
      <c r="AP914" s="97"/>
      <c r="AQ914" s="99"/>
      <c r="AR914" s="99"/>
      <c r="AS914" s="99"/>
    </row>
    <row r="91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c r="AE915" s="97"/>
      <c r="AF915" s="97"/>
      <c r="AG915" s="97"/>
      <c r="AH915" s="97"/>
      <c r="AI915" s="97"/>
      <c r="AJ915" s="97"/>
      <c r="AK915" s="97"/>
      <c r="AL915" s="97"/>
      <c r="AM915" s="97"/>
      <c r="AN915" s="97"/>
      <c r="AO915" s="97"/>
      <c r="AP915" s="97"/>
      <c r="AQ915" s="99"/>
      <c r="AR915" s="99"/>
      <c r="AS915" s="99"/>
    </row>
    <row r="916">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c r="AB916" s="97"/>
      <c r="AC916" s="97"/>
      <c r="AD916" s="97"/>
      <c r="AE916" s="97"/>
      <c r="AF916" s="97"/>
      <c r="AG916" s="97"/>
      <c r="AH916" s="97"/>
      <c r="AI916" s="97"/>
      <c r="AJ916" s="97"/>
      <c r="AK916" s="97"/>
      <c r="AL916" s="97"/>
      <c r="AM916" s="97"/>
      <c r="AN916" s="97"/>
      <c r="AO916" s="97"/>
      <c r="AP916" s="97"/>
      <c r="AQ916" s="99"/>
      <c r="AR916" s="99"/>
      <c r="AS916" s="99"/>
    </row>
    <row r="917">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c r="AB917" s="97"/>
      <c r="AC917" s="97"/>
      <c r="AD917" s="97"/>
      <c r="AE917" s="97"/>
      <c r="AF917" s="97"/>
      <c r="AG917" s="97"/>
      <c r="AH917" s="97"/>
      <c r="AI917" s="97"/>
      <c r="AJ917" s="97"/>
      <c r="AK917" s="97"/>
      <c r="AL917" s="97"/>
      <c r="AM917" s="97"/>
      <c r="AN917" s="97"/>
      <c r="AO917" s="97"/>
      <c r="AP917" s="97"/>
      <c r="AQ917" s="99"/>
      <c r="AR917" s="99"/>
      <c r="AS917" s="99"/>
    </row>
    <row r="918">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c r="AB918" s="97"/>
      <c r="AC918" s="97"/>
      <c r="AD918" s="97"/>
      <c r="AE918" s="97"/>
      <c r="AF918" s="97"/>
      <c r="AG918" s="97"/>
      <c r="AH918" s="97"/>
      <c r="AI918" s="97"/>
      <c r="AJ918" s="97"/>
      <c r="AK918" s="97"/>
      <c r="AL918" s="97"/>
      <c r="AM918" s="97"/>
      <c r="AN918" s="97"/>
      <c r="AO918" s="97"/>
      <c r="AP918" s="97"/>
      <c r="AQ918" s="99"/>
      <c r="AR918" s="99"/>
      <c r="AS918" s="99"/>
    </row>
    <row r="919">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c r="AB919" s="97"/>
      <c r="AC919" s="97"/>
      <c r="AD919" s="97"/>
      <c r="AE919" s="97"/>
      <c r="AF919" s="97"/>
      <c r="AG919" s="97"/>
      <c r="AH919" s="97"/>
      <c r="AI919" s="97"/>
      <c r="AJ919" s="97"/>
      <c r="AK919" s="97"/>
      <c r="AL919" s="97"/>
      <c r="AM919" s="97"/>
      <c r="AN919" s="97"/>
      <c r="AO919" s="97"/>
      <c r="AP919" s="97"/>
      <c r="AQ919" s="99"/>
      <c r="AR919" s="99"/>
      <c r="AS919" s="99"/>
    </row>
    <row r="920">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c r="AB920" s="97"/>
      <c r="AC920" s="97"/>
      <c r="AD920" s="97"/>
      <c r="AE920" s="97"/>
      <c r="AF920" s="97"/>
      <c r="AG920" s="97"/>
      <c r="AH920" s="97"/>
      <c r="AI920" s="97"/>
      <c r="AJ920" s="97"/>
      <c r="AK920" s="97"/>
      <c r="AL920" s="97"/>
      <c r="AM920" s="97"/>
      <c r="AN920" s="97"/>
      <c r="AO920" s="97"/>
      <c r="AP920" s="97"/>
      <c r="AQ920" s="99"/>
      <c r="AR920" s="99"/>
      <c r="AS920" s="99"/>
    </row>
    <row r="92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c r="AB921" s="97"/>
      <c r="AC921" s="97"/>
      <c r="AD921" s="97"/>
      <c r="AE921" s="97"/>
      <c r="AF921" s="97"/>
      <c r="AG921" s="97"/>
      <c r="AH921" s="97"/>
      <c r="AI921" s="97"/>
      <c r="AJ921" s="97"/>
      <c r="AK921" s="97"/>
      <c r="AL921" s="97"/>
      <c r="AM921" s="97"/>
      <c r="AN921" s="97"/>
      <c r="AO921" s="97"/>
      <c r="AP921" s="97"/>
      <c r="AQ921" s="99"/>
      <c r="AR921" s="99"/>
      <c r="AS921" s="99"/>
    </row>
    <row r="922">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c r="AB922" s="97"/>
      <c r="AC922" s="97"/>
      <c r="AD922" s="97"/>
      <c r="AE922" s="97"/>
      <c r="AF922" s="97"/>
      <c r="AG922" s="97"/>
      <c r="AH922" s="97"/>
      <c r="AI922" s="97"/>
      <c r="AJ922" s="97"/>
      <c r="AK922" s="97"/>
      <c r="AL922" s="97"/>
      <c r="AM922" s="97"/>
      <c r="AN922" s="97"/>
      <c r="AO922" s="97"/>
      <c r="AP922" s="97"/>
      <c r="AQ922" s="99"/>
      <c r="AR922" s="99"/>
      <c r="AS922" s="99"/>
    </row>
    <row r="923">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c r="AB923" s="97"/>
      <c r="AC923" s="97"/>
      <c r="AD923" s="97"/>
      <c r="AE923" s="97"/>
      <c r="AF923" s="97"/>
      <c r="AG923" s="97"/>
      <c r="AH923" s="97"/>
      <c r="AI923" s="97"/>
      <c r="AJ923" s="97"/>
      <c r="AK923" s="97"/>
      <c r="AL923" s="97"/>
      <c r="AM923" s="97"/>
      <c r="AN923" s="97"/>
      <c r="AO923" s="97"/>
      <c r="AP923" s="97"/>
      <c r="AQ923" s="99"/>
      <c r="AR923" s="99"/>
      <c r="AS923" s="99"/>
    </row>
    <row r="924">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c r="AB924" s="97"/>
      <c r="AC924" s="97"/>
      <c r="AD924" s="97"/>
      <c r="AE924" s="97"/>
      <c r="AF924" s="97"/>
      <c r="AG924" s="97"/>
      <c r="AH924" s="97"/>
      <c r="AI924" s="97"/>
      <c r="AJ924" s="97"/>
      <c r="AK924" s="97"/>
      <c r="AL924" s="97"/>
      <c r="AM924" s="97"/>
      <c r="AN924" s="97"/>
      <c r="AO924" s="97"/>
      <c r="AP924" s="97"/>
      <c r="AQ924" s="99"/>
      <c r="AR924" s="99"/>
      <c r="AS924" s="99"/>
    </row>
    <row r="92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c r="AB925" s="97"/>
      <c r="AC925" s="97"/>
      <c r="AD925" s="97"/>
      <c r="AE925" s="97"/>
      <c r="AF925" s="97"/>
      <c r="AG925" s="97"/>
      <c r="AH925" s="97"/>
      <c r="AI925" s="97"/>
      <c r="AJ925" s="97"/>
      <c r="AK925" s="97"/>
      <c r="AL925" s="97"/>
      <c r="AM925" s="97"/>
      <c r="AN925" s="97"/>
      <c r="AO925" s="97"/>
      <c r="AP925" s="97"/>
      <c r="AQ925" s="99"/>
      <c r="AR925" s="99"/>
      <c r="AS925" s="99"/>
    </row>
    <row r="926">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c r="AB926" s="97"/>
      <c r="AC926" s="97"/>
      <c r="AD926" s="97"/>
      <c r="AE926" s="97"/>
      <c r="AF926" s="97"/>
      <c r="AG926" s="97"/>
      <c r="AH926" s="97"/>
      <c r="AI926" s="97"/>
      <c r="AJ926" s="97"/>
      <c r="AK926" s="97"/>
      <c r="AL926" s="97"/>
      <c r="AM926" s="97"/>
      <c r="AN926" s="97"/>
      <c r="AO926" s="97"/>
      <c r="AP926" s="97"/>
      <c r="AQ926" s="99"/>
      <c r="AR926" s="99"/>
      <c r="AS926" s="99"/>
    </row>
    <row r="927">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c r="AB927" s="97"/>
      <c r="AC927" s="97"/>
      <c r="AD927" s="97"/>
      <c r="AE927" s="97"/>
      <c r="AF927" s="97"/>
      <c r="AG927" s="97"/>
      <c r="AH927" s="97"/>
      <c r="AI927" s="97"/>
      <c r="AJ927" s="97"/>
      <c r="AK927" s="97"/>
      <c r="AL927" s="97"/>
      <c r="AM927" s="97"/>
      <c r="AN927" s="97"/>
      <c r="AO927" s="97"/>
      <c r="AP927" s="97"/>
      <c r="AQ927" s="99"/>
      <c r="AR927" s="99"/>
      <c r="AS927" s="99"/>
    </row>
    <row r="928">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c r="AB928" s="97"/>
      <c r="AC928" s="97"/>
      <c r="AD928" s="97"/>
      <c r="AE928" s="97"/>
      <c r="AF928" s="97"/>
      <c r="AG928" s="97"/>
      <c r="AH928" s="97"/>
      <c r="AI928" s="97"/>
      <c r="AJ928" s="97"/>
      <c r="AK928" s="97"/>
      <c r="AL928" s="97"/>
      <c r="AM928" s="97"/>
      <c r="AN928" s="97"/>
      <c r="AO928" s="97"/>
      <c r="AP928" s="97"/>
      <c r="AQ928" s="99"/>
      <c r="AR928" s="99"/>
      <c r="AS928" s="99"/>
    </row>
    <row r="929">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c r="AB929" s="97"/>
      <c r="AC929" s="97"/>
      <c r="AD929" s="97"/>
      <c r="AE929" s="97"/>
      <c r="AF929" s="97"/>
      <c r="AG929" s="97"/>
      <c r="AH929" s="97"/>
      <c r="AI929" s="97"/>
      <c r="AJ929" s="97"/>
      <c r="AK929" s="97"/>
      <c r="AL929" s="97"/>
      <c r="AM929" s="97"/>
      <c r="AN929" s="97"/>
      <c r="AO929" s="97"/>
      <c r="AP929" s="97"/>
      <c r="AQ929" s="99"/>
      <c r="AR929" s="99"/>
      <c r="AS929" s="99"/>
    </row>
    <row r="930">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c r="AB930" s="97"/>
      <c r="AC930" s="97"/>
      <c r="AD930" s="97"/>
      <c r="AE930" s="97"/>
      <c r="AF930" s="97"/>
      <c r="AG930" s="97"/>
      <c r="AH930" s="97"/>
      <c r="AI930" s="97"/>
      <c r="AJ930" s="97"/>
      <c r="AK930" s="97"/>
      <c r="AL930" s="97"/>
      <c r="AM930" s="97"/>
      <c r="AN930" s="97"/>
      <c r="AO930" s="97"/>
      <c r="AP930" s="97"/>
      <c r="AQ930" s="99"/>
      <c r="AR930" s="99"/>
      <c r="AS930" s="99"/>
    </row>
    <row r="93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c r="AB931" s="97"/>
      <c r="AC931" s="97"/>
      <c r="AD931" s="97"/>
      <c r="AE931" s="97"/>
      <c r="AF931" s="97"/>
      <c r="AG931" s="97"/>
      <c r="AH931" s="97"/>
      <c r="AI931" s="97"/>
      <c r="AJ931" s="97"/>
      <c r="AK931" s="97"/>
      <c r="AL931" s="97"/>
      <c r="AM931" s="97"/>
      <c r="AN931" s="97"/>
      <c r="AO931" s="97"/>
      <c r="AP931" s="97"/>
      <c r="AQ931" s="99"/>
      <c r="AR931" s="99"/>
      <c r="AS931" s="99"/>
    </row>
    <row r="932">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c r="AB932" s="97"/>
      <c r="AC932" s="97"/>
      <c r="AD932" s="97"/>
      <c r="AE932" s="97"/>
      <c r="AF932" s="97"/>
      <c r="AG932" s="97"/>
      <c r="AH932" s="97"/>
      <c r="AI932" s="97"/>
      <c r="AJ932" s="97"/>
      <c r="AK932" s="97"/>
      <c r="AL932" s="97"/>
      <c r="AM932" s="97"/>
      <c r="AN932" s="97"/>
      <c r="AO932" s="97"/>
      <c r="AP932" s="97"/>
      <c r="AQ932" s="99"/>
      <c r="AR932" s="99"/>
      <c r="AS932" s="99"/>
    </row>
    <row r="933">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c r="AB933" s="97"/>
      <c r="AC933" s="97"/>
      <c r="AD933" s="97"/>
      <c r="AE933" s="97"/>
      <c r="AF933" s="97"/>
      <c r="AG933" s="97"/>
      <c r="AH933" s="97"/>
      <c r="AI933" s="97"/>
      <c r="AJ933" s="97"/>
      <c r="AK933" s="97"/>
      <c r="AL933" s="97"/>
      <c r="AM933" s="97"/>
      <c r="AN933" s="97"/>
      <c r="AO933" s="97"/>
      <c r="AP933" s="97"/>
      <c r="AQ933" s="99"/>
      <c r="AR933" s="99"/>
      <c r="AS933" s="99"/>
    </row>
    <row r="934">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c r="AB934" s="97"/>
      <c r="AC934" s="97"/>
      <c r="AD934" s="97"/>
      <c r="AE934" s="97"/>
      <c r="AF934" s="97"/>
      <c r="AG934" s="97"/>
      <c r="AH934" s="97"/>
      <c r="AI934" s="97"/>
      <c r="AJ934" s="97"/>
      <c r="AK934" s="97"/>
      <c r="AL934" s="97"/>
      <c r="AM934" s="97"/>
      <c r="AN934" s="97"/>
      <c r="AO934" s="97"/>
      <c r="AP934" s="97"/>
      <c r="AQ934" s="99"/>
      <c r="AR934" s="99"/>
      <c r="AS934" s="99"/>
    </row>
    <row r="93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c r="AB935" s="97"/>
      <c r="AC935" s="97"/>
      <c r="AD935" s="97"/>
      <c r="AE935" s="97"/>
      <c r="AF935" s="97"/>
      <c r="AG935" s="97"/>
      <c r="AH935" s="97"/>
      <c r="AI935" s="97"/>
      <c r="AJ935" s="97"/>
      <c r="AK935" s="97"/>
      <c r="AL935" s="97"/>
      <c r="AM935" s="97"/>
      <c r="AN935" s="97"/>
      <c r="AO935" s="97"/>
      <c r="AP935" s="97"/>
      <c r="AQ935" s="99"/>
      <c r="AR935" s="99"/>
      <c r="AS935" s="99"/>
    </row>
    <row r="936">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c r="AB936" s="97"/>
      <c r="AC936" s="97"/>
      <c r="AD936" s="97"/>
      <c r="AE936" s="97"/>
      <c r="AF936" s="97"/>
      <c r="AG936" s="97"/>
      <c r="AH936" s="97"/>
      <c r="AI936" s="97"/>
      <c r="AJ936" s="97"/>
      <c r="AK936" s="97"/>
      <c r="AL936" s="97"/>
      <c r="AM936" s="97"/>
      <c r="AN936" s="97"/>
      <c r="AO936" s="97"/>
      <c r="AP936" s="97"/>
      <c r="AQ936" s="99"/>
      <c r="AR936" s="99"/>
      <c r="AS936" s="99"/>
    </row>
    <row r="937">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c r="AB937" s="97"/>
      <c r="AC937" s="97"/>
      <c r="AD937" s="97"/>
      <c r="AE937" s="97"/>
      <c r="AF937" s="97"/>
      <c r="AG937" s="97"/>
      <c r="AH937" s="97"/>
      <c r="AI937" s="97"/>
      <c r="AJ937" s="97"/>
      <c r="AK937" s="97"/>
      <c r="AL937" s="97"/>
      <c r="AM937" s="97"/>
      <c r="AN937" s="97"/>
      <c r="AO937" s="97"/>
      <c r="AP937" s="97"/>
      <c r="AQ937" s="99"/>
      <c r="AR937" s="99"/>
      <c r="AS937" s="99"/>
    </row>
    <row r="938">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c r="AB938" s="97"/>
      <c r="AC938" s="97"/>
      <c r="AD938" s="97"/>
      <c r="AE938" s="97"/>
      <c r="AF938" s="97"/>
      <c r="AG938" s="97"/>
      <c r="AH938" s="97"/>
      <c r="AI938" s="97"/>
      <c r="AJ938" s="97"/>
      <c r="AK938" s="97"/>
      <c r="AL938" s="97"/>
      <c r="AM938" s="97"/>
      <c r="AN938" s="97"/>
      <c r="AO938" s="97"/>
      <c r="AP938" s="97"/>
      <c r="AQ938" s="99"/>
      <c r="AR938" s="99"/>
      <c r="AS938" s="99"/>
    </row>
    <row r="939">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c r="AB939" s="97"/>
      <c r="AC939" s="97"/>
      <c r="AD939" s="97"/>
      <c r="AE939" s="97"/>
      <c r="AF939" s="97"/>
      <c r="AG939" s="97"/>
      <c r="AH939" s="97"/>
      <c r="AI939" s="97"/>
      <c r="AJ939" s="97"/>
      <c r="AK939" s="97"/>
      <c r="AL939" s="97"/>
      <c r="AM939" s="97"/>
      <c r="AN939" s="97"/>
      <c r="AO939" s="97"/>
      <c r="AP939" s="97"/>
      <c r="AQ939" s="99"/>
      <c r="AR939" s="99"/>
      <c r="AS939" s="99"/>
    </row>
    <row r="940">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c r="AB940" s="97"/>
      <c r="AC940" s="97"/>
      <c r="AD940" s="97"/>
      <c r="AE940" s="97"/>
      <c r="AF940" s="97"/>
      <c r="AG940" s="97"/>
      <c r="AH940" s="97"/>
      <c r="AI940" s="97"/>
      <c r="AJ940" s="97"/>
      <c r="AK940" s="97"/>
      <c r="AL940" s="97"/>
      <c r="AM940" s="97"/>
      <c r="AN940" s="97"/>
      <c r="AO940" s="97"/>
      <c r="AP940" s="97"/>
      <c r="AQ940" s="99"/>
      <c r="AR940" s="99"/>
      <c r="AS940" s="99"/>
    </row>
    <row r="94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c r="AB941" s="97"/>
      <c r="AC941" s="97"/>
      <c r="AD941" s="97"/>
      <c r="AE941" s="97"/>
      <c r="AF941" s="97"/>
      <c r="AG941" s="97"/>
      <c r="AH941" s="97"/>
      <c r="AI941" s="97"/>
      <c r="AJ941" s="97"/>
      <c r="AK941" s="97"/>
      <c r="AL941" s="97"/>
      <c r="AM941" s="97"/>
      <c r="AN941" s="97"/>
      <c r="AO941" s="97"/>
      <c r="AP941" s="97"/>
      <c r="AQ941" s="99"/>
      <c r="AR941" s="99"/>
      <c r="AS941" s="99"/>
    </row>
    <row r="942">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c r="AB942" s="97"/>
      <c r="AC942" s="97"/>
      <c r="AD942" s="97"/>
      <c r="AE942" s="97"/>
      <c r="AF942" s="97"/>
      <c r="AG942" s="97"/>
      <c r="AH942" s="97"/>
      <c r="AI942" s="97"/>
      <c r="AJ942" s="97"/>
      <c r="AK942" s="97"/>
      <c r="AL942" s="97"/>
      <c r="AM942" s="97"/>
      <c r="AN942" s="97"/>
      <c r="AO942" s="97"/>
      <c r="AP942" s="97"/>
      <c r="AQ942" s="99"/>
      <c r="AR942" s="99"/>
      <c r="AS942" s="99"/>
    </row>
    <row r="943">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c r="AB943" s="97"/>
      <c r="AC943" s="97"/>
      <c r="AD943" s="97"/>
      <c r="AE943" s="97"/>
      <c r="AF943" s="97"/>
      <c r="AG943" s="97"/>
      <c r="AH943" s="97"/>
      <c r="AI943" s="97"/>
      <c r="AJ943" s="97"/>
      <c r="AK943" s="97"/>
      <c r="AL943" s="97"/>
      <c r="AM943" s="97"/>
      <c r="AN943" s="97"/>
      <c r="AO943" s="97"/>
      <c r="AP943" s="97"/>
      <c r="AQ943" s="99"/>
      <c r="AR943" s="99"/>
      <c r="AS943" s="99"/>
    </row>
    <row r="944">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c r="AB944" s="97"/>
      <c r="AC944" s="97"/>
      <c r="AD944" s="97"/>
      <c r="AE944" s="97"/>
      <c r="AF944" s="97"/>
      <c r="AG944" s="97"/>
      <c r="AH944" s="97"/>
      <c r="AI944" s="97"/>
      <c r="AJ944" s="97"/>
      <c r="AK944" s="97"/>
      <c r="AL944" s="97"/>
      <c r="AM944" s="97"/>
      <c r="AN944" s="97"/>
      <c r="AO944" s="97"/>
      <c r="AP944" s="97"/>
      <c r="AQ944" s="99"/>
      <c r="AR944" s="99"/>
      <c r="AS944" s="99"/>
    </row>
    <row r="94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c r="AB945" s="97"/>
      <c r="AC945" s="97"/>
      <c r="AD945" s="97"/>
      <c r="AE945" s="97"/>
      <c r="AF945" s="97"/>
      <c r="AG945" s="97"/>
      <c r="AH945" s="97"/>
      <c r="AI945" s="97"/>
      <c r="AJ945" s="97"/>
      <c r="AK945" s="97"/>
      <c r="AL945" s="97"/>
      <c r="AM945" s="97"/>
      <c r="AN945" s="97"/>
      <c r="AO945" s="97"/>
      <c r="AP945" s="97"/>
      <c r="AQ945" s="99"/>
      <c r="AR945" s="99"/>
      <c r="AS945" s="99"/>
    </row>
    <row r="946">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c r="AB946" s="97"/>
      <c r="AC946" s="97"/>
      <c r="AD946" s="97"/>
      <c r="AE946" s="97"/>
      <c r="AF946" s="97"/>
      <c r="AG946" s="97"/>
      <c r="AH946" s="97"/>
      <c r="AI946" s="97"/>
      <c r="AJ946" s="97"/>
      <c r="AK946" s="97"/>
      <c r="AL946" s="97"/>
      <c r="AM946" s="97"/>
      <c r="AN946" s="97"/>
      <c r="AO946" s="97"/>
      <c r="AP946" s="97"/>
      <c r="AQ946" s="99"/>
      <c r="AR946" s="99"/>
      <c r="AS946" s="99"/>
    </row>
    <row r="947">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c r="AB947" s="97"/>
      <c r="AC947" s="97"/>
      <c r="AD947" s="97"/>
      <c r="AE947" s="97"/>
      <c r="AF947" s="97"/>
      <c r="AG947" s="97"/>
      <c r="AH947" s="97"/>
      <c r="AI947" s="97"/>
      <c r="AJ947" s="97"/>
      <c r="AK947" s="97"/>
      <c r="AL947" s="97"/>
      <c r="AM947" s="97"/>
      <c r="AN947" s="97"/>
      <c r="AO947" s="97"/>
      <c r="AP947" s="97"/>
      <c r="AQ947" s="99"/>
      <c r="AR947" s="99"/>
      <c r="AS947" s="99"/>
    </row>
    <row r="948">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c r="AB948" s="97"/>
      <c r="AC948" s="97"/>
      <c r="AD948" s="97"/>
      <c r="AE948" s="97"/>
      <c r="AF948" s="97"/>
      <c r="AG948" s="97"/>
      <c r="AH948" s="97"/>
      <c r="AI948" s="97"/>
      <c r="AJ948" s="97"/>
      <c r="AK948" s="97"/>
      <c r="AL948" s="97"/>
      <c r="AM948" s="97"/>
      <c r="AN948" s="97"/>
      <c r="AO948" s="97"/>
      <c r="AP948" s="97"/>
      <c r="AQ948" s="99"/>
      <c r="AR948" s="99"/>
      <c r="AS948" s="99"/>
    </row>
    <row r="949">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c r="AB949" s="97"/>
      <c r="AC949" s="97"/>
      <c r="AD949" s="97"/>
      <c r="AE949" s="97"/>
      <c r="AF949" s="97"/>
      <c r="AG949" s="97"/>
      <c r="AH949" s="97"/>
      <c r="AI949" s="97"/>
      <c r="AJ949" s="97"/>
      <c r="AK949" s="97"/>
      <c r="AL949" s="97"/>
      <c r="AM949" s="97"/>
      <c r="AN949" s="97"/>
      <c r="AO949" s="97"/>
      <c r="AP949" s="97"/>
      <c r="AQ949" s="99"/>
      <c r="AR949" s="99"/>
      <c r="AS949" s="99"/>
    </row>
    <row r="950">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c r="AB950" s="97"/>
      <c r="AC950" s="97"/>
      <c r="AD950" s="97"/>
      <c r="AE950" s="97"/>
      <c r="AF950" s="97"/>
      <c r="AG950" s="97"/>
      <c r="AH950" s="97"/>
      <c r="AI950" s="97"/>
      <c r="AJ950" s="97"/>
      <c r="AK950" s="97"/>
      <c r="AL950" s="97"/>
      <c r="AM950" s="97"/>
      <c r="AN950" s="97"/>
      <c r="AO950" s="97"/>
      <c r="AP950" s="97"/>
      <c r="AQ950" s="99"/>
      <c r="AR950" s="99"/>
      <c r="AS950" s="99"/>
    </row>
    <row r="95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c r="AB951" s="97"/>
      <c r="AC951" s="97"/>
      <c r="AD951" s="97"/>
      <c r="AE951" s="97"/>
      <c r="AF951" s="97"/>
      <c r="AG951" s="97"/>
      <c r="AH951" s="97"/>
      <c r="AI951" s="97"/>
      <c r="AJ951" s="97"/>
      <c r="AK951" s="97"/>
      <c r="AL951" s="97"/>
      <c r="AM951" s="97"/>
      <c r="AN951" s="97"/>
      <c r="AO951" s="97"/>
      <c r="AP951" s="97"/>
      <c r="AQ951" s="99"/>
      <c r="AR951" s="99"/>
      <c r="AS951" s="99"/>
    </row>
    <row r="952">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c r="AB952" s="97"/>
      <c r="AC952" s="97"/>
      <c r="AD952" s="97"/>
      <c r="AE952" s="97"/>
      <c r="AF952" s="97"/>
      <c r="AG952" s="97"/>
      <c r="AH952" s="97"/>
      <c r="AI952" s="97"/>
      <c r="AJ952" s="97"/>
      <c r="AK952" s="97"/>
      <c r="AL952" s="97"/>
      <c r="AM952" s="97"/>
      <c r="AN952" s="97"/>
      <c r="AO952" s="97"/>
      <c r="AP952" s="97"/>
      <c r="AQ952" s="99"/>
      <c r="AR952" s="99"/>
      <c r="AS952" s="99"/>
    </row>
    <row r="953">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c r="AB953" s="97"/>
      <c r="AC953" s="97"/>
      <c r="AD953" s="97"/>
      <c r="AE953" s="97"/>
      <c r="AF953" s="97"/>
      <c r="AG953" s="97"/>
      <c r="AH953" s="97"/>
      <c r="AI953" s="97"/>
      <c r="AJ953" s="97"/>
      <c r="AK953" s="97"/>
      <c r="AL953" s="97"/>
      <c r="AM953" s="97"/>
      <c r="AN953" s="97"/>
      <c r="AO953" s="97"/>
      <c r="AP953" s="97"/>
      <c r="AQ953" s="99"/>
      <c r="AR953" s="99"/>
      <c r="AS953" s="99"/>
    </row>
    <row r="954">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c r="AB954" s="97"/>
      <c r="AC954" s="97"/>
      <c r="AD954" s="97"/>
      <c r="AE954" s="97"/>
      <c r="AF954" s="97"/>
      <c r="AG954" s="97"/>
      <c r="AH954" s="97"/>
      <c r="AI954" s="97"/>
      <c r="AJ954" s="97"/>
      <c r="AK954" s="97"/>
      <c r="AL954" s="97"/>
      <c r="AM954" s="97"/>
      <c r="AN954" s="97"/>
      <c r="AO954" s="97"/>
      <c r="AP954" s="97"/>
      <c r="AQ954" s="99"/>
      <c r="AR954" s="99"/>
      <c r="AS954" s="99"/>
    </row>
    <row r="955">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c r="AB955" s="97"/>
      <c r="AC955" s="97"/>
      <c r="AD955" s="97"/>
      <c r="AE955" s="97"/>
      <c r="AF955" s="97"/>
      <c r="AG955" s="97"/>
      <c r="AH955" s="97"/>
      <c r="AI955" s="97"/>
      <c r="AJ955" s="97"/>
      <c r="AK955" s="97"/>
      <c r="AL955" s="97"/>
      <c r="AM955" s="97"/>
      <c r="AN955" s="97"/>
      <c r="AO955" s="97"/>
      <c r="AP955" s="97"/>
      <c r="AQ955" s="99"/>
      <c r="AR955" s="99"/>
      <c r="AS955" s="99"/>
    </row>
    <row r="956">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c r="AB956" s="97"/>
      <c r="AC956" s="97"/>
      <c r="AD956" s="97"/>
      <c r="AE956" s="97"/>
      <c r="AF956" s="97"/>
      <c r="AG956" s="97"/>
      <c r="AH956" s="97"/>
      <c r="AI956" s="97"/>
      <c r="AJ956" s="97"/>
      <c r="AK956" s="97"/>
      <c r="AL956" s="97"/>
      <c r="AM956" s="97"/>
      <c r="AN956" s="97"/>
      <c r="AO956" s="97"/>
      <c r="AP956" s="97"/>
      <c r="AQ956" s="99"/>
      <c r="AR956" s="99"/>
      <c r="AS956" s="99"/>
    </row>
    <row r="957">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c r="AB957" s="97"/>
      <c r="AC957" s="97"/>
      <c r="AD957" s="97"/>
      <c r="AE957" s="97"/>
      <c r="AF957" s="97"/>
      <c r="AG957" s="97"/>
      <c r="AH957" s="97"/>
      <c r="AI957" s="97"/>
      <c r="AJ957" s="97"/>
      <c r="AK957" s="97"/>
      <c r="AL957" s="97"/>
      <c r="AM957" s="97"/>
      <c r="AN957" s="97"/>
      <c r="AO957" s="97"/>
      <c r="AP957" s="97"/>
      <c r="AQ957" s="99"/>
      <c r="AR957" s="99"/>
      <c r="AS957" s="99"/>
    </row>
    <row r="958">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c r="AB958" s="97"/>
      <c r="AC958" s="97"/>
      <c r="AD958" s="97"/>
      <c r="AE958" s="97"/>
      <c r="AF958" s="97"/>
      <c r="AG958" s="97"/>
      <c r="AH958" s="97"/>
      <c r="AI958" s="97"/>
      <c r="AJ958" s="97"/>
      <c r="AK958" s="97"/>
      <c r="AL958" s="97"/>
      <c r="AM958" s="97"/>
      <c r="AN958" s="97"/>
      <c r="AO958" s="97"/>
      <c r="AP958" s="97"/>
      <c r="AQ958" s="99"/>
      <c r="AR958" s="99"/>
      <c r="AS958" s="99"/>
    </row>
    <row r="959">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c r="AB959" s="97"/>
      <c r="AC959" s="97"/>
      <c r="AD959" s="97"/>
      <c r="AE959" s="97"/>
      <c r="AF959" s="97"/>
      <c r="AG959" s="97"/>
      <c r="AH959" s="97"/>
      <c r="AI959" s="97"/>
      <c r="AJ959" s="97"/>
      <c r="AK959" s="97"/>
      <c r="AL959" s="97"/>
      <c r="AM959" s="97"/>
      <c r="AN959" s="97"/>
      <c r="AO959" s="97"/>
      <c r="AP959" s="97"/>
      <c r="AQ959" s="99"/>
      <c r="AR959" s="99"/>
      <c r="AS959" s="99"/>
    </row>
    <row r="960">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c r="AB960" s="97"/>
      <c r="AC960" s="97"/>
      <c r="AD960" s="97"/>
      <c r="AE960" s="97"/>
      <c r="AF960" s="97"/>
      <c r="AG960" s="97"/>
      <c r="AH960" s="97"/>
      <c r="AI960" s="97"/>
      <c r="AJ960" s="97"/>
      <c r="AK960" s="97"/>
      <c r="AL960" s="97"/>
      <c r="AM960" s="97"/>
      <c r="AN960" s="97"/>
      <c r="AO960" s="97"/>
      <c r="AP960" s="97"/>
      <c r="AQ960" s="99"/>
      <c r="AR960" s="99"/>
      <c r="AS960" s="99"/>
    </row>
    <row r="96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c r="AB961" s="97"/>
      <c r="AC961" s="97"/>
      <c r="AD961" s="97"/>
      <c r="AE961" s="97"/>
      <c r="AF961" s="97"/>
      <c r="AG961" s="97"/>
      <c r="AH961" s="97"/>
      <c r="AI961" s="97"/>
      <c r="AJ961" s="97"/>
      <c r="AK961" s="97"/>
      <c r="AL961" s="97"/>
      <c r="AM961" s="97"/>
      <c r="AN961" s="97"/>
      <c r="AO961" s="97"/>
      <c r="AP961" s="97"/>
      <c r="AQ961" s="99"/>
      <c r="AR961" s="99"/>
      <c r="AS961" s="99"/>
    </row>
    <row r="962">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c r="AB962" s="97"/>
      <c r="AC962" s="97"/>
      <c r="AD962" s="97"/>
      <c r="AE962" s="97"/>
      <c r="AF962" s="97"/>
      <c r="AG962" s="97"/>
      <c r="AH962" s="97"/>
      <c r="AI962" s="97"/>
      <c r="AJ962" s="97"/>
      <c r="AK962" s="97"/>
      <c r="AL962" s="97"/>
      <c r="AM962" s="97"/>
      <c r="AN962" s="97"/>
      <c r="AO962" s="97"/>
      <c r="AP962" s="97"/>
      <c r="AQ962" s="99"/>
      <c r="AR962" s="99"/>
      <c r="AS962" s="99"/>
    </row>
    <row r="963">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c r="AB963" s="97"/>
      <c r="AC963" s="97"/>
      <c r="AD963" s="97"/>
      <c r="AE963" s="97"/>
      <c r="AF963" s="97"/>
      <c r="AG963" s="97"/>
      <c r="AH963" s="97"/>
      <c r="AI963" s="97"/>
      <c r="AJ963" s="97"/>
      <c r="AK963" s="97"/>
      <c r="AL963" s="97"/>
      <c r="AM963" s="97"/>
      <c r="AN963" s="97"/>
      <c r="AO963" s="97"/>
      <c r="AP963" s="97"/>
      <c r="AQ963" s="99"/>
      <c r="AR963" s="99"/>
      <c r="AS963" s="99"/>
    </row>
    <row r="964">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c r="AB964" s="97"/>
      <c r="AC964" s="97"/>
      <c r="AD964" s="97"/>
      <c r="AE964" s="97"/>
      <c r="AF964" s="97"/>
      <c r="AG964" s="97"/>
      <c r="AH964" s="97"/>
      <c r="AI964" s="97"/>
      <c r="AJ964" s="97"/>
      <c r="AK964" s="97"/>
      <c r="AL964" s="97"/>
      <c r="AM964" s="97"/>
      <c r="AN964" s="97"/>
      <c r="AO964" s="97"/>
      <c r="AP964" s="97"/>
      <c r="AQ964" s="99"/>
      <c r="AR964" s="99"/>
      <c r="AS964" s="99"/>
    </row>
    <row r="965">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c r="AB965" s="97"/>
      <c r="AC965" s="97"/>
      <c r="AD965" s="97"/>
      <c r="AE965" s="97"/>
      <c r="AF965" s="97"/>
      <c r="AG965" s="97"/>
      <c r="AH965" s="97"/>
      <c r="AI965" s="97"/>
      <c r="AJ965" s="97"/>
      <c r="AK965" s="97"/>
      <c r="AL965" s="97"/>
      <c r="AM965" s="97"/>
      <c r="AN965" s="97"/>
      <c r="AO965" s="97"/>
      <c r="AP965" s="97"/>
      <c r="AQ965" s="99"/>
      <c r="AR965" s="99"/>
      <c r="AS965" s="99"/>
    </row>
    <row r="966">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c r="AB966" s="97"/>
      <c r="AC966" s="97"/>
      <c r="AD966" s="97"/>
      <c r="AE966" s="97"/>
      <c r="AF966" s="97"/>
      <c r="AG966" s="97"/>
      <c r="AH966" s="97"/>
      <c r="AI966" s="97"/>
      <c r="AJ966" s="97"/>
      <c r="AK966" s="97"/>
      <c r="AL966" s="97"/>
      <c r="AM966" s="97"/>
      <c r="AN966" s="97"/>
      <c r="AO966" s="97"/>
      <c r="AP966" s="97"/>
      <c r="AQ966" s="99"/>
      <c r="AR966" s="99"/>
      <c r="AS966" s="99"/>
    </row>
    <row r="967">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c r="AB967" s="97"/>
      <c r="AC967" s="97"/>
      <c r="AD967" s="97"/>
      <c r="AE967" s="97"/>
      <c r="AF967" s="97"/>
      <c r="AG967" s="97"/>
      <c r="AH967" s="97"/>
      <c r="AI967" s="97"/>
      <c r="AJ967" s="97"/>
      <c r="AK967" s="97"/>
      <c r="AL967" s="97"/>
      <c r="AM967" s="97"/>
      <c r="AN967" s="97"/>
      <c r="AO967" s="97"/>
      <c r="AP967" s="97"/>
      <c r="AQ967" s="99"/>
      <c r="AR967" s="99"/>
      <c r="AS967" s="99"/>
    </row>
    <row r="968">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c r="AB968" s="97"/>
      <c r="AC968" s="97"/>
      <c r="AD968" s="97"/>
      <c r="AE968" s="97"/>
      <c r="AF968" s="97"/>
      <c r="AG968" s="97"/>
      <c r="AH968" s="97"/>
      <c r="AI968" s="97"/>
      <c r="AJ968" s="97"/>
      <c r="AK968" s="97"/>
      <c r="AL968" s="97"/>
      <c r="AM968" s="97"/>
      <c r="AN968" s="97"/>
      <c r="AO968" s="97"/>
      <c r="AP968" s="97"/>
      <c r="AQ968" s="99"/>
      <c r="AR968" s="99"/>
      <c r="AS968" s="99"/>
    </row>
    <row r="969">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c r="AF969" s="97"/>
      <c r="AG969" s="97"/>
      <c r="AH969" s="97"/>
      <c r="AI969" s="97"/>
      <c r="AJ969" s="97"/>
      <c r="AK969" s="97"/>
      <c r="AL969" s="97"/>
      <c r="AM969" s="97"/>
      <c r="AN969" s="97"/>
      <c r="AO969" s="97"/>
      <c r="AP969" s="97"/>
      <c r="AQ969" s="99"/>
      <c r="AR969" s="99"/>
      <c r="AS969" s="99"/>
    </row>
    <row r="970">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c r="AB970" s="97"/>
      <c r="AC970" s="97"/>
      <c r="AD970" s="97"/>
      <c r="AE970" s="97"/>
      <c r="AF970" s="97"/>
      <c r="AG970" s="97"/>
      <c r="AH970" s="97"/>
      <c r="AI970" s="97"/>
      <c r="AJ970" s="97"/>
      <c r="AK970" s="97"/>
      <c r="AL970" s="97"/>
      <c r="AM970" s="97"/>
      <c r="AN970" s="97"/>
      <c r="AO970" s="97"/>
      <c r="AP970" s="97"/>
      <c r="AQ970" s="99"/>
      <c r="AR970" s="99"/>
      <c r="AS970" s="99"/>
    </row>
    <row r="97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c r="AB971" s="97"/>
      <c r="AC971" s="97"/>
      <c r="AD971" s="97"/>
      <c r="AE971" s="97"/>
      <c r="AF971" s="97"/>
      <c r="AG971" s="97"/>
      <c r="AH971" s="97"/>
      <c r="AI971" s="97"/>
      <c r="AJ971" s="97"/>
      <c r="AK971" s="97"/>
      <c r="AL971" s="97"/>
      <c r="AM971" s="97"/>
      <c r="AN971" s="97"/>
      <c r="AO971" s="97"/>
      <c r="AP971" s="97"/>
      <c r="AQ971" s="99"/>
      <c r="AR971" s="99"/>
      <c r="AS971" s="99"/>
    </row>
    <row r="972">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c r="AB972" s="97"/>
      <c r="AC972" s="97"/>
      <c r="AD972" s="97"/>
      <c r="AE972" s="97"/>
      <c r="AF972" s="97"/>
      <c r="AG972" s="97"/>
      <c r="AH972" s="97"/>
      <c r="AI972" s="97"/>
      <c r="AJ972" s="97"/>
      <c r="AK972" s="97"/>
      <c r="AL972" s="97"/>
      <c r="AM972" s="97"/>
      <c r="AN972" s="97"/>
      <c r="AO972" s="97"/>
      <c r="AP972" s="97"/>
      <c r="AQ972" s="99"/>
      <c r="AR972" s="99"/>
      <c r="AS972" s="99"/>
    </row>
    <row r="973">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c r="AB973" s="97"/>
      <c r="AC973" s="97"/>
      <c r="AD973" s="97"/>
      <c r="AE973" s="97"/>
      <c r="AF973" s="97"/>
      <c r="AG973" s="97"/>
      <c r="AH973" s="97"/>
      <c r="AI973" s="97"/>
      <c r="AJ973" s="97"/>
      <c r="AK973" s="97"/>
      <c r="AL973" s="97"/>
      <c r="AM973" s="97"/>
      <c r="AN973" s="97"/>
      <c r="AO973" s="97"/>
      <c r="AP973" s="97"/>
      <c r="AQ973" s="99"/>
      <c r="AR973" s="99"/>
      <c r="AS973" s="99"/>
    </row>
    <row r="974">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c r="AB974" s="97"/>
      <c r="AC974" s="97"/>
      <c r="AD974" s="97"/>
      <c r="AE974" s="97"/>
      <c r="AF974" s="97"/>
      <c r="AG974" s="97"/>
      <c r="AH974" s="97"/>
      <c r="AI974" s="97"/>
      <c r="AJ974" s="97"/>
      <c r="AK974" s="97"/>
      <c r="AL974" s="97"/>
      <c r="AM974" s="97"/>
      <c r="AN974" s="97"/>
      <c r="AO974" s="97"/>
      <c r="AP974" s="97"/>
      <c r="AQ974" s="99"/>
      <c r="AR974" s="99"/>
      <c r="AS974" s="99"/>
    </row>
    <row r="975">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c r="AB975" s="97"/>
      <c r="AC975" s="97"/>
      <c r="AD975" s="97"/>
      <c r="AE975" s="97"/>
      <c r="AF975" s="97"/>
      <c r="AG975" s="97"/>
      <c r="AH975" s="97"/>
      <c r="AI975" s="97"/>
      <c r="AJ975" s="97"/>
      <c r="AK975" s="97"/>
      <c r="AL975" s="97"/>
      <c r="AM975" s="97"/>
      <c r="AN975" s="97"/>
      <c r="AO975" s="97"/>
      <c r="AP975" s="97"/>
      <c r="AQ975" s="99"/>
      <c r="AR975" s="99"/>
      <c r="AS975" s="99"/>
    </row>
    <row r="976">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c r="AB976" s="97"/>
      <c r="AC976" s="97"/>
      <c r="AD976" s="97"/>
      <c r="AE976" s="97"/>
      <c r="AF976" s="97"/>
      <c r="AG976" s="97"/>
      <c r="AH976" s="97"/>
      <c r="AI976" s="97"/>
      <c r="AJ976" s="97"/>
      <c r="AK976" s="97"/>
      <c r="AL976" s="97"/>
      <c r="AM976" s="97"/>
      <c r="AN976" s="97"/>
      <c r="AO976" s="97"/>
      <c r="AP976" s="97"/>
      <c r="AQ976" s="99"/>
      <c r="AR976" s="99"/>
      <c r="AS976" s="99"/>
    </row>
    <row r="977">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c r="AB977" s="97"/>
      <c r="AC977" s="97"/>
      <c r="AD977" s="97"/>
      <c r="AE977" s="97"/>
      <c r="AF977" s="97"/>
      <c r="AG977" s="97"/>
      <c r="AH977" s="97"/>
      <c r="AI977" s="97"/>
      <c r="AJ977" s="97"/>
      <c r="AK977" s="97"/>
      <c r="AL977" s="97"/>
      <c r="AM977" s="97"/>
      <c r="AN977" s="97"/>
      <c r="AO977" s="97"/>
      <c r="AP977" s="97"/>
      <c r="AQ977" s="99"/>
      <c r="AR977" s="99"/>
      <c r="AS977" s="99"/>
    </row>
    <row r="978">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c r="AB978" s="97"/>
      <c r="AC978" s="97"/>
      <c r="AD978" s="97"/>
      <c r="AE978" s="97"/>
      <c r="AF978" s="97"/>
      <c r="AG978" s="97"/>
      <c r="AH978" s="97"/>
      <c r="AI978" s="97"/>
      <c r="AJ978" s="97"/>
      <c r="AK978" s="97"/>
      <c r="AL978" s="97"/>
      <c r="AM978" s="97"/>
      <c r="AN978" s="97"/>
      <c r="AO978" s="97"/>
      <c r="AP978" s="97"/>
      <c r="AQ978" s="99"/>
      <c r="AR978" s="99"/>
      <c r="AS978" s="99"/>
    </row>
    <row r="979">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c r="AB979" s="97"/>
      <c r="AC979" s="97"/>
      <c r="AD979" s="97"/>
      <c r="AE979" s="97"/>
      <c r="AF979" s="97"/>
      <c r="AG979" s="97"/>
      <c r="AH979" s="97"/>
      <c r="AI979" s="97"/>
      <c r="AJ979" s="97"/>
      <c r="AK979" s="97"/>
      <c r="AL979" s="97"/>
      <c r="AM979" s="97"/>
      <c r="AN979" s="97"/>
      <c r="AO979" s="97"/>
      <c r="AP979" s="97"/>
      <c r="AQ979" s="99"/>
      <c r="AR979" s="99"/>
      <c r="AS979" s="99"/>
    </row>
    <row r="980">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c r="AB980" s="97"/>
      <c r="AC980" s="97"/>
      <c r="AD980" s="97"/>
      <c r="AE980" s="97"/>
      <c r="AF980" s="97"/>
      <c r="AG980" s="97"/>
      <c r="AH980" s="97"/>
      <c r="AI980" s="97"/>
      <c r="AJ980" s="97"/>
      <c r="AK980" s="97"/>
      <c r="AL980" s="97"/>
      <c r="AM980" s="97"/>
      <c r="AN980" s="97"/>
      <c r="AO980" s="97"/>
      <c r="AP980" s="97"/>
      <c r="AQ980" s="99"/>
      <c r="AR980" s="99"/>
      <c r="AS980" s="99"/>
    </row>
    <row r="98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c r="AB981" s="97"/>
      <c r="AC981" s="97"/>
      <c r="AD981" s="97"/>
      <c r="AE981" s="97"/>
      <c r="AF981" s="97"/>
      <c r="AG981" s="97"/>
      <c r="AH981" s="97"/>
      <c r="AI981" s="97"/>
      <c r="AJ981" s="97"/>
      <c r="AK981" s="97"/>
      <c r="AL981" s="97"/>
      <c r="AM981" s="97"/>
      <c r="AN981" s="97"/>
      <c r="AO981" s="97"/>
      <c r="AP981" s="97"/>
      <c r="AQ981" s="99"/>
      <c r="AR981" s="99"/>
      <c r="AS981" s="99"/>
    </row>
    <row r="982">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c r="AB982" s="97"/>
      <c r="AC982" s="97"/>
      <c r="AD982" s="97"/>
      <c r="AE982" s="97"/>
      <c r="AF982" s="97"/>
      <c r="AG982" s="97"/>
      <c r="AH982" s="97"/>
      <c r="AI982" s="97"/>
      <c r="AJ982" s="97"/>
      <c r="AK982" s="97"/>
      <c r="AL982" s="97"/>
      <c r="AM982" s="97"/>
      <c r="AN982" s="97"/>
      <c r="AO982" s="97"/>
      <c r="AP982" s="97"/>
      <c r="AQ982" s="99"/>
      <c r="AR982" s="99"/>
      <c r="AS982" s="99"/>
    </row>
    <row r="983">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c r="AB983" s="97"/>
      <c r="AC983" s="97"/>
      <c r="AD983" s="97"/>
      <c r="AE983" s="97"/>
      <c r="AF983" s="97"/>
      <c r="AG983" s="97"/>
      <c r="AH983" s="97"/>
      <c r="AI983" s="97"/>
      <c r="AJ983" s="97"/>
      <c r="AK983" s="97"/>
      <c r="AL983" s="97"/>
      <c r="AM983" s="97"/>
      <c r="AN983" s="97"/>
      <c r="AO983" s="97"/>
      <c r="AP983" s="97"/>
      <c r="AQ983" s="99"/>
      <c r="AR983" s="99"/>
      <c r="AS983" s="99"/>
    </row>
    <row r="984">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c r="AB984" s="97"/>
      <c r="AC984" s="97"/>
      <c r="AD984" s="97"/>
      <c r="AE984" s="97"/>
      <c r="AF984" s="97"/>
      <c r="AG984" s="97"/>
      <c r="AH984" s="97"/>
      <c r="AI984" s="97"/>
      <c r="AJ984" s="97"/>
      <c r="AK984" s="97"/>
      <c r="AL984" s="97"/>
      <c r="AM984" s="97"/>
      <c r="AN984" s="97"/>
      <c r="AO984" s="97"/>
      <c r="AP984" s="97"/>
      <c r="AQ984" s="99"/>
      <c r="AR984" s="99"/>
      <c r="AS984" s="99"/>
    </row>
    <row r="985">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c r="AB985" s="97"/>
      <c r="AC985" s="97"/>
      <c r="AD985" s="97"/>
      <c r="AE985" s="97"/>
      <c r="AF985" s="97"/>
      <c r="AG985" s="97"/>
      <c r="AH985" s="97"/>
      <c r="AI985" s="97"/>
      <c r="AJ985" s="97"/>
      <c r="AK985" s="97"/>
      <c r="AL985" s="97"/>
      <c r="AM985" s="97"/>
      <c r="AN985" s="97"/>
      <c r="AO985" s="97"/>
      <c r="AP985" s="97"/>
      <c r="AQ985" s="99"/>
      <c r="AR985" s="99"/>
      <c r="AS985" s="99"/>
    </row>
    <row r="986">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c r="AB986" s="97"/>
      <c r="AC986" s="97"/>
      <c r="AD986" s="97"/>
      <c r="AE986" s="97"/>
      <c r="AF986" s="97"/>
      <c r="AG986" s="97"/>
      <c r="AH986" s="97"/>
      <c r="AI986" s="97"/>
      <c r="AJ986" s="97"/>
      <c r="AK986" s="97"/>
      <c r="AL986" s="97"/>
      <c r="AM986" s="97"/>
      <c r="AN986" s="97"/>
      <c r="AO986" s="97"/>
      <c r="AP986" s="97"/>
      <c r="AQ986" s="99"/>
      <c r="AR986" s="99"/>
      <c r="AS986" s="99"/>
    </row>
    <row r="987">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c r="AB987" s="97"/>
      <c r="AC987" s="97"/>
      <c r="AD987" s="97"/>
      <c r="AE987" s="97"/>
      <c r="AF987" s="97"/>
      <c r="AG987" s="97"/>
      <c r="AH987" s="97"/>
      <c r="AI987" s="97"/>
      <c r="AJ987" s="97"/>
      <c r="AK987" s="97"/>
      <c r="AL987" s="97"/>
      <c r="AM987" s="97"/>
      <c r="AN987" s="97"/>
      <c r="AO987" s="97"/>
      <c r="AP987" s="97"/>
      <c r="AQ987" s="99"/>
      <c r="AR987" s="99"/>
      <c r="AS987" s="99"/>
    </row>
    <row r="988">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c r="AB988" s="97"/>
      <c r="AC988" s="97"/>
      <c r="AD988" s="97"/>
      <c r="AE988" s="97"/>
      <c r="AF988" s="97"/>
      <c r="AG988" s="97"/>
      <c r="AH988" s="97"/>
      <c r="AI988" s="97"/>
      <c r="AJ988" s="97"/>
      <c r="AK988" s="97"/>
      <c r="AL988" s="97"/>
      <c r="AM988" s="97"/>
      <c r="AN988" s="97"/>
      <c r="AO988" s="97"/>
      <c r="AP988" s="97"/>
      <c r="AQ988" s="99"/>
      <c r="AR988" s="99"/>
      <c r="AS988" s="99"/>
    </row>
    <row r="989">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c r="AB989" s="97"/>
      <c r="AC989" s="97"/>
      <c r="AD989" s="97"/>
      <c r="AE989" s="97"/>
      <c r="AF989" s="97"/>
      <c r="AG989" s="97"/>
      <c r="AH989" s="97"/>
      <c r="AI989" s="97"/>
      <c r="AJ989" s="97"/>
      <c r="AK989" s="97"/>
      <c r="AL989" s="97"/>
      <c r="AM989" s="97"/>
      <c r="AN989" s="97"/>
      <c r="AO989" s="97"/>
      <c r="AP989" s="97"/>
      <c r="AQ989" s="99"/>
      <c r="AR989" s="99"/>
      <c r="AS989" s="99"/>
    </row>
    <row r="990">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c r="AB990" s="97"/>
      <c r="AC990" s="97"/>
      <c r="AD990" s="97"/>
      <c r="AE990" s="97"/>
      <c r="AF990" s="97"/>
      <c r="AG990" s="97"/>
      <c r="AH990" s="97"/>
      <c r="AI990" s="97"/>
      <c r="AJ990" s="97"/>
      <c r="AK990" s="97"/>
      <c r="AL990" s="97"/>
      <c r="AM990" s="97"/>
      <c r="AN990" s="97"/>
      <c r="AO990" s="97"/>
      <c r="AP990" s="97"/>
      <c r="AQ990" s="99"/>
      <c r="AR990" s="99"/>
      <c r="AS990" s="99"/>
    </row>
    <row r="99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c r="AB991" s="97"/>
      <c r="AC991" s="97"/>
      <c r="AD991" s="97"/>
      <c r="AE991" s="97"/>
      <c r="AF991" s="97"/>
      <c r="AG991" s="97"/>
      <c r="AH991" s="97"/>
      <c r="AI991" s="97"/>
      <c r="AJ991" s="97"/>
      <c r="AK991" s="97"/>
      <c r="AL991" s="97"/>
      <c r="AM991" s="97"/>
      <c r="AN991" s="97"/>
      <c r="AO991" s="97"/>
      <c r="AP991" s="97"/>
      <c r="AQ991" s="99"/>
      <c r="AR991" s="99"/>
      <c r="AS991" s="99"/>
    </row>
    <row r="992">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c r="AB992" s="97"/>
      <c r="AC992" s="97"/>
      <c r="AD992" s="97"/>
      <c r="AE992" s="97"/>
      <c r="AF992" s="97"/>
      <c r="AG992" s="97"/>
      <c r="AH992" s="97"/>
      <c r="AI992" s="97"/>
      <c r="AJ992" s="97"/>
      <c r="AK992" s="97"/>
      <c r="AL992" s="97"/>
      <c r="AM992" s="97"/>
      <c r="AN992" s="97"/>
      <c r="AO992" s="97"/>
      <c r="AP992" s="97"/>
      <c r="AQ992" s="99"/>
      <c r="AR992" s="99"/>
      <c r="AS992" s="99"/>
    </row>
    <row r="993">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c r="AB993" s="97"/>
      <c r="AC993" s="97"/>
      <c r="AD993" s="97"/>
      <c r="AE993" s="97"/>
      <c r="AF993" s="97"/>
      <c r="AG993" s="97"/>
      <c r="AH993" s="97"/>
      <c r="AI993" s="97"/>
      <c r="AJ993" s="97"/>
      <c r="AK993" s="97"/>
      <c r="AL993" s="97"/>
      <c r="AM993" s="97"/>
      <c r="AN993" s="97"/>
      <c r="AO993" s="97"/>
      <c r="AP993" s="97"/>
      <c r="AQ993" s="99"/>
      <c r="AR993" s="99"/>
      <c r="AS993" s="99"/>
    </row>
    <row r="994">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c r="AB994" s="97"/>
      <c r="AC994" s="97"/>
      <c r="AD994" s="97"/>
      <c r="AE994" s="97"/>
      <c r="AF994" s="97"/>
      <c r="AG994" s="97"/>
      <c r="AH994" s="97"/>
      <c r="AI994" s="97"/>
      <c r="AJ994" s="97"/>
      <c r="AK994" s="97"/>
      <c r="AL994" s="97"/>
      <c r="AM994" s="97"/>
      <c r="AN994" s="97"/>
      <c r="AO994" s="97"/>
      <c r="AP994" s="97"/>
      <c r="AQ994" s="99"/>
      <c r="AR994" s="99"/>
      <c r="AS994" s="99"/>
    </row>
    <row r="995">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c r="AA995" s="97"/>
      <c r="AB995" s="97"/>
      <c r="AC995" s="97"/>
      <c r="AD995" s="97"/>
      <c r="AE995" s="97"/>
      <c r="AF995" s="97"/>
      <c r="AG995" s="97"/>
      <c r="AH995" s="97"/>
      <c r="AI995" s="97"/>
      <c r="AJ995" s="97"/>
      <c r="AK995" s="97"/>
      <c r="AL995" s="97"/>
      <c r="AM995" s="97"/>
      <c r="AN995" s="97"/>
      <c r="AO995" s="97"/>
      <c r="AP995" s="97"/>
      <c r="AQ995" s="99"/>
      <c r="AR995" s="99"/>
      <c r="AS995" s="99"/>
    </row>
    <row r="996">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c r="AA996" s="97"/>
      <c r="AB996" s="97"/>
      <c r="AC996" s="97"/>
      <c r="AD996" s="97"/>
      <c r="AE996" s="97"/>
      <c r="AF996" s="97"/>
      <c r="AG996" s="97"/>
      <c r="AH996" s="97"/>
      <c r="AI996" s="97"/>
      <c r="AJ996" s="97"/>
      <c r="AK996" s="97"/>
      <c r="AL996" s="97"/>
      <c r="AM996" s="97"/>
      <c r="AN996" s="97"/>
      <c r="AO996" s="97"/>
      <c r="AP996" s="97"/>
      <c r="AQ996" s="99"/>
      <c r="AR996" s="99"/>
      <c r="AS996" s="99"/>
    </row>
    <row r="997">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c r="AA997" s="97"/>
      <c r="AB997" s="97"/>
      <c r="AC997" s="97"/>
      <c r="AD997" s="97"/>
      <c r="AE997" s="97"/>
      <c r="AF997" s="97"/>
      <c r="AG997" s="97"/>
      <c r="AH997" s="97"/>
      <c r="AI997" s="97"/>
      <c r="AJ997" s="97"/>
      <c r="AK997" s="97"/>
      <c r="AL997" s="97"/>
      <c r="AM997" s="97"/>
      <c r="AN997" s="97"/>
      <c r="AO997" s="97"/>
      <c r="AP997" s="97"/>
      <c r="AQ997" s="99"/>
      <c r="AR997" s="99"/>
      <c r="AS997" s="99"/>
    </row>
    <row r="998">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c r="AA998" s="97"/>
      <c r="AB998" s="97"/>
      <c r="AC998" s="97"/>
      <c r="AD998" s="97"/>
      <c r="AE998" s="97"/>
      <c r="AF998" s="97"/>
      <c r="AG998" s="97"/>
      <c r="AH998" s="97"/>
      <c r="AI998" s="97"/>
      <c r="AJ998" s="97"/>
      <c r="AK998" s="97"/>
      <c r="AL998" s="97"/>
      <c r="AM998" s="97"/>
      <c r="AN998" s="97"/>
      <c r="AO998" s="97"/>
      <c r="AP998" s="97"/>
      <c r="AQ998" s="99"/>
      <c r="AR998" s="99"/>
      <c r="AS998" s="99"/>
    </row>
    <row r="999">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c r="AB999" s="97"/>
      <c r="AC999" s="97"/>
      <c r="AD999" s="97"/>
      <c r="AE999" s="97"/>
      <c r="AF999" s="97"/>
      <c r="AG999" s="97"/>
      <c r="AH999" s="97"/>
      <c r="AI999" s="97"/>
      <c r="AJ999" s="97"/>
      <c r="AK999" s="97"/>
      <c r="AL999" s="97"/>
      <c r="AM999" s="97"/>
      <c r="AN999" s="97"/>
      <c r="AO999" s="97"/>
      <c r="AP999" s="97"/>
      <c r="AQ999" s="99"/>
      <c r="AR999" s="99"/>
      <c r="AS999" s="99"/>
    </row>
    <row r="1000">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c r="AA1000" s="97"/>
      <c r="AB1000" s="97"/>
      <c r="AC1000" s="97"/>
      <c r="AD1000" s="97"/>
      <c r="AE1000" s="97"/>
      <c r="AF1000" s="97"/>
      <c r="AG1000" s="97"/>
      <c r="AH1000" s="97"/>
      <c r="AI1000" s="97"/>
      <c r="AJ1000" s="97"/>
      <c r="AK1000" s="97"/>
      <c r="AL1000" s="97"/>
      <c r="AM1000" s="97"/>
      <c r="AN1000" s="97"/>
      <c r="AO1000" s="97"/>
      <c r="AP1000" s="97"/>
      <c r="AQ1000" s="99"/>
      <c r="AR1000" s="99"/>
      <c r="AS1000" s="99"/>
    </row>
  </sheetData>
  <dataValidations>
    <dataValidation type="list" allowBlank="1" showDropDown="1" sqref="AQ2:AQ1000">
      <formula1>'UF Comp Metrics List'!$B$2:$B$27</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3.25"/>
    <col customWidth="1" min="2" max="2" width="9.38"/>
    <col customWidth="1" min="3" max="3" width="4.0"/>
    <col customWidth="1" min="4" max="4" width="8.25"/>
    <col customWidth="1" hidden="1" min="5" max="7" width="64.25"/>
    <col customWidth="1" min="8" max="8" width="64.25"/>
    <col customWidth="1" hidden="1" min="9" max="22" width="64.25"/>
    <col customWidth="1" min="23" max="23" width="24.88"/>
    <col customWidth="1" min="24" max="24" width="32.63"/>
    <col customWidth="1" min="25" max="39" width="9.38"/>
    <col customWidth="1" min="40" max="40" width="17.63"/>
    <col customWidth="1" min="41" max="41" width="9.5"/>
    <col customWidth="1" min="42" max="42" width="28.38"/>
  </cols>
  <sheetData>
    <row r="1" ht="77.25" customHeight="1">
      <c r="A1" s="6" t="s">
        <v>4</v>
      </c>
      <c r="B1" s="6" t="s">
        <v>2323</v>
      </c>
      <c r="C1" s="6" t="s">
        <v>2324</v>
      </c>
      <c r="D1" s="6" t="s">
        <v>2325</v>
      </c>
      <c r="E1" s="7" t="s">
        <v>2326</v>
      </c>
      <c r="F1" s="7" t="s">
        <v>2327</v>
      </c>
      <c r="G1" s="7" t="s">
        <v>2328</v>
      </c>
      <c r="H1" s="7" t="s">
        <v>10</v>
      </c>
      <c r="I1" s="7" t="s">
        <v>11</v>
      </c>
      <c r="J1" s="7" t="s">
        <v>12</v>
      </c>
      <c r="K1" s="7" t="s">
        <v>2329</v>
      </c>
      <c r="L1" s="7" t="s">
        <v>2330</v>
      </c>
      <c r="M1" s="7" t="s">
        <v>15</v>
      </c>
      <c r="N1" s="7" t="s">
        <v>2331</v>
      </c>
      <c r="O1" s="7" t="s">
        <v>17</v>
      </c>
      <c r="P1" s="7" t="s">
        <v>2332</v>
      </c>
      <c r="Q1" s="7" t="s">
        <v>2333</v>
      </c>
      <c r="R1" s="7" t="s">
        <v>2334</v>
      </c>
      <c r="S1" s="7" t="s">
        <v>2335</v>
      </c>
      <c r="T1" s="7" t="s">
        <v>2336</v>
      </c>
      <c r="U1" s="7" t="s">
        <v>2337</v>
      </c>
      <c r="V1" s="7" t="s">
        <v>22</v>
      </c>
      <c r="W1" s="7" t="s">
        <v>23</v>
      </c>
      <c r="X1" s="6" t="s">
        <v>2338</v>
      </c>
      <c r="Y1" s="7" t="s">
        <v>2339</v>
      </c>
      <c r="Z1" s="7" t="s">
        <v>2340</v>
      </c>
      <c r="AA1" s="7" t="s">
        <v>2341</v>
      </c>
      <c r="AB1" s="7" t="s">
        <v>2342</v>
      </c>
      <c r="AC1" s="7" t="s">
        <v>35</v>
      </c>
      <c r="AD1" s="7" t="s">
        <v>2343</v>
      </c>
      <c r="AE1" s="7" t="s">
        <v>2344</v>
      </c>
      <c r="AF1" s="7" t="s">
        <v>2345</v>
      </c>
      <c r="AG1" s="7" t="s">
        <v>43</v>
      </c>
      <c r="AH1" s="7" t="s">
        <v>2346</v>
      </c>
      <c r="AI1" s="7" t="s">
        <v>2347</v>
      </c>
      <c r="AJ1" s="7" t="s">
        <v>2348</v>
      </c>
      <c r="AK1" s="7" t="s">
        <v>2349</v>
      </c>
      <c r="AL1" s="6" t="s">
        <v>44</v>
      </c>
      <c r="AM1" s="6" t="s">
        <v>2350</v>
      </c>
      <c r="AN1" s="100" t="s">
        <v>2351</v>
      </c>
      <c r="AO1" s="101" t="s">
        <v>47</v>
      </c>
      <c r="AP1" s="101" t="s">
        <v>48</v>
      </c>
    </row>
    <row r="2">
      <c r="A2" s="102">
        <v>2.0</v>
      </c>
      <c r="B2" s="34">
        <v>8.79385439E8</v>
      </c>
      <c r="C2" s="34" t="s">
        <v>2352</v>
      </c>
      <c r="D2" s="34" t="s">
        <v>2353</v>
      </c>
      <c r="E2" s="35" t="s">
        <v>2354</v>
      </c>
      <c r="F2" s="35" t="s">
        <v>2355</v>
      </c>
      <c r="G2" s="35" t="s">
        <v>2356</v>
      </c>
      <c r="H2" s="35" t="s">
        <v>2357</v>
      </c>
      <c r="I2" s="35">
        <v>2017.0</v>
      </c>
      <c r="J2" s="35" t="s">
        <v>2358</v>
      </c>
      <c r="K2" s="35" t="s">
        <v>730</v>
      </c>
      <c r="L2" s="35" t="s">
        <v>2359</v>
      </c>
      <c r="M2" s="35" t="s">
        <v>57</v>
      </c>
      <c r="N2" s="35" t="s">
        <v>2356</v>
      </c>
      <c r="O2" s="35" t="s">
        <v>2360</v>
      </c>
      <c r="P2" s="35" t="s">
        <v>2361</v>
      </c>
      <c r="Q2" s="35" t="s">
        <v>93</v>
      </c>
      <c r="R2" s="35" t="s">
        <v>57</v>
      </c>
      <c r="S2" s="35" t="s">
        <v>57</v>
      </c>
      <c r="T2" s="35" t="s">
        <v>69</v>
      </c>
      <c r="U2" s="35" t="s">
        <v>2362</v>
      </c>
      <c r="V2" s="35" t="s">
        <v>96</v>
      </c>
      <c r="W2" s="35" t="s">
        <v>749</v>
      </c>
      <c r="X2" s="34" t="s">
        <v>2363</v>
      </c>
      <c r="Y2" s="35" t="s">
        <v>2364</v>
      </c>
      <c r="Z2" s="35" t="s">
        <v>2365</v>
      </c>
      <c r="AA2" s="35" t="s">
        <v>57</v>
      </c>
      <c r="AB2" s="35" t="s">
        <v>57</v>
      </c>
      <c r="AC2" s="35" t="s">
        <v>74</v>
      </c>
      <c r="AD2" s="35" t="s">
        <v>96</v>
      </c>
      <c r="AE2" s="35" t="s">
        <v>2366</v>
      </c>
      <c r="AF2" s="35" t="s">
        <v>69</v>
      </c>
      <c r="AG2" s="35" t="s">
        <v>129</v>
      </c>
      <c r="AH2" s="35" t="s">
        <v>129</v>
      </c>
      <c r="AI2" s="35" t="s">
        <v>57</v>
      </c>
      <c r="AJ2" s="35" t="s">
        <v>57</v>
      </c>
      <c r="AK2" s="35" t="s">
        <v>4101</v>
      </c>
      <c r="AL2" s="34"/>
      <c r="AM2" s="34" t="s">
        <v>109</v>
      </c>
      <c r="AN2" s="103" t="s">
        <v>4102</v>
      </c>
      <c r="AO2" s="103" t="s">
        <v>1955</v>
      </c>
      <c r="AP2" s="103" t="s">
        <v>4103</v>
      </c>
    </row>
    <row r="3">
      <c r="A3" s="102">
        <v>4.0</v>
      </c>
      <c r="B3" s="34">
        <v>8.97599677E8</v>
      </c>
      <c r="C3" s="34" t="s">
        <v>2369</v>
      </c>
      <c r="D3" s="34" t="s">
        <v>2370</v>
      </c>
      <c r="E3" s="35" t="s">
        <v>2371</v>
      </c>
      <c r="F3" s="43" t="s">
        <v>2372</v>
      </c>
      <c r="G3" s="35" t="s">
        <v>172</v>
      </c>
      <c r="H3" s="43" t="s">
        <v>2373</v>
      </c>
      <c r="I3" s="35">
        <v>2017.0</v>
      </c>
      <c r="J3" s="35" t="s">
        <v>2374</v>
      </c>
      <c r="K3" s="35" t="s">
        <v>730</v>
      </c>
      <c r="L3" s="35" t="s">
        <v>2375</v>
      </c>
      <c r="M3" s="35" t="s">
        <v>57</v>
      </c>
      <c r="N3" s="35" t="s">
        <v>172</v>
      </c>
      <c r="O3" s="35" t="s">
        <v>2376</v>
      </c>
      <c r="P3" s="35" t="s">
        <v>2377</v>
      </c>
      <c r="Q3" s="35" t="s">
        <v>93</v>
      </c>
      <c r="R3" s="35" t="s">
        <v>57</v>
      </c>
      <c r="S3" s="35" t="s">
        <v>57</v>
      </c>
      <c r="T3" s="35" t="s">
        <v>69</v>
      </c>
      <c r="U3" s="35" t="s">
        <v>2378</v>
      </c>
      <c r="V3" s="35" t="s">
        <v>96</v>
      </c>
      <c r="W3" s="35" t="s">
        <v>1976</v>
      </c>
      <c r="X3" s="34" t="s">
        <v>2379</v>
      </c>
      <c r="Y3" s="35" t="s">
        <v>2380</v>
      </c>
      <c r="Z3" s="35" t="s">
        <v>2381</v>
      </c>
      <c r="AA3" s="35">
        <v>1997.0</v>
      </c>
      <c r="AB3" s="35">
        <v>2013.0</v>
      </c>
      <c r="AC3" s="35" t="s">
        <v>74</v>
      </c>
      <c r="AD3" s="35" t="s">
        <v>96</v>
      </c>
      <c r="AE3" s="35" t="s">
        <v>2382</v>
      </c>
      <c r="AF3" s="35" t="s">
        <v>69</v>
      </c>
      <c r="AG3" s="35" t="s">
        <v>307</v>
      </c>
      <c r="AH3" s="35" t="s">
        <v>2067</v>
      </c>
      <c r="AI3" s="35" t="s">
        <v>129</v>
      </c>
      <c r="AJ3" s="35" t="s">
        <v>57</v>
      </c>
      <c r="AK3" s="35" t="s">
        <v>2383</v>
      </c>
      <c r="AL3" s="34"/>
      <c r="AM3" s="34" t="s">
        <v>109</v>
      </c>
      <c r="AN3" s="103" t="s">
        <v>4104</v>
      </c>
      <c r="AO3" s="103" t="s">
        <v>1955</v>
      </c>
      <c r="AP3" s="103" t="s">
        <v>4105</v>
      </c>
    </row>
    <row r="4">
      <c r="A4" s="102">
        <v>12.0</v>
      </c>
      <c r="B4" s="34">
        <v>8.79385457E8</v>
      </c>
      <c r="C4" s="34" t="s">
        <v>2385</v>
      </c>
      <c r="D4" s="34" t="s">
        <v>2386</v>
      </c>
      <c r="E4" s="35" t="s">
        <v>2387</v>
      </c>
      <c r="F4" s="35" t="s">
        <v>2388</v>
      </c>
      <c r="G4" s="35" t="s">
        <v>2389</v>
      </c>
      <c r="H4" s="43" t="s">
        <v>2390</v>
      </c>
      <c r="I4" s="35">
        <v>2018.0</v>
      </c>
      <c r="J4" s="35" t="s">
        <v>295</v>
      </c>
      <c r="K4" s="35" t="s">
        <v>730</v>
      </c>
      <c r="L4" s="35" t="s">
        <v>2391</v>
      </c>
      <c r="M4" s="35" t="s">
        <v>57</v>
      </c>
      <c r="N4" s="35" t="s">
        <v>2389</v>
      </c>
      <c r="O4" s="35" t="s">
        <v>2392</v>
      </c>
      <c r="P4" s="35" t="s">
        <v>2393</v>
      </c>
      <c r="Q4" s="35" t="s">
        <v>93</v>
      </c>
      <c r="R4" s="35" t="s">
        <v>57</v>
      </c>
      <c r="S4" s="35" t="s">
        <v>57</v>
      </c>
      <c r="T4" s="35" t="s">
        <v>74</v>
      </c>
      <c r="U4" s="35" t="s">
        <v>57</v>
      </c>
      <c r="V4" s="35" t="s">
        <v>2394</v>
      </c>
      <c r="W4" s="35" t="s">
        <v>2395</v>
      </c>
      <c r="X4" s="34" t="s">
        <v>2396</v>
      </c>
      <c r="Y4" s="35" t="s">
        <v>2397</v>
      </c>
      <c r="Z4" s="35" t="s">
        <v>2398</v>
      </c>
      <c r="AA4" s="35">
        <v>2013.0</v>
      </c>
      <c r="AB4" s="35">
        <v>2015.0</v>
      </c>
      <c r="AC4" s="35" t="s">
        <v>74</v>
      </c>
      <c r="AD4" s="35" t="s">
        <v>63</v>
      </c>
      <c r="AE4" s="35" t="s">
        <v>2399</v>
      </c>
      <c r="AF4" s="35" t="s">
        <v>69</v>
      </c>
      <c r="AG4" s="35" t="s">
        <v>129</v>
      </c>
      <c r="AH4" s="35" t="s">
        <v>129</v>
      </c>
      <c r="AI4" s="35" t="s">
        <v>57</v>
      </c>
      <c r="AJ4" s="35" t="s">
        <v>57</v>
      </c>
      <c r="AK4" s="35" t="s">
        <v>2400</v>
      </c>
      <c r="AL4" s="34"/>
      <c r="AM4" s="34" t="s">
        <v>2401</v>
      </c>
      <c r="AN4" s="103"/>
      <c r="AO4" s="104"/>
      <c r="AP4" s="104"/>
    </row>
    <row r="5">
      <c r="A5" s="102">
        <v>13.0</v>
      </c>
      <c r="B5" s="34">
        <v>8.7938549E8</v>
      </c>
      <c r="C5" s="34" t="s">
        <v>2403</v>
      </c>
      <c r="D5" s="34" t="s">
        <v>2404</v>
      </c>
      <c r="E5" s="35" t="s">
        <v>2405</v>
      </c>
      <c r="F5" s="43" t="s">
        <v>2406</v>
      </c>
      <c r="G5" s="35" t="s">
        <v>859</v>
      </c>
      <c r="H5" s="35" t="s">
        <v>2407</v>
      </c>
      <c r="I5" s="35">
        <v>2022.0</v>
      </c>
      <c r="J5" s="35" t="s">
        <v>2408</v>
      </c>
      <c r="K5" s="35" t="s">
        <v>730</v>
      </c>
      <c r="L5" s="35" t="s">
        <v>2409</v>
      </c>
      <c r="M5" s="35" t="s">
        <v>57</v>
      </c>
      <c r="N5" s="35" t="s">
        <v>859</v>
      </c>
      <c r="O5" s="35" t="s">
        <v>57</v>
      </c>
      <c r="P5" s="35" t="s">
        <v>2410</v>
      </c>
      <c r="Q5" s="35" t="s">
        <v>93</v>
      </c>
      <c r="R5" s="43" t="s">
        <v>2411</v>
      </c>
      <c r="S5" s="35" t="s">
        <v>2412</v>
      </c>
      <c r="T5" s="35" t="s">
        <v>69</v>
      </c>
      <c r="U5" s="35" t="s">
        <v>2413</v>
      </c>
      <c r="V5" s="35" t="s">
        <v>193</v>
      </c>
      <c r="W5" s="35" t="s">
        <v>2414</v>
      </c>
      <c r="X5" s="34" t="s">
        <v>2415</v>
      </c>
      <c r="Y5" s="35" t="s">
        <v>2397</v>
      </c>
      <c r="Z5" s="35" t="s">
        <v>2416</v>
      </c>
      <c r="AA5" s="35">
        <v>1989.0</v>
      </c>
      <c r="AB5" s="35">
        <v>2019.0</v>
      </c>
      <c r="AC5" s="35" t="s">
        <v>74</v>
      </c>
      <c r="AD5" s="35" t="s">
        <v>96</v>
      </c>
      <c r="AE5" s="35" t="s">
        <v>2417</v>
      </c>
      <c r="AF5" s="35" t="s">
        <v>69</v>
      </c>
      <c r="AG5" s="35" t="s">
        <v>129</v>
      </c>
      <c r="AH5" s="35" t="s">
        <v>129</v>
      </c>
      <c r="AI5" s="35" t="s">
        <v>57</v>
      </c>
      <c r="AJ5" s="35" t="s">
        <v>57</v>
      </c>
      <c r="AK5" s="35" t="s">
        <v>2418</v>
      </c>
      <c r="AL5" s="34"/>
      <c r="AM5" s="34" t="s">
        <v>2401</v>
      </c>
      <c r="AN5" s="104"/>
      <c r="AO5" s="103"/>
      <c r="AP5" s="103"/>
    </row>
    <row r="6">
      <c r="A6" s="106">
        <v>19.0</v>
      </c>
      <c r="B6" s="15">
        <v>8.79385565E8</v>
      </c>
      <c r="C6" s="15" t="s">
        <v>2420</v>
      </c>
      <c r="D6" s="15" t="s">
        <v>2421</v>
      </c>
      <c r="E6" s="16" t="s">
        <v>2422</v>
      </c>
      <c r="F6" s="16" t="s">
        <v>2423</v>
      </c>
      <c r="G6" s="16" t="s">
        <v>273</v>
      </c>
      <c r="H6" s="16" t="s">
        <v>2424</v>
      </c>
      <c r="I6" s="16">
        <v>2020.0</v>
      </c>
      <c r="J6" s="16" t="s">
        <v>2425</v>
      </c>
      <c r="K6" s="16" t="s">
        <v>730</v>
      </c>
      <c r="L6" s="16" t="s">
        <v>2426</v>
      </c>
      <c r="M6" s="16" t="s">
        <v>57</v>
      </c>
      <c r="N6" s="16" t="s">
        <v>2427</v>
      </c>
      <c r="O6" s="16" t="s">
        <v>2428</v>
      </c>
      <c r="P6" s="16" t="s">
        <v>2429</v>
      </c>
      <c r="Q6" s="16" t="s">
        <v>93</v>
      </c>
      <c r="R6" s="16" t="s">
        <v>57</v>
      </c>
      <c r="S6" s="16" t="s">
        <v>57</v>
      </c>
      <c r="T6" s="16" t="s">
        <v>74</v>
      </c>
      <c r="U6" s="16" t="s">
        <v>57</v>
      </c>
      <c r="V6" s="16" t="s">
        <v>2430</v>
      </c>
      <c r="W6" s="16" t="s">
        <v>161</v>
      </c>
      <c r="X6" s="15" t="s">
        <v>2431</v>
      </c>
      <c r="Y6" s="16" t="s">
        <v>2397</v>
      </c>
      <c r="Z6" s="16" t="s">
        <v>2432</v>
      </c>
      <c r="AA6" s="16" t="s">
        <v>57</v>
      </c>
      <c r="AB6" s="16" t="s">
        <v>57</v>
      </c>
      <c r="AC6" s="16" t="s">
        <v>69</v>
      </c>
      <c r="AD6" s="16" t="s">
        <v>96</v>
      </c>
      <c r="AE6" s="16" t="s">
        <v>2433</v>
      </c>
      <c r="AF6" s="16" t="s">
        <v>74</v>
      </c>
      <c r="AG6" s="16" t="s">
        <v>57</v>
      </c>
      <c r="AH6" s="16" t="s">
        <v>57</v>
      </c>
      <c r="AI6" s="16" t="s">
        <v>57</v>
      </c>
      <c r="AJ6" s="16" t="s">
        <v>57</v>
      </c>
      <c r="AK6" s="16" t="s">
        <v>57</v>
      </c>
      <c r="AL6" s="15"/>
      <c r="AM6" s="15" t="s">
        <v>109</v>
      </c>
      <c r="AN6" s="107" t="s">
        <v>4106</v>
      </c>
      <c r="AO6" s="107" t="s">
        <v>1955</v>
      </c>
      <c r="AP6" s="107" t="s">
        <v>4107</v>
      </c>
    </row>
    <row r="7">
      <c r="A7" s="106">
        <v>20.0</v>
      </c>
      <c r="B7" s="15">
        <v>8.7938557E8</v>
      </c>
      <c r="C7" s="15" t="s">
        <v>2435</v>
      </c>
      <c r="D7" s="15" t="s">
        <v>2436</v>
      </c>
      <c r="E7" s="16" t="s">
        <v>2437</v>
      </c>
      <c r="F7" s="16" t="s">
        <v>2438</v>
      </c>
      <c r="G7" s="16" t="s">
        <v>2439</v>
      </c>
      <c r="H7" s="16" t="s">
        <v>2440</v>
      </c>
      <c r="I7" s="16">
        <v>2011.0</v>
      </c>
      <c r="J7" s="16" t="s">
        <v>2441</v>
      </c>
      <c r="K7" s="16" t="s">
        <v>730</v>
      </c>
      <c r="L7" s="16" t="s">
        <v>2442</v>
      </c>
      <c r="M7" s="16" t="s">
        <v>57</v>
      </c>
      <c r="N7" s="16" t="s">
        <v>2389</v>
      </c>
      <c r="O7" s="16" t="s">
        <v>715</v>
      </c>
      <c r="P7" s="16" t="s">
        <v>2443</v>
      </c>
      <c r="Q7" s="16" t="s">
        <v>93</v>
      </c>
      <c r="R7" s="16" t="s">
        <v>57</v>
      </c>
      <c r="S7" s="16" t="s">
        <v>57</v>
      </c>
      <c r="T7" s="16" t="s">
        <v>74</v>
      </c>
      <c r="U7" s="16" t="s">
        <v>57</v>
      </c>
      <c r="V7" s="16" t="s">
        <v>2394</v>
      </c>
      <c r="W7" s="16" t="s">
        <v>161</v>
      </c>
      <c r="X7" s="15" t="s">
        <v>2444</v>
      </c>
      <c r="Y7" s="16" t="s">
        <v>2445</v>
      </c>
      <c r="Z7" s="16" t="s">
        <v>2446</v>
      </c>
      <c r="AA7" s="16">
        <v>2009.0</v>
      </c>
      <c r="AB7" s="16">
        <v>2009.0</v>
      </c>
      <c r="AC7" s="16" t="s">
        <v>74</v>
      </c>
      <c r="AD7" s="16" t="s">
        <v>63</v>
      </c>
      <c r="AE7" s="16" t="s">
        <v>2447</v>
      </c>
      <c r="AF7" s="16" t="s">
        <v>69</v>
      </c>
      <c r="AG7" s="16" t="s">
        <v>129</v>
      </c>
      <c r="AH7" s="16" t="s">
        <v>129</v>
      </c>
      <c r="AI7" s="16" t="s">
        <v>57</v>
      </c>
      <c r="AJ7" s="16" t="s">
        <v>57</v>
      </c>
      <c r="AK7" s="16" t="s">
        <v>2448</v>
      </c>
      <c r="AL7" s="15"/>
      <c r="AM7" s="15" t="s">
        <v>109</v>
      </c>
      <c r="AN7" s="107" t="s">
        <v>4108</v>
      </c>
      <c r="AO7" s="107" t="s">
        <v>1955</v>
      </c>
      <c r="AP7" s="107" t="s">
        <v>4109</v>
      </c>
    </row>
    <row r="8">
      <c r="A8" s="106">
        <v>21.0</v>
      </c>
      <c r="B8" s="15">
        <v>8.79385581E8</v>
      </c>
      <c r="C8" s="15" t="s">
        <v>2450</v>
      </c>
      <c r="D8" s="15" t="s">
        <v>2451</v>
      </c>
      <c r="E8" s="16" t="s">
        <v>2452</v>
      </c>
      <c r="F8" s="16" t="s">
        <v>2453</v>
      </c>
      <c r="G8" s="16" t="s">
        <v>859</v>
      </c>
      <c r="H8" s="16" t="s">
        <v>2454</v>
      </c>
      <c r="I8" s="16">
        <v>2012.0</v>
      </c>
      <c r="J8" s="16" t="s">
        <v>1362</v>
      </c>
      <c r="K8" s="16" t="s">
        <v>730</v>
      </c>
      <c r="L8" s="16" t="s">
        <v>2455</v>
      </c>
      <c r="M8" s="16" t="s">
        <v>57</v>
      </c>
      <c r="N8" s="16" t="s">
        <v>859</v>
      </c>
      <c r="O8" s="16" t="s">
        <v>2456</v>
      </c>
      <c r="P8" s="16" t="s">
        <v>2457</v>
      </c>
      <c r="Q8" s="16" t="s">
        <v>93</v>
      </c>
      <c r="R8" s="16" t="s">
        <v>2458</v>
      </c>
      <c r="S8" s="16" t="s">
        <v>2459</v>
      </c>
      <c r="T8" s="16" t="s">
        <v>69</v>
      </c>
      <c r="U8" s="16" t="s">
        <v>2460</v>
      </c>
      <c r="V8" s="16" t="s">
        <v>2394</v>
      </c>
      <c r="W8" s="16" t="s">
        <v>161</v>
      </c>
      <c r="X8" s="15" t="s">
        <v>2461</v>
      </c>
      <c r="Y8" s="16" t="s">
        <v>2397</v>
      </c>
      <c r="Z8" s="16" t="s">
        <v>2462</v>
      </c>
      <c r="AA8" s="16">
        <v>1972.0</v>
      </c>
      <c r="AB8" s="16">
        <v>2006.0</v>
      </c>
      <c r="AC8" s="16" t="s">
        <v>74</v>
      </c>
      <c r="AD8" s="16" t="s">
        <v>63</v>
      </c>
      <c r="AE8" s="16" t="s">
        <v>2463</v>
      </c>
      <c r="AF8" s="16" t="s">
        <v>69</v>
      </c>
      <c r="AG8" s="16" t="s">
        <v>198</v>
      </c>
      <c r="AH8" s="16" t="s">
        <v>374</v>
      </c>
      <c r="AI8" s="16" t="s">
        <v>129</v>
      </c>
      <c r="AJ8" s="16" t="s">
        <v>57</v>
      </c>
      <c r="AK8" s="16" t="s">
        <v>2464</v>
      </c>
      <c r="AL8" s="15" t="s">
        <v>1418</v>
      </c>
      <c r="AM8" s="15" t="s">
        <v>109</v>
      </c>
      <c r="AN8" s="107" t="s">
        <v>2465</v>
      </c>
      <c r="AO8" s="107" t="s">
        <v>1955</v>
      </c>
      <c r="AP8" s="107" t="s">
        <v>4110</v>
      </c>
    </row>
    <row r="9">
      <c r="A9" s="108">
        <v>23.0</v>
      </c>
      <c r="B9" s="24">
        <v>8.79385596E8</v>
      </c>
      <c r="C9" s="24" t="s">
        <v>2466</v>
      </c>
      <c r="D9" s="24" t="s">
        <v>2467</v>
      </c>
      <c r="E9" s="25" t="s">
        <v>2468</v>
      </c>
      <c r="F9" s="25" t="s">
        <v>2469</v>
      </c>
      <c r="G9" s="25" t="s">
        <v>443</v>
      </c>
      <c r="H9" s="25" t="s">
        <v>2470</v>
      </c>
      <c r="I9" s="25">
        <v>2018.0</v>
      </c>
      <c r="J9" s="25" t="s">
        <v>2471</v>
      </c>
      <c r="K9" s="25" t="s">
        <v>730</v>
      </c>
      <c r="L9" s="25" t="s">
        <v>2472</v>
      </c>
      <c r="M9" s="25" t="s">
        <v>57</v>
      </c>
      <c r="N9" s="25" t="s">
        <v>443</v>
      </c>
      <c r="O9" s="25" t="s">
        <v>2473</v>
      </c>
      <c r="P9" s="25" t="s">
        <v>2474</v>
      </c>
      <c r="Q9" s="25" t="s">
        <v>93</v>
      </c>
      <c r="R9" s="25" t="s">
        <v>2475</v>
      </c>
      <c r="S9" s="25" t="s">
        <v>2476</v>
      </c>
      <c r="T9" s="25" t="s">
        <v>74</v>
      </c>
      <c r="U9" s="25" t="s">
        <v>57</v>
      </c>
      <c r="V9" s="25" t="s">
        <v>96</v>
      </c>
      <c r="W9" s="25" t="s">
        <v>1389</v>
      </c>
      <c r="X9" s="24" t="s">
        <v>2477</v>
      </c>
      <c r="Y9" s="25" t="s">
        <v>2380</v>
      </c>
      <c r="Z9" s="25" t="s">
        <v>2478</v>
      </c>
      <c r="AA9" s="25" t="s">
        <v>57</v>
      </c>
      <c r="AB9" s="25" t="s">
        <v>57</v>
      </c>
      <c r="AC9" s="25" t="s">
        <v>74</v>
      </c>
      <c r="AD9" s="25" t="s">
        <v>215</v>
      </c>
      <c r="AE9" s="25" t="s">
        <v>2479</v>
      </c>
      <c r="AF9" s="25" t="s">
        <v>74</v>
      </c>
      <c r="AG9" s="25" t="s">
        <v>57</v>
      </c>
      <c r="AH9" s="25" t="s">
        <v>57</v>
      </c>
      <c r="AI9" s="25" t="s">
        <v>57</v>
      </c>
      <c r="AJ9" s="25" t="s">
        <v>57</v>
      </c>
      <c r="AK9" s="25" t="s">
        <v>57</v>
      </c>
      <c r="AL9" s="24"/>
      <c r="AM9" s="24" t="s">
        <v>109</v>
      </c>
      <c r="AN9" s="109" t="s">
        <v>4111</v>
      </c>
      <c r="AO9" s="109" t="s">
        <v>1955</v>
      </c>
      <c r="AP9" s="154"/>
    </row>
    <row r="10">
      <c r="A10" s="108">
        <v>25.0</v>
      </c>
      <c r="B10" s="24">
        <v>8.79385586E8</v>
      </c>
      <c r="C10" s="24" t="s">
        <v>2481</v>
      </c>
      <c r="D10" s="24" t="s">
        <v>2482</v>
      </c>
      <c r="E10" s="25" t="s">
        <v>2483</v>
      </c>
      <c r="F10" s="25" t="s">
        <v>2484</v>
      </c>
      <c r="G10" s="25" t="s">
        <v>2389</v>
      </c>
      <c r="H10" s="25" t="s">
        <v>2485</v>
      </c>
      <c r="I10" s="25">
        <v>2017.0</v>
      </c>
      <c r="J10" s="25" t="s">
        <v>207</v>
      </c>
      <c r="K10" s="25" t="s">
        <v>730</v>
      </c>
      <c r="L10" s="25" t="s">
        <v>2486</v>
      </c>
      <c r="M10" s="25" t="s">
        <v>57</v>
      </c>
      <c r="N10" s="25" t="s">
        <v>2389</v>
      </c>
      <c r="O10" s="25" t="s">
        <v>2487</v>
      </c>
      <c r="P10" s="25" t="s">
        <v>2488</v>
      </c>
      <c r="Q10" s="25" t="s">
        <v>93</v>
      </c>
      <c r="R10" s="25" t="s">
        <v>57</v>
      </c>
      <c r="S10" s="25" t="s">
        <v>57</v>
      </c>
      <c r="T10" s="25" t="s">
        <v>74</v>
      </c>
      <c r="U10" s="25" t="s">
        <v>57</v>
      </c>
      <c r="V10" s="25" t="s">
        <v>96</v>
      </c>
      <c r="W10" s="25" t="s">
        <v>64</v>
      </c>
      <c r="X10" s="24" t="s">
        <v>2489</v>
      </c>
      <c r="Y10" s="25" t="s">
        <v>2397</v>
      </c>
      <c r="Z10" s="25" t="s">
        <v>2490</v>
      </c>
      <c r="AA10" s="25" t="s">
        <v>57</v>
      </c>
      <c r="AB10" s="25" t="s">
        <v>57</v>
      </c>
      <c r="AC10" s="25" t="s">
        <v>74</v>
      </c>
      <c r="AD10" s="25" t="s">
        <v>96</v>
      </c>
      <c r="AE10" s="25" t="s">
        <v>2491</v>
      </c>
      <c r="AF10" s="25" t="s">
        <v>69</v>
      </c>
      <c r="AG10" s="25" t="s">
        <v>129</v>
      </c>
      <c r="AH10" s="25" t="s">
        <v>129</v>
      </c>
      <c r="AI10" s="25" t="s">
        <v>57</v>
      </c>
      <c r="AJ10" s="25" t="s">
        <v>57</v>
      </c>
      <c r="AK10" s="25" t="s">
        <v>2492</v>
      </c>
      <c r="AL10" s="24"/>
      <c r="AM10" s="24" t="s">
        <v>109</v>
      </c>
      <c r="AN10" s="109" t="s">
        <v>4112</v>
      </c>
      <c r="AO10" s="109" t="s">
        <v>1955</v>
      </c>
      <c r="AP10" s="154"/>
    </row>
    <row r="11">
      <c r="A11" s="108">
        <v>26.0</v>
      </c>
      <c r="B11" s="24">
        <v>8.79385627E8</v>
      </c>
      <c r="C11" s="24" t="s">
        <v>2494</v>
      </c>
      <c r="D11" s="24" t="s">
        <v>2495</v>
      </c>
      <c r="E11" s="25" t="s">
        <v>2496</v>
      </c>
      <c r="F11" s="25" t="s">
        <v>2497</v>
      </c>
      <c r="G11" s="25" t="s">
        <v>2389</v>
      </c>
      <c r="H11" s="25" t="s">
        <v>2498</v>
      </c>
      <c r="I11" s="25">
        <v>2014.0</v>
      </c>
      <c r="J11" s="25" t="s">
        <v>2499</v>
      </c>
      <c r="K11" s="25" t="s">
        <v>730</v>
      </c>
      <c r="L11" s="25" t="s">
        <v>2500</v>
      </c>
      <c r="M11" s="25" t="s">
        <v>57</v>
      </c>
      <c r="N11" s="25" t="s">
        <v>2389</v>
      </c>
      <c r="O11" s="25" t="s">
        <v>1974</v>
      </c>
      <c r="P11" s="25" t="s">
        <v>2501</v>
      </c>
      <c r="Q11" s="25" t="s">
        <v>93</v>
      </c>
      <c r="R11" s="25" t="s">
        <v>2502</v>
      </c>
      <c r="S11" s="25" t="s">
        <v>2503</v>
      </c>
      <c r="T11" s="25" t="s">
        <v>74</v>
      </c>
      <c r="U11" s="25" t="s">
        <v>57</v>
      </c>
      <c r="V11" s="25" t="s">
        <v>96</v>
      </c>
      <c r="W11" s="25" t="s">
        <v>161</v>
      </c>
      <c r="X11" s="24" t="s">
        <v>2504</v>
      </c>
      <c r="Y11" s="25" t="s">
        <v>2380</v>
      </c>
      <c r="Z11" s="25" t="s">
        <v>2505</v>
      </c>
      <c r="AA11" s="25" t="s">
        <v>57</v>
      </c>
      <c r="AB11" s="25" t="s">
        <v>57</v>
      </c>
      <c r="AC11" s="25" t="s">
        <v>74</v>
      </c>
      <c r="AD11" s="25" t="s">
        <v>215</v>
      </c>
      <c r="AE11" s="25" t="s">
        <v>2506</v>
      </c>
      <c r="AF11" s="25" t="s">
        <v>69</v>
      </c>
      <c r="AG11" s="25" t="s">
        <v>129</v>
      </c>
      <c r="AH11" s="25" t="s">
        <v>129</v>
      </c>
      <c r="AI11" s="25" t="s">
        <v>57</v>
      </c>
      <c r="AJ11" s="25" t="s">
        <v>57</v>
      </c>
      <c r="AK11" s="25" t="s">
        <v>2507</v>
      </c>
      <c r="AL11" s="24"/>
      <c r="AM11" s="24" t="s">
        <v>109</v>
      </c>
      <c r="AN11" s="109" t="s">
        <v>4113</v>
      </c>
      <c r="AO11" s="109" t="s">
        <v>1955</v>
      </c>
      <c r="AP11" s="154"/>
    </row>
    <row r="12">
      <c r="A12" s="102">
        <v>27.0</v>
      </c>
      <c r="B12" s="34">
        <v>8.79385604E8</v>
      </c>
      <c r="C12" s="34" t="s">
        <v>2509</v>
      </c>
      <c r="D12" s="34" t="s">
        <v>2510</v>
      </c>
      <c r="E12" s="35" t="s">
        <v>2511</v>
      </c>
      <c r="F12" s="35" t="s">
        <v>2512</v>
      </c>
      <c r="G12" s="35" t="s">
        <v>2389</v>
      </c>
      <c r="H12" s="35" t="s">
        <v>2513</v>
      </c>
      <c r="I12" s="35">
        <v>2016.0</v>
      </c>
      <c r="J12" s="35" t="s">
        <v>207</v>
      </c>
      <c r="K12" s="35" t="s">
        <v>730</v>
      </c>
      <c r="L12" s="35" t="s">
        <v>2514</v>
      </c>
      <c r="M12" s="35" t="s">
        <v>57</v>
      </c>
      <c r="N12" s="35" t="s">
        <v>2389</v>
      </c>
      <c r="O12" s="35" t="s">
        <v>2515</v>
      </c>
      <c r="P12" s="35" t="s">
        <v>2516</v>
      </c>
      <c r="Q12" s="35" t="s">
        <v>93</v>
      </c>
      <c r="R12" s="35" t="s">
        <v>57</v>
      </c>
      <c r="S12" s="35" t="s">
        <v>57</v>
      </c>
      <c r="T12" s="35" t="s">
        <v>74</v>
      </c>
      <c r="U12" s="35" t="s">
        <v>57</v>
      </c>
      <c r="V12" s="35" t="s">
        <v>2394</v>
      </c>
      <c r="W12" s="35" t="s">
        <v>2517</v>
      </c>
      <c r="X12" s="34" t="s">
        <v>2518</v>
      </c>
      <c r="Y12" s="35" t="s">
        <v>2397</v>
      </c>
      <c r="Z12" s="35" t="s">
        <v>2519</v>
      </c>
      <c r="AA12" s="35">
        <v>1999.0</v>
      </c>
      <c r="AB12" s="35">
        <v>2009.0</v>
      </c>
      <c r="AC12" s="35" t="s">
        <v>74</v>
      </c>
      <c r="AD12" s="35" t="s">
        <v>215</v>
      </c>
      <c r="AE12" s="35" t="s">
        <v>2520</v>
      </c>
      <c r="AF12" s="35" t="s">
        <v>69</v>
      </c>
      <c r="AG12" s="35" t="s">
        <v>198</v>
      </c>
      <c r="AH12" s="35" t="s">
        <v>374</v>
      </c>
      <c r="AI12" s="35" t="s">
        <v>129</v>
      </c>
      <c r="AJ12" s="35" t="s">
        <v>57</v>
      </c>
      <c r="AK12" s="35" t="s">
        <v>2521</v>
      </c>
      <c r="AL12" s="34"/>
      <c r="AM12" s="34" t="s">
        <v>1522</v>
      </c>
      <c r="AN12" s="104"/>
      <c r="AO12" s="104"/>
      <c r="AP12" s="104"/>
    </row>
    <row r="13">
      <c r="A13" s="102">
        <v>28.0</v>
      </c>
      <c r="B13" s="34">
        <v>8.79385607E8</v>
      </c>
      <c r="C13" s="34" t="s">
        <v>2524</v>
      </c>
      <c r="D13" s="34" t="s">
        <v>2525</v>
      </c>
      <c r="E13" s="35" t="s">
        <v>2526</v>
      </c>
      <c r="F13" s="43" t="s">
        <v>2527</v>
      </c>
      <c r="G13" s="35" t="s">
        <v>859</v>
      </c>
      <c r="H13" s="35" t="s">
        <v>2528</v>
      </c>
      <c r="I13" s="35">
        <v>2018.0</v>
      </c>
      <c r="J13" s="35" t="s">
        <v>2529</v>
      </c>
      <c r="K13" s="35" t="s">
        <v>730</v>
      </c>
      <c r="L13" s="35" t="s">
        <v>2530</v>
      </c>
      <c r="M13" s="35" t="s">
        <v>57</v>
      </c>
      <c r="N13" s="35" t="s">
        <v>859</v>
      </c>
      <c r="O13" s="35" t="s">
        <v>2531</v>
      </c>
      <c r="P13" s="35" t="s">
        <v>2532</v>
      </c>
      <c r="Q13" s="35" t="s">
        <v>93</v>
      </c>
      <c r="R13" s="35" t="s">
        <v>2533</v>
      </c>
      <c r="S13" s="35" t="s">
        <v>2534</v>
      </c>
      <c r="T13" s="35" t="s">
        <v>74</v>
      </c>
      <c r="U13" s="35" t="s">
        <v>57</v>
      </c>
      <c r="V13" s="35" t="s">
        <v>96</v>
      </c>
      <c r="W13" s="35" t="s">
        <v>64</v>
      </c>
      <c r="X13" s="34" t="s">
        <v>2535</v>
      </c>
      <c r="Y13" s="35" t="s">
        <v>2397</v>
      </c>
      <c r="Z13" s="35" t="s">
        <v>2536</v>
      </c>
      <c r="AA13" s="35">
        <v>2016.0</v>
      </c>
      <c r="AB13" s="35">
        <v>2016.0</v>
      </c>
      <c r="AC13" s="35" t="s">
        <v>74</v>
      </c>
      <c r="AD13" s="35" t="s">
        <v>215</v>
      </c>
      <c r="AE13" s="35" t="s">
        <v>2537</v>
      </c>
      <c r="AF13" s="35" t="s">
        <v>69</v>
      </c>
      <c r="AG13" s="35" t="s">
        <v>129</v>
      </c>
      <c r="AH13" s="35" t="s">
        <v>129</v>
      </c>
      <c r="AI13" s="35" t="s">
        <v>57</v>
      </c>
      <c r="AJ13" s="35" t="s">
        <v>57</v>
      </c>
      <c r="AK13" s="35" t="s">
        <v>2538</v>
      </c>
      <c r="AL13" s="34"/>
      <c r="AM13" s="34" t="s">
        <v>1522</v>
      </c>
      <c r="AN13" s="104"/>
      <c r="AO13" s="104"/>
      <c r="AP13" s="104"/>
    </row>
    <row r="14">
      <c r="A14" s="102">
        <v>30.0</v>
      </c>
      <c r="B14" s="34">
        <v>8.79385618E8</v>
      </c>
      <c r="C14" s="34" t="s">
        <v>2541</v>
      </c>
      <c r="D14" s="34" t="s">
        <v>2542</v>
      </c>
      <c r="E14" s="35" t="s">
        <v>2543</v>
      </c>
      <c r="F14" s="43" t="s">
        <v>2544</v>
      </c>
      <c r="G14" s="35" t="s">
        <v>396</v>
      </c>
      <c r="H14" s="43" t="s">
        <v>2545</v>
      </c>
      <c r="I14" s="35">
        <v>2016.0</v>
      </c>
      <c r="J14" s="35" t="s">
        <v>2546</v>
      </c>
      <c r="K14" s="35" t="s">
        <v>730</v>
      </c>
      <c r="L14" s="35" t="s">
        <v>2547</v>
      </c>
      <c r="M14" s="35" t="s">
        <v>57</v>
      </c>
      <c r="N14" s="35" t="s">
        <v>396</v>
      </c>
      <c r="O14" s="35" t="s">
        <v>2548</v>
      </c>
      <c r="P14" s="35" t="s">
        <v>2549</v>
      </c>
      <c r="Q14" s="35" t="s">
        <v>93</v>
      </c>
      <c r="R14" s="35" t="s">
        <v>2550</v>
      </c>
      <c r="S14" s="35" t="s">
        <v>2551</v>
      </c>
      <c r="T14" s="35" t="s">
        <v>74</v>
      </c>
      <c r="U14" s="35" t="s">
        <v>57</v>
      </c>
      <c r="V14" s="35" t="s">
        <v>96</v>
      </c>
      <c r="W14" s="35" t="s">
        <v>64</v>
      </c>
      <c r="X14" s="34" t="s">
        <v>2552</v>
      </c>
      <c r="Y14" s="35" t="s">
        <v>2397</v>
      </c>
      <c r="Z14" s="35" t="s">
        <v>2553</v>
      </c>
      <c r="AA14" s="35" t="s">
        <v>57</v>
      </c>
      <c r="AB14" s="35" t="s">
        <v>57</v>
      </c>
      <c r="AC14" s="35" t="s">
        <v>74</v>
      </c>
      <c r="AD14" s="35" t="s">
        <v>215</v>
      </c>
      <c r="AE14" s="35" t="s">
        <v>2554</v>
      </c>
      <c r="AF14" s="35" t="s">
        <v>69</v>
      </c>
      <c r="AG14" s="35" t="s">
        <v>895</v>
      </c>
      <c r="AH14" s="35" t="s">
        <v>129</v>
      </c>
      <c r="AI14" s="35" t="s">
        <v>374</v>
      </c>
      <c r="AJ14" s="35" t="s">
        <v>57</v>
      </c>
      <c r="AK14" s="35" t="s">
        <v>2555</v>
      </c>
      <c r="AL14" s="34" t="s">
        <v>2556</v>
      </c>
      <c r="AM14" s="34" t="s">
        <v>1522</v>
      </c>
      <c r="AN14" s="104"/>
      <c r="AO14" s="104"/>
      <c r="AP14" s="104"/>
    </row>
    <row r="15">
      <c r="A15" s="102">
        <v>31.0</v>
      </c>
      <c r="B15" s="34">
        <v>8.79385682E8</v>
      </c>
      <c r="C15" s="34" t="s">
        <v>2558</v>
      </c>
      <c r="D15" s="38" t="s">
        <v>2559</v>
      </c>
      <c r="E15" s="35" t="s">
        <v>2560</v>
      </c>
      <c r="F15" s="43" t="s">
        <v>2561</v>
      </c>
      <c r="G15" s="35" t="s">
        <v>1455</v>
      </c>
      <c r="H15" s="43" t="s">
        <v>2562</v>
      </c>
      <c r="I15" s="35">
        <v>2021.0</v>
      </c>
      <c r="J15" s="35" t="s">
        <v>2563</v>
      </c>
      <c r="K15" s="35" t="s">
        <v>730</v>
      </c>
      <c r="L15" s="35" t="s">
        <v>2564</v>
      </c>
      <c r="M15" s="35" t="s">
        <v>57</v>
      </c>
      <c r="N15" s="35" t="s">
        <v>1455</v>
      </c>
      <c r="O15" s="35" t="s">
        <v>2565</v>
      </c>
      <c r="P15" s="35" t="s">
        <v>2566</v>
      </c>
      <c r="Q15" s="35" t="s">
        <v>93</v>
      </c>
      <c r="R15" s="35" t="s">
        <v>57</v>
      </c>
      <c r="S15" s="35" t="s">
        <v>57</v>
      </c>
      <c r="T15" s="35" t="s">
        <v>74</v>
      </c>
      <c r="U15" s="35" t="s">
        <v>57</v>
      </c>
      <c r="V15" s="35" t="s">
        <v>2394</v>
      </c>
      <c r="W15" s="35" t="s">
        <v>1389</v>
      </c>
      <c r="X15" s="34" t="s">
        <v>2567</v>
      </c>
      <c r="Y15" s="35" t="s">
        <v>2380</v>
      </c>
      <c r="Z15" s="35" t="s">
        <v>2568</v>
      </c>
      <c r="AA15" s="35">
        <v>2018.0</v>
      </c>
      <c r="AB15" s="35">
        <v>2019.0</v>
      </c>
      <c r="AC15" s="35" t="s">
        <v>74</v>
      </c>
      <c r="AD15" s="35" t="s">
        <v>215</v>
      </c>
      <c r="AE15" s="35" t="s">
        <v>2569</v>
      </c>
      <c r="AF15" s="35" t="s">
        <v>69</v>
      </c>
      <c r="AG15" s="35" t="s">
        <v>129</v>
      </c>
      <c r="AH15" s="35" t="s">
        <v>129</v>
      </c>
      <c r="AI15" s="35" t="s">
        <v>57</v>
      </c>
      <c r="AJ15" s="35" t="s">
        <v>57</v>
      </c>
      <c r="AK15" s="35" t="s">
        <v>2570</v>
      </c>
      <c r="AL15" s="34"/>
      <c r="AM15" s="34" t="s">
        <v>109</v>
      </c>
      <c r="AN15" s="104"/>
      <c r="AO15" s="104"/>
      <c r="AP15" s="104"/>
    </row>
    <row r="16">
      <c r="A16" s="102">
        <v>32.0</v>
      </c>
      <c r="B16" s="34">
        <v>8.79385655E8</v>
      </c>
      <c r="C16" s="34" t="s">
        <v>2573</v>
      </c>
      <c r="D16" s="34" t="s">
        <v>2574</v>
      </c>
      <c r="E16" s="35" t="s">
        <v>2575</v>
      </c>
      <c r="F16" s="35" t="s">
        <v>2576</v>
      </c>
      <c r="G16" s="35" t="s">
        <v>2577</v>
      </c>
      <c r="H16" s="43" t="s">
        <v>2578</v>
      </c>
      <c r="I16" s="35">
        <v>2017.0</v>
      </c>
      <c r="J16" s="35" t="s">
        <v>796</v>
      </c>
      <c r="K16" s="35" t="s">
        <v>730</v>
      </c>
      <c r="L16" s="35" t="s">
        <v>2579</v>
      </c>
      <c r="M16" s="35" t="s">
        <v>57</v>
      </c>
      <c r="N16" s="35" t="s">
        <v>293</v>
      </c>
      <c r="O16" s="35" t="s">
        <v>2577</v>
      </c>
      <c r="P16" s="35" t="s">
        <v>2580</v>
      </c>
      <c r="Q16" s="35" t="s">
        <v>93</v>
      </c>
      <c r="R16" s="35" t="s">
        <v>2581</v>
      </c>
      <c r="S16" s="35" t="s">
        <v>2582</v>
      </c>
      <c r="T16" s="35" t="s">
        <v>74</v>
      </c>
      <c r="U16" s="35" t="s">
        <v>57</v>
      </c>
      <c r="V16" s="35" t="s">
        <v>96</v>
      </c>
      <c r="W16" s="35" t="s">
        <v>1389</v>
      </c>
      <c r="X16" s="34" t="s">
        <v>2583</v>
      </c>
      <c r="Y16" s="35" t="s">
        <v>2584</v>
      </c>
      <c r="Z16" s="35" t="s">
        <v>2585</v>
      </c>
      <c r="AA16" s="35">
        <v>2004.0</v>
      </c>
      <c r="AB16" s="35">
        <v>2011.0</v>
      </c>
      <c r="AC16" s="35" t="s">
        <v>74</v>
      </c>
      <c r="AD16" s="35" t="s">
        <v>215</v>
      </c>
      <c r="AE16" s="35" t="s">
        <v>2586</v>
      </c>
      <c r="AF16" s="35" t="s">
        <v>69</v>
      </c>
      <c r="AG16" s="35" t="s">
        <v>129</v>
      </c>
      <c r="AH16" s="35" t="s">
        <v>129</v>
      </c>
      <c r="AI16" s="35" t="s">
        <v>57</v>
      </c>
      <c r="AJ16" s="35" t="s">
        <v>57</v>
      </c>
      <c r="AK16" s="35" t="s">
        <v>2587</v>
      </c>
      <c r="AL16" s="34"/>
      <c r="AM16" s="34" t="s">
        <v>109</v>
      </c>
      <c r="AN16" s="104"/>
      <c r="AO16" s="104"/>
      <c r="AP16" s="104"/>
    </row>
    <row r="17">
      <c r="A17" s="102">
        <v>33.0</v>
      </c>
      <c r="B17" s="34">
        <v>8.79385658E8</v>
      </c>
      <c r="C17" s="34" t="s">
        <v>2590</v>
      </c>
      <c r="D17" s="34" t="s">
        <v>2591</v>
      </c>
      <c r="E17" s="35" t="s">
        <v>2592</v>
      </c>
      <c r="F17" s="35" t="s">
        <v>2593</v>
      </c>
      <c r="G17" s="35" t="s">
        <v>2389</v>
      </c>
      <c r="H17" s="35" t="s">
        <v>2594</v>
      </c>
      <c r="I17" s="35">
        <v>2014.0</v>
      </c>
      <c r="J17" s="35" t="s">
        <v>295</v>
      </c>
      <c r="K17" s="35" t="s">
        <v>730</v>
      </c>
      <c r="L17" s="35" t="s">
        <v>2595</v>
      </c>
      <c r="M17" s="35" t="s">
        <v>57</v>
      </c>
      <c r="N17" s="35" t="s">
        <v>2389</v>
      </c>
      <c r="O17" s="35" t="s">
        <v>2596</v>
      </c>
      <c r="P17" s="35" t="s">
        <v>2597</v>
      </c>
      <c r="Q17" s="35" t="s">
        <v>93</v>
      </c>
      <c r="R17" s="35" t="s">
        <v>2598</v>
      </c>
      <c r="S17" s="35" t="s">
        <v>2599</v>
      </c>
      <c r="T17" s="35" t="s">
        <v>69</v>
      </c>
      <c r="U17" s="35" t="s">
        <v>2600</v>
      </c>
      <c r="V17" s="35" t="s">
        <v>96</v>
      </c>
      <c r="W17" s="35" t="s">
        <v>302</v>
      </c>
      <c r="X17" s="34" t="s">
        <v>2601</v>
      </c>
      <c r="Y17" s="35" t="s">
        <v>2397</v>
      </c>
      <c r="Z17" s="35" t="s">
        <v>2602</v>
      </c>
      <c r="AA17" s="35" t="s">
        <v>57</v>
      </c>
      <c r="AB17" s="35" t="s">
        <v>57</v>
      </c>
      <c r="AC17" s="35" t="s">
        <v>74</v>
      </c>
      <c r="AD17" s="35" t="s">
        <v>215</v>
      </c>
      <c r="AE17" s="35" t="s">
        <v>2603</v>
      </c>
      <c r="AF17" s="35" t="s">
        <v>69</v>
      </c>
      <c r="AG17" s="35" t="s">
        <v>895</v>
      </c>
      <c r="AH17" s="35" t="s">
        <v>129</v>
      </c>
      <c r="AI17" s="35" t="s">
        <v>374</v>
      </c>
      <c r="AJ17" s="35" t="s">
        <v>57</v>
      </c>
      <c r="AK17" s="35" t="s">
        <v>2604</v>
      </c>
      <c r="AL17" s="34"/>
      <c r="AM17" s="34" t="s">
        <v>109</v>
      </c>
      <c r="AN17" s="104"/>
      <c r="AO17" s="104"/>
      <c r="AP17" s="104"/>
    </row>
    <row r="18">
      <c r="A18" s="102">
        <v>34.0</v>
      </c>
      <c r="B18" s="34">
        <v>8.79385611E8</v>
      </c>
      <c r="C18" s="34" t="s">
        <v>2607</v>
      </c>
      <c r="D18" s="34" t="s">
        <v>2608</v>
      </c>
      <c r="E18" s="35" t="s">
        <v>2609</v>
      </c>
      <c r="F18" s="43" t="s">
        <v>2610</v>
      </c>
      <c r="G18" s="35" t="s">
        <v>2389</v>
      </c>
      <c r="H18" s="43" t="s">
        <v>2611</v>
      </c>
      <c r="I18" s="35">
        <v>2012.0</v>
      </c>
      <c r="J18" s="35" t="s">
        <v>2612</v>
      </c>
      <c r="K18" s="35" t="s">
        <v>730</v>
      </c>
      <c r="L18" s="35" t="s">
        <v>2613</v>
      </c>
      <c r="M18" s="35" t="s">
        <v>57</v>
      </c>
      <c r="N18" s="35" t="s">
        <v>2389</v>
      </c>
      <c r="O18" s="35" t="s">
        <v>2614</v>
      </c>
      <c r="P18" s="35" t="s">
        <v>2615</v>
      </c>
      <c r="Q18" s="35" t="s">
        <v>93</v>
      </c>
      <c r="R18" s="35" t="s">
        <v>2616</v>
      </c>
      <c r="S18" s="35" t="s">
        <v>2617</v>
      </c>
      <c r="T18" s="35"/>
      <c r="U18" s="35" t="s">
        <v>57</v>
      </c>
      <c r="V18" s="35" t="s">
        <v>2394</v>
      </c>
      <c r="W18" s="35" t="s">
        <v>536</v>
      </c>
      <c r="X18" s="34" t="s">
        <v>2618</v>
      </c>
      <c r="Y18" s="35" t="s">
        <v>2619</v>
      </c>
      <c r="Z18" s="35" t="s">
        <v>2620</v>
      </c>
      <c r="AA18" s="35">
        <v>2007.0</v>
      </c>
      <c r="AB18" s="35">
        <v>2008.0</v>
      </c>
      <c r="AC18" s="35" t="s">
        <v>74</v>
      </c>
      <c r="AD18" s="35" t="s">
        <v>215</v>
      </c>
      <c r="AE18" s="35" t="s">
        <v>2621</v>
      </c>
      <c r="AF18" s="35" t="s">
        <v>69</v>
      </c>
      <c r="AG18" s="35" t="s">
        <v>129</v>
      </c>
      <c r="AH18" s="35" t="s">
        <v>129</v>
      </c>
      <c r="AI18" s="35" t="s">
        <v>57</v>
      </c>
      <c r="AJ18" s="35" t="s">
        <v>57</v>
      </c>
      <c r="AK18" s="35" t="s">
        <v>2622</v>
      </c>
      <c r="AL18" s="34"/>
      <c r="AM18" s="34" t="s">
        <v>1522</v>
      </c>
      <c r="AN18" s="104"/>
      <c r="AO18" s="104"/>
      <c r="AP18" s="104"/>
    </row>
    <row r="19">
      <c r="A19" s="102">
        <v>35.0</v>
      </c>
      <c r="B19" s="34">
        <v>8.79385645E8</v>
      </c>
      <c r="C19" s="34" t="s">
        <v>2625</v>
      </c>
      <c r="D19" s="34" t="s">
        <v>2626</v>
      </c>
      <c r="E19" s="35" t="s">
        <v>2627</v>
      </c>
      <c r="F19" s="43" t="s">
        <v>2628</v>
      </c>
      <c r="G19" s="35" t="s">
        <v>2389</v>
      </c>
      <c r="H19" s="43" t="s">
        <v>2629</v>
      </c>
      <c r="I19" s="35">
        <v>2013.0</v>
      </c>
      <c r="J19" s="35" t="s">
        <v>295</v>
      </c>
      <c r="K19" s="35" t="s">
        <v>730</v>
      </c>
      <c r="L19" s="35" t="s">
        <v>2500</v>
      </c>
      <c r="M19" s="35" t="s">
        <v>57</v>
      </c>
      <c r="N19" s="35" t="s">
        <v>2389</v>
      </c>
      <c r="O19" s="35" t="s">
        <v>2630</v>
      </c>
      <c r="P19" s="35" t="s">
        <v>2631</v>
      </c>
      <c r="Q19" s="35" t="s">
        <v>93</v>
      </c>
      <c r="R19" s="35" t="s">
        <v>2632</v>
      </c>
      <c r="S19" s="35" t="s">
        <v>2633</v>
      </c>
      <c r="T19" s="35" t="s">
        <v>74</v>
      </c>
      <c r="U19" s="35" t="s">
        <v>57</v>
      </c>
      <c r="V19" s="35" t="s">
        <v>2430</v>
      </c>
      <c r="W19" s="35" t="s">
        <v>2634</v>
      </c>
      <c r="X19" s="34" t="s">
        <v>2635</v>
      </c>
      <c r="Y19" s="35" t="s">
        <v>2380</v>
      </c>
      <c r="Z19" s="35" t="s">
        <v>2636</v>
      </c>
      <c r="AA19" s="35">
        <v>2007.0</v>
      </c>
      <c r="AB19" s="35">
        <v>2008.0</v>
      </c>
      <c r="AC19" s="35" t="s">
        <v>74</v>
      </c>
      <c r="AD19" s="35" t="s">
        <v>215</v>
      </c>
      <c r="AE19" s="35" t="s">
        <v>2637</v>
      </c>
      <c r="AF19" s="35" t="s">
        <v>69</v>
      </c>
      <c r="AG19" s="35" t="s">
        <v>129</v>
      </c>
      <c r="AH19" s="35" t="s">
        <v>129</v>
      </c>
      <c r="AI19" s="35" t="s">
        <v>57</v>
      </c>
      <c r="AJ19" s="35" t="s">
        <v>57</v>
      </c>
      <c r="AK19" s="35" t="s">
        <v>2638</v>
      </c>
      <c r="AL19" s="34" t="s">
        <v>2556</v>
      </c>
      <c r="AM19" s="34" t="s">
        <v>1522</v>
      </c>
      <c r="AN19" s="104"/>
      <c r="AO19" s="104"/>
      <c r="AP19" s="104"/>
    </row>
    <row r="20">
      <c r="A20" s="102">
        <v>36.0</v>
      </c>
      <c r="B20" s="34">
        <v>8.79385662E8</v>
      </c>
      <c r="C20" s="34" t="s">
        <v>2640</v>
      </c>
      <c r="D20" s="34" t="s">
        <v>2641</v>
      </c>
      <c r="E20" s="35" t="s">
        <v>2642</v>
      </c>
      <c r="F20" s="35" t="s">
        <v>2643</v>
      </c>
      <c r="G20" s="35" t="s">
        <v>2389</v>
      </c>
      <c r="H20" s="43" t="s">
        <v>2644</v>
      </c>
      <c r="I20" s="35">
        <v>2001.0</v>
      </c>
      <c r="J20" s="35" t="s">
        <v>2546</v>
      </c>
      <c r="K20" s="35" t="s">
        <v>730</v>
      </c>
      <c r="L20" s="35" t="s">
        <v>2645</v>
      </c>
      <c r="M20" s="35" t="s">
        <v>2646</v>
      </c>
      <c r="N20" s="35" t="s">
        <v>2389</v>
      </c>
      <c r="O20" s="35" t="s">
        <v>2647</v>
      </c>
      <c r="P20" s="35" t="s">
        <v>57</v>
      </c>
      <c r="Q20" s="35" t="s">
        <v>93</v>
      </c>
      <c r="R20" s="35" t="s">
        <v>57</v>
      </c>
      <c r="S20" s="35" t="s">
        <v>57</v>
      </c>
      <c r="T20" s="35" t="s">
        <v>74</v>
      </c>
      <c r="U20" s="35" t="s">
        <v>57</v>
      </c>
      <c r="V20" s="35" t="s">
        <v>2394</v>
      </c>
      <c r="W20" s="35" t="s">
        <v>64</v>
      </c>
      <c r="X20" s="34" t="s">
        <v>2648</v>
      </c>
      <c r="Y20" s="35" t="s">
        <v>2397</v>
      </c>
      <c r="Z20" s="35" t="s">
        <v>2649</v>
      </c>
      <c r="AA20" s="35">
        <v>1992.0</v>
      </c>
      <c r="AB20" s="35">
        <v>1992.0</v>
      </c>
      <c r="AC20" s="35" t="s">
        <v>74</v>
      </c>
      <c r="AD20" s="35" t="s">
        <v>215</v>
      </c>
      <c r="AE20" s="35" t="s">
        <v>2650</v>
      </c>
      <c r="AF20" s="35" t="s">
        <v>74</v>
      </c>
      <c r="AG20" s="35" t="s">
        <v>57</v>
      </c>
      <c r="AH20" s="35" t="s">
        <v>57</v>
      </c>
      <c r="AI20" s="35" t="s">
        <v>57</v>
      </c>
      <c r="AJ20" s="35" t="s">
        <v>57</v>
      </c>
      <c r="AK20" s="35" t="s">
        <v>57</v>
      </c>
      <c r="AL20" s="34"/>
      <c r="AM20" s="34" t="s">
        <v>109</v>
      </c>
      <c r="AN20" s="104"/>
      <c r="AO20" s="104"/>
      <c r="AP20" s="104"/>
    </row>
    <row r="21">
      <c r="A21" s="102">
        <v>37.0</v>
      </c>
      <c r="B21" s="34">
        <v>8.7938564E8</v>
      </c>
      <c r="C21" s="34" t="s">
        <v>2652</v>
      </c>
      <c r="D21" s="34" t="s">
        <v>2653</v>
      </c>
      <c r="E21" s="35" t="s">
        <v>2654</v>
      </c>
      <c r="F21" s="43" t="s">
        <v>2655</v>
      </c>
      <c r="G21" s="35" t="s">
        <v>2389</v>
      </c>
      <c r="H21" s="43" t="s">
        <v>2656</v>
      </c>
      <c r="I21" s="35">
        <v>2014.0</v>
      </c>
      <c r="J21" s="43" t="s">
        <v>295</v>
      </c>
      <c r="K21" s="35" t="s">
        <v>730</v>
      </c>
      <c r="L21" s="35" t="s">
        <v>2657</v>
      </c>
      <c r="M21" s="35" t="s">
        <v>57</v>
      </c>
      <c r="N21" s="35" t="s">
        <v>2389</v>
      </c>
      <c r="O21" s="35" t="s">
        <v>2596</v>
      </c>
      <c r="P21" s="35" t="s">
        <v>2658</v>
      </c>
      <c r="Q21" s="35" t="s">
        <v>93</v>
      </c>
      <c r="R21" s="35" t="s">
        <v>2659</v>
      </c>
      <c r="S21" s="35" t="s">
        <v>2660</v>
      </c>
      <c r="T21" s="35" t="s">
        <v>74</v>
      </c>
      <c r="U21" s="35" t="s">
        <v>57</v>
      </c>
      <c r="V21" s="35" t="s">
        <v>2394</v>
      </c>
      <c r="W21" s="35" t="s">
        <v>1308</v>
      </c>
      <c r="X21" s="34" t="s">
        <v>2661</v>
      </c>
      <c r="Y21" s="35" t="s">
        <v>2397</v>
      </c>
      <c r="Z21" s="35" t="s">
        <v>2662</v>
      </c>
      <c r="AA21" s="35">
        <v>2006.0</v>
      </c>
      <c r="AB21" s="35">
        <v>2009.0</v>
      </c>
      <c r="AC21" s="35" t="s">
        <v>74</v>
      </c>
      <c r="AD21" s="35" t="s">
        <v>215</v>
      </c>
      <c r="AE21" s="35" t="s">
        <v>2663</v>
      </c>
      <c r="AF21" s="35" t="s">
        <v>69</v>
      </c>
      <c r="AG21" s="35" t="s">
        <v>129</v>
      </c>
      <c r="AH21" s="35" t="s">
        <v>129</v>
      </c>
      <c r="AI21" s="35" t="s">
        <v>57</v>
      </c>
      <c r="AJ21" s="35" t="s">
        <v>57</v>
      </c>
      <c r="AK21" s="35" t="s">
        <v>2664</v>
      </c>
      <c r="AL21" s="34"/>
      <c r="AM21" s="34" t="s">
        <v>1522</v>
      </c>
      <c r="AN21" s="104"/>
      <c r="AO21" s="104"/>
      <c r="AP21" s="104"/>
    </row>
    <row r="22">
      <c r="A22" s="102">
        <v>39.0</v>
      </c>
      <c r="B22" s="34">
        <v>8.79385703E8</v>
      </c>
      <c r="C22" s="34" t="s">
        <v>2666</v>
      </c>
      <c r="D22" s="34" t="s">
        <v>2667</v>
      </c>
      <c r="E22" s="35" t="s">
        <v>2668</v>
      </c>
      <c r="F22" s="43" t="s">
        <v>2669</v>
      </c>
      <c r="G22" s="35" t="s">
        <v>1455</v>
      </c>
      <c r="H22" s="43" t="s">
        <v>2670</v>
      </c>
      <c r="I22" s="35">
        <v>2015.0</v>
      </c>
      <c r="J22" s="35" t="s">
        <v>796</v>
      </c>
      <c r="K22" s="35" t="s">
        <v>730</v>
      </c>
      <c r="L22" s="35" t="s">
        <v>2671</v>
      </c>
      <c r="M22" s="35" t="s">
        <v>57</v>
      </c>
      <c r="N22" s="35" t="s">
        <v>1455</v>
      </c>
      <c r="O22" s="35" t="s">
        <v>2672</v>
      </c>
      <c r="P22" s="35" t="s">
        <v>2673</v>
      </c>
      <c r="Q22" s="35" t="s">
        <v>93</v>
      </c>
      <c r="R22" s="35" t="s">
        <v>2674</v>
      </c>
      <c r="S22" s="35" t="s">
        <v>2675</v>
      </c>
      <c r="T22" s="35" t="s">
        <v>74</v>
      </c>
      <c r="U22" s="35" t="s">
        <v>57</v>
      </c>
      <c r="V22" s="35" t="s">
        <v>2394</v>
      </c>
      <c r="W22" s="35" t="s">
        <v>302</v>
      </c>
      <c r="X22" s="34" t="s">
        <v>2676</v>
      </c>
      <c r="Y22" s="35" t="s">
        <v>2397</v>
      </c>
      <c r="Z22" s="35" t="s">
        <v>2677</v>
      </c>
      <c r="AA22" s="35" t="s">
        <v>57</v>
      </c>
      <c r="AB22" s="35" t="s">
        <v>57</v>
      </c>
      <c r="AC22" s="35" t="s">
        <v>74</v>
      </c>
      <c r="AD22" s="35" t="s">
        <v>215</v>
      </c>
      <c r="AE22" s="35" t="s">
        <v>2678</v>
      </c>
      <c r="AF22" s="35" t="s">
        <v>74</v>
      </c>
      <c r="AG22" s="35" t="s">
        <v>57</v>
      </c>
      <c r="AH22" s="35" t="s">
        <v>57</v>
      </c>
      <c r="AI22" s="35" t="s">
        <v>57</v>
      </c>
      <c r="AJ22" s="35" t="s">
        <v>57</v>
      </c>
      <c r="AK22" s="35" t="s">
        <v>57</v>
      </c>
      <c r="AL22" s="34"/>
      <c r="AM22" s="34" t="s">
        <v>109</v>
      </c>
      <c r="AN22" s="104"/>
      <c r="AO22" s="104"/>
      <c r="AP22" s="104"/>
    </row>
    <row r="23">
      <c r="A23" s="102">
        <v>40.0</v>
      </c>
      <c r="B23" s="34">
        <v>8.79385695E8</v>
      </c>
      <c r="C23" s="34" t="s">
        <v>2680</v>
      </c>
      <c r="D23" s="34" t="s">
        <v>2681</v>
      </c>
      <c r="E23" s="35" t="s">
        <v>2682</v>
      </c>
      <c r="F23" s="43" t="s">
        <v>2683</v>
      </c>
      <c r="G23" s="35" t="s">
        <v>172</v>
      </c>
      <c r="H23" s="43" t="s">
        <v>2684</v>
      </c>
      <c r="I23" s="35">
        <v>2021.0</v>
      </c>
      <c r="J23" s="35" t="s">
        <v>796</v>
      </c>
      <c r="K23" s="35" t="s">
        <v>730</v>
      </c>
      <c r="L23" s="35" t="s">
        <v>2685</v>
      </c>
      <c r="M23" s="35" t="s">
        <v>57</v>
      </c>
      <c r="N23" s="35" t="s">
        <v>172</v>
      </c>
      <c r="O23" s="35" t="s">
        <v>347</v>
      </c>
      <c r="P23" s="35" t="s">
        <v>2686</v>
      </c>
      <c r="Q23" s="35" t="s">
        <v>93</v>
      </c>
      <c r="R23" s="35" t="s">
        <v>57</v>
      </c>
      <c r="S23" s="35" t="s">
        <v>57</v>
      </c>
      <c r="T23" s="35" t="s">
        <v>69</v>
      </c>
      <c r="U23" s="35" t="s">
        <v>2687</v>
      </c>
      <c r="V23" s="35" t="s">
        <v>96</v>
      </c>
      <c r="W23" s="35" t="s">
        <v>2688</v>
      </c>
      <c r="X23" s="34" t="s">
        <v>2689</v>
      </c>
      <c r="Y23" s="35" t="s">
        <v>2690</v>
      </c>
      <c r="Z23" s="35" t="s">
        <v>2691</v>
      </c>
      <c r="AA23" s="35" t="s">
        <v>57</v>
      </c>
      <c r="AB23" s="35" t="s">
        <v>57</v>
      </c>
      <c r="AC23" s="35" t="s">
        <v>74</v>
      </c>
      <c r="AD23" s="35" t="s">
        <v>215</v>
      </c>
      <c r="AE23" s="35" t="s">
        <v>2692</v>
      </c>
      <c r="AF23" s="35" t="s">
        <v>69</v>
      </c>
      <c r="AG23" s="35" t="s">
        <v>129</v>
      </c>
      <c r="AH23" s="35" t="s">
        <v>129</v>
      </c>
      <c r="AI23" s="35" t="s">
        <v>57</v>
      </c>
      <c r="AJ23" s="35" t="s">
        <v>57</v>
      </c>
      <c r="AK23" s="35" t="s">
        <v>2693</v>
      </c>
      <c r="AL23" s="34"/>
      <c r="AM23" s="34" t="s">
        <v>1522</v>
      </c>
      <c r="AN23" s="104"/>
      <c r="AO23" s="104"/>
      <c r="AP23" s="104"/>
    </row>
    <row r="24">
      <c r="A24" s="102">
        <v>42.0</v>
      </c>
      <c r="B24" s="34">
        <v>8.79385722E8</v>
      </c>
      <c r="C24" s="34" t="s">
        <v>2696</v>
      </c>
      <c r="D24" s="34" t="s">
        <v>2697</v>
      </c>
      <c r="E24" s="35" t="s">
        <v>2698</v>
      </c>
      <c r="F24" s="43" t="s">
        <v>2699</v>
      </c>
      <c r="G24" s="35" t="s">
        <v>2389</v>
      </c>
      <c r="H24" s="43" t="s">
        <v>2700</v>
      </c>
      <c r="I24" s="35">
        <v>2015.0</v>
      </c>
      <c r="J24" s="35" t="s">
        <v>2701</v>
      </c>
      <c r="K24" s="35" t="s">
        <v>730</v>
      </c>
      <c r="L24" s="35" t="s">
        <v>2702</v>
      </c>
      <c r="M24" s="35" t="s">
        <v>57</v>
      </c>
      <c r="N24" s="35" t="s">
        <v>2389</v>
      </c>
      <c r="O24" s="35" t="s">
        <v>2703</v>
      </c>
      <c r="P24" s="35" t="s">
        <v>2704</v>
      </c>
      <c r="Q24" s="35" t="s">
        <v>93</v>
      </c>
      <c r="R24" s="35" t="s">
        <v>2705</v>
      </c>
      <c r="S24" s="35" t="s">
        <v>2706</v>
      </c>
      <c r="T24" s="35" t="s">
        <v>74</v>
      </c>
      <c r="U24" s="35" t="s">
        <v>57</v>
      </c>
      <c r="V24" s="35" t="s">
        <v>2394</v>
      </c>
      <c r="W24" s="35" t="s">
        <v>2707</v>
      </c>
      <c r="X24" s="34" t="s">
        <v>2708</v>
      </c>
      <c r="Y24" s="35" t="s">
        <v>2397</v>
      </c>
      <c r="Z24" s="35" t="s">
        <v>2709</v>
      </c>
      <c r="AA24" s="35">
        <v>2009.0</v>
      </c>
      <c r="AB24" s="35">
        <v>2011.0</v>
      </c>
      <c r="AC24" s="35" t="s">
        <v>74</v>
      </c>
      <c r="AD24" s="35" t="s">
        <v>215</v>
      </c>
      <c r="AE24" s="35" t="s">
        <v>2710</v>
      </c>
      <c r="AF24" s="35" t="s">
        <v>74</v>
      </c>
      <c r="AG24" s="35" t="s">
        <v>57</v>
      </c>
      <c r="AH24" s="35" t="s">
        <v>57</v>
      </c>
      <c r="AI24" s="35" t="s">
        <v>57</v>
      </c>
      <c r="AJ24" s="35" t="s">
        <v>57</v>
      </c>
      <c r="AK24" s="35" t="s">
        <v>57</v>
      </c>
      <c r="AL24" s="34"/>
      <c r="AM24" s="34" t="s">
        <v>1522</v>
      </c>
      <c r="AN24" s="104"/>
      <c r="AO24" s="104"/>
      <c r="AP24" s="104"/>
    </row>
    <row r="25">
      <c r="A25" s="102">
        <v>43.0</v>
      </c>
      <c r="B25" s="34">
        <v>8.79385725E8</v>
      </c>
      <c r="C25" s="34" t="s">
        <v>2713</v>
      </c>
      <c r="D25" s="34" t="s">
        <v>2714</v>
      </c>
      <c r="E25" s="35" t="s">
        <v>2715</v>
      </c>
      <c r="F25" s="43" t="s">
        <v>2716</v>
      </c>
      <c r="G25" s="35" t="s">
        <v>1455</v>
      </c>
      <c r="H25" s="43" t="s">
        <v>2717</v>
      </c>
      <c r="I25" s="35">
        <v>2017.0</v>
      </c>
      <c r="J25" s="43" t="s">
        <v>796</v>
      </c>
      <c r="K25" s="35" t="s">
        <v>730</v>
      </c>
      <c r="L25" s="35" t="s">
        <v>2718</v>
      </c>
      <c r="M25" s="35" t="s">
        <v>57</v>
      </c>
      <c r="N25" s="35" t="s">
        <v>1455</v>
      </c>
      <c r="O25" s="35" t="s">
        <v>2719</v>
      </c>
      <c r="P25" s="35" t="s">
        <v>2720</v>
      </c>
      <c r="Q25" s="35" t="s">
        <v>93</v>
      </c>
      <c r="R25" s="35" t="s">
        <v>57</v>
      </c>
      <c r="S25" s="35" t="s">
        <v>57</v>
      </c>
      <c r="T25" s="35" t="s">
        <v>74</v>
      </c>
      <c r="U25" s="35" t="s">
        <v>57</v>
      </c>
      <c r="V25" s="35" t="s">
        <v>2394</v>
      </c>
      <c r="W25" s="35" t="s">
        <v>161</v>
      </c>
      <c r="X25" s="34" t="s">
        <v>2721</v>
      </c>
      <c r="Y25" s="35" t="s">
        <v>2397</v>
      </c>
      <c r="Z25" s="35" t="s">
        <v>2722</v>
      </c>
      <c r="AA25" s="35" t="s">
        <v>57</v>
      </c>
      <c r="AB25" s="35" t="s">
        <v>57</v>
      </c>
      <c r="AC25" s="35" t="s">
        <v>74</v>
      </c>
      <c r="AD25" s="35" t="s">
        <v>215</v>
      </c>
      <c r="AE25" s="35" t="s">
        <v>2723</v>
      </c>
      <c r="AF25" s="35" t="s">
        <v>69</v>
      </c>
      <c r="AG25" s="35" t="s">
        <v>129</v>
      </c>
      <c r="AH25" s="35" t="s">
        <v>129</v>
      </c>
      <c r="AI25" s="35" t="s">
        <v>57</v>
      </c>
      <c r="AJ25" s="35" t="s">
        <v>57</v>
      </c>
      <c r="AK25" s="35" t="s">
        <v>2724</v>
      </c>
      <c r="AL25" s="34"/>
      <c r="AM25" s="34" t="s">
        <v>1522</v>
      </c>
      <c r="AN25" s="104"/>
      <c r="AO25" s="104"/>
      <c r="AP25" s="104"/>
    </row>
    <row r="26">
      <c r="A26" s="102">
        <v>44.0</v>
      </c>
      <c r="B26" s="34">
        <v>8.79385732E8</v>
      </c>
      <c r="C26" s="34" t="s">
        <v>2727</v>
      </c>
      <c r="D26" s="34" t="s">
        <v>2728</v>
      </c>
      <c r="E26" s="35" t="s">
        <v>2729</v>
      </c>
      <c r="F26" s="43" t="s">
        <v>2730</v>
      </c>
      <c r="G26" s="35" t="s">
        <v>581</v>
      </c>
      <c r="H26" s="43" t="s">
        <v>2731</v>
      </c>
      <c r="I26" s="35">
        <v>2020.0</v>
      </c>
      <c r="J26" s="35" t="s">
        <v>796</v>
      </c>
      <c r="K26" s="35" t="s">
        <v>730</v>
      </c>
      <c r="L26" s="35" t="s">
        <v>2732</v>
      </c>
      <c r="M26" s="35" t="s">
        <v>57</v>
      </c>
      <c r="N26" s="35" t="s">
        <v>581</v>
      </c>
      <c r="O26" s="35" t="s">
        <v>585</v>
      </c>
      <c r="P26" s="35" t="s">
        <v>2733</v>
      </c>
      <c r="Q26" s="35" t="s">
        <v>554</v>
      </c>
      <c r="R26" s="35" t="s">
        <v>2734</v>
      </c>
      <c r="S26" s="35" t="s">
        <v>2735</v>
      </c>
      <c r="T26" s="35" t="s">
        <v>74</v>
      </c>
      <c r="U26" s="35" t="s">
        <v>57</v>
      </c>
      <c r="V26" s="35" t="s">
        <v>96</v>
      </c>
      <c r="W26" s="35" t="s">
        <v>2736</v>
      </c>
      <c r="X26" s="34" t="s">
        <v>2737</v>
      </c>
      <c r="Y26" s="35" t="s">
        <v>2397</v>
      </c>
      <c r="Z26" s="35" t="s">
        <v>2738</v>
      </c>
      <c r="AA26" s="35">
        <v>2014.0</v>
      </c>
      <c r="AB26" s="35">
        <v>2016.0</v>
      </c>
      <c r="AC26" s="35" t="s">
        <v>74</v>
      </c>
      <c r="AD26" s="35" t="s">
        <v>215</v>
      </c>
      <c r="AE26" s="35" t="s">
        <v>2739</v>
      </c>
      <c r="AF26" s="35" t="s">
        <v>69</v>
      </c>
      <c r="AG26" s="35" t="s">
        <v>129</v>
      </c>
      <c r="AH26" s="35" t="s">
        <v>129</v>
      </c>
      <c r="AI26" s="35" t="s">
        <v>57</v>
      </c>
      <c r="AJ26" s="35" t="s">
        <v>57</v>
      </c>
      <c r="AK26" s="35" t="s">
        <v>2740</v>
      </c>
      <c r="AL26" s="34"/>
      <c r="AM26" s="34" t="s">
        <v>1522</v>
      </c>
      <c r="AN26" s="104"/>
      <c r="AO26" s="104"/>
      <c r="AP26" s="104"/>
    </row>
    <row r="27">
      <c r="A27" s="102">
        <v>46.0</v>
      </c>
      <c r="B27" s="34">
        <v>8.79385758E8</v>
      </c>
      <c r="C27" s="34" t="s">
        <v>2743</v>
      </c>
      <c r="D27" s="34" t="s">
        <v>2744</v>
      </c>
      <c r="E27" s="35" t="s">
        <v>2745</v>
      </c>
      <c r="F27" s="43" t="s">
        <v>2746</v>
      </c>
      <c r="G27" s="35" t="s">
        <v>2389</v>
      </c>
      <c r="H27" s="43" t="s">
        <v>2747</v>
      </c>
      <c r="I27" s="35">
        <v>2022.0</v>
      </c>
      <c r="J27" s="35" t="s">
        <v>2117</v>
      </c>
      <c r="K27" s="35" t="s">
        <v>730</v>
      </c>
      <c r="L27" s="35" t="s">
        <v>2748</v>
      </c>
      <c r="M27" s="35" t="s">
        <v>57</v>
      </c>
      <c r="N27" s="35" t="s">
        <v>2389</v>
      </c>
      <c r="O27" s="35" t="s">
        <v>1775</v>
      </c>
      <c r="P27" s="35" t="s">
        <v>2749</v>
      </c>
      <c r="Q27" s="35" t="s">
        <v>93</v>
      </c>
      <c r="R27" s="43" t="s">
        <v>2750</v>
      </c>
      <c r="S27" s="43" t="s">
        <v>2751</v>
      </c>
      <c r="T27" s="35" t="s">
        <v>74</v>
      </c>
      <c r="U27" s="35" t="s">
        <v>57</v>
      </c>
      <c r="V27" s="35" t="s">
        <v>2394</v>
      </c>
      <c r="W27" s="35" t="s">
        <v>1308</v>
      </c>
      <c r="X27" s="34" t="s">
        <v>2752</v>
      </c>
      <c r="Y27" s="35" t="s">
        <v>2753</v>
      </c>
      <c r="Z27" s="35" t="s">
        <v>2754</v>
      </c>
      <c r="AA27" s="35">
        <v>2013.0</v>
      </c>
      <c r="AB27" s="35">
        <v>2014.0</v>
      </c>
      <c r="AC27" s="35" t="s">
        <v>74</v>
      </c>
      <c r="AD27" s="35" t="s">
        <v>96</v>
      </c>
      <c r="AE27" s="35" t="s">
        <v>2755</v>
      </c>
      <c r="AF27" s="35" t="s">
        <v>69</v>
      </c>
      <c r="AG27" s="35" t="s">
        <v>895</v>
      </c>
      <c r="AH27" s="35" t="s">
        <v>129</v>
      </c>
      <c r="AI27" s="35" t="s">
        <v>374</v>
      </c>
      <c r="AJ27" s="35" t="s">
        <v>57</v>
      </c>
      <c r="AK27" s="35" t="s">
        <v>2756</v>
      </c>
      <c r="AL27" s="34"/>
      <c r="AM27" s="34" t="s">
        <v>1522</v>
      </c>
      <c r="AN27" s="104"/>
      <c r="AO27" s="104"/>
      <c r="AP27" s="104"/>
    </row>
    <row r="28">
      <c r="A28" s="102">
        <v>47.0</v>
      </c>
      <c r="B28" s="34">
        <v>8.79385775E8</v>
      </c>
      <c r="C28" s="34" t="s">
        <v>2758</v>
      </c>
      <c r="D28" s="34" t="s">
        <v>2759</v>
      </c>
      <c r="E28" s="35" t="s">
        <v>2760</v>
      </c>
      <c r="F28" s="43" t="s">
        <v>2761</v>
      </c>
      <c r="G28" s="35" t="s">
        <v>2389</v>
      </c>
      <c r="H28" s="43" t="s">
        <v>2762</v>
      </c>
      <c r="I28" s="35">
        <v>2021.0</v>
      </c>
      <c r="J28" s="35" t="s">
        <v>2763</v>
      </c>
      <c r="K28" s="35" t="s">
        <v>730</v>
      </c>
      <c r="L28" s="35" t="s">
        <v>2764</v>
      </c>
      <c r="M28" s="35" t="s">
        <v>57</v>
      </c>
      <c r="N28" s="35" t="s">
        <v>2389</v>
      </c>
      <c r="O28" s="35" t="s">
        <v>1484</v>
      </c>
      <c r="P28" s="35" t="s">
        <v>2765</v>
      </c>
      <c r="Q28" s="35" t="s">
        <v>93</v>
      </c>
      <c r="R28" s="35" t="s">
        <v>57</v>
      </c>
      <c r="S28" s="35" t="s">
        <v>57</v>
      </c>
      <c r="T28" s="35" t="s">
        <v>74</v>
      </c>
      <c r="U28" s="35" t="s">
        <v>57</v>
      </c>
      <c r="V28" s="35" t="s">
        <v>96</v>
      </c>
      <c r="W28" s="35" t="s">
        <v>2766</v>
      </c>
      <c r="X28" s="34" t="s">
        <v>2767</v>
      </c>
      <c r="Y28" s="35" t="s">
        <v>2397</v>
      </c>
      <c r="Z28" s="35" t="s">
        <v>2768</v>
      </c>
      <c r="AA28" s="35">
        <v>2017.0</v>
      </c>
      <c r="AB28" s="35">
        <v>2018.0</v>
      </c>
      <c r="AC28" s="35" t="s">
        <v>74</v>
      </c>
      <c r="AD28" s="35" t="s">
        <v>96</v>
      </c>
      <c r="AE28" s="35" t="s">
        <v>2769</v>
      </c>
      <c r="AF28" s="35" t="s">
        <v>69</v>
      </c>
      <c r="AG28" s="35" t="s">
        <v>129</v>
      </c>
      <c r="AH28" s="35" t="s">
        <v>129</v>
      </c>
      <c r="AI28" s="35" t="s">
        <v>57</v>
      </c>
      <c r="AJ28" s="35" t="s">
        <v>57</v>
      </c>
      <c r="AK28" s="35" t="s">
        <v>2770</v>
      </c>
      <c r="AL28" s="34"/>
      <c r="AM28" s="34" t="s">
        <v>109</v>
      </c>
      <c r="AN28" s="104"/>
      <c r="AO28" s="104"/>
      <c r="AP28" s="104"/>
    </row>
    <row r="29">
      <c r="A29" s="102">
        <v>48.0</v>
      </c>
      <c r="B29" s="34">
        <v>8.79385767E8</v>
      </c>
      <c r="C29" s="34" t="s">
        <v>2773</v>
      </c>
      <c r="D29" s="34" t="s">
        <v>2774</v>
      </c>
      <c r="E29" s="35" t="s">
        <v>2775</v>
      </c>
      <c r="F29" s="43" t="s">
        <v>2776</v>
      </c>
      <c r="G29" s="35" t="s">
        <v>293</v>
      </c>
      <c r="H29" s="43" t="s">
        <v>2777</v>
      </c>
      <c r="I29" s="35">
        <v>2021.0</v>
      </c>
      <c r="J29" s="35" t="s">
        <v>2778</v>
      </c>
      <c r="K29" s="35" t="s">
        <v>730</v>
      </c>
      <c r="L29" s="35" t="s">
        <v>2779</v>
      </c>
      <c r="M29" s="35" t="s">
        <v>57</v>
      </c>
      <c r="N29" s="35" t="s">
        <v>293</v>
      </c>
      <c r="O29" s="35" t="s">
        <v>2577</v>
      </c>
      <c r="P29" s="35" t="s">
        <v>2780</v>
      </c>
      <c r="Q29" s="35" t="s">
        <v>93</v>
      </c>
      <c r="R29" s="35" t="s">
        <v>57</v>
      </c>
      <c r="S29" s="35" t="s">
        <v>57</v>
      </c>
      <c r="T29" s="35" t="s">
        <v>74</v>
      </c>
      <c r="U29" s="35" t="s">
        <v>57</v>
      </c>
      <c r="V29" s="35" t="s">
        <v>96</v>
      </c>
      <c r="W29" s="35" t="s">
        <v>351</v>
      </c>
      <c r="X29" s="34" t="s">
        <v>2781</v>
      </c>
      <c r="Y29" s="35" t="s">
        <v>2690</v>
      </c>
      <c r="Z29" s="35" t="s">
        <v>2782</v>
      </c>
      <c r="AA29" s="35" t="s">
        <v>57</v>
      </c>
      <c r="AB29" s="35" t="s">
        <v>57</v>
      </c>
      <c r="AC29" s="35" t="s">
        <v>74</v>
      </c>
      <c r="AD29" s="35" t="s">
        <v>215</v>
      </c>
      <c r="AE29" s="35" t="s">
        <v>2783</v>
      </c>
      <c r="AF29" s="35" t="s">
        <v>69</v>
      </c>
      <c r="AG29" s="35" t="s">
        <v>129</v>
      </c>
      <c r="AH29" s="35" t="s">
        <v>129</v>
      </c>
      <c r="AI29" s="35" t="s">
        <v>57</v>
      </c>
      <c r="AJ29" s="35" t="s">
        <v>57</v>
      </c>
      <c r="AK29" s="35" t="s">
        <v>2784</v>
      </c>
      <c r="AL29" s="34"/>
      <c r="AM29" s="34" t="s">
        <v>1522</v>
      </c>
      <c r="AN29" s="104"/>
      <c r="AO29" s="104"/>
      <c r="AP29" s="104"/>
    </row>
    <row r="30">
      <c r="A30" s="102">
        <v>50.0</v>
      </c>
      <c r="B30" s="34">
        <v>8.79385776E8</v>
      </c>
      <c r="C30" s="34" t="s">
        <v>2787</v>
      </c>
      <c r="D30" s="34" t="s">
        <v>2788</v>
      </c>
      <c r="E30" s="35" t="s">
        <v>2789</v>
      </c>
      <c r="F30" s="43" t="s">
        <v>2790</v>
      </c>
      <c r="G30" s="35" t="s">
        <v>2389</v>
      </c>
      <c r="H30" s="43" t="s">
        <v>2791</v>
      </c>
      <c r="I30" s="35">
        <v>2015.0</v>
      </c>
      <c r="J30" s="35" t="s">
        <v>2792</v>
      </c>
      <c r="K30" s="35" t="s">
        <v>730</v>
      </c>
      <c r="L30" s="35" t="s">
        <v>2793</v>
      </c>
      <c r="M30" s="35" t="s">
        <v>57</v>
      </c>
      <c r="N30" s="35" t="s">
        <v>2389</v>
      </c>
      <c r="O30" s="35" t="s">
        <v>1775</v>
      </c>
      <c r="P30" s="35" t="s">
        <v>2794</v>
      </c>
      <c r="Q30" s="35" t="s">
        <v>93</v>
      </c>
      <c r="R30" s="35" t="s">
        <v>57</v>
      </c>
      <c r="S30" s="35" t="s">
        <v>57</v>
      </c>
      <c r="T30" s="35" t="s">
        <v>69</v>
      </c>
      <c r="U30" s="35" t="s">
        <v>2795</v>
      </c>
      <c r="V30" s="35" t="s">
        <v>96</v>
      </c>
      <c r="W30" s="35" t="s">
        <v>2796</v>
      </c>
      <c r="X30" s="34" t="s">
        <v>2797</v>
      </c>
      <c r="Y30" s="35" t="s">
        <v>2397</v>
      </c>
      <c r="Z30" s="35" t="s">
        <v>2798</v>
      </c>
      <c r="AA30" s="35" t="s">
        <v>57</v>
      </c>
      <c r="AB30" s="35" t="s">
        <v>57</v>
      </c>
      <c r="AC30" s="35" t="s">
        <v>74</v>
      </c>
      <c r="AD30" s="35" t="s">
        <v>215</v>
      </c>
      <c r="AE30" s="35" t="s">
        <v>2799</v>
      </c>
      <c r="AF30" s="35" t="s">
        <v>69</v>
      </c>
      <c r="AG30" s="35" t="s">
        <v>2800</v>
      </c>
      <c r="AH30" s="35" t="s">
        <v>374</v>
      </c>
      <c r="AI30" s="35" t="s">
        <v>2067</v>
      </c>
      <c r="AJ30" s="35" t="s">
        <v>129</v>
      </c>
      <c r="AK30" s="35" t="s">
        <v>2801</v>
      </c>
      <c r="AL30" s="34" t="s">
        <v>2802</v>
      </c>
      <c r="AM30" s="34" t="s">
        <v>1522</v>
      </c>
      <c r="AN30" s="104"/>
      <c r="AO30" s="104"/>
      <c r="AP30" s="104"/>
    </row>
    <row r="31">
      <c r="A31" s="102">
        <v>51.0</v>
      </c>
      <c r="B31" s="34">
        <v>8.79385785E8</v>
      </c>
      <c r="C31" s="34" t="s">
        <v>2805</v>
      </c>
      <c r="D31" s="34" t="s">
        <v>2806</v>
      </c>
      <c r="E31" s="35" t="s">
        <v>2807</v>
      </c>
      <c r="F31" s="43" t="s">
        <v>2808</v>
      </c>
      <c r="G31" s="35" t="s">
        <v>639</v>
      </c>
      <c r="H31" s="43" t="s">
        <v>2809</v>
      </c>
      <c r="I31" s="35">
        <v>2020.0</v>
      </c>
      <c r="J31" s="43" t="s">
        <v>2810</v>
      </c>
      <c r="K31" s="35" t="s">
        <v>730</v>
      </c>
      <c r="L31" s="35" t="s">
        <v>2811</v>
      </c>
      <c r="M31" s="35" t="s">
        <v>57</v>
      </c>
      <c r="N31" s="35" t="s">
        <v>639</v>
      </c>
      <c r="O31" s="35" t="s">
        <v>2812</v>
      </c>
      <c r="P31" s="35" t="s">
        <v>2813</v>
      </c>
      <c r="Q31" s="35" t="s">
        <v>93</v>
      </c>
      <c r="R31" s="35" t="s">
        <v>57</v>
      </c>
      <c r="S31" s="35" t="s">
        <v>57</v>
      </c>
      <c r="T31" s="35" t="s">
        <v>74</v>
      </c>
      <c r="U31" s="35" t="s">
        <v>57</v>
      </c>
      <c r="V31" s="35" t="s">
        <v>96</v>
      </c>
      <c r="W31" s="35" t="s">
        <v>302</v>
      </c>
      <c r="X31" s="34" t="s">
        <v>2814</v>
      </c>
      <c r="Y31" s="35" t="s">
        <v>2380</v>
      </c>
      <c r="Z31" s="35" t="s">
        <v>2815</v>
      </c>
      <c r="AA31" s="35">
        <v>1976.0</v>
      </c>
      <c r="AB31" s="35">
        <v>2017.0</v>
      </c>
      <c r="AC31" s="35" t="s">
        <v>74</v>
      </c>
      <c r="AD31" s="35" t="s">
        <v>215</v>
      </c>
      <c r="AE31" s="35" t="s">
        <v>2816</v>
      </c>
      <c r="AF31" s="35" t="s">
        <v>69</v>
      </c>
      <c r="AG31" s="35" t="s">
        <v>129</v>
      </c>
      <c r="AH31" s="35" t="s">
        <v>129</v>
      </c>
      <c r="AI31" s="35" t="s">
        <v>57</v>
      </c>
      <c r="AJ31" s="35" t="s">
        <v>57</v>
      </c>
      <c r="AK31" s="35" t="s">
        <v>2817</v>
      </c>
      <c r="AL31" s="34"/>
      <c r="AM31" s="34" t="s">
        <v>1522</v>
      </c>
      <c r="AN31" s="104"/>
      <c r="AO31" s="104"/>
      <c r="AP31" s="104"/>
    </row>
    <row r="32">
      <c r="A32" s="102">
        <v>52.0</v>
      </c>
      <c r="B32" s="34">
        <v>8.793858E8</v>
      </c>
      <c r="C32" s="34" t="s">
        <v>2820</v>
      </c>
      <c r="D32" s="34" t="s">
        <v>2821</v>
      </c>
      <c r="E32" s="35" t="s">
        <v>2822</v>
      </c>
      <c r="F32" s="43" t="s">
        <v>2823</v>
      </c>
      <c r="G32" s="35" t="s">
        <v>1224</v>
      </c>
      <c r="H32" s="35" t="s">
        <v>2824</v>
      </c>
      <c r="I32" s="35">
        <v>2019.0</v>
      </c>
      <c r="J32" s="35" t="s">
        <v>2825</v>
      </c>
      <c r="K32" s="35" t="s">
        <v>730</v>
      </c>
      <c r="L32" s="35" t="s">
        <v>2826</v>
      </c>
      <c r="M32" s="35" t="s">
        <v>57</v>
      </c>
      <c r="N32" s="35" t="s">
        <v>1224</v>
      </c>
      <c r="O32" s="35" t="s">
        <v>2827</v>
      </c>
      <c r="P32" s="35" t="s">
        <v>2828</v>
      </c>
      <c r="Q32" s="35" t="s">
        <v>93</v>
      </c>
      <c r="R32" s="35" t="s">
        <v>57</v>
      </c>
      <c r="S32" s="35" t="s">
        <v>57</v>
      </c>
      <c r="T32" s="35" t="s">
        <v>69</v>
      </c>
      <c r="U32" s="35" t="s">
        <v>2829</v>
      </c>
      <c r="V32" s="35" t="s">
        <v>2394</v>
      </c>
      <c r="W32" s="35" t="s">
        <v>161</v>
      </c>
      <c r="X32" s="34" t="s">
        <v>2830</v>
      </c>
      <c r="Y32" s="35" t="s">
        <v>2831</v>
      </c>
      <c r="Z32" s="35" t="s">
        <v>2832</v>
      </c>
      <c r="AA32" s="35">
        <v>2017.0</v>
      </c>
      <c r="AB32" s="35">
        <v>2017.0</v>
      </c>
      <c r="AC32" s="35" t="s">
        <v>74</v>
      </c>
      <c r="AD32" s="35" t="s">
        <v>215</v>
      </c>
      <c r="AE32" s="35" t="s">
        <v>2833</v>
      </c>
      <c r="AF32" s="35" t="s">
        <v>69</v>
      </c>
      <c r="AG32" s="35" t="s">
        <v>129</v>
      </c>
      <c r="AH32" s="35" t="s">
        <v>129</v>
      </c>
      <c r="AI32" s="35" t="s">
        <v>57</v>
      </c>
      <c r="AJ32" s="35" t="s">
        <v>57</v>
      </c>
      <c r="AK32" s="35" t="s">
        <v>2834</v>
      </c>
      <c r="AL32" s="34" t="s">
        <v>2556</v>
      </c>
      <c r="AM32" s="34" t="s">
        <v>109</v>
      </c>
      <c r="AN32" s="104"/>
      <c r="AO32" s="104"/>
      <c r="AP32" s="104"/>
    </row>
    <row r="33">
      <c r="A33" s="102">
        <v>53.0</v>
      </c>
      <c r="B33" s="34">
        <v>8.79385801E8</v>
      </c>
      <c r="C33" s="34" t="s">
        <v>2837</v>
      </c>
      <c r="D33" s="34" t="s">
        <v>2838</v>
      </c>
      <c r="E33" s="35" t="s">
        <v>2839</v>
      </c>
      <c r="F33" s="43" t="s">
        <v>2840</v>
      </c>
      <c r="G33" s="35" t="s">
        <v>2389</v>
      </c>
      <c r="H33" s="35" t="s">
        <v>2841</v>
      </c>
      <c r="I33" s="35">
        <v>2015.0</v>
      </c>
      <c r="J33" s="35" t="s">
        <v>295</v>
      </c>
      <c r="K33" s="35" t="s">
        <v>730</v>
      </c>
      <c r="L33" s="35" t="s">
        <v>2842</v>
      </c>
      <c r="M33" s="35" t="s">
        <v>57</v>
      </c>
      <c r="N33" s="35" t="s">
        <v>2389</v>
      </c>
      <c r="O33" s="35" t="s">
        <v>2843</v>
      </c>
      <c r="P33" s="35" t="s">
        <v>2844</v>
      </c>
      <c r="Q33" s="35" t="s">
        <v>93</v>
      </c>
      <c r="R33" s="35" t="s">
        <v>57</v>
      </c>
      <c r="S33" s="35" t="s">
        <v>57</v>
      </c>
      <c r="T33" s="35" t="s">
        <v>74</v>
      </c>
      <c r="U33" s="35" t="s">
        <v>57</v>
      </c>
      <c r="V33" s="35" t="s">
        <v>96</v>
      </c>
      <c r="W33" s="35" t="s">
        <v>1389</v>
      </c>
      <c r="X33" s="34" t="s">
        <v>2845</v>
      </c>
      <c r="Y33" s="35" t="s">
        <v>2397</v>
      </c>
      <c r="Z33" s="35" t="s">
        <v>2846</v>
      </c>
      <c r="AA33" s="35">
        <v>2011.0</v>
      </c>
      <c r="AB33" s="35">
        <v>2011.0</v>
      </c>
      <c r="AC33" s="35" t="s">
        <v>74</v>
      </c>
      <c r="AD33" s="35" t="s">
        <v>96</v>
      </c>
      <c r="AE33" s="35" t="s">
        <v>2847</v>
      </c>
      <c r="AF33" s="35" t="s">
        <v>69</v>
      </c>
      <c r="AG33" s="35" t="s">
        <v>198</v>
      </c>
      <c r="AH33" s="35" t="s">
        <v>374</v>
      </c>
      <c r="AI33" s="35" t="s">
        <v>129</v>
      </c>
      <c r="AJ33" s="35" t="s">
        <v>57</v>
      </c>
      <c r="AK33" s="35" t="s">
        <v>2848</v>
      </c>
      <c r="AL33" s="34"/>
      <c r="AM33" s="34" t="s">
        <v>109</v>
      </c>
      <c r="AN33" s="104"/>
      <c r="AO33" s="104"/>
      <c r="AP33" s="104"/>
    </row>
    <row r="34">
      <c r="A34" s="102">
        <v>54.0</v>
      </c>
      <c r="B34" s="34">
        <v>8.79385802E8</v>
      </c>
      <c r="C34" s="34" t="s">
        <v>2851</v>
      </c>
      <c r="D34" s="34" t="s">
        <v>2852</v>
      </c>
      <c r="E34" s="35" t="s">
        <v>2853</v>
      </c>
      <c r="F34" s="43" t="s">
        <v>2854</v>
      </c>
      <c r="G34" s="35" t="s">
        <v>1727</v>
      </c>
      <c r="H34" s="35" t="s">
        <v>2855</v>
      </c>
      <c r="I34" s="35">
        <v>2020.0</v>
      </c>
      <c r="J34" s="35" t="s">
        <v>2778</v>
      </c>
      <c r="K34" s="35" t="s">
        <v>730</v>
      </c>
      <c r="L34" s="35" t="s">
        <v>2856</v>
      </c>
      <c r="M34" s="35" t="s">
        <v>57</v>
      </c>
      <c r="N34" s="35" t="s">
        <v>1727</v>
      </c>
      <c r="O34" s="35" t="s">
        <v>2857</v>
      </c>
      <c r="P34" s="35" t="s">
        <v>2858</v>
      </c>
      <c r="Q34" s="35" t="s">
        <v>93</v>
      </c>
      <c r="R34" s="35" t="s">
        <v>57</v>
      </c>
      <c r="S34" s="35" t="s">
        <v>57</v>
      </c>
      <c r="T34" s="35" t="s">
        <v>74</v>
      </c>
      <c r="U34" s="35" t="s">
        <v>57</v>
      </c>
      <c r="V34" s="35" t="s">
        <v>2394</v>
      </c>
      <c r="W34" s="35" t="s">
        <v>2859</v>
      </c>
      <c r="X34" s="34" t="s">
        <v>2860</v>
      </c>
      <c r="Y34" s="35" t="s">
        <v>2831</v>
      </c>
      <c r="Z34" s="35" t="s">
        <v>2861</v>
      </c>
      <c r="AA34" s="35">
        <v>2018.0</v>
      </c>
      <c r="AB34" s="35">
        <v>2018.0</v>
      </c>
      <c r="AC34" s="35" t="s">
        <v>74</v>
      </c>
      <c r="AD34" s="35" t="s">
        <v>215</v>
      </c>
      <c r="AE34" s="35" t="s">
        <v>2862</v>
      </c>
      <c r="AF34" s="35" t="s">
        <v>74</v>
      </c>
      <c r="AG34" s="35" t="s">
        <v>57</v>
      </c>
      <c r="AH34" s="35" t="s">
        <v>57</v>
      </c>
      <c r="AI34" s="35" t="s">
        <v>57</v>
      </c>
      <c r="AJ34" s="35" t="s">
        <v>57</v>
      </c>
      <c r="AK34" s="35" t="s">
        <v>57</v>
      </c>
      <c r="AL34" s="34"/>
      <c r="AM34" s="34" t="s">
        <v>109</v>
      </c>
      <c r="AN34" s="104"/>
      <c r="AO34" s="104"/>
      <c r="AP34" s="104"/>
    </row>
    <row r="35">
      <c r="A35" s="102">
        <v>56.0</v>
      </c>
      <c r="B35" s="34">
        <v>8.79385783E8</v>
      </c>
      <c r="C35" s="34" t="s">
        <v>2865</v>
      </c>
      <c r="D35" s="34" t="s">
        <v>2866</v>
      </c>
      <c r="E35" s="35" t="s">
        <v>2867</v>
      </c>
      <c r="F35" s="43" t="s">
        <v>2868</v>
      </c>
      <c r="G35" s="35" t="s">
        <v>2389</v>
      </c>
      <c r="H35" s="35" t="s">
        <v>2869</v>
      </c>
      <c r="I35" s="35">
        <v>2002.0</v>
      </c>
      <c r="J35" s="43" t="s">
        <v>2546</v>
      </c>
      <c r="K35" s="35" t="s">
        <v>730</v>
      </c>
      <c r="L35" s="35" t="s">
        <v>2870</v>
      </c>
      <c r="M35" s="35" t="s">
        <v>57</v>
      </c>
      <c r="N35" s="35" t="s">
        <v>2389</v>
      </c>
      <c r="O35" s="35" t="s">
        <v>2871</v>
      </c>
      <c r="P35" s="35" t="s">
        <v>57</v>
      </c>
      <c r="Q35" s="35" t="s">
        <v>93</v>
      </c>
      <c r="R35" s="35" t="s">
        <v>57</v>
      </c>
      <c r="S35" s="35" t="s">
        <v>57</v>
      </c>
      <c r="T35" s="35" t="s">
        <v>74</v>
      </c>
      <c r="U35" s="35" t="s">
        <v>57</v>
      </c>
      <c r="V35" s="35" t="s">
        <v>2430</v>
      </c>
      <c r="W35" s="35" t="s">
        <v>866</v>
      </c>
      <c r="X35" s="34" t="s">
        <v>2872</v>
      </c>
      <c r="Y35" s="35" t="s">
        <v>2831</v>
      </c>
      <c r="Z35" s="35" t="s">
        <v>2873</v>
      </c>
      <c r="AA35" s="35">
        <v>1994.0</v>
      </c>
      <c r="AB35" s="35">
        <v>2000.0</v>
      </c>
      <c r="AC35" s="35" t="s">
        <v>69</v>
      </c>
      <c r="AD35" s="35" t="s">
        <v>215</v>
      </c>
      <c r="AE35" s="35" t="s">
        <v>2874</v>
      </c>
      <c r="AF35" s="35" t="s">
        <v>69</v>
      </c>
      <c r="AG35" s="35" t="s">
        <v>129</v>
      </c>
      <c r="AH35" s="35" t="s">
        <v>129</v>
      </c>
      <c r="AI35" s="35" t="s">
        <v>57</v>
      </c>
      <c r="AJ35" s="35" t="s">
        <v>57</v>
      </c>
      <c r="AK35" s="35" t="s">
        <v>2875</v>
      </c>
      <c r="AL35" s="34"/>
      <c r="AM35" s="34" t="s">
        <v>1522</v>
      </c>
      <c r="AN35" s="104"/>
      <c r="AO35" s="104"/>
      <c r="AP35" s="104"/>
    </row>
    <row r="36" ht="144.75" customHeight="1">
      <c r="A36" s="102">
        <v>59.0</v>
      </c>
      <c r="B36" s="34">
        <v>8.79385804E8</v>
      </c>
      <c r="C36" s="34" t="s">
        <v>2878</v>
      </c>
      <c r="D36" s="34" t="s">
        <v>2879</v>
      </c>
      <c r="E36" s="35" t="s">
        <v>2880</v>
      </c>
      <c r="F36" s="43" t="s">
        <v>2881</v>
      </c>
      <c r="G36" s="35" t="s">
        <v>443</v>
      </c>
      <c r="H36" s="43" t="s">
        <v>2882</v>
      </c>
      <c r="I36" s="35">
        <v>2002.0</v>
      </c>
      <c r="J36" s="35" t="s">
        <v>1362</v>
      </c>
      <c r="K36" s="35" t="s">
        <v>730</v>
      </c>
      <c r="L36" s="35" t="s">
        <v>2883</v>
      </c>
      <c r="M36" s="35" t="s">
        <v>57</v>
      </c>
      <c r="N36" s="35" t="s">
        <v>443</v>
      </c>
      <c r="O36" s="35" t="s">
        <v>2884</v>
      </c>
      <c r="P36" s="35" t="s">
        <v>2885</v>
      </c>
      <c r="Q36" s="35" t="s">
        <v>93</v>
      </c>
      <c r="R36" s="35" t="s">
        <v>57</v>
      </c>
      <c r="S36" s="35" t="s">
        <v>57</v>
      </c>
      <c r="T36" s="35" t="s">
        <v>74</v>
      </c>
      <c r="U36" s="35" t="s">
        <v>57</v>
      </c>
      <c r="V36" s="35" t="s">
        <v>193</v>
      </c>
      <c r="W36" s="35" t="s">
        <v>2886</v>
      </c>
      <c r="X36" s="34" t="s">
        <v>2887</v>
      </c>
      <c r="Y36" s="35" t="s">
        <v>2380</v>
      </c>
      <c r="Z36" s="35" t="s">
        <v>2888</v>
      </c>
      <c r="AA36" s="35">
        <v>1994.0</v>
      </c>
      <c r="AB36" s="35">
        <v>1996.0</v>
      </c>
      <c r="AC36" s="35" t="s">
        <v>69</v>
      </c>
      <c r="AD36" s="35" t="s">
        <v>215</v>
      </c>
      <c r="AE36" s="35" t="s">
        <v>2889</v>
      </c>
      <c r="AF36" s="35" t="s">
        <v>69</v>
      </c>
      <c r="AG36" s="35" t="s">
        <v>198</v>
      </c>
      <c r="AH36" s="35" t="s">
        <v>374</v>
      </c>
      <c r="AI36" s="35" t="s">
        <v>129</v>
      </c>
      <c r="AJ36" s="35" t="s">
        <v>57</v>
      </c>
      <c r="AK36" s="35" t="s">
        <v>2890</v>
      </c>
      <c r="AL36" s="34"/>
      <c r="AM36" s="34" t="s">
        <v>1522</v>
      </c>
      <c r="AN36" s="104"/>
      <c r="AO36" s="104"/>
      <c r="AP36" s="104"/>
    </row>
    <row r="37">
      <c r="A37" s="102">
        <v>60.0</v>
      </c>
      <c r="B37" s="34">
        <v>8.79385817E8</v>
      </c>
      <c r="C37" s="34" t="s">
        <v>2893</v>
      </c>
      <c r="D37" s="34" t="s">
        <v>2894</v>
      </c>
      <c r="E37" s="35" t="s">
        <v>2895</v>
      </c>
      <c r="F37" s="35" t="s">
        <v>2896</v>
      </c>
      <c r="G37" s="35" t="s">
        <v>760</v>
      </c>
      <c r="H37" s="35" t="s">
        <v>2897</v>
      </c>
      <c r="I37" s="35">
        <v>2011.0</v>
      </c>
      <c r="J37" s="35" t="s">
        <v>295</v>
      </c>
      <c r="K37" s="35" t="s">
        <v>730</v>
      </c>
      <c r="L37" s="35" t="s">
        <v>2898</v>
      </c>
      <c r="M37" s="35" t="s">
        <v>57</v>
      </c>
      <c r="N37" s="35" t="s">
        <v>760</v>
      </c>
      <c r="O37" s="35" t="s">
        <v>2899</v>
      </c>
      <c r="P37" s="35" t="s">
        <v>2900</v>
      </c>
      <c r="Q37" s="35" t="s">
        <v>93</v>
      </c>
      <c r="R37" s="35" t="s">
        <v>2901</v>
      </c>
      <c r="S37" s="35" t="s">
        <v>2902</v>
      </c>
      <c r="T37" s="35" t="s">
        <v>74</v>
      </c>
      <c r="U37" s="35" t="s">
        <v>57</v>
      </c>
      <c r="V37" s="35" t="s">
        <v>96</v>
      </c>
      <c r="W37" s="35" t="s">
        <v>64</v>
      </c>
      <c r="X37" s="34" t="s">
        <v>2903</v>
      </c>
      <c r="Y37" s="35" t="s">
        <v>2397</v>
      </c>
      <c r="Z37" s="35" t="s">
        <v>2904</v>
      </c>
      <c r="AA37" s="35">
        <v>2008.0</v>
      </c>
      <c r="AB37" s="35">
        <v>2008.0</v>
      </c>
      <c r="AC37" s="35" t="s">
        <v>74</v>
      </c>
      <c r="AD37" s="35" t="s">
        <v>215</v>
      </c>
      <c r="AE37" s="35" t="s">
        <v>2905</v>
      </c>
      <c r="AF37" s="35" t="s">
        <v>74</v>
      </c>
      <c r="AG37" s="35" t="s">
        <v>57</v>
      </c>
      <c r="AH37" s="35" t="s">
        <v>57</v>
      </c>
      <c r="AI37" s="35" t="s">
        <v>57</v>
      </c>
      <c r="AJ37" s="35" t="s">
        <v>57</v>
      </c>
      <c r="AK37" s="35" t="s">
        <v>57</v>
      </c>
      <c r="AL37" s="34"/>
      <c r="AM37" s="34" t="s">
        <v>109</v>
      </c>
      <c r="AN37" s="104"/>
      <c r="AO37" s="104"/>
      <c r="AP37" s="104"/>
    </row>
    <row r="38" ht="117.0" customHeight="1">
      <c r="A38" s="102">
        <v>61.0</v>
      </c>
      <c r="B38" s="34">
        <v>8.79385823E8</v>
      </c>
      <c r="C38" s="34" t="s">
        <v>2908</v>
      </c>
      <c r="D38" s="34" t="s">
        <v>2909</v>
      </c>
      <c r="E38" s="35" t="s">
        <v>2910</v>
      </c>
      <c r="F38" s="43" t="s">
        <v>2911</v>
      </c>
      <c r="G38" s="35" t="s">
        <v>2389</v>
      </c>
      <c r="H38" s="35" t="s">
        <v>2912</v>
      </c>
      <c r="I38" s="35">
        <v>2013.0</v>
      </c>
      <c r="J38" s="35" t="s">
        <v>2913</v>
      </c>
      <c r="K38" s="35" t="s">
        <v>730</v>
      </c>
      <c r="L38" s="35" t="s">
        <v>2914</v>
      </c>
      <c r="M38" s="35" t="s">
        <v>57</v>
      </c>
      <c r="N38" s="35" t="s">
        <v>2389</v>
      </c>
      <c r="O38" s="35" t="s">
        <v>1775</v>
      </c>
      <c r="P38" s="35" t="s">
        <v>2915</v>
      </c>
      <c r="Q38" s="35" t="s">
        <v>93</v>
      </c>
      <c r="R38" s="35" t="s">
        <v>57</v>
      </c>
      <c r="S38" s="35" t="s">
        <v>57</v>
      </c>
      <c r="T38" s="35" t="s">
        <v>74</v>
      </c>
      <c r="U38" s="35" t="s">
        <v>57</v>
      </c>
      <c r="V38" s="35" t="s">
        <v>2394</v>
      </c>
      <c r="W38" s="35" t="s">
        <v>2916</v>
      </c>
      <c r="X38" s="34" t="s">
        <v>2917</v>
      </c>
      <c r="Y38" s="35" t="s">
        <v>2380</v>
      </c>
      <c r="Z38" s="35" t="s">
        <v>2918</v>
      </c>
      <c r="AA38" s="35" t="s">
        <v>57</v>
      </c>
      <c r="AB38" s="35" t="s">
        <v>57</v>
      </c>
      <c r="AC38" s="35" t="s">
        <v>74</v>
      </c>
      <c r="AD38" s="35" t="s">
        <v>215</v>
      </c>
      <c r="AE38" s="35" t="s">
        <v>2919</v>
      </c>
      <c r="AF38" s="35" t="s">
        <v>74</v>
      </c>
      <c r="AG38" s="35" t="s">
        <v>57</v>
      </c>
      <c r="AH38" s="35" t="s">
        <v>57</v>
      </c>
      <c r="AI38" s="35" t="s">
        <v>57</v>
      </c>
      <c r="AJ38" s="35" t="s">
        <v>57</v>
      </c>
      <c r="AK38" s="35" t="s">
        <v>57</v>
      </c>
      <c r="AL38" s="34"/>
      <c r="AM38" s="34" t="s">
        <v>1522</v>
      </c>
      <c r="AN38" s="104"/>
      <c r="AO38" s="104"/>
      <c r="AP38" s="104"/>
    </row>
    <row r="39">
      <c r="A39" s="102">
        <v>62.0</v>
      </c>
      <c r="B39" s="34">
        <v>8.79385831E8</v>
      </c>
      <c r="C39" s="34" t="s">
        <v>2922</v>
      </c>
      <c r="D39" s="34" t="s">
        <v>2923</v>
      </c>
      <c r="E39" s="35" t="s">
        <v>2924</v>
      </c>
      <c r="F39" s="43" t="s">
        <v>2925</v>
      </c>
      <c r="G39" s="35" t="s">
        <v>2926</v>
      </c>
      <c r="H39" s="43" t="s">
        <v>2927</v>
      </c>
      <c r="I39" s="35">
        <v>2019.0</v>
      </c>
      <c r="J39" s="35" t="s">
        <v>2928</v>
      </c>
      <c r="K39" s="35" t="s">
        <v>730</v>
      </c>
      <c r="L39" s="35" t="s">
        <v>2929</v>
      </c>
      <c r="M39" s="35" t="s">
        <v>57</v>
      </c>
      <c r="N39" s="35" t="s">
        <v>2926</v>
      </c>
      <c r="O39" s="35" t="s">
        <v>2930</v>
      </c>
      <c r="P39" s="35" t="s">
        <v>2931</v>
      </c>
      <c r="Q39" s="35" t="s">
        <v>93</v>
      </c>
      <c r="R39" s="35" t="s">
        <v>2932</v>
      </c>
      <c r="S39" s="35" t="s">
        <v>2933</v>
      </c>
      <c r="T39" s="35" t="s">
        <v>74</v>
      </c>
      <c r="U39" s="35" t="s">
        <v>57</v>
      </c>
      <c r="V39" s="35" t="s">
        <v>2394</v>
      </c>
      <c r="W39" s="35" t="s">
        <v>161</v>
      </c>
      <c r="X39" s="34" t="s">
        <v>2934</v>
      </c>
      <c r="Y39" s="35" t="s">
        <v>2380</v>
      </c>
      <c r="Z39" s="35" t="s">
        <v>2935</v>
      </c>
      <c r="AA39" s="35" t="s">
        <v>57</v>
      </c>
      <c r="AB39" s="35" t="s">
        <v>57</v>
      </c>
      <c r="AC39" s="35" t="s">
        <v>74</v>
      </c>
      <c r="AD39" s="35" t="s">
        <v>215</v>
      </c>
      <c r="AE39" s="35" t="s">
        <v>2936</v>
      </c>
      <c r="AF39" s="35" t="s">
        <v>69</v>
      </c>
      <c r="AG39" s="35" t="s">
        <v>129</v>
      </c>
      <c r="AH39" s="35" t="s">
        <v>129</v>
      </c>
      <c r="AI39" s="35" t="s">
        <v>57</v>
      </c>
      <c r="AJ39" s="35" t="s">
        <v>57</v>
      </c>
      <c r="AK39" s="35" t="s">
        <v>2937</v>
      </c>
      <c r="AL39" s="34" t="s">
        <v>2556</v>
      </c>
      <c r="AM39" s="34" t="s">
        <v>1522</v>
      </c>
      <c r="AN39" s="104"/>
      <c r="AO39" s="104"/>
      <c r="AP39" s="104"/>
    </row>
    <row r="40">
      <c r="A40" s="102">
        <v>63.0</v>
      </c>
      <c r="B40" s="34">
        <v>8.79385834E8</v>
      </c>
      <c r="C40" s="34" t="s">
        <v>2939</v>
      </c>
      <c r="D40" s="34" t="s">
        <v>2940</v>
      </c>
      <c r="E40" s="35" t="s">
        <v>2941</v>
      </c>
      <c r="F40" s="43" t="s">
        <v>2942</v>
      </c>
      <c r="G40" s="35" t="s">
        <v>443</v>
      </c>
      <c r="H40" s="43" t="s">
        <v>2943</v>
      </c>
      <c r="I40" s="35">
        <v>1995.0</v>
      </c>
      <c r="J40" s="43" t="s">
        <v>1362</v>
      </c>
      <c r="K40" s="35" t="s">
        <v>730</v>
      </c>
      <c r="L40" s="35" t="s">
        <v>57</v>
      </c>
      <c r="M40" s="35" t="s">
        <v>57</v>
      </c>
      <c r="N40" s="35" t="s">
        <v>2389</v>
      </c>
      <c r="O40" s="35" t="s">
        <v>258</v>
      </c>
      <c r="P40" s="35" t="s">
        <v>2944</v>
      </c>
      <c r="Q40" s="35" t="s">
        <v>93</v>
      </c>
      <c r="R40" s="35" t="s">
        <v>57</v>
      </c>
      <c r="S40" s="35" t="s">
        <v>57</v>
      </c>
      <c r="T40" s="35" t="s">
        <v>74</v>
      </c>
      <c r="U40" s="35" t="s">
        <v>57</v>
      </c>
      <c r="V40" s="35" t="s">
        <v>96</v>
      </c>
      <c r="W40" s="35" t="s">
        <v>2916</v>
      </c>
      <c r="X40" s="34" t="s">
        <v>2945</v>
      </c>
      <c r="Y40" s="35" t="s">
        <v>2380</v>
      </c>
      <c r="Z40" s="35" t="s">
        <v>2946</v>
      </c>
      <c r="AA40" s="35">
        <v>1987.0</v>
      </c>
      <c r="AB40" s="35">
        <v>1992.0</v>
      </c>
      <c r="AC40" s="35" t="s">
        <v>74</v>
      </c>
      <c r="AD40" s="35" t="s">
        <v>215</v>
      </c>
      <c r="AE40" s="35" t="s">
        <v>2947</v>
      </c>
      <c r="AF40" s="35" t="s">
        <v>69</v>
      </c>
      <c r="AG40" s="35" t="s">
        <v>129</v>
      </c>
      <c r="AH40" s="35" t="s">
        <v>129</v>
      </c>
      <c r="AI40" s="35" t="s">
        <v>57</v>
      </c>
      <c r="AJ40" s="35" t="s">
        <v>57</v>
      </c>
      <c r="AK40" s="35" t="s">
        <v>2948</v>
      </c>
      <c r="AL40" s="34"/>
      <c r="AM40" s="34" t="s">
        <v>1522</v>
      </c>
      <c r="AN40" s="104"/>
      <c r="AO40" s="104"/>
      <c r="AP40" s="104"/>
    </row>
    <row r="41">
      <c r="A41" s="102">
        <v>64.0</v>
      </c>
      <c r="B41" s="34">
        <v>8.79385835E8</v>
      </c>
      <c r="C41" s="34" t="s">
        <v>2951</v>
      </c>
      <c r="D41" s="34" t="s">
        <v>2952</v>
      </c>
      <c r="E41" s="35" t="s">
        <v>2953</v>
      </c>
      <c r="F41" s="43" t="s">
        <v>2954</v>
      </c>
      <c r="G41" s="35" t="s">
        <v>1452</v>
      </c>
      <c r="H41" s="43" t="s">
        <v>2955</v>
      </c>
      <c r="I41" s="35">
        <v>2015.0</v>
      </c>
      <c r="J41" s="43" t="s">
        <v>2956</v>
      </c>
      <c r="K41" s="35" t="s">
        <v>730</v>
      </c>
      <c r="L41" s="35" t="s">
        <v>2957</v>
      </c>
      <c r="M41" s="35" t="s">
        <v>57</v>
      </c>
      <c r="N41" s="35" t="s">
        <v>1452</v>
      </c>
      <c r="O41" s="35" t="s">
        <v>2958</v>
      </c>
      <c r="P41" s="35" t="s">
        <v>2959</v>
      </c>
      <c r="Q41" s="35" t="s">
        <v>93</v>
      </c>
      <c r="R41" s="35" t="s">
        <v>57</v>
      </c>
      <c r="S41" s="35" t="s">
        <v>57</v>
      </c>
      <c r="T41" s="35" t="s">
        <v>74</v>
      </c>
      <c r="U41" s="35" t="s">
        <v>57</v>
      </c>
      <c r="V41" s="35" t="s">
        <v>2394</v>
      </c>
      <c r="W41" s="35" t="s">
        <v>2766</v>
      </c>
      <c r="X41" s="34" t="s">
        <v>2960</v>
      </c>
      <c r="Y41" s="35" t="s">
        <v>2397</v>
      </c>
      <c r="Z41" s="35" t="s">
        <v>2961</v>
      </c>
      <c r="AA41" s="35">
        <v>2012.0</v>
      </c>
      <c r="AB41" s="35">
        <v>2013.0</v>
      </c>
      <c r="AC41" s="35" t="s">
        <v>74</v>
      </c>
      <c r="AD41" s="35" t="s">
        <v>215</v>
      </c>
      <c r="AE41" s="35" t="s">
        <v>2962</v>
      </c>
      <c r="AF41" s="35" t="s">
        <v>69</v>
      </c>
      <c r="AG41" s="35" t="s">
        <v>129</v>
      </c>
      <c r="AH41" s="35" t="s">
        <v>129</v>
      </c>
      <c r="AI41" s="35" t="s">
        <v>57</v>
      </c>
      <c r="AJ41" s="35" t="s">
        <v>57</v>
      </c>
      <c r="AK41" s="35" t="s">
        <v>2963</v>
      </c>
      <c r="AL41" s="34"/>
      <c r="AM41" s="34" t="s">
        <v>1522</v>
      </c>
      <c r="AN41" s="104"/>
      <c r="AO41" s="104"/>
      <c r="AP41" s="104"/>
    </row>
    <row r="42">
      <c r="A42" s="102">
        <v>65.0</v>
      </c>
      <c r="B42" s="34">
        <v>8.7938585E8</v>
      </c>
      <c r="C42" s="34" t="s">
        <v>2965</v>
      </c>
      <c r="D42" s="34" t="s">
        <v>2966</v>
      </c>
      <c r="E42" s="35" t="s">
        <v>2967</v>
      </c>
      <c r="F42" s="43" t="s">
        <v>2968</v>
      </c>
      <c r="G42" s="35" t="s">
        <v>760</v>
      </c>
      <c r="H42" s="43" t="s">
        <v>2969</v>
      </c>
      <c r="I42" s="35">
        <v>2005.0</v>
      </c>
      <c r="J42" s="35" t="s">
        <v>295</v>
      </c>
      <c r="K42" s="35" t="s">
        <v>730</v>
      </c>
      <c r="L42" s="35" t="s">
        <v>2970</v>
      </c>
      <c r="M42" s="35" t="s">
        <v>57</v>
      </c>
      <c r="N42" s="35" t="s">
        <v>760</v>
      </c>
      <c r="O42" s="35" t="s">
        <v>2971</v>
      </c>
      <c r="P42" s="35" t="s">
        <v>2972</v>
      </c>
      <c r="Q42" s="35" t="s">
        <v>93</v>
      </c>
      <c r="R42" s="35" t="s">
        <v>57</v>
      </c>
      <c r="S42" s="35" t="s">
        <v>57</v>
      </c>
      <c r="T42" s="35" t="s">
        <v>74</v>
      </c>
      <c r="U42" s="35" t="s">
        <v>57</v>
      </c>
      <c r="V42" s="35" t="s">
        <v>2394</v>
      </c>
      <c r="W42" s="35" t="s">
        <v>64</v>
      </c>
      <c r="X42" s="34" t="s">
        <v>2973</v>
      </c>
      <c r="Y42" s="35" t="s">
        <v>2397</v>
      </c>
      <c r="Z42" s="35" t="s">
        <v>2974</v>
      </c>
      <c r="AA42" s="35">
        <v>2002.0</v>
      </c>
      <c r="AB42" s="35">
        <v>2002.0</v>
      </c>
      <c r="AC42" s="35" t="s">
        <v>69</v>
      </c>
      <c r="AD42" s="35" t="s">
        <v>96</v>
      </c>
      <c r="AE42" s="35" t="s">
        <v>2975</v>
      </c>
      <c r="AF42" s="35" t="s">
        <v>74</v>
      </c>
      <c r="AG42" s="35" t="s">
        <v>57</v>
      </c>
      <c r="AH42" s="35" t="s">
        <v>57</v>
      </c>
      <c r="AI42" s="35" t="s">
        <v>57</v>
      </c>
      <c r="AJ42" s="35" t="s">
        <v>57</v>
      </c>
      <c r="AK42" s="35" t="s">
        <v>57</v>
      </c>
      <c r="AL42" s="34" t="s">
        <v>2976</v>
      </c>
      <c r="AM42" s="34" t="s">
        <v>1522</v>
      </c>
      <c r="AN42" s="104"/>
      <c r="AO42" s="104"/>
      <c r="AP42" s="104"/>
    </row>
    <row r="43">
      <c r="A43" s="102">
        <v>66.0</v>
      </c>
      <c r="B43" s="34">
        <v>8.79385852E8</v>
      </c>
      <c r="C43" s="34" t="s">
        <v>2978</v>
      </c>
      <c r="D43" s="34" t="s">
        <v>2979</v>
      </c>
      <c r="E43" s="35" t="s">
        <v>2980</v>
      </c>
      <c r="F43" s="43" t="s">
        <v>2981</v>
      </c>
      <c r="G43" s="35" t="s">
        <v>859</v>
      </c>
      <c r="H43" s="43" t="s">
        <v>2982</v>
      </c>
      <c r="I43" s="35">
        <v>2015.0</v>
      </c>
      <c r="J43" s="35" t="s">
        <v>2983</v>
      </c>
      <c r="K43" s="35" t="s">
        <v>730</v>
      </c>
      <c r="L43" s="35" t="s">
        <v>2984</v>
      </c>
      <c r="M43" s="35" t="s">
        <v>57</v>
      </c>
      <c r="N43" s="35" t="s">
        <v>859</v>
      </c>
      <c r="O43" s="35" t="s">
        <v>2985</v>
      </c>
      <c r="P43" s="35" t="s">
        <v>2986</v>
      </c>
      <c r="Q43" s="35" t="s">
        <v>93</v>
      </c>
      <c r="R43" s="35" t="s">
        <v>2987</v>
      </c>
      <c r="S43" s="35" t="s">
        <v>2988</v>
      </c>
      <c r="T43" s="35" t="s">
        <v>74</v>
      </c>
      <c r="U43" s="35" t="s">
        <v>57</v>
      </c>
      <c r="V43" s="35" t="s">
        <v>2394</v>
      </c>
      <c r="W43" s="35" t="s">
        <v>2989</v>
      </c>
      <c r="X43" s="34" t="s">
        <v>2990</v>
      </c>
      <c r="Y43" s="35" t="s">
        <v>2397</v>
      </c>
      <c r="Z43" s="35" t="s">
        <v>2991</v>
      </c>
      <c r="AA43" s="35">
        <v>2012.0</v>
      </c>
      <c r="AB43" s="35">
        <v>2012.0</v>
      </c>
      <c r="AC43" s="35" t="s">
        <v>74</v>
      </c>
      <c r="AD43" s="35" t="s">
        <v>96</v>
      </c>
      <c r="AE43" s="35" t="s">
        <v>2992</v>
      </c>
      <c r="AF43" s="35" t="s">
        <v>69</v>
      </c>
      <c r="AG43" s="35" t="s">
        <v>129</v>
      </c>
      <c r="AH43" s="35" t="s">
        <v>129</v>
      </c>
      <c r="AI43" s="35" t="s">
        <v>57</v>
      </c>
      <c r="AJ43" s="35" t="s">
        <v>57</v>
      </c>
      <c r="AK43" s="35" t="s">
        <v>2993</v>
      </c>
      <c r="AL43" s="34"/>
      <c r="AM43" s="34" t="s">
        <v>1522</v>
      </c>
      <c r="AN43" s="104"/>
      <c r="AO43" s="104"/>
      <c r="AP43" s="104"/>
    </row>
    <row r="44">
      <c r="A44" s="102">
        <v>67.0</v>
      </c>
      <c r="B44" s="34">
        <v>8.79385854E8</v>
      </c>
      <c r="C44" s="34" t="s">
        <v>2996</v>
      </c>
      <c r="D44" s="34" t="s">
        <v>2997</v>
      </c>
      <c r="E44" s="35" t="s">
        <v>2998</v>
      </c>
      <c r="F44" s="43" t="s">
        <v>2999</v>
      </c>
      <c r="G44" s="35" t="s">
        <v>172</v>
      </c>
      <c r="H44" s="43" t="s">
        <v>3000</v>
      </c>
      <c r="I44" s="35">
        <v>2015.0</v>
      </c>
      <c r="J44" s="43" t="s">
        <v>796</v>
      </c>
      <c r="K44" s="35" t="s">
        <v>730</v>
      </c>
      <c r="L44" s="35" t="s">
        <v>3001</v>
      </c>
      <c r="M44" s="35" t="s">
        <v>57</v>
      </c>
      <c r="N44" s="35" t="s">
        <v>172</v>
      </c>
      <c r="O44" s="35" t="s">
        <v>3002</v>
      </c>
      <c r="P44" s="35" t="s">
        <v>3003</v>
      </c>
      <c r="Q44" s="35" t="s">
        <v>93</v>
      </c>
      <c r="R44" s="35" t="s">
        <v>3004</v>
      </c>
      <c r="S44" s="35" t="s">
        <v>3005</v>
      </c>
      <c r="T44" s="35" t="s">
        <v>74</v>
      </c>
      <c r="U44" s="35" t="s">
        <v>57</v>
      </c>
      <c r="V44" s="35" t="s">
        <v>2394</v>
      </c>
      <c r="W44" s="35" t="s">
        <v>2634</v>
      </c>
      <c r="X44" s="34" t="s">
        <v>3006</v>
      </c>
      <c r="Y44" s="35" t="s">
        <v>2397</v>
      </c>
      <c r="Z44" s="35" t="s">
        <v>3007</v>
      </c>
      <c r="AA44" s="35" t="s">
        <v>57</v>
      </c>
      <c r="AB44" s="35">
        <v>2011.0</v>
      </c>
      <c r="AC44" s="35" t="s">
        <v>74</v>
      </c>
      <c r="AD44" s="35" t="s">
        <v>215</v>
      </c>
      <c r="AE44" s="35" t="s">
        <v>3008</v>
      </c>
      <c r="AF44" s="35" t="s">
        <v>69</v>
      </c>
      <c r="AG44" s="35" t="s">
        <v>129</v>
      </c>
      <c r="AH44" s="35" t="s">
        <v>129</v>
      </c>
      <c r="AI44" s="35" t="s">
        <v>57</v>
      </c>
      <c r="AJ44" s="35" t="s">
        <v>57</v>
      </c>
      <c r="AK44" s="35" t="s">
        <v>3009</v>
      </c>
      <c r="AL44" s="34"/>
      <c r="AM44" s="34" t="s">
        <v>1522</v>
      </c>
      <c r="AN44" s="104"/>
      <c r="AO44" s="104"/>
      <c r="AP44" s="104"/>
    </row>
    <row r="45">
      <c r="A45" s="102">
        <v>68.0</v>
      </c>
      <c r="B45" s="34">
        <v>8.79385873E8</v>
      </c>
      <c r="C45" s="34" t="s">
        <v>3011</v>
      </c>
      <c r="D45" s="34" t="s">
        <v>3012</v>
      </c>
      <c r="E45" s="35" t="s">
        <v>3013</v>
      </c>
      <c r="F45" s="43" t="s">
        <v>3014</v>
      </c>
      <c r="G45" s="35" t="s">
        <v>273</v>
      </c>
      <c r="H45" s="35" t="s">
        <v>3015</v>
      </c>
      <c r="I45" s="35">
        <v>2019.0</v>
      </c>
      <c r="J45" s="35" t="s">
        <v>1798</v>
      </c>
      <c r="K45" s="35" t="s">
        <v>730</v>
      </c>
      <c r="L45" s="35" t="s">
        <v>3016</v>
      </c>
      <c r="M45" s="35" t="s">
        <v>57</v>
      </c>
      <c r="N45" s="35" t="s">
        <v>273</v>
      </c>
      <c r="O45" s="35" t="s">
        <v>1022</v>
      </c>
      <c r="P45" s="35" t="s">
        <v>3017</v>
      </c>
      <c r="Q45" s="35" t="s">
        <v>93</v>
      </c>
      <c r="R45" s="35" t="s">
        <v>57</v>
      </c>
      <c r="S45" s="35" t="s">
        <v>57</v>
      </c>
      <c r="T45" s="35" t="s">
        <v>74</v>
      </c>
      <c r="U45" s="35" t="s">
        <v>57</v>
      </c>
      <c r="V45" s="35" t="s">
        <v>2394</v>
      </c>
      <c r="W45" s="35" t="s">
        <v>161</v>
      </c>
      <c r="X45" s="34" t="s">
        <v>3018</v>
      </c>
      <c r="Y45" s="35" t="s">
        <v>2397</v>
      </c>
      <c r="Z45" s="35" t="s">
        <v>3019</v>
      </c>
      <c r="AA45" s="35">
        <v>2019.0</v>
      </c>
      <c r="AB45" s="35">
        <v>2019.0</v>
      </c>
      <c r="AC45" s="35" t="s">
        <v>74</v>
      </c>
      <c r="AD45" s="35" t="s">
        <v>215</v>
      </c>
      <c r="AE45" s="35" t="s">
        <v>3020</v>
      </c>
      <c r="AF45" s="35" t="s">
        <v>69</v>
      </c>
      <c r="AG45" s="35" t="s">
        <v>129</v>
      </c>
      <c r="AH45" s="35" t="s">
        <v>129</v>
      </c>
      <c r="AI45" s="35" t="s">
        <v>57</v>
      </c>
      <c r="AJ45" s="35" t="s">
        <v>57</v>
      </c>
      <c r="AK45" s="35" t="s">
        <v>3021</v>
      </c>
      <c r="AL45" s="34"/>
      <c r="AM45" s="34" t="s">
        <v>109</v>
      </c>
      <c r="AN45" s="104"/>
      <c r="AO45" s="104"/>
      <c r="AP45" s="104"/>
    </row>
    <row r="46">
      <c r="A46" s="102">
        <v>69.0</v>
      </c>
      <c r="B46" s="34">
        <v>8.7938586E8</v>
      </c>
      <c r="C46" s="34" t="s">
        <v>3023</v>
      </c>
      <c r="D46" s="34" t="s">
        <v>3024</v>
      </c>
      <c r="E46" s="35" t="s">
        <v>3025</v>
      </c>
      <c r="F46" s="43" t="s">
        <v>3026</v>
      </c>
      <c r="G46" s="35" t="s">
        <v>2389</v>
      </c>
      <c r="H46" s="43" t="s">
        <v>3027</v>
      </c>
      <c r="I46" s="35">
        <v>2016.0</v>
      </c>
      <c r="J46" s="35" t="s">
        <v>3028</v>
      </c>
      <c r="K46" s="35" t="s">
        <v>730</v>
      </c>
      <c r="L46" s="35" t="s">
        <v>3029</v>
      </c>
      <c r="M46" s="35" t="s">
        <v>57</v>
      </c>
      <c r="N46" s="35" t="s">
        <v>2389</v>
      </c>
      <c r="O46" s="35" t="s">
        <v>3030</v>
      </c>
      <c r="P46" s="35" t="s">
        <v>3031</v>
      </c>
      <c r="Q46" s="35" t="s">
        <v>93</v>
      </c>
      <c r="R46" s="43" t="s">
        <v>3032</v>
      </c>
      <c r="S46" s="43" t="s">
        <v>3033</v>
      </c>
      <c r="T46" s="35" t="s">
        <v>74</v>
      </c>
      <c r="U46" s="35" t="s">
        <v>57</v>
      </c>
      <c r="V46" s="35" t="s">
        <v>2394</v>
      </c>
      <c r="W46" s="35" t="s">
        <v>3034</v>
      </c>
      <c r="X46" s="34" t="s">
        <v>3035</v>
      </c>
      <c r="Y46" s="35" t="s">
        <v>2397</v>
      </c>
      <c r="Z46" s="35" t="s">
        <v>3036</v>
      </c>
      <c r="AA46" s="35">
        <v>2014.0</v>
      </c>
      <c r="AB46" s="35">
        <v>2014.0</v>
      </c>
      <c r="AC46" s="35" t="s">
        <v>74</v>
      </c>
      <c r="AD46" s="35" t="s">
        <v>215</v>
      </c>
      <c r="AE46" s="35" t="s">
        <v>3037</v>
      </c>
      <c r="AF46" s="35" t="s">
        <v>69</v>
      </c>
      <c r="AG46" s="35" t="s">
        <v>129</v>
      </c>
      <c r="AH46" s="35" t="s">
        <v>129</v>
      </c>
      <c r="AI46" s="35" t="s">
        <v>57</v>
      </c>
      <c r="AJ46" s="35" t="s">
        <v>57</v>
      </c>
      <c r="AK46" s="35" t="s">
        <v>3038</v>
      </c>
      <c r="AL46" s="34"/>
      <c r="AM46" s="34" t="s">
        <v>1522</v>
      </c>
      <c r="AN46" s="104"/>
      <c r="AO46" s="104"/>
      <c r="AP46" s="104"/>
    </row>
    <row r="47">
      <c r="A47" s="102">
        <v>70.0</v>
      </c>
      <c r="B47" s="34">
        <v>8.79385871E8</v>
      </c>
      <c r="C47" s="34" t="s">
        <v>3041</v>
      </c>
      <c r="D47" s="34" t="s">
        <v>3042</v>
      </c>
      <c r="E47" s="35" t="s">
        <v>3043</v>
      </c>
      <c r="F47" s="43" t="s">
        <v>3044</v>
      </c>
      <c r="G47" s="35" t="s">
        <v>2389</v>
      </c>
      <c r="H47" s="43" t="s">
        <v>3045</v>
      </c>
      <c r="I47" s="35">
        <v>2019.0</v>
      </c>
      <c r="J47" s="35" t="s">
        <v>2825</v>
      </c>
      <c r="K47" s="35" t="s">
        <v>730</v>
      </c>
      <c r="L47" s="35" t="s">
        <v>3046</v>
      </c>
      <c r="M47" s="35" t="s">
        <v>57</v>
      </c>
      <c r="N47" s="35" t="s">
        <v>2389</v>
      </c>
      <c r="O47" s="35" t="s">
        <v>1484</v>
      </c>
      <c r="P47" s="35" t="s">
        <v>3047</v>
      </c>
      <c r="Q47" s="35" t="s">
        <v>93</v>
      </c>
      <c r="R47" s="35" t="s">
        <v>57</v>
      </c>
      <c r="S47" s="35" t="s">
        <v>57</v>
      </c>
      <c r="T47" s="35" t="s">
        <v>74</v>
      </c>
      <c r="U47" s="35" t="s">
        <v>57</v>
      </c>
      <c r="V47" s="35" t="s">
        <v>96</v>
      </c>
      <c r="W47" s="35" t="s">
        <v>161</v>
      </c>
      <c r="X47" s="34" t="s">
        <v>3048</v>
      </c>
      <c r="Y47" s="35" t="s">
        <v>2397</v>
      </c>
      <c r="Z47" s="35" t="s">
        <v>3049</v>
      </c>
      <c r="AA47" s="35">
        <v>2005.0</v>
      </c>
      <c r="AB47" s="35">
        <v>2006.0</v>
      </c>
      <c r="AC47" s="35" t="s">
        <v>69</v>
      </c>
      <c r="AD47" s="35" t="s">
        <v>215</v>
      </c>
      <c r="AE47" s="35" t="s">
        <v>3050</v>
      </c>
      <c r="AF47" s="35" t="s">
        <v>69</v>
      </c>
      <c r="AG47" s="35" t="s">
        <v>129</v>
      </c>
      <c r="AH47" s="35" t="s">
        <v>129</v>
      </c>
      <c r="AI47" s="35" t="s">
        <v>57</v>
      </c>
      <c r="AJ47" s="35" t="s">
        <v>57</v>
      </c>
      <c r="AK47" s="35" t="s">
        <v>3051</v>
      </c>
      <c r="AL47" s="34" t="s">
        <v>3052</v>
      </c>
      <c r="AM47" s="34" t="s">
        <v>109</v>
      </c>
      <c r="AN47" s="104"/>
      <c r="AO47" s="104"/>
      <c r="AP47" s="104"/>
    </row>
    <row r="48">
      <c r="A48" s="102">
        <v>71.0</v>
      </c>
      <c r="B48" s="34">
        <v>8.79385865E8</v>
      </c>
      <c r="C48" s="34" t="s">
        <v>3055</v>
      </c>
      <c r="D48" s="34" t="s">
        <v>3056</v>
      </c>
      <c r="E48" s="35" t="s">
        <v>3057</v>
      </c>
      <c r="F48" s="43" t="s">
        <v>3058</v>
      </c>
      <c r="G48" s="35" t="s">
        <v>396</v>
      </c>
      <c r="H48" s="35" t="s">
        <v>3059</v>
      </c>
      <c r="I48" s="35">
        <v>2015.0</v>
      </c>
      <c r="J48" s="43" t="s">
        <v>1798</v>
      </c>
      <c r="K48" s="35" t="s">
        <v>730</v>
      </c>
      <c r="L48" s="35" t="s">
        <v>3060</v>
      </c>
      <c r="M48" s="35" t="s">
        <v>57</v>
      </c>
      <c r="N48" s="35" t="s">
        <v>396</v>
      </c>
      <c r="O48" s="35" t="s">
        <v>3061</v>
      </c>
      <c r="P48" s="35" t="s">
        <v>3062</v>
      </c>
      <c r="Q48" s="35" t="s">
        <v>93</v>
      </c>
      <c r="R48" s="35" t="s">
        <v>3063</v>
      </c>
      <c r="S48" s="35" t="s">
        <v>3064</v>
      </c>
      <c r="T48" s="35" t="s">
        <v>74</v>
      </c>
      <c r="U48" s="35" t="s">
        <v>57</v>
      </c>
      <c r="V48" s="35" t="s">
        <v>2394</v>
      </c>
      <c r="W48" s="35" t="s">
        <v>2395</v>
      </c>
      <c r="X48" s="34" t="s">
        <v>3065</v>
      </c>
      <c r="Y48" s="35" t="s">
        <v>2397</v>
      </c>
      <c r="Z48" s="35" t="s">
        <v>3066</v>
      </c>
      <c r="AA48" s="35" t="s">
        <v>57</v>
      </c>
      <c r="AB48" s="35" t="s">
        <v>57</v>
      </c>
      <c r="AC48" s="35" t="s">
        <v>69</v>
      </c>
      <c r="AD48" s="35" t="s">
        <v>96</v>
      </c>
      <c r="AE48" s="35" t="s">
        <v>3067</v>
      </c>
      <c r="AF48" s="35" t="s">
        <v>69</v>
      </c>
      <c r="AG48" s="35" t="s">
        <v>129</v>
      </c>
      <c r="AH48" s="35" t="s">
        <v>129</v>
      </c>
      <c r="AI48" s="35" t="s">
        <v>57</v>
      </c>
      <c r="AJ48" s="35" t="s">
        <v>57</v>
      </c>
      <c r="AK48" s="35" t="s">
        <v>3068</v>
      </c>
      <c r="AL48" s="34"/>
      <c r="AM48" s="34" t="s">
        <v>1522</v>
      </c>
      <c r="AN48" s="104"/>
      <c r="AO48" s="104"/>
      <c r="AP48" s="104"/>
    </row>
    <row r="49">
      <c r="A49" s="102">
        <v>72.0</v>
      </c>
      <c r="B49" s="34">
        <v>8.79385875E8</v>
      </c>
      <c r="C49" s="34" t="s">
        <v>3071</v>
      </c>
      <c r="D49" s="34" t="s">
        <v>3072</v>
      </c>
      <c r="E49" s="35" t="s">
        <v>3073</v>
      </c>
      <c r="F49" s="43" t="s">
        <v>3074</v>
      </c>
      <c r="G49" s="35" t="s">
        <v>2389</v>
      </c>
      <c r="H49" s="43" t="s">
        <v>3075</v>
      </c>
      <c r="I49" s="35">
        <v>2017.0</v>
      </c>
      <c r="J49" s="35" t="s">
        <v>796</v>
      </c>
      <c r="K49" s="35" t="s">
        <v>730</v>
      </c>
      <c r="L49" s="35" t="s">
        <v>2500</v>
      </c>
      <c r="M49" s="35" t="s">
        <v>57</v>
      </c>
      <c r="N49" s="35" t="s">
        <v>2389</v>
      </c>
      <c r="O49" s="35" t="s">
        <v>400</v>
      </c>
      <c r="P49" s="35" t="s">
        <v>3076</v>
      </c>
      <c r="Q49" s="35" t="s">
        <v>93</v>
      </c>
      <c r="R49" s="35" t="s">
        <v>57</v>
      </c>
      <c r="S49" s="35" t="s">
        <v>57</v>
      </c>
      <c r="T49" s="35" t="s">
        <v>74</v>
      </c>
      <c r="U49" s="35" t="s">
        <v>57</v>
      </c>
      <c r="V49" s="35" t="s">
        <v>2430</v>
      </c>
      <c r="W49" s="35" t="s">
        <v>2989</v>
      </c>
      <c r="X49" s="34" t="s">
        <v>3077</v>
      </c>
      <c r="Y49" s="35" t="s">
        <v>2397</v>
      </c>
      <c r="Z49" s="35" t="s">
        <v>3078</v>
      </c>
      <c r="AA49" s="35" t="s">
        <v>57</v>
      </c>
      <c r="AB49" s="35" t="s">
        <v>57</v>
      </c>
      <c r="AC49" s="35" t="s">
        <v>74</v>
      </c>
      <c r="AD49" s="35" t="s">
        <v>215</v>
      </c>
      <c r="AE49" s="35" t="s">
        <v>3079</v>
      </c>
      <c r="AF49" s="35" t="s">
        <v>74</v>
      </c>
      <c r="AG49" s="35" t="s">
        <v>57</v>
      </c>
      <c r="AH49" s="35" t="s">
        <v>57</v>
      </c>
      <c r="AI49" s="35" t="s">
        <v>57</v>
      </c>
      <c r="AJ49" s="35" t="s">
        <v>57</v>
      </c>
      <c r="AK49" s="35" t="s">
        <v>57</v>
      </c>
      <c r="AL49" s="34"/>
      <c r="AM49" s="34" t="s">
        <v>109</v>
      </c>
      <c r="AN49" s="104"/>
      <c r="AO49" s="104"/>
      <c r="AP49" s="104"/>
    </row>
    <row r="50">
      <c r="A50" s="102">
        <v>73.0</v>
      </c>
      <c r="B50" s="34">
        <v>8.79385887E8</v>
      </c>
      <c r="C50" s="34" t="s">
        <v>3082</v>
      </c>
      <c r="D50" s="34" t="s">
        <v>3083</v>
      </c>
      <c r="E50" s="35" t="s">
        <v>3084</v>
      </c>
      <c r="F50" s="43" t="s">
        <v>3085</v>
      </c>
      <c r="G50" s="35" t="s">
        <v>443</v>
      </c>
      <c r="H50" s="43" t="s">
        <v>3086</v>
      </c>
      <c r="I50" s="35">
        <v>2019.0</v>
      </c>
      <c r="J50" s="35" t="s">
        <v>796</v>
      </c>
      <c r="K50" s="35" t="s">
        <v>730</v>
      </c>
      <c r="L50" s="35" t="s">
        <v>3087</v>
      </c>
      <c r="M50" s="35" t="s">
        <v>57</v>
      </c>
      <c r="N50" s="35" t="s">
        <v>443</v>
      </c>
      <c r="O50" s="35" t="s">
        <v>444</v>
      </c>
      <c r="P50" s="35" t="s">
        <v>3088</v>
      </c>
      <c r="Q50" s="35" t="s">
        <v>93</v>
      </c>
      <c r="R50" s="35" t="s">
        <v>57</v>
      </c>
      <c r="S50" s="35" t="s">
        <v>57</v>
      </c>
      <c r="T50" s="35" t="s">
        <v>74</v>
      </c>
      <c r="U50" s="35" t="s">
        <v>57</v>
      </c>
      <c r="V50" s="35" t="s">
        <v>96</v>
      </c>
      <c r="W50" s="35" t="s">
        <v>161</v>
      </c>
      <c r="X50" s="34" t="s">
        <v>3089</v>
      </c>
      <c r="Y50" s="35" t="s">
        <v>2397</v>
      </c>
      <c r="Z50" s="35" t="s">
        <v>3090</v>
      </c>
      <c r="AA50" s="35" t="s">
        <v>57</v>
      </c>
      <c r="AB50" s="35" t="s">
        <v>57</v>
      </c>
      <c r="AC50" s="35" t="s">
        <v>74</v>
      </c>
      <c r="AD50" s="35" t="s">
        <v>215</v>
      </c>
      <c r="AE50" s="35" t="s">
        <v>3091</v>
      </c>
      <c r="AF50" s="35" t="s">
        <v>69</v>
      </c>
      <c r="AG50" s="35" t="s">
        <v>198</v>
      </c>
      <c r="AH50" s="35" t="s">
        <v>374</v>
      </c>
      <c r="AI50" s="35" t="s">
        <v>129</v>
      </c>
      <c r="AJ50" s="35" t="s">
        <v>57</v>
      </c>
      <c r="AK50" s="35" t="s">
        <v>3092</v>
      </c>
      <c r="AL50" s="34"/>
      <c r="AM50" s="34" t="s">
        <v>109</v>
      </c>
      <c r="AN50" s="104"/>
      <c r="AO50" s="104"/>
      <c r="AP50" s="104"/>
    </row>
    <row r="51">
      <c r="A51" s="102">
        <v>74.0</v>
      </c>
      <c r="B51" s="34">
        <v>8.7938588E8</v>
      </c>
      <c r="C51" s="34" t="s">
        <v>3095</v>
      </c>
      <c r="D51" s="34" t="s">
        <v>3096</v>
      </c>
      <c r="E51" s="35" t="s">
        <v>3097</v>
      </c>
      <c r="F51" s="35" t="s">
        <v>3098</v>
      </c>
      <c r="G51" s="35" t="s">
        <v>172</v>
      </c>
      <c r="H51" s="43" t="s">
        <v>3099</v>
      </c>
      <c r="I51" s="35">
        <v>2021.0</v>
      </c>
      <c r="J51" s="43" t="s">
        <v>2117</v>
      </c>
      <c r="K51" s="35" t="s">
        <v>730</v>
      </c>
      <c r="L51" s="35" t="s">
        <v>3100</v>
      </c>
      <c r="M51" s="35" t="s">
        <v>57</v>
      </c>
      <c r="N51" s="35" t="s">
        <v>172</v>
      </c>
      <c r="O51" s="35" t="s">
        <v>347</v>
      </c>
      <c r="P51" s="35" t="s">
        <v>3101</v>
      </c>
      <c r="Q51" s="35" t="s">
        <v>93</v>
      </c>
      <c r="R51" s="35" t="s">
        <v>57</v>
      </c>
      <c r="S51" s="35" t="s">
        <v>57</v>
      </c>
      <c r="T51" s="35" t="s">
        <v>3102</v>
      </c>
      <c r="U51" s="35" t="s">
        <v>57</v>
      </c>
      <c r="V51" s="35" t="s">
        <v>96</v>
      </c>
      <c r="W51" s="35" t="s">
        <v>3103</v>
      </c>
      <c r="X51" s="34" t="s">
        <v>3104</v>
      </c>
      <c r="Y51" s="35" t="s">
        <v>2380</v>
      </c>
      <c r="Z51" s="35" t="s">
        <v>3105</v>
      </c>
      <c r="AA51" s="35" t="s">
        <v>57</v>
      </c>
      <c r="AB51" s="35" t="s">
        <v>57</v>
      </c>
      <c r="AC51" s="35" t="s">
        <v>69</v>
      </c>
      <c r="AD51" s="35" t="s">
        <v>96</v>
      </c>
      <c r="AE51" s="35" t="s">
        <v>3106</v>
      </c>
      <c r="AF51" s="35" t="s">
        <v>74</v>
      </c>
      <c r="AG51" s="35" t="s">
        <v>57</v>
      </c>
      <c r="AH51" s="35" t="s">
        <v>57</v>
      </c>
      <c r="AI51" s="35" t="s">
        <v>57</v>
      </c>
      <c r="AJ51" s="35" t="s">
        <v>57</v>
      </c>
      <c r="AK51" s="35" t="s">
        <v>57</v>
      </c>
      <c r="AL51" s="34" t="s">
        <v>3107</v>
      </c>
      <c r="AM51" s="34" t="s">
        <v>1522</v>
      </c>
      <c r="AN51" s="104"/>
      <c r="AO51" s="104"/>
      <c r="AP51" s="104"/>
    </row>
    <row r="52">
      <c r="A52" s="102">
        <v>75.0</v>
      </c>
      <c r="B52" s="34">
        <v>8.79385885E8</v>
      </c>
      <c r="C52" s="34" t="s">
        <v>3110</v>
      </c>
      <c r="D52" s="34" t="s">
        <v>3111</v>
      </c>
      <c r="E52" s="35" t="s">
        <v>3112</v>
      </c>
      <c r="F52" s="43" t="s">
        <v>3113</v>
      </c>
      <c r="G52" s="35" t="s">
        <v>87</v>
      </c>
      <c r="H52" s="43" t="s">
        <v>3114</v>
      </c>
      <c r="I52" s="35">
        <v>2021.0</v>
      </c>
      <c r="J52" s="43" t="s">
        <v>1347</v>
      </c>
      <c r="K52" s="35" t="s">
        <v>730</v>
      </c>
      <c r="L52" s="35" t="s">
        <v>3115</v>
      </c>
      <c r="M52" s="35" t="s">
        <v>57</v>
      </c>
      <c r="N52" s="35" t="s">
        <v>87</v>
      </c>
      <c r="O52" s="35" t="s">
        <v>91</v>
      </c>
      <c r="P52" s="35" t="s">
        <v>3116</v>
      </c>
      <c r="Q52" s="35" t="s">
        <v>93</v>
      </c>
      <c r="R52" s="35" t="s">
        <v>57</v>
      </c>
      <c r="S52" s="35" t="s">
        <v>57</v>
      </c>
      <c r="T52" s="35" t="s">
        <v>74</v>
      </c>
      <c r="U52" s="35" t="s">
        <v>57</v>
      </c>
      <c r="V52" s="35" t="s">
        <v>96</v>
      </c>
      <c r="W52" s="35" t="s">
        <v>2916</v>
      </c>
      <c r="X52" s="34" t="s">
        <v>3117</v>
      </c>
      <c r="Y52" s="35" t="s">
        <v>2380</v>
      </c>
      <c r="Z52" s="35" t="s">
        <v>3118</v>
      </c>
      <c r="AA52" s="35">
        <v>2018.0</v>
      </c>
      <c r="AB52" s="35">
        <v>2018.0</v>
      </c>
      <c r="AC52" s="35" t="s">
        <v>74</v>
      </c>
      <c r="AD52" s="35" t="s">
        <v>215</v>
      </c>
      <c r="AE52" s="35" t="s">
        <v>3119</v>
      </c>
      <c r="AF52" s="35" t="s">
        <v>69</v>
      </c>
      <c r="AG52" s="35" t="s">
        <v>198</v>
      </c>
      <c r="AH52" s="35" t="s">
        <v>374</v>
      </c>
      <c r="AI52" s="35" t="s">
        <v>129</v>
      </c>
      <c r="AJ52" s="35" t="s">
        <v>57</v>
      </c>
      <c r="AK52" s="35" t="s">
        <v>3120</v>
      </c>
      <c r="AL52" s="34"/>
      <c r="AM52" s="34" t="s">
        <v>1522</v>
      </c>
      <c r="AN52" s="104"/>
      <c r="AO52" s="104"/>
      <c r="AP52" s="104"/>
    </row>
    <row r="53">
      <c r="A53" s="102">
        <v>76.0</v>
      </c>
      <c r="B53" s="34">
        <v>8.79385888E8</v>
      </c>
      <c r="C53" s="34" t="s">
        <v>3123</v>
      </c>
      <c r="D53" s="34" t="s">
        <v>3124</v>
      </c>
      <c r="E53" s="35" t="s">
        <v>3125</v>
      </c>
      <c r="F53" s="43" t="s">
        <v>3126</v>
      </c>
      <c r="G53" s="35" t="s">
        <v>859</v>
      </c>
      <c r="H53" s="43" t="s">
        <v>3127</v>
      </c>
      <c r="I53" s="35">
        <v>2012.0</v>
      </c>
      <c r="J53" s="43" t="s">
        <v>796</v>
      </c>
      <c r="K53" s="35" t="s">
        <v>730</v>
      </c>
      <c r="L53" s="35" t="s">
        <v>3128</v>
      </c>
      <c r="M53" s="35" t="s">
        <v>57</v>
      </c>
      <c r="N53" s="35" t="s">
        <v>859</v>
      </c>
      <c r="O53" s="35" t="s">
        <v>3129</v>
      </c>
      <c r="P53" s="35" t="s">
        <v>3130</v>
      </c>
      <c r="Q53" s="35" t="s">
        <v>93</v>
      </c>
      <c r="R53" s="35" t="s">
        <v>3131</v>
      </c>
      <c r="S53" s="35" t="s">
        <v>3132</v>
      </c>
      <c r="T53" s="35" t="s">
        <v>74</v>
      </c>
      <c r="U53" s="35" t="s">
        <v>57</v>
      </c>
      <c r="V53" s="35" t="s">
        <v>2394</v>
      </c>
      <c r="W53" s="35" t="s">
        <v>749</v>
      </c>
      <c r="X53" s="34" t="s">
        <v>3133</v>
      </c>
      <c r="Y53" s="35" t="s">
        <v>2380</v>
      </c>
      <c r="Z53" s="35" t="s">
        <v>3134</v>
      </c>
      <c r="AA53" s="35">
        <v>2006.0</v>
      </c>
      <c r="AB53" s="35">
        <v>2006.0</v>
      </c>
      <c r="AC53" s="35" t="s">
        <v>74</v>
      </c>
      <c r="AD53" s="35" t="s">
        <v>215</v>
      </c>
      <c r="AE53" s="35" t="s">
        <v>3135</v>
      </c>
      <c r="AF53" s="35" t="s">
        <v>69</v>
      </c>
      <c r="AG53" s="35" t="s">
        <v>129</v>
      </c>
      <c r="AH53" s="35" t="s">
        <v>129</v>
      </c>
      <c r="AI53" s="35" t="s">
        <v>57</v>
      </c>
      <c r="AJ53" s="35" t="s">
        <v>57</v>
      </c>
      <c r="AK53" s="35" t="s">
        <v>3136</v>
      </c>
      <c r="AL53" s="34"/>
      <c r="AM53" s="34" t="s">
        <v>1522</v>
      </c>
      <c r="AN53" s="104"/>
      <c r="AO53" s="104"/>
      <c r="AP53" s="104"/>
    </row>
    <row r="54">
      <c r="A54" s="102">
        <v>77.0</v>
      </c>
      <c r="B54" s="34">
        <v>8.793857E7</v>
      </c>
      <c r="C54" s="34" t="s">
        <v>3139</v>
      </c>
      <c r="D54" s="34" t="s">
        <v>3140</v>
      </c>
      <c r="E54" s="35" t="s">
        <v>3141</v>
      </c>
      <c r="F54" s="43" t="s">
        <v>3142</v>
      </c>
      <c r="G54" s="35" t="s">
        <v>172</v>
      </c>
      <c r="H54" s="35" t="s">
        <v>3143</v>
      </c>
      <c r="I54" s="35">
        <v>2017.0</v>
      </c>
      <c r="J54" s="35" t="s">
        <v>2117</v>
      </c>
      <c r="K54" s="35" t="s">
        <v>730</v>
      </c>
      <c r="L54" s="35" t="s">
        <v>3144</v>
      </c>
      <c r="M54" s="35" t="s">
        <v>57</v>
      </c>
      <c r="N54" s="35" t="s">
        <v>172</v>
      </c>
      <c r="O54" s="35" t="s">
        <v>2376</v>
      </c>
      <c r="P54" s="35" t="s">
        <v>3145</v>
      </c>
      <c r="Q54" s="35" t="s">
        <v>93</v>
      </c>
      <c r="R54" s="35" t="s">
        <v>57</v>
      </c>
      <c r="S54" s="35" t="s">
        <v>57</v>
      </c>
      <c r="T54" s="35" t="s">
        <v>69</v>
      </c>
      <c r="U54" s="35" t="s">
        <v>3146</v>
      </c>
      <c r="V54" s="35" t="s">
        <v>2394</v>
      </c>
      <c r="W54" s="35" t="s">
        <v>3147</v>
      </c>
      <c r="X54" s="34" t="s">
        <v>3148</v>
      </c>
      <c r="Y54" s="35" t="s">
        <v>2397</v>
      </c>
      <c r="Z54" s="43" t="s">
        <v>3149</v>
      </c>
      <c r="AA54" s="35" t="s">
        <v>57</v>
      </c>
      <c r="AB54" s="35" t="s">
        <v>57</v>
      </c>
      <c r="AC54" s="35" t="s">
        <v>74</v>
      </c>
      <c r="AD54" s="35" t="s">
        <v>96</v>
      </c>
      <c r="AE54" s="35" t="s">
        <v>3150</v>
      </c>
      <c r="AF54" s="35" t="s">
        <v>69</v>
      </c>
      <c r="AG54" s="35" t="s">
        <v>2800</v>
      </c>
      <c r="AH54" s="35" t="s">
        <v>374</v>
      </c>
      <c r="AI54" s="35" t="s">
        <v>2067</v>
      </c>
      <c r="AJ54" s="35" t="s">
        <v>129</v>
      </c>
      <c r="AK54" s="35" t="s">
        <v>3151</v>
      </c>
      <c r="AL54" s="34" t="s">
        <v>3152</v>
      </c>
      <c r="AM54" s="34" t="s">
        <v>109</v>
      </c>
      <c r="AN54" s="104"/>
      <c r="AO54" s="104"/>
      <c r="AP54" s="104"/>
    </row>
    <row r="55">
      <c r="A55" s="102">
        <v>78.0</v>
      </c>
      <c r="B55" s="34">
        <v>8.79385909E8</v>
      </c>
      <c r="C55" s="34" t="s">
        <v>3154</v>
      </c>
      <c r="D55" s="34" t="s">
        <v>3155</v>
      </c>
      <c r="E55" s="35" t="s">
        <v>3156</v>
      </c>
      <c r="F55" s="43" t="s">
        <v>3157</v>
      </c>
      <c r="G55" s="35" t="s">
        <v>2389</v>
      </c>
      <c r="H55" s="43" t="s">
        <v>3158</v>
      </c>
      <c r="I55" s="35">
        <v>2013.0</v>
      </c>
      <c r="J55" s="43" t="s">
        <v>796</v>
      </c>
      <c r="K55" s="35" t="s">
        <v>730</v>
      </c>
      <c r="L55" s="35" t="s">
        <v>3159</v>
      </c>
      <c r="M55" s="35" t="s">
        <v>57</v>
      </c>
      <c r="N55" s="35" t="s">
        <v>2389</v>
      </c>
      <c r="O55" s="35" t="s">
        <v>3160</v>
      </c>
      <c r="P55" s="35" t="s">
        <v>3161</v>
      </c>
      <c r="Q55" s="35" t="s">
        <v>93</v>
      </c>
      <c r="R55" s="35" t="s">
        <v>57</v>
      </c>
      <c r="S55" s="35" t="s">
        <v>57</v>
      </c>
      <c r="T55" s="35" t="s">
        <v>69</v>
      </c>
      <c r="U55" s="35" t="s">
        <v>3162</v>
      </c>
      <c r="V55" s="35" t="s">
        <v>2394</v>
      </c>
      <c r="W55" s="35" t="s">
        <v>3163</v>
      </c>
      <c r="X55" s="34" t="s">
        <v>3164</v>
      </c>
      <c r="Y55" s="35" t="s">
        <v>3165</v>
      </c>
      <c r="Z55" s="35" t="s">
        <v>3166</v>
      </c>
      <c r="AA55" s="35">
        <v>2011.0</v>
      </c>
      <c r="AB55" s="35">
        <v>2011.0</v>
      </c>
      <c r="AC55" s="35" t="s">
        <v>74</v>
      </c>
      <c r="AD55" s="35" t="s">
        <v>215</v>
      </c>
      <c r="AE55" s="35" t="s">
        <v>3167</v>
      </c>
      <c r="AF55" s="35" t="s">
        <v>69</v>
      </c>
      <c r="AG55" s="35" t="s">
        <v>129</v>
      </c>
      <c r="AH55" s="35" t="s">
        <v>129</v>
      </c>
      <c r="AI55" s="35" t="s">
        <v>57</v>
      </c>
      <c r="AJ55" s="35" t="s">
        <v>57</v>
      </c>
      <c r="AK55" s="35" t="s">
        <v>3168</v>
      </c>
      <c r="AL55" s="34"/>
      <c r="AM55" s="34" t="s">
        <v>1522</v>
      </c>
      <c r="AN55" s="104"/>
      <c r="AO55" s="104"/>
      <c r="AP55" s="104"/>
    </row>
    <row r="56">
      <c r="A56" s="102">
        <v>79.0</v>
      </c>
      <c r="B56" s="34">
        <v>8.79385907E8</v>
      </c>
      <c r="C56" s="34" t="s">
        <v>3171</v>
      </c>
      <c r="D56" s="34" t="s">
        <v>3172</v>
      </c>
      <c r="E56" s="35" t="s">
        <v>3173</v>
      </c>
      <c r="F56" s="43" t="s">
        <v>3174</v>
      </c>
      <c r="G56" s="35" t="s">
        <v>2389</v>
      </c>
      <c r="H56" s="43" t="s">
        <v>3175</v>
      </c>
      <c r="I56" s="35">
        <v>2014.0</v>
      </c>
      <c r="J56" s="35" t="s">
        <v>3176</v>
      </c>
      <c r="K56" s="35" t="s">
        <v>730</v>
      </c>
      <c r="L56" s="35" t="s">
        <v>3177</v>
      </c>
      <c r="M56" s="35" t="s">
        <v>57</v>
      </c>
      <c r="N56" s="35" t="s">
        <v>2389</v>
      </c>
      <c r="O56" s="35" t="s">
        <v>1484</v>
      </c>
      <c r="P56" s="35" t="s">
        <v>3178</v>
      </c>
      <c r="Q56" s="35" t="s">
        <v>93</v>
      </c>
      <c r="R56" s="35" t="s">
        <v>3179</v>
      </c>
      <c r="S56" s="35" t="s">
        <v>3180</v>
      </c>
      <c r="T56" s="35" t="s">
        <v>69</v>
      </c>
      <c r="U56" s="35" t="s">
        <v>3181</v>
      </c>
      <c r="V56" s="35" t="s">
        <v>2394</v>
      </c>
      <c r="W56" s="35" t="s">
        <v>3182</v>
      </c>
      <c r="X56" s="34" t="s">
        <v>3183</v>
      </c>
      <c r="Y56" s="35" t="s">
        <v>2397</v>
      </c>
      <c r="Z56" s="35" t="s">
        <v>3184</v>
      </c>
      <c r="AA56" s="35">
        <v>2006.0</v>
      </c>
      <c r="AB56" s="35">
        <v>2007.0</v>
      </c>
      <c r="AC56" s="35" t="s">
        <v>74</v>
      </c>
      <c r="AD56" s="35" t="s">
        <v>96</v>
      </c>
      <c r="AE56" s="35" t="s">
        <v>3185</v>
      </c>
      <c r="AF56" s="35" t="s">
        <v>74</v>
      </c>
      <c r="AG56" s="35" t="s">
        <v>57</v>
      </c>
      <c r="AH56" s="35" t="s">
        <v>57</v>
      </c>
      <c r="AI56" s="35" t="s">
        <v>57</v>
      </c>
      <c r="AJ56" s="35" t="s">
        <v>57</v>
      </c>
      <c r="AK56" s="35" t="s">
        <v>57</v>
      </c>
      <c r="AL56" s="34"/>
      <c r="AM56" s="34" t="s">
        <v>109</v>
      </c>
      <c r="AN56" s="104"/>
      <c r="AO56" s="104"/>
      <c r="AP56" s="104"/>
    </row>
    <row r="57">
      <c r="A57" s="102">
        <v>80.0</v>
      </c>
      <c r="B57" s="34">
        <v>8.7938591E8</v>
      </c>
      <c r="C57" s="34" t="s">
        <v>3188</v>
      </c>
      <c r="D57" s="34" t="s">
        <v>3189</v>
      </c>
      <c r="E57" s="35" t="s">
        <v>3190</v>
      </c>
      <c r="F57" s="35" t="s">
        <v>3191</v>
      </c>
      <c r="G57" s="35" t="s">
        <v>439</v>
      </c>
      <c r="H57" s="43" t="s">
        <v>3192</v>
      </c>
      <c r="I57" s="35">
        <v>2020.0</v>
      </c>
      <c r="J57" s="43" t="s">
        <v>2117</v>
      </c>
      <c r="K57" s="35" t="s">
        <v>730</v>
      </c>
      <c r="L57" s="35" t="s">
        <v>3087</v>
      </c>
      <c r="M57" s="35" t="s">
        <v>57</v>
      </c>
      <c r="N57" s="35" t="s">
        <v>439</v>
      </c>
      <c r="O57" s="35" t="s">
        <v>3193</v>
      </c>
      <c r="P57" s="35" t="s">
        <v>3194</v>
      </c>
      <c r="Q57" s="35" t="s">
        <v>93</v>
      </c>
      <c r="R57" s="35" t="s">
        <v>57</v>
      </c>
      <c r="S57" s="35" t="s">
        <v>57</v>
      </c>
      <c r="T57" s="35" t="s">
        <v>74</v>
      </c>
      <c r="U57" s="35" t="s">
        <v>57</v>
      </c>
      <c r="V57" s="35" t="s">
        <v>193</v>
      </c>
      <c r="W57" s="35" t="s">
        <v>536</v>
      </c>
      <c r="X57" s="34" t="s">
        <v>3195</v>
      </c>
      <c r="Y57" s="35" t="s">
        <v>2397</v>
      </c>
      <c r="Z57" s="35" t="s">
        <v>3196</v>
      </c>
      <c r="AA57" s="35" t="s">
        <v>57</v>
      </c>
      <c r="AB57" s="35" t="s">
        <v>57</v>
      </c>
      <c r="AC57" s="35" t="s">
        <v>74</v>
      </c>
      <c r="AD57" s="35" t="s">
        <v>96</v>
      </c>
      <c r="AE57" s="35" t="s">
        <v>3197</v>
      </c>
      <c r="AF57" s="35" t="s">
        <v>69</v>
      </c>
      <c r="AG57" s="35" t="s">
        <v>129</v>
      </c>
      <c r="AH57" s="35" t="s">
        <v>129</v>
      </c>
      <c r="AI57" s="35" t="s">
        <v>57</v>
      </c>
      <c r="AJ57" s="35" t="s">
        <v>57</v>
      </c>
      <c r="AK57" s="35" t="s">
        <v>3198</v>
      </c>
      <c r="AL57" s="34"/>
      <c r="AM57" s="34" t="s">
        <v>1522</v>
      </c>
      <c r="AN57" s="104"/>
      <c r="AO57" s="104"/>
      <c r="AP57" s="104"/>
    </row>
    <row r="58">
      <c r="A58" s="102">
        <v>81.0</v>
      </c>
      <c r="B58" s="34">
        <v>8.79385913E8</v>
      </c>
      <c r="C58" s="34" t="s">
        <v>3201</v>
      </c>
      <c r="D58" s="34" t="s">
        <v>873</v>
      </c>
      <c r="E58" s="35" t="s">
        <v>3202</v>
      </c>
      <c r="F58" s="43" t="s">
        <v>3203</v>
      </c>
      <c r="G58" s="35" t="s">
        <v>859</v>
      </c>
      <c r="H58" s="43" t="s">
        <v>3204</v>
      </c>
      <c r="I58" s="35">
        <v>2021.0</v>
      </c>
      <c r="J58" s="35" t="s">
        <v>3205</v>
      </c>
      <c r="K58" s="35" t="s">
        <v>730</v>
      </c>
      <c r="L58" s="35" t="s">
        <v>3206</v>
      </c>
      <c r="M58" s="35" t="s">
        <v>57</v>
      </c>
      <c r="N58" s="35" t="s">
        <v>859</v>
      </c>
      <c r="O58" s="35" t="s">
        <v>3207</v>
      </c>
      <c r="P58" s="35" t="s">
        <v>3208</v>
      </c>
      <c r="Q58" s="35" t="s">
        <v>93</v>
      </c>
      <c r="R58" s="35" t="s">
        <v>3209</v>
      </c>
      <c r="S58" s="35" t="s">
        <v>3210</v>
      </c>
      <c r="T58" s="35" t="s">
        <v>74</v>
      </c>
      <c r="U58" s="35" t="s">
        <v>57</v>
      </c>
      <c r="V58" s="35" t="s">
        <v>96</v>
      </c>
      <c r="W58" s="35" t="s">
        <v>536</v>
      </c>
      <c r="X58" s="34" t="s">
        <v>3211</v>
      </c>
      <c r="Y58" s="35" t="s">
        <v>2397</v>
      </c>
      <c r="Z58" s="35" t="s">
        <v>3212</v>
      </c>
      <c r="AA58" s="35">
        <v>2019.0</v>
      </c>
      <c r="AB58" s="35">
        <v>2019.0</v>
      </c>
      <c r="AC58" s="35" t="s">
        <v>74</v>
      </c>
      <c r="AD58" s="35" t="s">
        <v>215</v>
      </c>
      <c r="AE58" s="35" t="s">
        <v>3213</v>
      </c>
      <c r="AF58" s="35" t="s">
        <v>74</v>
      </c>
      <c r="AG58" s="35" t="s">
        <v>57</v>
      </c>
      <c r="AH58" s="35" t="s">
        <v>57</v>
      </c>
      <c r="AI58" s="35" t="s">
        <v>57</v>
      </c>
      <c r="AJ58" s="35" t="s">
        <v>57</v>
      </c>
      <c r="AK58" s="35" t="s">
        <v>57</v>
      </c>
      <c r="AL58" s="34"/>
      <c r="AM58" s="34" t="s">
        <v>109</v>
      </c>
      <c r="AN58" s="104"/>
      <c r="AO58" s="104"/>
      <c r="AP58" s="104"/>
    </row>
    <row r="59">
      <c r="A59" s="102">
        <v>82.0</v>
      </c>
      <c r="B59" s="34">
        <v>8.79385934E8</v>
      </c>
      <c r="C59" s="34" t="s">
        <v>3214</v>
      </c>
      <c r="D59" s="34" t="s">
        <v>3215</v>
      </c>
      <c r="E59" s="35" t="s">
        <v>3216</v>
      </c>
      <c r="F59" s="43" t="s">
        <v>3217</v>
      </c>
      <c r="G59" s="35" t="s">
        <v>172</v>
      </c>
      <c r="H59" s="35" t="s">
        <v>3218</v>
      </c>
      <c r="I59" s="35">
        <v>2020.0</v>
      </c>
      <c r="J59" s="43" t="s">
        <v>3219</v>
      </c>
      <c r="K59" s="35" t="s">
        <v>730</v>
      </c>
      <c r="L59" s="35" t="s">
        <v>57</v>
      </c>
      <c r="M59" s="35" t="s">
        <v>3220</v>
      </c>
      <c r="N59" s="35" t="s">
        <v>172</v>
      </c>
      <c r="O59" s="35" t="s">
        <v>3221</v>
      </c>
      <c r="P59" s="35" t="s">
        <v>3222</v>
      </c>
      <c r="Q59" s="35" t="s">
        <v>93</v>
      </c>
      <c r="R59" s="35" t="s">
        <v>57</v>
      </c>
      <c r="S59" s="35" t="s">
        <v>57</v>
      </c>
      <c r="T59" s="35" t="s">
        <v>74</v>
      </c>
      <c r="U59" s="35" t="s">
        <v>57</v>
      </c>
      <c r="V59" s="35" t="s">
        <v>2394</v>
      </c>
      <c r="W59" s="35" t="s">
        <v>2886</v>
      </c>
      <c r="X59" s="34" t="s">
        <v>3223</v>
      </c>
      <c r="Y59" s="35" t="s">
        <v>2397</v>
      </c>
      <c r="Z59" s="35" t="s">
        <v>3224</v>
      </c>
      <c r="AA59" s="35">
        <v>2016.0</v>
      </c>
      <c r="AB59" s="35">
        <v>2016.0</v>
      </c>
      <c r="AC59" s="35" t="s">
        <v>74</v>
      </c>
      <c r="AD59" s="35" t="s">
        <v>96</v>
      </c>
      <c r="AE59" s="35" t="s">
        <v>3225</v>
      </c>
      <c r="AF59" s="35" t="s">
        <v>74</v>
      </c>
      <c r="AG59" s="35" t="s">
        <v>57</v>
      </c>
      <c r="AH59" s="35" t="s">
        <v>57</v>
      </c>
      <c r="AI59" s="35" t="s">
        <v>57</v>
      </c>
      <c r="AJ59" s="35" t="s">
        <v>57</v>
      </c>
      <c r="AK59" s="35" t="s">
        <v>57</v>
      </c>
      <c r="AL59" s="34"/>
      <c r="AM59" s="34" t="s">
        <v>1522</v>
      </c>
      <c r="AN59" s="104"/>
      <c r="AO59" s="104"/>
      <c r="AP59" s="104"/>
    </row>
    <row r="60">
      <c r="A60" s="102">
        <v>83.0</v>
      </c>
      <c r="B60" s="34">
        <v>8.79385935E8</v>
      </c>
      <c r="C60" s="34" t="s">
        <v>3228</v>
      </c>
      <c r="D60" s="34" t="s">
        <v>3229</v>
      </c>
      <c r="E60" s="35" t="s">
        <v>3230</v>
      </c>
      <c r="F60" s="43" t="s">
        <v>3231</v>
      </c>
      <c r="G60" s="35" t="s">
        <v>581</v>
      </c>
      <c r="H60" s="35" t="s">
        <v>3232</v>
      </c>
      <c r="I60" s="35">
        <v>2014.0</v>
      </c>
      <c r="J60" s="43" t="s">
        <v>3233</v>
      </c>
      <c r="K60" s="35" t="s">
        <v>730</v>
      </c>
      <c r="L60" s="35" t="s">
        <v>3234</v>
      </c>
      <c r="M60" s="35" t="s">
        <v>57</v>
      </c>
      <c r="N60" s="35" t="s">
        <v>581</v>
      </c>
      <c r="O60" s="35" t="s">
        <v>585</v>
      </c>
      <c r="P60" s="35" t="s">
        <v>3235</v>
      </c>
      <c r="Q60" s="35" t="s">
        <v>554</v>
      </c>
      <c r="R60" s="35" t="s">
        <v>3236</v>
      </c>
      <c r="S60" s="43" t="s">
        <v>3237</v>
      </c>
      <c r="T60" s="35" t="s">
        <v>69</v>
      </c>
      <c r="U60" s="35" t="s">
        <v>3238</v>
      </c>
      <c r="V60" s="35" t="s">
        <v>96</v>
      </c>
      <c r="W60" s="35" t="s">
        <v>1579</v>
      </c>
      <c r="X60" s="34" t="s">
        <v>3239</v>
      </c>
      <c r="Y60" s="35" t="s">
        <v>3165</v>
      </c>
      <c r="Z60" s="35" t="s">
        <v>3240</v>
      </c>
      <c r="AA60" s="35">
        <v>2010.0</v>
      </c>
      <c r="AB60" s="35">
        <v>2010.0</v>
      </c>
      <c r="AC60" s="35" t="s">
        <v>69</v>
      </c>
      <c r="AD60" s="35" t="s">
        <v>215</v>
      </c>
      <c r="AE60" s="35" t="s">
        <v>3241</v>
      </c>
      <c r="AF60" s="35" t="s">
        <v>69</v>
      </c>
      <c r="AG60" s="35" t="s">
        <v>129</v>
      </c>
      <c r="AH60" s="35" t="s">
        <v>129</v>
      </c>
      <c r="AI60" s="35" t="s">
        <v>57</v>
      </c>
      <c r="AJ60" s="35" t="s">
        <v>57</v>
      </c>
      <c r="AK60" s="35" t="s">
        <v>3242</v>
      </c>
      <c r="AL60" s="34" t="s">
        <v>3243</v>
      </c>
      <c r="AM60" s="34" t="s">
        <v>1522</v>
      </c>
      <c r="AN60" s="104"/>
      <c r="AO60" s="104"/>
      <c r="AP60" s="104"/>
    </row>
    <row r="61">
      <c r="A61" s="102">
        <v>84.0</v>
      </c>
      <c r="B61" s="34">
        <v>8.79385928E8</v>
      </c>
      <c r="C61" s="34" t="s">
        <v>3246</v>
      </c>
      <c r="D61" s="34" t="s">
        <v>3247</v>
      </c>
      <c r="E61" s="35" t="s">
        <v>3248</v>
      </c>
      <c r="F61" s="43" t="s">
        <v>3249</v>
      </c>
      <c r="G61" s="35" t="s">
        <v>172</v>
      </c>
      <c r="H61" s="43" t="s">
        <v>3250</v>
      </c>
      <c r="I61" s="35">
        <v>2020.0</v>
      </c>
      <c r="J61" s="43" t="s">
        <v>1347</v>
      </c>
      <c r="K61" s="35" t="s">
        <v>730</v>
      </c>
      <c r="L61" s="35" t="s">
        <v>3251</v>
      </c>
      <c r="M61" s="35" t="s">
        <v>57</v>
      </c>
      <c r="N61" s="35" t="s">
        <v>172</v>
      </c>
      <c r="O61" s="35" t="s">
        <v>3252</v>
      </c>
      <c r="P61" s="35" t="s">
        <v>3253</v>
      </c>
      <c r="Q61" s="35" t="s">
        <v>93</v>
      </c>
      <c r="R61" s="35" t="s">
        <v>57</v>
      </c>
      <c r="S61" s="35" t="s">
        <v>57</v>
      </c>
      <c r="T61" s="35" t="s">
        <v>74</v>
      </c>
      <c r="U61" s="35" t="s">
        <v>57</v>
      </c>
      <c r="V61" s="35" t="s">
        <v>2394</v>
      </c>
      <c r="W61" s="35" t="s">
        <v>161</v>
      </c>
      <c r="X61" s="34" t="s">
        <v>3254</v>
      </c>
      <c r="Y61" s="35" t="s">
        <v>2397</v>
      </c>
      <c r="Z61" s="35" t="s">
        <v>3255</v>
      </c>
      <c r="AA61" s="35">
        <v>2018.0</v>
      </c>
      <c r="AB61" s="35">
        <v>2018.0</v>
      </c>
      <c r="AC61" s="35" t="s">
        <v>69</v>
      </c>
      <c r="AD61" s="35" t="s">
        <v>215</v>
      </c>
      <c r="AE61" s="35" t="s">
        <v>3256</v>
      </c>
      <c r="AF61" s="35" t="s">
        <v>74</v>
      </c>
      <c r="AG61" s="35" t="s">
        <v>57</v>
      </c>
      <c r="AH61" s="35" t="s">
        <v>57</v>
      </c>
      <c r="AI61" s="35" t="s">
        <v>57</v>
      </c>
      <c r="AJ61" s="35" t="s">
        <v>57</v>
      </c>
      <c r="AK61" s="35" t="s">
        <v>57</v>
      </c>
      <c r="AL61" s="34"/>
      <c r="AM61" s="34" t="s">
        <v>1522</v>
      </c>
      <c r="AN61" s="104"/>
      <c r="AO61" s="104"/>
      <c r="AP61" s="104"/>
    </row>
    <row r="62">
      <c r="A62" s="102">
        <v>86.0</v>
      </c>
      <c r="B62" s="34">
        <v>8.79385959E8</v>
      </c>
      <c r="C62" s="34" t="s">
        <v>3258</v>
      </c>
      <c r="D62" s="34" t="s">
        <v>3259</v>
      </c>
      <c r="E62" s="35" t="s">
        <v>3260</v>
      </c>
      <c r="F62" s="43" t="s">
        <v>3261</v>
      </c>
      <c r="G62" s="35" t="s">
        <v>172</v>
      </c>
      <c r="H62" s="43" t="s">
        <v>3262</v>
      </c>
      <c r="I62" s="35">
        <v>2013.0</v>
      </c>
      <c r="J62" s="43" t="s">
        <v>295</v>
      </c>
      <c r="K62" s="35" t="s">
        <v>730</v>
      </c>
      <c r="L62" s="35" t="s">
        <v>3263</v>
      </c>
      <c r="M62" s="35" t="s">
        <v>57</v>
      </c>
      <c r="N62" s="35" t="s">
        <v>172</v>
      </c>
      <c r="O62" s="35" t="s">
        <v>3264</v>
      </c>
      <c r="P62" s="35" t="s">
        <v>3265</v>
      </c>
      <c r="Q62" s="35" t="s">
        <v>93</v>
      </c>
      <c r="R62" s="35" t="s">
        <v>3266</v>
      </c>
      <c r="S62" s="35" t="s">
        <v>3267</v>
      </c>
      <c r="T62" s="35" t="s">
        <v>74</v>
      </c>
      <c r="U62" s="35" t="s">
        <v>57</v>
      </c>
      <c r="V62" s="35" t="s">
        <v>2394</v>
      </c>
      <c r="W62" s="35" t="s">
        <v>3268</v>
      </c>
      <c r="X62" s="34" t="s">
        <v>3269</v>
      </c>
      <c r="Y62" s="35" t="s">
        <v>2380</v>
      </c>
      <c r="Z62" s="35" t="s">
        <v>3270</v>
      </c>
      <c r="AA62" s="35">
        <v>2005.0</v>
      </c>
      <c r="AB62" s="35">
        <v>2005.0</v>
      </c>
      <c r="AC62" s="35" t="s">
        <v>74</v>
      </c>
      <c r="AD62" s="35" t="s">
        <v>96</v>
      </c>
      <c r="AE62" s="35" t="s">
        <v>3271</v>
      </c>
      <c r="AF62" s="35" t="s">
        <v>74</v>
      </c>
      <c r="AG62" s="35" t="s">
        <v>57</v>
      </c>
      <c r="AH62" s="35" t="s">
        <v>57</v>
      </c>
      <c r="AI62" s="35" t="s">
        <v>57</v>
      </c>
      <c r="AJ62" s="35" t="s">
        <v>57</v>
      </c>
      <c r="AK62" s="35" t="s">
        <v>57</v>
      </c>
      <c r="AL62" s="34"/>
      <c r="AM62" s="34" t="s">
        <v>1522</v>
      </c>
      <c r="AN62" s="104"/>
      <c r="AO62" s="104"/>
      <c r="AP62" s="104"/>
    </row>
    <row r="63">
      <c r="A63" s="102">
        <v>89.0</v>
      </c>
      <c r="B63" s="34">
        <v>8.79385998E8</v>
      </c>
      <c r="C63" s="34" t="s">
        <v>3274</v>
      </c>
      <c r="D63" s="34" t="s">
        <v>3275</v>
      </c>
      <c r="E63" s="35" t="s">
        <v>3276</v>
      </c>
      <c r="F63" s="35" t="s">
        <v>3277</v>
      </c>
      <c r="G63" s="35" t="s">
        <v>87</v>
      </c>
      <c r="H63" s="43" t="s">
        <v>3278</v>
      </c>
      <c r="I63" s="35">
        <v>2022.0</v>
      </c>
      <c r="J63" s="43" t="s">
        <v>1347</v>
      </c>
      <c r="K63" s="35" t="s">
        <v>730</v>
      </c>
      <c r="L63" s="35" t="s">
        <v>3279</v>
      </c>
      <c r="M63" s="35" t="s">
        <v>57</v>
      </c>
      <c r="N63" s="35" t="s">
        <v>87</v>
      </c>
      <c r="O63" s="35" t="s">
        <v>91</v>
      </c>
      <c r="P63" s="35" t="s">
        <v>3280</v>
      </c>
      <c r="Q63" s="35" t="s">
        <v>93</v>
      </c>
      <c r="R63" s="43" t="s">
        <v>3281</v>
      </c>
      <c r="S63" s="43" t="s">
        <v>3282</v>
      </c>
      <c r="T63" s="35" t="s">
        <v>74</v>
      </c>
      <c r="U63" s="35" t="s">
        <v>57</v>
      </c>
      <c r="V63" s="35" t="s">
        <v>2394</v>
      </c>
      <c r="W63" s="35" t="s">
        <v>2634</v>
      </c>
      <c r="X63" s="34" t="s">
        <v>3283</v>
      </c>
      <c r="Y63" s="35" t="s">
        <v>2397</v>
      </c>
      <c r="Z63" s="35" t="s">
        <v>3284</v>
      </c>
      <c r="AA63" s="35">
        <v>2019.0</v>
      </c>
      <c r="AB63" s="35">
        <v>2019.0</v>
      </c>
      <c r="AC63" s="35" t="s">
        <v>74</v>
      </c>
      <c r="AD63" s="35" t="s">
        <v>215</v>
      </c>
      <c r="AE63" s="35" t="s">
        <v>3285</v>
      </c>
      <c r="AF63" s="35" t="s">
        <v>69</v>
      </c>
      <c r="AG63" s="35" t="s">
        <v>129</v>
      </c>
      <c r="AH63" s="35" t="s">
        <v>129</v>
      </c>
      <c r="AI63" s="35" t="s">
        <v>57</v>
      </c>
      <c r="AJ63" s="35" t="s">
        <v>57</v>
      </c>
      <c r="AK63" s="35" t="s">
        <v>3286</v>
      </c>
      <c r="AL63" s="34"/>
      <c r="AM63" s="34" t="s">
        <v>1522</v>
      </c>
      <c r="AN63" s="104"/>
      <c r="AO63" s="104"/>
      <c r="AP63" s="104"/>
    </row>
    <row r="64">
      <c r="A64" s="102">
        <v>90.0</v>
      </c>
      <c r="B64" s="34">
        <v>8.79386019E8</v>
      </c>
      <c r="C64" s="34" t="s">
        <v>3289</v>
      </c>
      <c r="D64" s="34" t="s">
        <v>3290</v>
      </c>
      <c r="E64" s="35" t="s">
        <v>3291</v>
      </c>
      <c r="F64" s="43" t="s">
        <v>3292</v>
      </c>
      <c r="G64" s="35" t="s">
        <v>2389</v>
      </c>
      <c r="H64" s="43" t="s">
        <v>3293</v>
      </c>
      <c r="I64" s="35">
        <v>2016.0</v>
      </c>
      <c r="J64" s="43" t="s">
        <v>2117</v>
      </c>
      <c r="K64" s="35" t="s">
        <v>730</v>
      </c>
      <c r="L64" s="35" t="s">
        <v>3294</v>
      </c>
      <c r="M64" s="35" t="s">
        <v>57</v>
      </c>
      <c r="N64" s="35" t="s">
        <v>2389</v>
      </c>
      <c r="O64" s="35" t="s">
        <v>258</v>
      </c>
      <c r="P64" s="35" t="s">
        <v>3295</v>
      </c>
      <c r="Q64" s="35" t="s">
        <v>93</v>
      </c>
      <c r="R64" s="35" t="s">
        <v>3296</v>
      </c>
      <c r="S64" s="35" t="s">
        <v>3297</v>
      </c>
      <c r="T64" s="35" t="s">
        <v>69</v>
      </c>
      <c r="U64" s="35" t="s">
        <v>3298</v>
      </c>
      <c r="V64" s="35" t="s">
        <v>96</v>
      </c>
      <c r="W64" s="35" t="s">
        <v>3299</v>
      </c>
      <c r="X64" s="34" t="s">
        <v>3300</v>
      </c>
      <c r="Y64" s="35" t="s">
        <v>3301</v>
      </c>
      <c r="Z64" s="35" t="s">
        <v>3302</v>
      </c>
      <c r="AA64" s="35">
        <v>2014.0</v>
      </c>
      <c r="AB64" s="35">
        <v>2015.0</v>
      </c>
      <c r="AC64" s="35" t="s">
        <v>74</v>
      </c>
      <c r="AD64" s="35" t="s">
        <v>215</v>
      </c>
      <c r="AE64" s="35" t="s">
        <v>3303</v>
      </c>
      <c r="AF64" s="35" t="s">
        <v>69</v>
      </c>
      <c r="AG64" s="35" t="s">
        <v>129</v>
      </c>
      <c r="AH64" s="35" t="s">
        <v>129</v>
      </c>
      <c r="AI64" s="35" t="s">
        <v>57</v>
      </c>
      <c r="AJ64" s="35" t="s">
        <v>57</v>
      </c>
      <c r="AK64" s="35" t="s">
        <v>3304</v>
      </c>
      <c r="AL64" s="34" t="s">
        <v>2556</v>
      </c>
      <c r="AM64" s="34" t="s">
        <v>1522</v>
      </c>
      <c r="AN64" s="104"/>
      <c r="AO64" s="104"/>
      <c r="AP64" s="104"/>
    </row>
    <row r="65">
      <c r="A65" s="102">
        <v>91.0</v>
      </c>
      <c r="B65" s="34">
        <v>8.7938604E8</v>
      </c>
      <c r="C65" s="34" t="s">
        <v>3307</v>
      </c>
      <c r="D65" s="34" t="s">
        <v>3308</v>
      </c>
      <c r="E65" s="35" t="s">
        <v>3309</v>
      </c>
      <c r="F65" s="43" t="s">
        <v>3310</v>
      </c>
      <c r="G65" s="35" t="s">
        <v>3311</v>
      </c>
      <c r="H65" s="43" t="s">
        <v>3312</v>
      </c>
      <c r="I65" s="35">
        <v>2018.0</v>
      </c>
      <c r="J65" s="43" t="s">
        <v>3313</v>
      </c>
      <c r="K65" s="35" t="s">
        <v>730</v>
      </c>
      <c r="L65" s="35" t="s">
        <v>3314</v>
      </c>
      <c r="M65" s="35" t="s">
        <v>57</v>
      </c>
      <c r="N65" s="35" t="s">
        <v>3311</v>
      </c>
      <c r="O65" s="35" t="s">
        <v>3315</v>
      </c>
      <c r="P65" s="35" t="s">
        <v>3316</v>
      </c>
      <c r="Q65" s="35" t="s">
        <v>93</v>
      </c>
      <c r="R65" s="35" t="s">
        <v>57</v>
      </c>
      <c r="S65" s="43" t="s">
        <v>57</v>
      </c>
      <c r="T65" s="35" t="s">
        <v>74</v>
      </c>
      <c r="U65" s="35" t="s">
        <v>57</v>
      </c>
      <c r="V65" s="35" t="s">
        <v>2394</v>
      </c>
      <c r="W65" s="35" t="s">
        <v>161</v>
      </c>
      <c r="X65" s="34" t="s">
        <v>3317</v>
      </c>
      <c r="Y65" s="35" t="s">
        <v>2397</v>
      </c>
      <c r="Z65" s="35" t="s">
        <v>3318</v>
      </c>
      <c r="AA65" s="35">
        <v>2014.0</v>
      </c>
      <c r="AB65" s="35">
        <v>2017.0</v>
      </c>
      <c r="AC65" s="35" t="s">
        <v>74</v>
      </c>
      <c r="AD65" s="35" t="s">
        <v>96</v>
      </c>
      <c r="AE65" s="35" t="s">
        <v>3319</v>
      </c>
      <c r="AF65" s="35" t="s">
        <v>74</v>
      </c>
      <c r="AG65" s="35" t="s">
        <v>57</v>
      </c>
      <c r="AH65" s="35" t="s">
        <v>57</v>
      </c>
      <c r="AI65" s="35" t="s">
        <v>57</v>
      </c>
      <c r="AJ65" s="35" t="s">
        <v>57</v>
      </c>
      <c r="AK65" s="35" t="s">
        <v>57</v>
      </c>
      <c r="AL65" s="34"/>
      <c r="AM65" s="34" t="s">
        <v>1522</v>
      </c>
      <c r="AN65" s="104"/>
      <c r="AO65" s="104"/>
      <c r="AP65" s="104"/>
    </row>
    <row r="66">
      <c r="A66" s="102">
        <v>92.0</v>
      </c>
      <c r="B66" s="34">
        <v>8.79386074E8</v>
      </c>
      <c r="C66" s="34" t="s">
        <v>3322</v>
      </c>
      <c r="D66" s="34" t="s">
        <v>3323</v>
      </c>
      <c r="E66" s="35" t="s">
        <v>3324</v>
      </c>
      <c r="F66" s="43" t="s">
        <v>3325</v>
      </c>
      <c r="G66" s="35" t="s">
        <v>172</v>
      </c>
      <c r="H66" s="43" t="s">
        <v>3326</v>
      </c>
      <c r="I66" s="35">
        <v>2016.0</v>
      </c>
      <c r="J66" s="43" t="s">
        <v>796</v>
      </c>
      <c r="K66" s="35" t="s">
        <v>730</v>
      </c>
      <c r="L66" s="35" t="s">
        <v>3327</v>
      </c>
      <c r="M66" s="35" t="s">
        <v>57</v>
      </c>
      <c r="N66" s="35" t="s">
        <v>172</v>
      </c>
      <c r="O66" s="35" t="s">
        <v>2376</v>
      </c>
      <c r="P66" s="35" t="s">
        <v>3328</v>
      </c>
      <c r="Q66" s="35" t="s">
        <v>93</v>
      </c>
      <c r="R66" s="35" t="s">
        <v>3329</v>
      </c>
      <c r="S66" s="35" t="s">
        <v>3330</v>
      </c>
      <c r="T66" s="35" t="s">
        <v>74</v>
      </c>
      <c r="U66" s="35" t="s">
        <v>57</v>
      </c>
      <c r="V66" s="35" t="s">
        <v>96</v>
      </c>
      <c r="W66" s="35" t="s">
        <v>2989</v>
      </c>
      <c r="X66" s="34" t="s">
        <v>3331</v>
      </c>
      <c r="Y66" s="35" t="s">
        <v>2397</v>
      </c>
      <c r="Z66" s="35" t="s">
        <v>3332</v>
      </c>
      <c r="AA66" s="35">
        <v>1995.0</v>
      </c>
      <c r="AB66" s="35">
        <v>2014.0</v>
      </c>
      <c r="AC66" s="35" t="s">
        <v>74</v>
      </c>
      <c r="AD66" s="35" t="s">
        <v>96</v>
      </c>
      <c r="AE66" s="35" t="s">
        <v>3333</v>
      </c>
      <c r="AF66" s="35" t="s">
        <v>69</v>
      </c>
      <c r="AG66" s="35" t="s">
        <v>129</v>
      </c>
      <c r="AH66" s="35" t="s">
        <v>129</v>
      </c>
      <c r="AI66" s="35" t="s">
        <v>57</v>
      </c>
      <c r="AJ66" s="35" t="s">
        <v>57</v>
      </c>
      <c r="AK66" s="35" t="s">
        <v>3334</v>
      </c>
      <c r="AL66" s="34" t="s">
        <v>2556</v>
      </c>
      <c r="AM66" s="34" t="s">
        <v>1522</v>
      </c>
      <c r="AN66" s="104"/>
      <c r="AO66" s="104"/>
      <c r="AP66" s="104"/>
    </row>
    <row r="67">
      <c r="A67" s="102">
        <v>93.0</v>
      </c>
      <c r="B67" s="34">
        <v>8.79386077E8</v>
      </c>
      <c r="C67" s="34" t="s">
        <v>3337</v>
      </c>
      <c r="D67" s="34" t="s">
        <v>3338</v>
      </c>
      <c r="E67" s="35" t="s">
        <v>3339</v>
      </c>
      <c r="F67" s="43" t="s">
        <v>3340</v>
      </c>
      <c r="G67" s="35" t="s">
        <v>2389</v>
      </c>
      <c r="H67" s="43" t="s">
        <v>3341</v>
      </c>
      <c r="I67" s="35">
        <v>2018.0</v>
      </c>
      <c r="J67" s="43" t="s">
        <v>1347</v>
      </c>
      <c r="K67" s="35" t="s">
        <v>730</v>
      </c>
      <c r="L67" s="35" t="s">
        <v>3342</v>
      </c>
      <c r="M67" s="35" t="s">
        <v>57</v>
      </c>
      <c r="N67" s="35" t="s">
        <v>2389</v>
      </c>
      <c r="O67" s="35" t="s">
        <v>2010</v>
      </c>
      <c r="P67" s="35" t="s">
        <v>3343</v>
      </c>
      <c r="Q67" s="35" t="s">
        <v>93</v>
      </c>
      <c r="R67" s="35" t="s">
        <v>57</v>
      </c>
      <c r="S67" s="35" t="s">
        <v>57</v>
      </c>
      <c r="T67" s="35" t="s">
        <v>74</v>
      </c>
      <c r="U67" s="35" t="s">
        <v>57</v>
      </c>
      <c r="V67" s="35" t="s">
        <v>2394</v>
      </c>
      <c r="W67" s="35" t="s">
        <v>3344</v>
      </c>
      <c r="X67" s="34" t="s">
        <v>3345</v>
      </c>
      <c r="Y67" s="35" t="s">
        <v>2397</v>
      </c>
      <c r="Z67" s="35" t="s">
        <v>3346</v>
      </c>
      <c r="AA67" s="35">
        <v>2016.0</v>
      </c>
      <c r="AB67" s="35">
        <v>2016.0</v>
      </c>
      <c r="AC67" s="35" t="s">
        <v>74</v>
      </c>
      <c r="AD67" s="35" t="s">
        <v>96</v>
      </c>
      <c r="AE67" s="35" t="s">
        <v>3347</v>
      </c>
      <c r="AF67" s="35" t="s">
        <v>69</v>
      </c>
      <c r="AG67" s="35" t="s">
        <v>129</v>
      </c>
      <c r="AH67" s="35" t="s">
        <v>129</v>
      </c>
      <c r="AI67" s="35" t="s">
        <v>57</v>
      </c>
      <c r="AJ67" s="35" t="s">
        <v>57</v>
      </c>
      <c r="AK67" s="35" t="s">
        <v>3348</v>
      </c>
      <c r="AL67" s="34" t="s">
        <v>2556</v>
      </c>
      <c r="AM67" s="34" t="s">
        <v>1522</v>
      </c>
      <c r="AN67" s="104"/>
      <c r="AO67" s="104"/>
      <c r="AP67" s="104"/>
    </row>
    <row r="68">
      <c r="A68" s="102">
        <v>95.0</v>
      </c>
      <c r="B68" s="34">
        <v>8.79386082E8</v>
      </c>
      <c r="C68" s="34" t="s">
        <v>3351</v>
      </c>
      <c r="D68" s="34" t="s">
        <v>3352</v>
      </c>
      <c r="E68" s="35" t="s">
        <v>3353</v>
      </c>
      <c r="F68" s="43" t="s">
        <v>3354</v>
      </c>
      <c r="G68" s="35" t="s">
        <v>639</v>
      </c>
      <c r="H68" s="43" t="s">
        <v>3355</v>
      </c>
      <c r="I68" s="35">
        <v>2012.0</v>
      </c>
      <c r="J68" s="43" t="s">
        <v>3356</v>
      </c>
      <c r="K68" s="35" t="s">
        <v>730</v>
      </c>
      <c r="L68" s="35" t="s">
        <v>3357</v>
      </c>
      <c r="M68" s="35" t="s">
        <v>57</v>
      </c>
      <c r="N68" s="35" t="s">
        <v>639</v>
      </c>
      <c r="O68" s="35" t="s">
        <v>57</v>
      </c>
      <c r="P68" s="35" t="s">
        <v>3358</v>
      </c>
      <c r="Q68" s="35" t="s">
        <v>93</v>
      </c>
      <c r="R68" s="35" t="s">
        <v>57</v>
      </c>
      <c r="S68" s="35" t="s">
        <v>57</v>
      </c>
      <c r="T68" s="35" t="s">
        <v>69</v>
      </c>
      <c r="U68" s="35" t="s">
        <v>3359</v>
      </c>
      <c r="V68" s="35" t="s">
        <v>2394</v>
      </c>
      <c r="W68" s="35" t="s">
        <v>3360</v>
      </c>
      <c r="X68" s="34" t="s">
        <v>3361</v>
      </c>
      <c r="Y68" s="35" t="s">
        <v>2380</v>
      </c>
      <c r="Z68" s="35" t="s">
        <v>3362</v>
      </c>
      <c r="AA68" s="35" t="s">
        <v>57</v>
      </c>
      <c r="AB68" s="35" t="s">
        <v>57</v>
      </c>
      <c r="AC68" s="35" t="s">
        <v>74</v>
      </c>
      <c r="AD68" s="35" t="s">
        <v>215</v>
      </c>
      <c r="AE68" s="35" t="s">
        <v>3363</v>
      </c>
      <c r="AF68" s="35" t="s">
        <v>74</v>
      </c>
      <c r="AG68" s="35" t="s">
        <v>57</v>
      </c>
      <c r="AH68" s="35" t="s">
        <v>57</v>
      </c>
      <c r="AI68" s="35" t="s">
        <v>57</v>
      </c>
      <c r="AJ68" s="35" t="s">
        <v>57</v>
      </c>
      <c r="AK68" s="35" t="s">
        <v>57</v>
      </c>
      <c r="AL68" s="34"/>
      <c r="AM68" s="34" t="s">
        <v>1522</v>
      </c>
      <c r="AN68" s="104"/>
      <c r="AO68" s="104"/>
      <c r="AP68" s="104"/>
    </row>
    <row r="69">
      <c r="A69" s="102">
        <v>97.0</v>
      </c>
      <c r="B69" s="34">
        <v>8.79386134E8</v>
      </c>
      <c r="C69" s="34" t="s">
        <v>3366</v>
      </c>
      <c r="D69" s="34" t="s">
        <v>3367</v>
      </c>
      <c r="E69" s="35" t="s">
        <v>3368</v>
      </c>
      <c r="F69" s="43" t="s">
        <v>3369</v>
      </c>
      <c r="G69" s="35" t="s">
        <v>396</v>
      </c>
      <c r="H69" s="43" t="s">
        <v>3370</v>
      </c>
      <c r="I69" s="35">
        <v>2011.0</v>
      </c>
      <c r="J69" s="43" t="s">
        <v>1798</v>
      </c>
      <c r="K69" s="35" t="s">
        <v>730</v>
      </c>
      <c r="L69" s="35" t="s">
        <v>57</v>
      </c>
      <c r="M69" s="35" t="s">
        <v>57</v>
      </c>
      <c r="N69" s="35" t="s">
        <v>396</v>
      </c>
      <c r="O69" s="35" t="s">
        <v>3061</v>
      </c>
      <c r="P69" s="35" t="s">
        <v>3371</v>
      </c>
      <c r="Q69" s="35" t="s">
        <v>93</v>
      </c>
      <c r="R69" s="35" t="s">
        <v>3063</v>
      </c>
      <c r="S69" s="43" t="s">
        <v>3064</v>
      </c>
      <c r="T69" s="35" t="s">
        <v>74</v>
      </c>
      <c r="U69" s="35" t="s">
        <v>57</v>
      </c>
      <c r="V69" s="35" t="s">
        <v>2394</v>
      </c>
      <c r="W69" s="35" t="s">
        <v>3372</v>
      </c>
      <c r="X69" s="34" t="s">
        <v>3373</v>
      </c>
      <c r="Y69" s="35" t="s">
        <v>2397</v>
      </c>
      <c r="Z69" s="35" t="s">
        <v>3374</v>
      </c>
      <c r="AA69" s="35">
        <v>2009.0</v>
      </c>
      <c r="AB69" s="35">
        <v>2009.0</v>
      </c>
      <c r="AC69" s="35" t="s">
        <v>74</v>
      </c>
      <c r="AD69" s="35" t="s">
        <v>96</v>
      </c>
      <c r="AE69" s="35" t="s">
        <v>3375</v>
      </c>
      <c r="AF69" s="35" t="s">
        <v>69</v>
      </c>
      <c r="AG69" s="35" t="s">
        <v>1791</v>
      </c>
      <c r="AH69" s="35" t="s">
        <v>129</v>
      </c>
      <c r="AI69" s="35" t="s">
        <v>2067</v>
      </c>
      <c r="AJ69" s="35" t="s">
        <v>57</v>
      </c>
      <c r="AK69" s="35" t="s">
        <v>3376</v>
      </c>
      <c r="AL69" s="34"/>
      <c r="AM69" s="34" t="s">
        <v>1522</v>
      </c>
      <c r="AN69" s="104"/>
      <c r="AO69" s="104"/>
      <c r="AP69" s="104"/>
    </row>
    <row r="70">
      <c r="A70" s="102">
        <v>98.0</v>
      </c>
      <c r="B70" s="34">
        <v>8.79386137E8</v>
      </c>
      <c r="C70" s="34" t="s">
        <v>3379</v>
      </c>
      <c r="D70" s="34" t="s">
        <v>3380</v>
      </c>
      <c r="E70" s="35" t="s">
        <v>3381</v>
      </c>
      <c r="F70" s="43" t="s">
        <v>3382</v>
      </c>
      <c r="G70" s="35" t="s">
        <v>1224</v>
      </c>
      <c r="H70" s="43" t="s">
        <v>3383</v>
      </c>
      <c r="I70" s="35">
        <v>2020.0</v>
      </c>
      <c r="J70" s="43" t="s">
        <v>3384</v>
      </c>
      <c r="K70" s="35" t="s">
        <v>730</v>
      </c>
      <c r="L70" s="35" t="s">
        <v>2826</v>
      </c>
      <c r="M70" s="35" t="s">
        <v>57</v>
      </c>
      <c r="N70" s="35" t="s">
        <v>1224</v>
      </c>
      <c r="O70" s="35" t="s">
        <v>2827</v>
      </c>
      <c r="P70" s="35" t="s">
        <v>3385</v>
      </c>
      <c r="Q70" s="35" t="s">
        <v>93</v>
      </c>
      <c r="R70" s="35" t="s">
        <v>3386</v>
      </c>
      <c r="S70" s="35" t="s">
        <v>3387</v>
      </c>
      <c r="T70" s="35" t="s">
        <v>74</v>
      </c>
      <c r="U70" s="35" t="s">
        <v>57</v>
      </c>
      <c r="V70" s="35" t="s">
        <v>2394</v>
      </c>
      <c r="W70" s="35" t="s">
        <v>3388</v>
      </c>
      <c r="X70" s="34" t="s">
        <v>3389</v>
      </c>
      <c r="Y70" s="35" t="s">
        <v>2397</v>
      </c>
      <c r="Z70" s="35" t="s">
        <v>3390</v>
      </c>
      <c r="AA70" s="35" t="s">
        <v>57</v>
      </c>
      <c r="AB70" s="35" t="s">
        <v>57</v>
      </c>
      <c r="AC70" s="35" t="s">
        <v>74</v>
      </c>
      <c r="AD70" s="35" t="s">
        <v>215</v>
      </c>
      <c r="AE70" s="35" t="s">
        <v>3391</v>
      </c>
      <c r="AF70" s="35" t="s">
        <v>69</v>
      </c>
      <c r="AG70" s="35" t="s">
        <v>129</v>
      </c>
      <c r="AH70" s="35" t="s">
        <v>129</v>
      </c>
      <c r="AI70" s="35" t="s">
        <v>57</v>
      </c>
      <c r="AJ70" s="35" t="s">
        <v>57</v>
      </c>
      <c r="AK70" s="35" t="s">
        <v>3392</v>
      </c>
      <c r="AL70" s="34"/>
      <c r="AM70" s="34" t="s">
        <v>1522</v>
      </c>
      <c r="AN70" s="104"/>
      <c r="AO70" s="104"/>
      <c r="AP70" s="104"/>
    </row>
    <row r="71">
      <c r="A71" s="102">
        <v>100.0</v>
      </c>
      <c r="B71" s="34">
        <v>8.79386168E8</v>
      </c>
      <c r="C71" s="34" t="s">
        <v>3395</v>
      </c>
      <c r="D71" s="34" t="s">
        <v>3396</v>
      </c>
      <c r="E71" s="35" t="s">
        <v>3397</v>
      </c>
      <c r="F71" s="35" t="s">
        <v>3398</v>
      </c>
      <c r="G71" s="35" t="s">
        <v>293</v>
      </c>
      <c r="H71" s="35" t="s">
        <v>3399</v>
      </c>
      <c r="I71" s="35">
        <v>2020.0</v>
      </c>
      <c r="J71" s="35" t="s">
        <v>796</v>
      </c>
      <c r="K71" s="35" t="s">
        <v>730</v>
      </c>
      <c r="L71" s="35" t="s">
        <v>3400</v>
      </c>
      <c r="M71" s="35" t="s">
        <v>57</v>
      </c>
      <c r="N71" s="35" t="s">
        <v>293</v>
      </c>
      <c r="O71" s="35" t="s">
        <v>2577</v>
      </c>
      <c r="P71" s="35" t="s">
        <v>3401</v>
      </c>
      <c r="Q71" s="35" t="s">
        <v>93</v>
      </c>
      <c r="R71" s="35" t="s">
        <v>3402</v>
      </c>
      <c r="S71" s="35" t="s">
        <v>3403</v>
      </c>
      <c r="T71" s="35" t="s">
        <v>74</v>
      </c>
      <c r="U71" s="35" t="s">
        <v>57</v>
      </c>
      <c r="V71" s="35" t="s">
        <v>2394</v>
      </c>
      <c r="W71" s="35" t="s">
        <v>536</v>
      </c>
      <c r="X71" s="34" t="s">
        <v>3404</v>
      </c>
      <c r="Y71" s="35" t="s">
        <v>3165</v>
      </c>
      <c r="Z71" s="35" t="s">
        <v>3405</v>
      </c>
      <c r="AA71" s="35">
        <v>2011.0</v>
      </c>
      <c r="AB71" s="35">
        <v>2013.0</v>
      </c>
      <c r="AC71" s="35" t="s">
        <v>74</v>
      </c>
      <c r="AD71" s="35" t="s">
        <v>215</v>
      </c>
      <c r="AE71" s="35" t="s">
        <v>3406</v>
      </c>
      <c r="AF71" s="35" t="s">
        <v>69</v>
      </c>
      <c r="AG71" s="35" t="s">
        <v>129</v>
      </c>
      <c r="AH71" s="35" t="s">
        <v>129</v>
      </c>
      <c r="AI71" s="35" t="s">
        <v>57</v>
      </c>
      <c r="AJ71" s="35" t="s">
        <v>57</v>
      </c>
      <c r="AK71" s="35" t="s">
        <v>3407</v>
      </c>
      <c r="AL71" s="34"/>
      <c r="AM71" s="34" t="s">
        <v>1522</v>
      </c>
      <c r="AN71" s="104"/>
      <c r="AO71" s="104"/>
      <c r="AP71" s="104"/>
    </row>
    <row r="72">
      <c r="A72" s="102">
        <v>101.0</v>
      </c>
      <c r="B72" s="34">
        <v>8.79386193E8</v>
      </c>
      <c r="C72" s="34" t="s">
        <v>3410</v>
      </c>
      <c r="D72" s="34" t="s">
        <v>3411</v>
      </c>
      <c r="E72" s="35" t="s">
        <v>3412</v>
      </c>
      <c r="F72" s="43" t="s">
        <v>3413</v>
      </c>
      <c r="G72" s="35" t="s">
        <v>3414</v>
      </c>
      <c r="H72" s="43" t="s">
        <v>3415</v>
      </c>
      <c r="I72" s="35">
        <v>2021.0</v>
      </c>
      <c r="J72" s="35" t="s">
        <v>3416</v>
      </c>
      <c r="K72" s="35" t="s">
        <v>730</v>
      </c>
      <c r="L72" s="35" t="s">
        <v>3417</v>
      </c>
      <c r="M72" s="35" t="s">
        <v>57</v>
      </c>
      <c r="N72" s="35" t="s">
        <v>3414</v>
      </c>
      <c r="O72" s="35" t="s">
        <v>3418</v>
      </c>
      <c r="P72" s="35" t="s">
        <v>3419</v>
      </c>
      <c r="Q72" s="35" t="s">
        <v>93</v>
      </c>
      <c r="R72" s="35" t="s">
        <v>57</v>
      </c>
      <c r="S72" s="35" t="s">
        <v>57</v>
      </c>
      <c r="T72" s="35" t="s">
        <v>74</v>
      </c>
      <c r="U72" s="35" t="s">
        <v>57</v>
      </c>
      <c r="V72" s="35" t="s">
        <v>96</v>
      </c>
      <c r="W72" s="35" t="s">
        <v>161</v>
      </c>
      <c r="X72" s="34" t="s">
        <v>3420</v>
      </c>
      <c r="Y72" s="35" t="s">
        <v>2397</v>
      </c>
      <c r="Z72" s="35" t="s">
        <v>3421</v>
      </c>
      <c r="AA72" s="35">
        <v>2019.0</v>
      </c>
      <c r="AB72" s="35">
        <v>2019.0</v>
      </c>
      <c r="AC72" s="35" t="s">
        <v>74</v>
      </c>
      <c r="AD72" s="35" t="s">
        <v>215</v>
      </c>
      <c r="AE72" s="35" t="s">
        <v>3422</v>
      </c>
      <c r="AF72" s="35" t="s">
        <v>74</v>
      </c>
      <c r="AG72" s="35" t="s">
        <v>57</v>
      </c>
      <c r="AH72" s="35" t="s">
        <v>57</v>
      </c>
      <c r="AI72" s="35" t="s">
        <v>57</v>
      </c>
      <c r="AJ72" s="35" t="s">
        <v>57</v>
      </c>
      <c r="AK72" s="35" t="s">
        <v>57</v>
      </c>
      <c r="AL72" s="34"/>
      <c r="AM72" s="34" t="s">
        <v>109</v>
      </c>
      <c r="AN72" s="104"/>
      <c r="AO72" s="104"/>
      <c r="AP72" s="104"/>
    </row>
    <row r="73">
      <c r="A73" s="102">
        <v>102.0</v>
      </c>
      <c r="B73" s="34">
        <v>8.79386176E8</v>
      </c>
      <c r="C73" s="34" t="s">
        <v>3425</v>
      </c>
      <c r="D73" s="34" t="s">
        <v>3426</v>
      </c>
      <c r="E73" s="35" t="s">
        <v>3427</v>
      </c>
      <c r="F73" s="43" t="s">
        <v>3428</v>
      </c>
      <c r="G73" s="35" t="s">
        <v>859</v>
      </c>
      <c r="H73" s="43" t="s">
        <v>3429</v>
      </c>
      <c r="I73" s="35">
        <v>2017.0</v>
      </c>
      <c r="J73" s="43" t="s">
        <v>2117</v>
      </c>
      <c r="K73" s="35" t="s">
        <v>730</v>
      </c>
      <c r="L73" s="35" t="s">
        <v>3430</v>
      </c>
      <c r="M73" s="35" t="s">
        <v>57</v>
      </c>
      <c r="N73" s="35" t="s">
        <v>859</v>
      </c>
      <c r="O73" s="35" t="s">
        <v>1824</v>
      </c>
      <c r="P73" s="35" t="s">
        <v>3431</v>
      </c>
      <c r="Q73" s="35" t="s">
        <v>93</v>
      </c>
      <c r="R73" s="35" t="s">
        <v>3432</v>
      </c>
      <c r="S73" s="35" t="s">
        <v>3433</v>
      </c>
      <c r="T73" s="35" t="s">
        <v>74</v>
      </c>
      <c r="U73" s="35" t="s">
        <v>57</v>
      </c>
      <c r="V73" s="35" t="s">
        <v>2394</v>
      </c>
      <c r="W73" s="35" t="s">
        <v>3434</v>
      </c>
      <c r="X73" s="34" t="s">
        <v>3435</v>
      </c>
      <c r="Y73" s="35" t="s">
        <v>2397</v>
      </c>
      <c r="Z73" s="35" t="s">
        <v>3436</v>
      </c>
      <c r="AA73" s="35">
        <v>2012.0</v>
      </c>
      <c r="AB73" s="35">
        <v>2012.0</v>
      </c>
      <c r="AC73" s="35" t="s">
        <v>74</v>
      </c>
      <c r="AD73" s="35" t="s">
        <v>96</v>
      </c>
      <c r="AE73" s="35" t="s">
        <v>3437</v>
      </c>
      <c r="AF73" s="35" t="s">
        <v>69</v>
      </c>
      <c r="AG73" s="35" t="s">
        <v>129</v>
      </c>
      <c r="AH73" s="35" t="s">
        <v>129</v>
      </c>
      <c r="AI73" s="35" t="s">
        <v>57</v>
      </c>
      <c r="AJ73" s="35" t="s">
        <v>57</v>
      </c>
      <c r="AK73" s="35" t="s">
        <v>3438</v>
      </c>
      <c r="AL73" s="34"/>
      <c r="AM73" s="34" t="s">
        <v>1522</v>
      </c>
      <c r="AN73" s="104"/>
      <c r="AO73" s="104"/>
      <c r="AP73" s="104"/>
    </row>
    <row r="74">
      <c r="A74" s="102">
        <v>103.0</v>
      </c>
      <c r="B74" s="34">
        <v>8.79386196E8</v>
      </c>
      <c r="C74" s="34" t="s">
        <v>3440</v>
      </c>
      <c r="D74" s="34" t="s">
        <v>3441</v>
      </c>
      <c r="E74" s="35" t="s">
        <v>3442</v>
      </c>
      <c r="F74" s="43" t="s">
        <v>3443</v>
      </c>
      <c r="G74" s="35" t="s">
        <v>456</v>
      </c>
      <c r="H74" s="43" t="s">
        <v>3444</v>
      </c>
      <c r="I74" s="35">
        <v>2021.0</v>
      </c>
      <c r="J74" s="43" t="s">
        <v>3445</v>
      </c>
      <c r="K74" s="35" t="s">
        <v>730</v>
      </c>
      <c r="L74" s="35" t="s">
        <v>57</v>
      </c>
      <c r="M74" s="35" t="s">
        <v>57</v>
      </c>
      <c r="N74" s="35" t="s">
        <v>456</v>
      </c>
      <c r="O74" s="35" t="s">
        <v>3446</v>
      </c>
      <c r="P74" s="35" t="s">
        <v>3447</v>
      </c>
      <c r="Q74" s="35" t="s">
        <v>93</v>
      </c>
      <c r="R74" s="35" t="s">
        <v>3448</v>
      </c>
      <c r="S74" s="35" t="s">
        <v>3449</v>
      </c>
      <c r="T74" s="35" t="s">
        <v>74</v>
      </c>
      <c r="U74" s="35" t="s">
        <v>57</v>
      </c>
      <c r="V74" s="35" t="s">
        <v>96</v>
      </c>
      <c r="W74" s="35" t="s">
        <v>536</v>
      </c>
      <c r="X74" s="34" t="s">
        <v>3450</v>
      </c>
      <c r="Y74" s="35" t="s">
        <v>2831</v>
      </c>
      <c r="Z74" s="35" t="s">
        <v>3451</v>
      </c>
      <c r="AA74" s="35">
        <v>2020.0</v>
      </c>
      <c r="AB74" s="35">
        <v>2020.0</v>
      </c>
      <c r="AC74" s="35" t="s">
        <v>74</v>
      </c>
      <c r="AD74" s="35" t="s">
        <v>215</v>
      </c>
      <c r="AE74" s="35" t="s">
        <v>3452</v>
      </c>
      <c r="AF74" s="35" t="s">
        <v>69</v>
      </c>
      <c r="AG74" s="35" t="s">
        <v>129</v>
      </c>
      <c r="AH74" s="35" t="s">
        <v>129</v>
      </c>
      <c r="AI74" s="35" t="s">
        <v>57</v>
      </c>
      <c r="AJ74" s="35" t="s">
        <v>57</v>
      </c>
      <c r="AK74" s="35" t="s">
        <v>3453</v>
      </c>
      <c r="AL74" s="34"/>
      <c r="AM74" s="34" t="s">
        <v>1522</v>
      </c>
      <c r="AN74" s="104"/>
      <c r="AO74" s="104"/>
      <c r="AP74" s="104"/>
    </row>
    <row r="75">
      <c r="A75" s="102">
        <v>104.0</v>
      </c>
      <c r="B75" s="34">
        <v>8.7938624E8</v>
      </c>
      <c r="C75" s="34" t="s">
        <v>3456</v>
      </c>
      <c r="D75" s="34" t="s">
        <v>3457</v>
      </c>
      <c r="E75" s="35" t="s">
        <v>3458</v>
      </c>
      <c r="F75" s="43" t="s">
        <v>3459</v>
      </c>
      <c r="G75" s="35" t="s">
        <v>1224</v>
      </c>
      <c r="H75" s="43" t="s">
        <v>3460</v>
      </c>
      <c r="I75" s="35">
        <v>2019.0</v>
      </c>
      <c r="J75" s="43" t="s">
        <v>207</v>
      </c>
      <c r="K75" s="35" t="s">
        <v>730</v>
      </c>
      <c r="L75" s="35" t="s">
        <v>2826</v>
      </c>
      <c r="M75" s="35" t="s">
        <v>57</v>
      </c>
      <c r="N75" s="35" t="s">
        <v>1224</v>
      </c>
      <c r="O75" s="35" t="s">
        <v>2827</v>
      </c>
      <c r="P75" s="35" t="s">
        <v>3461</v>
      </c>
      <c r="Q75" s="35" t="s">
        <v>93</v>
      </c>
      <c r="R75" s="35" t="s">
        <v>57</v>
      </c>
      <c r="S75" s="35" t="s">
        <v>57</v>
      </c>
      <c r="T75" s="35" t="s">
        <v>74</v>
      </c>
      <c r="U75" s="35" t="s">
        <v>57</v>
      </c>
      <c r="V75" s="35" t="s">
        <v>2394</v>
      </c>
      <c r="W75" s="35" t="s">
        <v>3462</v>
      </c>
      <c r="X75" s="34" t="s">
        <v>3463</v>
      </c>
      <c r="Y75" s="35" t="s">
        <v>2380</v>
      </c>
      <c r="Z75" s="35" t="s">
        <v>3464</v>
      </c>
      <c r="AA75" s="35">
        <v>2017.0</v>
      </c>
      <c r="AB75" s="35">
        <v>2017.0</v>
      </c>
      <c r="AC75" s="35" t="s">
        <v>74</v>
      </c>
      <c r="AD75" s="35" t="s">
        <v>215</v>
      </c>
      <c r="AE75" s="35" t="s">
        <v>3465</v>
      </c>
      <c r="AF75" s="35" t="s">
        <v>69</v>
      </c>
      <c r="AG75" s="35" t="s">
        <v>129</v>
      </c>
      <c r="AH75" s="35" t="s">
        <v>129</v>
      </c>
      <c r="AI75" s="35" t="s">
        <v>57</v>
      </c>
      <c r="AJ75" s="35" t="s">
        <v>57</v>
      </c>
      <c r="AK75" s="35" t="s">
        <v>3466</v>
      </c>
      <c r="AL75" s="34"/>
      <c r="AM75" s="34" t="s">
        <v>1522</v>
      </c>
      <c r="AN75" s="104"/>
      <c r="AO75" s="104"/>
      <c r="AP75" s="104"/>
    </row>
    <row r="76">
      <c r="A76" s="102">
        <v>105.0</v>
      </c>
      <c r="B76" s="34">
        <v>8.79386241E8</v>
      </c>
      <c r="C76" s="34" t="s">
        <v>3469</v>
      </c>
      <c r="D76" s="34" t="s">
        <v>3470</v>
      </c>
      <c r="E76" s="35" t="s">
        <v>3471</v>
      </c>
      <c r="F76" s="43" t="s">
        <v>3472</v>
      </c>
      <c r="G76" s="35" t="s">
        <v>2389</v>
      </c>
      <c r="H76" s="43" t="s">
        <v>3473</v>
      </c>
      <c r="I76" s="35">
        <v>2010.0</v>
      </c>
      <c r="J76" s="43" t="s">
        <v>3474</v>
      </c>
      <c r="K76" s="35" t="s">
        <v>730</v>
      </c>
      <c r="L76" s="35" t="s">
        <v>2702</v>
      </c>
      <c r="M76" s="35" t="s">
        <v>57</v>
      </c>
      <c r="N76" s="35" t="s">
        <v>2389</v>
      </c>
      <c r="O76" s="35" t="s">
        <v>3475</v>
      </c>
      <c r="P76" s="35" t="s">
        <v>3476</v>
      </c>
      <c r="Q76" s="35" t="s">
        <v>93</v>
      </c>
      <c r="R76" s="35" t="s">
        <v>57</v>
      </c>
      <c r="S76" s="35" t="s">
        <v>57</v>
      </c>
      <c r="T76" s="35" t="s">
        <v>74</v>
      </c>
      <c r="U76" s="35" t="s">
        <v>57</v>
      </c>
      <c r="V76" s="35" t="s">
        <v>193</v>
      </c>
      <c r="W76" s="35" t="s">
        <v>536</v>
      </c>
      <c r="X76" s="34" t="s">
        <v>3477</v>
      </c>
      <c r="Y76" s="35" t="s">
        <v>2831</v>
      </c>
      <c r="Z76" s="35" t="s">
        <v>3478</v>
      </c>
      <c r="AA76" s="35">
        <v>2008.0</v>
      </c>
      <c r="AB76" s="35">
        <v>2008.0</v>
      </c>
      <c r="AC76" s="35" t="s">
        <v>69</v>
      </c>
      <c r="AD76" s="35" t="s">
        <v>215</v>
      </c>
      <c r="AE76" s="35" t="s">
        <v>3479</v>
      </c>
      <c r="AF76" s="35" t="s">
        <v>69</v>
      </c>
      <c r="AG76" s="35" t="s">
        <v>129</v>
      </c>
      <c r="AH76" s="35" t="s">
        <v>129</v>
      </c>
      <c r="AI76" s="35" t="s">
        <v>57</v>
      </c>
      <c r="AJ76" s="35" t="s">
        <v>57</v>
      </c>
      <c r="AK76" s="35" t="s">
        <v>3480</v>
      </c>
      <c r="AL76" s="34"/>
      <c r="AM76" s="34" t="s">
        <v>1522</v>
      </c>
      <c r="AN76" s="104"/>
      <c r="AO76" s="104"/>
      <c r="AP76" s="104"/>
    </row>
    <row r="77">
      <c r="A77" s="102">
        <v>106.0</v>
      </c>
      <c r="B77" s="34">
        <v>8.79386261E8</v>
      </c>
      <c r="C77" s="34" t="s">
        <v>3482</v>
      </c>
      <c r="D77" s="34" t="s">
        <v>3483</v>
      </c>
      <c r="E77" s="35" t="s">
        <v>3484</v>
      </c>
      <c r="F77" s="43" t="s">
        <v>3485</v>
      </c>
      <c r="G77" s="35" t="s">
        <v>2128</v>
      </c>
      <c r="H77" s="43" t="s">
        <v>3486</v>
      </c>
      <c r="I77" s="35">
        <v>2017.0</v>
      </c>
      <c r="J77" s="43" t="s">
        <v>3487</v>
      </c>
      <c r="K77" s="35" t="s">
        <v>730</v>
      </c>
      <c r="L77" s="35" t="s">
        <v>3488</v>
      </c>
      <c r="M77" s="35" t="s">
        <v>57</v>
      </c>
      <c r="N77" s="35" t="s">
        <v>2128</v>
      </c>
      <c r="O77" s="35" t="s">
        <v>3489</v>
      </c>
      <c r="P77" s="35" t="s">
        <v>3490</v>
      </c>
      <c r="Q77" s="35" t="s">
        <v>93</v>
      </c>
      <c r="R77" s="35" t="s">
        <v>57</v>
      </c>
      <c r="S77" s="35" t="s">
        <v>57</v>
      </c>
      <c r="T77" s="35" t="s">
        <v>69</v>
      </c>
      <c r="U77" s="35" t="s">
        <v>3491</v>
      </c>
      <c r="V77" s="35" t="s">
        <v>96</v>
      </c>
      <c r="W77" s="35" t="s">
        <v>161</v>
      </c>
      <c r="X77" s="34" t="s">
        <v>3492</v>
      </c>
      <c r="Y77" s="35" t="s">
        <v>2831</v>
      </c>
      <c r="Z77" s="35" t="s">
        <v>3493</v>
      </c>
      <c r="AA77" s="35">
        <v>2015.0</v>
      </c>
      <c r="AB77" s="35">
        <v>2016.0</v>
      </c>
      <c r="AC77" s="35" t="s">
        <v>74</v>
      </c>
      <c r="AD77" s="35" t="s">
        <v>215</v>
      </c>
      <c r="AE77" s="35" t="s">
        <v>3494</v>
      </c>
      <c r="AF77" s="35" t="s">
        <v>74</v>
      </c>
      <c r="AG77" s="35" t="s">
        <v>57</v>
      </c>
      <c r="AH77" s="35" t="s">
        <v>57</v>
      </c>
      <c r="AI77" s="35" t="s">
        <v>57</v>
      </c>
      <c r="AJ77" s="35" t="s">
        <v>57</v>
      </c>
      <c r="AK77" s="35" t="s">
        <v>57</v>
      </c>
      <c r="AL77" s="34"/>
      <c r="AM77" s="34" t="s">
        <v>1522</v>
      </c>
      <c r="AN77" s="104"/>
      <c r="AO77" s="104"/>
      <c r="AP77" s="104"/>
    </row>
    <row r="78">
      <c r="A78" s="102">
        <v>107.0</v>
      </c>
      <c r="B78" s="34">
        <v>8.79386277E8</v>
      </c>
      <c r="C78" s="34" t="s">
        <v>3497</v>
      </c>
      <c r="D78" s="34" t="s">
        <v>3498</v>
      </c>
      <c r="E78" s="35" t="s">
        <v>3499</v>
      </c>
      <c r="F78" s="43" t="s">
        <v>3500</v>
      </c>
      <c r="G78" s="35" t="s">
        <v>172</v>
      </c>
      <c r="H78" s="43" t="s">
        <v>3501</v>
      </c>
      <c r="I78" s="35">
        <v>2022.0</v>
      </c>
      <c r="J78" s="43" t="s">
        <v>2117</v>
      </c>
      <c r="K78" s="35" t="s">
        <v>730</v>
      </c>
      <c r="L78" s="35" t="s">
        <v>3502</v>
      </c>
      <c r="M78" s="35" t="s">
        <v>57</v>
      </c>
      <c r="N78" s="35" t="s">
        <v>172</v>
      </c>
      <c r="O78" s="35" t="s">
        <v>3503</v>
      </c>
      <c r="P78" s="35" t="s">
        <v>3504</v>
      </c>
      <c r="Q78" s="35" t="s">
        <v>93</v>
      </c>
      <c r="R78" s="35" t="s">
        <v>57</v>
      </c>
      <c r="S78" s="35" t="s">
        <v>57</v>
      </c>
      <c r="T78" s="35" t="s">
        <v>74</v>
      </c>
      <c r="U78" s="35" t="s">
        <v>57</v>
      </c>
      <c r="V78" s="35" t="s">
        <v>2394</v>
      </c>
      <c r="W78" s="35" t="s">
        <v>3505</v>
      </c>
      <c r="X78" s="34" t="s">
        <v>3506</v>
      </c>
      <c r="Y78" s="35" t="s">
        <v>2397</v>
      </c>
      <c r="Z78" s="35" t="s">
        <v>3507</v>
      </c>
      <c r="AA78" s="35">
        <v>2019.0</v>
      </c>
      <c r="AB78" s="35">
        <v>2019.0</v>
      </c>
      <c r="AC78" s="35" t="s">
        <v>74</v>
      </c>
      <c r="AD78" s="35" t="s">
        <v>96</v>
      </c>
      <c r="AE78" s="35" t="s">
        <v>3508</v>
      </c>
      <c r="AF78" s="35" t="s">
        <v>74</v>
      </c>
      <c r="AG78" s="35" t="s">
        <v>57</v>
      </c>
      <c r="AH78" s="35" t="s">
        <v>57</v>
      </c>
      <c r="AI78" s="35" t="s">
        <v>57</v>
      </c>
      <c r="AJ78" s="35" t="s">
        <v>57</v>
      </c>
      <c r="AK78" s="35" t="s">
        <v>57</v>
      </c>
      <c r="AL78" s="34"/>
      <c r="AM78" s="34" t="s">
        <v>1522</v>
      </c>
      <c r="AN78" s="104"/>
      <c r="AO78" s="104"/>
      <c r="AP78" s="104"/>
    </row>
    <row r="79">
      <c r="A79" s="102">
        <v>108.0</v>
      </c>
      <c r="B79" s="34">
        <v>8.79386278E8</v>
      </c>
      <c r="C79" s="34" t="s">
        <v>3510</v>
      </c>
      <c r="D79" s="34" t="s">
        <v>873</v>
      </c>
      <c r="E79" s="35" t="s">
        <v>3511</v>
      </c>
      <c r="F79" s="43" t="s">
        <v>3512</v>
      </c>
      <c r="G79" s="35" t="s">
        <v>859</v>
      </c>
      <c r="H79" s="43" t="s">
        <v>3513</v>
      </c>
      <c r="I79" s="35">
        <v>2021.0</v>
      </c>
      <c r="J79" s="43" t="s">
        <v>796</v>
      </c>
      <c r="K79" s="35" t="s">
        <v>730</v>
      </c>
      <c r="L79" s="35" t="s">
        <v>3514</v>
      </c>
      <c r="M79" s="35" t="s">
        <v>57</v>
      </c>
      <c r="N79" s="35" t="s">
        <v>859</v>
      </c>
      <c r="O79" s="35" t="s">
        <v>1764</v>
      </c>
      <c r="P79" s="35" t="s">
        <v>3515</v>
      </c>
      <c r="Q79" s="35" t="s">
        <v>93</v>
      </c>
      <c r="R79" s="35" t="s">
        <v>57</v>
      </c>
      <c r="S79" s="35" t="s">
        <v>57</v>
      </c>
      <c r="T79" s="35" t="s">
        <v>74</v>
      </c>
      <c r="U79" s="35" t="s">
        <v>57</v>
      </c>
      <c r="V79" s="35" t="s">
        <v>96</v>
      </c>
      <c r="W79" s="35" t="s">
        <v>2766</v>
      </c>
      <c r="X79" s="34" t="s">
        <v>3516</v>
      </c>
      <c r="Y79" s="35" t="s">
        <v>2831</v>
      </c>
      <c r="Z79" s="35" t="s">
        <v>3517</v>
      </c>
      <c r="AA79" s="35">
        <v>2017.0</v>
      </c>
      <c r="AB79" s="35">
        <v>2017.0</v>
      </c>
      <c r="AC79" s="35" t="s">
        <v>74</v>
      </c>
      <c r="AD79" s="35" t="s">
        <v>215</v>
      </c>
      <c r="AE79" s="35" t="s">
        <v>3518</v>
      </c>
      <c r="AF79" s="35" t="s">
        <v>69</v>
      </c>
      <c r="AG79" s="35" t="s">
        <v>129</v>
      </c>
      <c r="AH79" s="35" t="s">
        <v>129</v>
      </c>
      <c r="AI79" s="35" t="s">
        <v>57</v>
      </c>
      <c r="AJ79" s="35" t="s">
        <v>57</v>
      </c>
      <c r="AK79" s="35" t="s">
        <v>3519</v>
      </c>
      <c r="AL79" s="34"/>
      <c r="AM79" s="34" t="s">
        <v>1522</v>
      </c>
      <c r="AN79" s="104"/>
      <c r="AO79" s="104"/>
      <c r="AP79" s="104"/>
    </row>
    <row r="80">
      <c r="A80" s="102">
        <v>109.0</v>
      </c>
      <c r="B80" s="34">
        <v>8.79386283E8</v>
      </c>
      <c r="C80" s="34" t="s">
        <v>3522</v>
      </c>
      <c r="D80" s="34" t="s">
        <v>3523</v>
      </c>
      <c r="E80" s="35" t="s">
        <v>3524</v>
      </c>
      <c r="F80" s="43" t="s">
        <v>3525</v>
      </c>
      <c r="G80" s="35" t="s">
        <v>639</v>
      </c>
      <c r="H80" s="43" t="s">
        <v>3526</v>
      </c>
      <c r="I80" s="35">
        <v>2015.0</v>
      </c>
      <c r="J80" s="43" t="s">
        <v>3527</v>
      </c>
      <c r="K80" s="35" t="s">
        <v>730</v>
      </c>
      <c r="L80" s="35" t="s">
        <v>3357</v>
      </c>
      <c r="M80" s="35" t="s">
        <v>57</v>
      </c>
      <c r="N80" s="35" t="s">
        <v>639</v>
      </c>
      <c r="O80" s="35" t="s">
        <v>57</v>
      </c>
      <c r="P80" s="35" t="s">
        <v>3528</v>
      </c>
      <c r="Q80" s="35" t="s">
        <v>93</v>
      </c>
      <c r="R80" s="35" t="s">
        <v>57</v>
      </c>
      <c r="S80" s="35" t="s">
        <v>57</v>
      </c>
      <c r="T80" s="35" t="s">
        <v>74</v>
      </c>
      <c r="U80" s="35" t="s">
        <v>57</v>
      </c>
      <c r="V80" s="35" t="s">
        <v>193</v>
      </c>
      <c r="W80" s="35" t="s">
        <v>64</v>
      </c>
      <c r="X80" s="34" t="s">
        <v>3529</v>
      </c>
      <c r="Y80" s="35" t="s">
        <v>2380</v>
      </c>
      <c r="Z80" s="35" t="s">
        <v>3530</v>
      </c>
      <c r="AA80" s="35">
        <v>2010.0</v>
      </c>
      <c r="AB80" s="35">
        <v>2011.0</v>
      </c>
      <c r="AC80" s="35" t="s">
        <v>74</v>
      </c>
      <c r="AD80" s="35" t="s">
        <v>96</v>
      </c>
      <c r="AE80" s="35" t="s">
        <v>3531</v>
      </c>
      <c r="AF80" s="35" t="s">
        <v>74</v>
      </c>
      <c r="AG80" s="35" t="s">
        <v>57</v>
      </c>
      <c r="AH80" s="35" t="s">
        <v>57</v>
      </c>
      <c r="AI80" s="35" t="s">
        <v>57</v>
      </c>
      <c r="AJ80" s="35" t="s">
        <v>57</v>
      </c>
      <c r="AK80" s="35" t="s">
        <v>57</v>
      </c>
      <c r="AL80" s="34"/>
      <c r="AM80" s="34" t="s">
        <v>1522</v>
      </c>
      <c r="AN80" s="104"/>
      <c r="AO80" s="104"/>
      <c r="AP80" s="104"/>
    </row>
    <row r="81">
      <c r="A81" s="102">
        <v>110.0</v>
      </c>
      <c r="B81" s="34">
        <v>8.79386291E8</v>
      </c>
      <c r="C81" s="34" t="s">
        <v>3534</v>
      </c>
      <c r="D81" s="34" t="s">
        <v>3535</v>
      </c>
      <c r="E81" s="35" t="s">
        <v>3536</v>
      </c>
      <c r="F81" s="43" t="s">
        <v>3537</v>
      </c>
      <c r="G81" s="35" t="s">
        <v>3538</v>
      </c>
      <c r="H81" s="43" t="s">
        <v>3539</v>
      </c>
      <c r="I81" s="35">
        <v>2021.0</v>
      </c>
      <c r="J81" s="43" t="s">
        <v>1347</v>
      </c>
      <c r="K81" s="35" t="s">
        <v>730</v>
      </c>
      <c r="L81" s="35" t="s">
        <v>3540</v>
      </c>
      <c r="M81" s="35" t="s">
        <v>57</v>
      </c>
      <c r="N81" s="35" t="s">
        <v>3538</v>
      </c>
      <c r="O81" s="35" t="s">
        <v>400</v>
      </c>
      <c r="P81" s="35" t="s">
        <v>3541</v>
      </c>
      <c r="Q81" s="35" t="s">
        <v>93</v>
      </c>
      <c r="R81" s="35" t="s">
        <v>57</v>
      </c>
      <c r="S81" s="35" t="s">
        <v>57</v>
      </c>
      <c r="T81" s="35" t="s">
        <v>74</v>
      </c>
      <c r="U81" s="35" t="s">
        <v>57</v>
      </c>
      <c r="V81" s="35" t="s">
        <v>2430</v>
      </c>
      <c r="W81" s="35" t="s">
        <v>64</v>
      </c>
      <c r="X81" s="34" t="s">
        <v>3542</v>
      </c>
      <c r="Y81" s="35" t="s">
        <v>2397</v>
      </c>
      <c r="Z81" s="35" t="s">
        <v>3543</v>
      </c>
      <c r="AA81" s="35" t="s">
        <v>57</v>
      </c>
      <c r="AB81" s="35" t="s">
        <v>57</v>
      </c>
      <c r="AC81" s="35" t="s">
        <v>74</v>
      </c>
      <c r="AD81" s="35" t="s">
        <v>96</v>
      </c>
      <c r="AE81" s="35" t="s">
        <v>3544</v>
      </c>
      <c r="AF81" s="35" t="s">
        <v>69</v>
      </c>
      <c r="AG81" s="35" t="s">
        <v>129</v>
      </c>
      <c r="AH81" s="35" t="s">
        <v>129</v>
      </c>
      <c r="AI81" s="35" t="s">
        <v>57</v>
      </c>
      <c r="AJ81" s="35" t="s">
        <v>57</v>
      </c>
      <c r="AK81" s="35" t="s">
        <v>3545</v>
      </c>
      <c r="AL81" s="34"/>
      <c r="AM81" s="34" t="s">
        <v>109</v>
      </c>
      <c r="AN81" s="104"/>
      <c r="AO81" s="104"/>
      <c r="AP81" s="104"/>
    </row>
    <row r="82">
      <c r="A82" s="102">
        <v>111.0</v>
      </c>
      <c r="B82" s="34">
        <v>8.79386296E8</v>
      </c>
      <c r="C82" s="34" t="s">
        <v>3548</v>
      </c>
      <c r="D82" s="34" t="s">
        <v>3549</v>
      </c>
      <c r="E82" s="35" t="s">
        <v>3550</v>
      </c>
      <c r="F82" s="43" t="s">
        <v>3551</v>
      </c>
      <c r="G82" s="35" t="s">
        <v>760</v>
      </c>
      <c r="H82" s="43" t="s">
        <v>3552</v>
      </c>
      <c r="I82" s="35">
        <v>2021.0</v>
      </c>
      <c r="J82" s="35" t="s">
        <v>796</v>
      </c>
      <c r="K82" s="35" t="s">
        <v>730</v>
      </c>
      <c r="L82" s="35" t="s">
        <v>3553</v>
      </c>
      <c r="M82" s="35" t="s">
        <v>57</v>
      </c>
      <c r="N82" s="35" t="s">
        <v>760</v>
      </c>
      <c r="O82" s="35" t="s">
        <v>3554</v>
      </c>
      <c r="P82" s="35" t="s">
        <v>3555</v>
      </c>
      <c r="Q82" s="35" t="s">
        <v>93</v>
      </c>
      <c r="R82" s="35" t="s">
        <v>3556</v>
      </c>
      <c r="S82" s="35" t="s">
        <v>3557</v>
      </c>
      <c r="T82" s="35" t="s">
        <v>74</v>
      </c>
      <c r="U82" s="35" t="s">
        <v>57</v>
      </c>
      <c r="V82" s="35" t="s">
        <v>2394</v>
      </c>
      <c r="W82" s="35" t="s">
        <v>64</v>
      </c>
      <c r="X82" s="34" t="s">
        <v>3558</v>
      </c>
      <c r="Y82" s="35" t="s">
        <v>2397</v>
      </c>
      <c r="Z82" s="35" t="s">
        <v>3559</v>
      </c>
      <c r="AA82" s="35">
        <v>2018.0</v>
      </c>
      <c r="AB82" s="35">
        <v>2018.0</v>
      </c>
      <c r="AC82" s="35" t="s">
        <v>74</v>
      </c>
      <c r="AD82" s="35" t="s">
        <v>63</v>
      </c>
      <c r="AE82" s="35" t="s">
        <v>3560</v>
      </c>
      <c r="AF82" s="35" t="s">
        <v>69</v>
      </c>
      <c r="AG82" s="35" t="s">
        <v>129</v>
      </c>
      <c r="AH82" s="35" t="s">
        <v>129</v>
      </c>
      <c r="AI82" s="35" t="s">
        <v>57</v>
      </c>
      <c r="AJ82" s="35" t="s">
        <v>57</v>
      </c>
      <c r="AK82" s="35" t="s">
        <v>3561</v>
      </c>
      <c r="AL82" s="34"/>
      <c r="AM82" s="34" t="s">
        <v>109</v>
      </c>
      <c r="AN82" s="104"/>
      <c r="AO82" s="104"/>
      <c r="AP82" s="104"/>
    </row>
    <row r="83">
      <c r="A83" s="102">
        <v>112.0</v>
      </c>
      <c r="B83" s="34">
        <v>8.79386299E8</v>
      </c>
      <c r="C83" s="34" t="s">
        <v>3564</v>
      </c>
      <c r="D83" s="34" t="s">
        <v>3565</v>
      </c>
      <c r="E83" s="35" t="s">
        <v>3566</v>
      </c>
      <c r="F83" s="43" t="s">
        <v>3567</v>
      </c>
      <c r="G83" s="35" t="s">
        <v>2926</v>
      </c>
      <c r="H83" s="43" t="s">
        <v>3568</v>
      </c>
      <c r="I83" s="35">
        <v>2018.0</v>
      </c>
      <c r="J83" s="35" t="s">
        <v>3569</v>
      </c>
      <c r="K83" s="35" t="s">
        <v>730</v>
      </c>
      <c r="L83" s="35" t="s">
        <v>3570</v>
      </c>
      <c r="M83" s="35" t="s">
        <v>57</v>
      </c>
      <c r="N83" s="35" t="s">
        <v>3571</v>
      </c>
      <c r="O83" s="35" t="s">
        <v>2926</v>
      </c>
      <c r="P83" s="35" t="s">
        <v>3572</v>
      </c>
      <c r="Q83" s="35" t="s">
        <v>93</v>
      </c>
      <c r="R83" s="43" t="s">
        <v>3573</v>
      </c>
      <c r="S83" s="43" t="s">
        <v>3574</v>
      </c>
      <c r="T83" s="35" t="s">
        <v>74</v>
      </c>
      <c r="U83" s="35" t="s">
        <v>57</v>
      </c>
      <c r="V83" s="35" t="s">
        <v>96</v>
      </c>
      <c r="W83" s="35" t="s">
        <v>64</v>
      </c>
      <c r="X83" s="34" t="s">
        <v>3575</v>
      </c>
      <c r="Y83" s="35" t="s">
        <v>2831</v>
      </c>
      <c r="Z83" s="35" t="s">
        <v>3576</v>
      </c>
      <c r="AA83" s="35" t="s">
        <v>57</v>
      </c>
      <c r="AB83" s="35" t="s">
        <v>57</v>
      </c>
      <c r="AC83" s="35" t="s">
        <v>74</v>
      </c>
      <c r="AD83" s="35" t="s">
        <v>96</v>
      </c>
      <c r="AE83" s="35" t="s">
        <v>3577</v>
      </c>
      <c r="AF83" s="35" t="s">
        <v>74</v>
      </c>
      <c r="AG83" s="35" t="s">
        <v>57</v>
      </c>
      <c r="AH83" s="35" t="s">
        <v>57</v>
      </c>
      <c r="AI83" s="35" t="s">
        <v>57</v>
      </c>
      <c r="AJ83" s="35" t="s">
        <v>57</v>
      </c>
      <c r="AK83" s="35" t="s">
        <v>57</v>
      </c>
      <c r="AL83" s="34"/>
      <c r="AM83" s="34" t="s">
        <v>109</v>
      </c>
      <c r="AN83" s="104"/>
      <c r="AO83" s="104"/>
      <c r="AP83" s="104"/>
    </row>
    <row r="84">
      <c r="A84" s="102">
        <v>113.0</v>
      </c>
      <c r="B84" s="34">
        <v>8.79386275E8</v>
      </c>
      <c r="C84" s="34" t="s">
        <v>3580</v>
      </c>
      <c r="D84" s="34" t="s">
        <v>3581</v>
      </c>
      <c r="E84" s="35" t="s">
        <v>3582</v>
      </c>
      <c r="F84" s="43" t="s">
        <v>3583</v>
      </c>
      <c r="G84" s="35" t="s">
        <v>273</v>
      </c>
      <c r="H84" s="43" t="s">
        <v>3584</v>
      </c>
      <c r="I84" s="35">
        <v>2021.0</v>
      </c>
      <c r="J84" s="43" t="s">
        <v>3585</v>
      </c>
      <c r="K84" s="35" t="s">
        <v>730</v>
      </c>
      <c r="L84" s="35" t="s">
        <v>3586</v>
      </c>
      <c r="M84" s="35" t="s">
        <v>57</v>
      </c>
      <c r="N84" s="35" t="s">
        <v>273</v>
      </c>
      <c r="O84" s="35" t="s">
        <v>277</v>
      </c>
      <c r="P84" s="35" t="s">
        <v>3587</v>
      </c>
      <c r="Q84" s="35" t="s">
        <v>93</v>
      </c>
      <c r="R84" s="35" t="s">
        <v>57</v>
      </c>
      <c r="S84" s="35" t="s">
        <v>57</v>
      </c>
      <c r="T84" s="35" t="s">
        <v>74</v>
      </c>
      <c r="U84" s="35" t="s">
        <v>57</v>
      </c>
      <c r="V84" s="35" t="s">
        <v>2394</v>
      </c>
      <c r="W84" s="35" t="s">
        <v>3588</v>
      </c>
      <c r="X84" s="34" t="s">
        <v>3589</v>
      </c>
      <c r="Y84" s="35" t="s">
        <v>2397</v>
      </c>
      <c r="Z84" s="35" t="s">
        <v>3590</v>
      </c>
      <c r="AA84" s="35" t="s">
        <v>57</v>
      </c>
      <c r="AB84" s="35" t="s">
        <v>57</v>
      </c>
      <c r="AC84" s="35" t="s">
        <v>74</v>
      </c>
      <c r="AD84" s="35" t="s">
        <v>96</v>
      </c>
      <c r="AE84" s="35" t="s">
        <v>3591</v>
      </c>
      <c r="AF84" s="35" t="s">
        <v>69</v>
      </c>
      <c r="AG84" s="35" t="s">
        <v>307</v>
      </c>
      <c r="AH84" s="35" t="s">
        <v>2067</v>
      </c>
      <c r="AI84" s="35" t="s">
        <v>129</v>
      </c>
      <c r="AJ84" s="35" t="s">
        <v>57</v>
      </c>
      <c r="AK84" s="35" t="s">
        <v>3592</v>
      </c>
      <c r="AL84" s="34"/>
      <c r="AM84" s="34" t="s">
        <v>1522</v>
      </c>
      <c r="AN84" s="104"/>
      <c r="AO84" s="104"/>
      <c r="AP84" s="104"/>
    </row>
    <row r="85">
      <c r="A85" s="102">
        <v>114.0</v>
      </c>
      <c r="B85" s="34">
        <v>8.79386325E8</v>
      </c>
      <c r="C85" s="34" t="s">
        <v>3595</v>
      </c>
      <c r="D85" s="34" t="s">
        <v>3596</v>
      </c>
      <c r="E85" s="35" t="s">
        <v>3597</v>
      </c>
      <c r="F85" s="43" t="s">
        <v>3598</v>
      </c>
      <c r="G85" s="35" t="s">
        <v>172</v>
      </c>
      <c r="H85" s="43" t="s">
        <v>3599</v>
      </c>
      <c r="I85" s="35">
        <v>2013.0</v>
      </c>
      <c r="J85" s="43" t="s">
        <v>3600</v>
      </c>
      <c r="K85" s="35" t="s">
        <v>730</v>
      </c>
      <c r="L85" s="35" t="s">
        <v>3327</v>
      </c>
      <c r="M85" s="35" t="s">
        <v>57</v>
      </c>
      <c r="N85" s="35" t="s">
        <v>172</v>
      </c>
      <c r="O85" s="35" t="s">
        <v>2376</v>
      </c>
      <c r="P85" s="35" t="s">
        <v>3601</v>
      </c>
      <c r="Q85" s="35" t="s">
        <v>93</v>
      </c>
      <c r="R85" s="35" t="s">
        <v>57</v>
      </c>
      <c r="S85" s="35" t="s">
        <v>57</v>
      </c>
      <c r="T85" s="35" t="s">
        <v>74</v>
      </c>
      <c r="U85" s="35" t="s">
        <v>57</v>
      </c>
      <c r="V85" s="35" t="s">
        <v>96</v>
      </c>
      <c r="W85" s="35" t="s">
        <v>64</v>
      </c>
      <c r="X85" s="34" t="s">
        <v>3602</v>
      </c>
      <c r="Y85" s="35" t="s">
        <v>2397</v>
      </c>
      <c r="Z85" s="35" t="s">
        <v>3603</v>
      </c>
      <c r="AA85" s="35">
        <v>2011.0</v>
      </c>
      <c r="AB85" s="35">
        <v>2011.0</v>
      </c>
      <c r="AC85" s="35" t="s">
        <v>74</v>
      </c>
      <c r="AD85" s="35" t="s">
        <v>215</v>
      </c>
      <c r="AE85" s="35" t="s">
        <v>3604</v>
      </c>
      <c r="AF85" s="35" t="s">
        <v>69</v>
      </c>
      <c r="AG85" s="35" t="s">
        <v>129</v>
      </c>
      <c r="AH85" s="35" t="s">
        <v>129</v>
      </c>
      <c r="AI85" s="35" t="s">
        <v>57</v>
      </c>
      <c r="AJ85" s="35" t="s">
        <v>57</v>
      </c>
      <c r="AK85" s="35" t="s">
        <v>3605</v>
      </c>
      <c r="AL85" s="34"/>
      <c r="AM85" s="34" t="s">
        <v>1522</v>
      </c>
      <c r="AN85" s="104"/>
      <c r="AO85" s="104"/>
      <c r="AP85" s="104"/>
    </row>
    <row r="86">
      <c r="A86" s="102">
        <v>115.0</v>
      </c>
      <c r="B86" s="34">
        <v>8.79386332E8</v>
      </c>
      <c r="C86" s="34" t="s">
        <v>3608</v>
      </c>
      <c r="D86" s="34" t="s">
        <v>3609</v>
      </c>
      <c r="E86" s="35" t="s">
        <v>3610</v>
      </c>
      <c r="F86" s="43" t="s">
        <v>3611</v>
      </c>
      <c r="G86" s="35" t="s">
        <v>859</v>
      </c>
      <c r="H86" s="43" t="s">
        <v>3612</v>
      </c>
      <c r="I86" s="35">
        <v>2010.0</v>
      </c>
      <c r="J86" s="43" t="s">
        <v>1362</v>
      </c>
      <c r="K86" s="35" t="s">
        <v>730</v>
      </c>
      <c r="L86" s="35" t="s">
        <v>3430</v>
      </c>
      <c r="M86" s="35" t="s">
        <v>57</v>
      </c>
      <c r="N86" s="35" t="s">
        <v>859</v>
      </c>
      <c r="O86" s="35" t="s">
        <v>2231</v>
      </c>
      <c r="P86" s="35" t="s">
        <v>3613</v>
      </c>
      <c r="Q86" s="35" t="s">
        <v>93</v>
      </c>
      <c r="R86" s="35" t="s">
        <v>57</v>
      </c>
      <c r="S86" s="35" t="s">
        <v>57</v>
      </c>
      <c r="T86" s="35" t="s">
        <v>74</v>
      </c>
      <c r="U86" s="35" t="s">
        <v>57</v>
      </c>
      <c r="V86" s="35" t="s">
        <v>2394</v>
      </c>
      <c r="W86" s="35" t="s">
        <v>64</v>
      </c>
      <c r="X86" s="34" t="s">
        <v>3614</v>
      </c>
      <c r="Y86" s="35" t="s">
        <v>2397</v>
      </c>
      <c r="Z86" s="35" t="s">
        <v>3615</v>
      </c>
      <c r="AA86" s="35">
        <v>1991.0</v>
      </c>
      <c r="AB86" s="35">
        <v>1996.0</v>
      </c>
      <c r="AC86" s="35" t="s">
        <v>74</v>
      </c>
      <c r="AD86" s="35" t="s">
        <v>96</v>
      </c>
      <c r="AE86" s="35" t="s">
        <v>3616</v>
      </c>
      <c r="AF86" s="35" t="s">
        <v>69</v>
      </c>
      <c r="AG86" s="35" t="s">
        <v>129</v>
      </c>
      <c r="AH86" s="35" t="s">
        <v>129</v>
      </c>
      <c r="AI86" s="35" t="s">
        <v>57</v>
      </c>
      <c r="AJ86" s="35" t="s">
        <v>57</v>
      </c>
      <c r="AK86" s="35" t="s">
        <v>3617</v>
      </c>
      <c r="AL86" s="34"/>
      <c r="AM86" s="34" t="s">
        <v>1522</v>
      </c>
      <c r="AN86" s="104"/>
      <c r="AO86" s="104"/>
      <c r="AP86" s="104"/>
    </row>
    <row r="87">
      <c r="A87" s="102">
        <v>117.0</v>
      </c>
      <c r="B87" s="34">
        <v>8.79386355E8</v>
      </c>
      <c r="C87" s="34" t="s">
        <v>3620</v>
      </c>
      <c r="D87" s="34" t="s">
        <v>3621</v>
      </c>
      <c r="E87" s="35" t="s">
        <v>3622</v>
      </c>
      <c r="F87" s="43" t="s">
        <v>3623</v>
      </c>
      <c r="G87" s="35" t="s">
        <v>859</v>
      </c>
      <c r="H87" s="43" t="s">
        <v>3624</v>
      </c>
      <c r="I87" s="35">
        <v>2019.0</v>
      </c>
      <c r="J87" s="35" t="s">
        <v>1362</v>
      </c>
      <c r="K87" s="35" t="s">
        <v>730</v>
      </c>
      <c r="L87" s="35" t="s">
        <v>3625</v>
      </c>
      <c r="M87" s="35" t="s">
        <v>57</v>
      </c>
      <c r="N87" s="35" t="s">
        <v>859</v>
      </c>
      <c r="O87" s="35" t="s">
        <v>3626</v>
      </c>
      <c r="P87" s="35" t="s">
        <v>3627</v>
      </c>
      <c r="Q87" s="35" t="s">
        <v>93</v>
      </c>
      <c r="R87" s="35" t="s">
        <v>57</v>
      </c>
      <c r="S87" s="35" t="s">
        <v>57</v>
      </c>
      <c r="T87" s="35" t="s">
        <v>74</v>
      </c>
      <c r="U87" s="35" t="s">
        <v>57</v>
      </c>
      <c r="V87" s="35" t="s">
        <v>193</v>
      </c>
      <c r="W87" s="35" t="s">
        <v>64</v>
      </c>
      <c r="X87" s="34" t="s">
        <v>3628</v>
      </c>
      <c r="Y87" s="35" t="s">
        <v>2397</v>
      </c>
      <c r="Z87" s="35" t="s">
        <v>3629</v>
      </c>
      <c r="AA87" s="35" t="s">
        <v>57</v>
      </c>
      <c r="AB87" s="35" t="s">
        <v>57</v>
      </c>
      <c r="AC87" s="35" t="s">
        <v>74</v>
      </c>
      <c r="AD87" s="35" t="s">
        <v>215</v>
      </c>
      <c r="AE87" s="35" t="s">
        <v>3630</v>
      </c>
      <c r="AF87" s="35" t="s">
        <v>69</v>
      </c>
      <c r="AG87" s="35" t="s">
        <v>129</v>
      </c>
      <c r="AH87" s="35" t="s">
        <v>129</v>
      </c>
      <c r="AI87" s="35" t="s">
        <v>57</v>
      </c>
      <c r="AJ87" s="35" t="s">
        <v>57</v>
      </c>
      <c r="AK87" s="35" t="s">
        <v>3631</v>
      </c>
      <c r="AL87" s="34" t="s">
        <v>1418</v>
      </c>
      <c r="AM87" s="34" t="s">
        <v>109</v>
      </c>
      <c r="AN87" s="104"/>
      <c r="AO87" s="104"/>
      <c r="AP87" s="104"/>
    </row>
    <row r="88">
      <c r="A88" s="102">
        <v>118.0</v>
      </c>
      <c r="B88" s="34">
        <v>8.79386363E8</v>
      </c>
      <c r="C88" s="34" t="s">
        <v>3634</v>
      </c>
      <c r="D88" s="34" t="s">
        <v>3635</v>
      </c>
      <c r="E88" s="35" t="s">
        <v>3636</v>
      </c>
      <c r="F88" s="35" t="s">
        <v>3637</v>
      </c>
      <c r="G88" s="35" t="s">
        <v>2389</v>
      </c>
      <c r="H88" s="43" t="s">
        <v>3638</v>
      </c>
      <c r="I88" s="35">
        <v>2017.0</v>
      </c>
      <c r="J88" s="43" t="s">
        <v>3639</v>
      </c>
      <c r="K88" s="35" t="s">
        <v>730</v>
      </c>
      <c r="L88" s="35" t="s">
        <v>3640</v>
      </c>
      <c r="M88" s="35" t="s">
        <v>57</v>
      </c>
      <c r="N88" s="35" t="s">
        <v>2389</v>
      </c>
      <c r="O88" s="35" t="s">
        <v>57</v>
      </c>
      <c r="P88" s="35" t="s">
        <v>3641</v>
      </c>
      <c r="Q88" s="35" t="s">
        <v>93</v>
      </c>
      <c r="R88" s="35" t="s">
        <v>57</v>
      </c>
      <c r="S88" s="35" t="s">
        <v>57</v>
      </c>
      <c r="T88" s="35" t="s">
        <v>74</v>
      </c>
      <c r="U88" s="35" t="s">
        <v>57</v>
      </c>
      <c r="V88" s="35" t="s">
        <v>193</v>
      </c>
      <c r="W88" s="35" t="s">
        <v>1579</v>
      </c>
      <c r="X88" s="34" t="s">
        <v>3642</v>
      </c>
      <c r="Y88" s="35" t="s">
        <v>2397</v>
      </c>
      <c r="Z88" s="35" t="s">
        <v>3643</v>
      </c>
      <c r="AA88" s="35" t="s">
        <v>57</v>
      </c>
      <c r="AB88" s="35" t="s">
        <v>57</v>
      </c>
      <c r="AC88" s="35" t="s">
        <v>74</v>
      </c>
      <c r="AD88" s="35" t="s">
        <v>215</v>
      </c>
      <c r="AE88" s="35" t="s">
        <v>3644</v>
      </c>
      <c r="AF88" s="35" t="s">
        <v>69</v>
      </c>
      <c r="AG88" s="35" t="s">
        <v>1791</v>
      </c>
      <c r="AH88" s="35" t="s">
        <v>129</v>
      </c>
      <c r="AI88" s="35" t="s">
        <v>2067</v>
      </c>
      <c r="AJ88" s="35" t="s">
        <v>57</v>
      </c>
      <c r="AK88" s="35" t="s">
        <v>3645</v>
      </c>
      <c r="AL88" s="34"/>
      <c r="AM88" s="34" t="s">
        <v>1522</v>
      </c>
      <c r="AN88" s="104"/>
      <c r="AO88" s="104"/>
      <c r="AP88" s="104"/>
    </row>
    <row r="89">
      <c r="A89" s="102">
        <v>119.0</v>
      </c>
      <c r="B89" s="34">
        <v>8.79386365E8</v>
      </c>
      <c r="C89" s="34" t="s">
        <v>3648</v>
      </c>
      <c r="D89" s="34" t="s">
        <v>3649</v>
      </c>
      <c r="E89" s="35" t="s">
        <v>3650</v>
      </c>
      <c r="F89" s="43" t="s">
        <v>3651</v>
      </c>
      <c r="G89" s="35" t="s">
        <v>2389</v>
      </c>
      <c r="H89" s="43" t="s">
        <v>3652</v>
      </c>
      <c r="I89" s="35">
        <v>2014.0</v>
      </c>
      <c r="J89" s="35" t="s">
        <v>295</v>
      </c>
      <c r="K89" s="35" t="s">
        <v>730</v>
      </c>
      <c r="L89" s="35" t="s">
        <v>3653</v>
      </c>
      <c r="M89" s="35" t="s">
        <v>57</v>
      </c>
      <c r="N89" s="35" t="s">
        <v>2389</v>
      </c>
      <c r="O89" s="35" t="s">
        <v>3654</v>
      </c>
      <c r="P89" s="35" t="s">
        <v>3655</v>
      </c>
      <c r="Q89" s="35" t="s">
        <v>93</v>
      </c>
      <c r="R89" s="35" t="s">
        <v>57</v>
      </c>
      <c r="S89" s="35" t="s">
        <v>57</v>
      </c>
      <c r="T89" s="35" t="s">
        <v>74</v>
      </c>
      <c r="U89" s="35" t="s">
        <v>57</v>
      </c>
      <c r="V89" s="35" t="s">
        <v>96</v>
      </c>
      <c r="W89" s="35" t="s">
        <v>64</v>
      </c>
      <c r="X89" s="34" t="s">
        <v>3656</v>
      </c>
      <c r="Y89" s="35" t="s">
        <v>3657</v>
      </c>
      <c r="Z89" s="35" t="s">
        <v>3658</v>
      </c>
      <c r="AA89" s="35">
        <v>2010.0</v>
      </c>
      <c r="AB89" s="35">
        <v>2011.0</v>
      </c>
      <c r="AC89" s="35" t="s">
        <v>74</v>
      </c>
      <c r="AD89" s="35" t="s">
        <v>215</v>
      </c>
      <c r="AE89" s="35" t="s">
        <v>3659</v>
      </c>
      <c r="AF89" s="35" t="s">
        <v>74</v>
      </c>
      <c r="AG89" s="35" t="s">
        <v>57</v>
      </c>
      <c r="AH89" s="35" t="s">
        <v>57</v>
      </c>
      <c r="AI89" s="35" t="s">
        <v>57</v>
      </c>
      <c r="AJ89" s="35" t="s">
        <v>57</v>
      </c>
      <c r="AK89" s="35" t="s">
        <v>57</v>
      </c>
      <c r="AL89" s="34"/>
      <c r="AM89" s="34" t="s">
        <v>109</v>
      </c>
      <c r="AN89" s="104"/>
      <c r="AO89" s="104"/>
      <c r="AP89" s="104"/>
    </row>
    <row r="90">
      <c r="A90" s="102">
        <v>120.0</v>
      </c>
      <c r="B90" s="34">
        <v>8.79386385E8</v>
      </c>
      <c r="C90" s="34" t="s">
        <v>3661</v>
      </c>
      <c r="D90" s="34" t="s">
        <v>3083</v>
      </c>
      <c r="E90" s="35" t="s">
        <v>3662</v>
      </c>
      <c r="F90" s="43" t="s">
        <v>3663</v>
      </c>
      <c r="G90" s="35" t="s">
        <v>3538</v>
      </c>
      <c r="H90" s="43" t="s">
        <v>3664</v>
      </c>
      <c r="I90" s="35">
        <v>2019.0</v>
      </c>
      <c r="J90" s="35" t="s">
        <v>2117</v>
      </c>
      <c r="K90" s="35" t="s">
        <v>730</v>
      </c>
      <c r="L90" s="35" t="s">
        <v>3540</v>
      </c>
      <c r="M90" s="35" t="s">
        <v>57</v>
      </c>
      <c r="N90" s="35" t="s">
        <v>3538</v>
      </c>
      <c r="O90" s="35" t="s">
        <v>3665</v>
      </c>
      <c r="P90" s="35" t="s">
        <v>3666</v>
      </c>
      <c r="Q90" s="35" t="s">
        <v>93</v>
      </c>
      <c r="R90" s="35" t="s">
        <v>57</v>
      </c>
      <c r="S90" s="35" t="s">
        <v>57</v>
      </c>
      <c r="T90" s="35" t="s">
        <v>74</v>
      </c>
      <c r="U90" s="35" t="s">
        <v>57</v>
      </c>
      <c r="V90" s="35" t="s">
        <v>2394</v>
      </c>
      <c r="W90" s="35" t="s">
        <v>161</v>
      </c>
      <c r="X90" s="34" t="s">
        <v>3667</v>
      </c>
      <c r="Y90" s="35" t="s">
        <v>2397</v>
      </c>
      <c r="Z90" s="35" t="s">
        <v>3668</v>
      </c>
      <c r="AA90" s="35" t="s">
        <v>57</v>
      </c>
      <c r="AB90" s="35" t="s">
        <v>57</v>
      </c>
      <c r="AC90" s="35" t="s">
        <v>74</v>
      </c>
      <c r="AD90" s="35" t="s">
        <v>215</v>
      </c>
      <c r="AE90" s="35" t="s">
        <v>3669</v>
      </c>
      <c r="AF90" s="35" t="s">
        <v>69</v>
      </c>
      <c r="AG90" s="35" t="s">
        <v>129</v>
      </c>
      <c r="AH90" s="35" t="s">
        <v>129</v>
      </c>
      <c r="AI90" s="35" t="s">
        <v>57</v>
      </c>
      <c r="AJ90" s="35" t="s">
        <v>57</v>
      </c>
      <c r="AK90" s="35" t="s">
        <v>3670</v>
      </c>
      <c r="AL90" s="34"/>
      <c r="AM90" s="34" t="s">
        <v>109</v>
      </c>
      <c r="AN90" s="104"/>
      <c r="AO90" s="104"/>
      <c r="AP90" s="104"/>
    </row>
    <row r="91">
      <c r="A91" s="102">
        <v>121.0</v>
      </c>
      <c r="B91" s="34">
        <v>8.7938639E8</v>
      </c>
      <c r="C91" s="34" t="s">
        <v>3673</v>
      </c>
      <c r="D91" s="34" t="s">
        <v>3674</v>
      </c>
      <c r="E91" s="35" t="s">
        <v>3675</v>
      </c>
      <c r="F91" s="43" t="s">
        <v>3676</v>
      </c>
      <c r="G91" s="35" t="s">
        <v>859</v>
      </c>
      <c r="H91" s="43" t="s">
        <v>3677</v>
      </c>
      <c r="I91" s="35">
        <v>2019.0</v>
      </c>
      <c r="J91" s="35" t="s">
        <v>3678</v>
      </c>
      <c r="K91" s="35" t="s">
        <v>730</v>
      </c>
      <c r="L91" s="35" t="s">
        <v>3679</v>
      </c>
      <c r="M91" s="35" t="s">
        <v>57</v>
      </c>
      <c r="N91" s="35" t="s">
        <v>859</v>
      </c>
      <c r="O91" s="35" t="s">
        <v>862</v>
      </c>
      <c r="P91" s="35" t="s">
        <v>3680</v>
      </c>
      <c r="Q91" s="35" t="s">
        <v>93</v>
      </c>
      <c r="R91" s="43" t="s">
        <v>3681</v>
      </c>
      <c r="S91" s="43" t="s">
        <v>3682</v>
      </c>
      <c r="T91" s="35" t="s">
        <v>74</v>
      </c>
      <c r="U91" s="35" t="s">
        <v>57</v>
      </c>
      <c r="V91" s="35" t="s">
        <v>96</v>
      </c>
      <c r="W91" s="35" t="s">
        <v>64</v>
      </c>
      <c r="X91" s="34" t="s">
        <v>3683</v>
      </c>
      <c r="Y91" s="35" t="s">
        <v>2397</v>
      </c>
      <c r="Z91" s="35" t="s">
        <v>3684</v>
      </c>
      <c r="AA91" s="35" t="s">
        <v>57</v>
      </c>
      <c r="AB91" s="35" t="s">
        <v>57</v>
      </c>
      <c r="AC91" s="35" t="s">
        <v>74</v>
      </c>
      <c r="AD91" s="35" t="s">
        <v>215</v>
      </c>
      <c r="AE91" s="35" t="s">
        <v>3685</v>
      </c>
      <c r="AF91" s="35" t="s">
        <v>69</v>
      </c>
      <c r="AG91" s="35" t="s">
        <v>129</v>
      </c>
      <c r="AH91" s="35" t="s">
        <v>129</v>
      </c>
      <c r="AI91" s="35" t="s">
        <v>57</v>
      </c>
      <c r="AJ91" s="35" t="s">
        <v>57</v>
      </c>
      <c r="AK91" s="35" t="s">
        <v>3686</v>
      </c>
      <c r="AL91" s="34" t="s">
        <v>2556</v>
      </c>
      <c r="AM91" s="34" t="s">
        <v>109</v>
      </c>
      <c r="AN91" s="104"/>
      <c r="AO91" s="104"/>
      <c r="AP91" s="104"/>
    </row>
    <row r="92">
      <c r="A92" s="102">
        <v>122.0</v>
      </c>
      <c r="B92" s="34">
        <v>8.79386384E8</v>
      </c>
      <c r="C92" s="34" t="s">
        <v>3689</v>
      </c>
      <c r="D92" s="34" t="s">
        <v>3690</v>
      </c>
      <c r="E92" s="35" t="s">
        <v>3691</v>
      </c>
      <c r="F92" s="43" t="s">
        <v>3692</v>
      </c>
      <c r="G92" s="35" t="s">
        <v>684</v>
      </c>
      <c r="H92" s="43" t="s">
        <v>3693</v>
      </c>
      <c r="I92" s="35">
        <v>2022.0</v>
      </c>
      <c r="J92" s="43" t="s">
        <v>3176</v>
      </c>
      <c r="K92" s="35" t="s">
        <v>730</v>
      </c>
      <c r="L92" s="35" t="s">
        <v>3694</v>
      </c>
      <c r="M92" s="35" t="s">
        <v>57</v>
      </c>
      <c r="N92" s="35" t="s">
        <v>684</v>
      </c>
      <c r="O92" s="35" t="s">
        <v>3695</v>
      </c>
      <c r="P92" s="35" t="s">
        <v>3696</v>
      </c>
      <c r="Q92" s="35" t="s">
        <v>3697</v>
      </c>
      <c r="R92" s="35" t="s">
        <v>57</v>
      </c>
      <c r="S92" s="35" t="s">
        <v>57</v>
      </c>
      <c r="T92" s="35" t="s">
        <v>69</v>
      </c>
      <c r="U92" s="35" t="s">
        <v>3698</v>
      </c>
      <c r="V92" s="35" t="s">
        <v>96</v>
      </c>
      <c r="W92" s="35" t="s">
        <v>1579</v>
      </c>
      <c r="X92" s="34" t="s">
        <v>3699</v>
      </c>
      <c r="Y92" s="35" t="s">
        <v>2397</v>
      </c>
      <c r="Z92" s="35" t="s">
        <v>3700</v>
      </c>
      <c r="AA92" s="35">
        <v>2020.0</v>
      </c>
      <c r="AB92" s="35">
        <v>2020.0</v>
      </c>
      <c r="AC92" s="35" t="s">
        <v>74</v>
      </c>
      <c r="AD92" s="35" t="s">
        <v>215</v>
      </c>
      <c r="AE92" s="35" t="s">
        <v>3701</v>
      </c>
      <c r="AF92" s="35" t="s">
        <v>69</v>
      </c>
      <c r="AG92" s="35" t="s">
        <v>129</v>
      </c>
      <c r="AH92" s="35" t="s">
        <v>129</v>
      </c>
      <c r="AI92" s="35" t="s">
        <v>57</v>
      </c>
      <c r="AJ92" s="35" t="s">
        <v>57</v>
      </c>
      <c r="AK92" s="35" t="s">
        <v>3702</v>
      </c>
      <c r="AL92" s="34" t="s">
        <v>2556</v>
      </c>
      <c r="AM92" s="34" t="s">
        <v>1522</v>
      </c>
      <c r="AN92" s="104"/>
      <c r="AO92" s="104"/>
      <c r="AP92" s="104"/>
    </row>
    <row r="93">
      <c r="A93" s="102">
        <v>124.0</v>
      </c>
      <c r="B93" s="34">
        <v>8.7938629E7</v>
      </c>
      <c r="C93" s="34" t="s">
        <v>3704</v>
      </c>
      <c r="D93" s="34" t="s">
        <v>3705</v>
      </c>
      <c r="E93" s="35" t="s">
        <v>3706</v>
      </c>
      <c r="F93" s="43" t="s">
        <v>3707</v>
      </c>
      <c r="G93" s="35" t="s">
        <v>859</v>
      </c>
      <c r="H93" s="43" t="s">
        <v>3708</v>
      </c>
      <c r="I93" s="35">
        <v>2013.0</v>
      </c>
      <c r="J93" s="43" t="s">
        <v>3709</v>
      </c>
      <c r="K93" s="35" t="s">
        <v>3710</v>
      </c>
      <c r="L93" s="35" t="s">
        <v>57</v>
      </c>
      <c r="M93" s="35" t="s">
        <v>57</v>
      </c>
      <c r="N93" s="35" t="s">
        <v>859</v>
      </c>
      <c r="O93" s="35" t="s">
        <v>3711</v>
      </c>
      <c r="P93" s="35" t="s">
        <v>3712</v>
      </c>
      <c r="Q93" s="35" t="s">
        <v>93</v>
      </c>
      <c r="R93" s="43" t="s">
        <v>3713</v>
      </c>
      <c r="S93" s="43" t="s">
        <v>3714</v>
      </c>
      <c r="T93" s="35" t="s">
        <v>74</v>
      </c>
      <c r="U93" s="35" t="s">
        <v>57</v>
      </c>
      <c r="V93" s="35" t="s">
        <v>96</v>
      </c>
      <c r="W93" s="35" t="s">
        <v>64</v>
      </c>
      <c r="X93" s="34" t="s">
        <v>3715</v>
      </c>
      <c r="Y93" s="35" t="s">
        <v>2831</v>
      </c>
      <c r="Z93" s="35" t="s">
        <v>3716</v>
      </c>
      <c r="AA93" s="35" t="s">
        <v>57</v>
      </c>
      <c r="AB93" s="35" t="s">
        <v>57</v>
      </c>
      <c r="AC93" s="35" t="s">
        <v>74</v>
      </c>
      <c r="AD93" s="35" t="s">
        <v>215</v>
      </c>
      <c r="AE93" s="35" t="s">
        <v>3717</v>
      </c>
      <c r="AF93" s="35" t="s">
        <v>69</v>
      </c>
      <c r="AG93" s="35" t="s">
        <v>129</v>
      </c>
      <c r="AH93" s="35" t="s">
        <v>129</v>
      </c>
      <c r="AI93" s="35" t="s">
        <v>57</v>
      </c>
      <c r="AJ93" s="35" t="s">
        <v>57</v>
      </c>
      <c r="AK93" s="35" t="s">
        <v>3718</v>
      </c>
      <c r="AL93" s="34"/>
      <c r="AM93" s="34" t="s">
        <v>1522</v>
      </c>
      <c r="AN93" s="104"/>
      <c r="AO93" s="104"/>
      <c r="AP93" s="104"/>
    </row>
    <row r="94">
      <c r="A94" s="102">
        <v>126.0</v>
      </c>
      <c r="B94" s="34">
        <v>8.79386493E8</v>
      </c>
      <c r="C94" s="34" t="s">
        <v>3721</v>
      </c>
      <c r="D94" s="34" t="s">
        <v>3722</v>
      </c>
      <c r="E94" s="35" t="s">
        <v>3723</v>
      </c>
      <c r="F94" s="43" t="s">
        <v>3724</v>
      </c>
      <c r="G94" s="35" t="s">
        <v>859</v>
      </c>
      <c r="H94" s="43" t="s">
        <v>3725</v>
      </c>
      <c r="I94" s="35">
        <v>2021.0</v>
      </c>
      <c r="J94" s="35" t="s">
        <v>3726</v>
      </c>
      <c r="K94" s="35" t="s">
        <v>730</v>
      </c>
      <c r="L94" s="35" t="s">
        <v>3727</v>
      </c>
      <c r="M94" s="35" t="s">
        <v>57</v>
      </c>
      <c r="N94" s="35" t="s">
        <v>859</v>
      </c>
      <c r="O94" s="35" t="s">
        <v>3728</v>
      </c>
      <c r="P94" s="35" t="s">
        <v>3729</v>
      </c>
      <c r="Q94" s="35" t="s">
        <v>93</v>
      </c>
      <c r="R94" s="35" t="s">
        <v>57</v>
      </c>
      <c r="S94" s="35" t="s">
        <v>57</v>
      </c>
      <c r="T94" s="35" t="s">
        <v>74</v>
      </c>
      <c r="U94" s="35" t="s">
        <v>57</v>
      </c>
      <c r="V94" s="35" t="s">
        <v>96</v>
      </c>
      <c r="W94" s="35" t="s">
        <v>1389</v>
      </c>
      <c r="X94" s="34" t="s">
        <v>3730</v>
      </c>
      <c r="Y94" s="35" t="s">
        <v>2397</v>
      </c>
      <c r="Z94" s="35" t="s">
        <v>3731</v>
      </c>
      <c r="AA94" s="35" t="s">
        <v>57</v>
      </c>
      <c r="AB94" s="35" t="s">
        <v>57</v>
      </c>
      <c r="AC94" s="35" t="s">
        <v>74</v>
      </c>
      <c r="AD94" s="35" t="s">
        <v>96</v>
      </c>
      <c r="AE94" s="35" t="s">
        <v>3732</v>
      </c>
      <c r="AF94" s="35" t="s">
        <v>69</v>
      </c>
      <c r="AG94" s="35" t="s">
        <v>129</v>
      </c>
      <c r="AH94" s="35" t="s">
        <v>129</v>
      </c>
      <c r="AI94" s="35" t="s">
        <v>57</v>
      </c>
      <c r="AJ94" s="35" t="s">
        <v>57</v>
      </c>
      <c r="AK94" s="35" t="s">
        <v>3733</v>
      </c>
      <c r="AL94" s="34"/>
      <c r="AM94" s="34" t="s">
        <v>109</v>
      </c>
      <c r="AN94" s="104"/>
      <c r="AO94" s="104"/>
      <c r="AP94" s="104"/>
    </row>
    <row r="95">
      <c r="A95" s="102">
        <v>127.0</v>
      </c>
      <c r="B95" s="34">
        <v>8.7938646E8</v>
      </c>
      <c r="C95" s="34" t="s">
        <v>3736</v>
      </c>
      <c r="D95" s="34" t="s">
        <v>3737</v>
      </c>
      <c r="E95" s="35" t="s">
        <v>3738</v>
      </c>
      <c r="F95" s="43" t="s">
        <v>3739</v>
      </c>
      <c r="G95" s="35" t="s">
        <v>992</v>
      </c>
      <c r="H95" s="43" t="s">
        <v>3740</v>
      </c>
      <c r="I95" s="35">
        <v>2017.0</v>
      </c>
      <c r="J95" s="35" t="s">
        <v>3741</v>
      </c>
      <c r="K95" s="35" t="s">
        <v>730</v>
      </c>
      <c r="L95" s="35" t="s">
        <v>3742</v>
      </c>
      <c r="M95" s="35" t="s">
        <v>57</v>
      </c>
      <c r="N95" s="35" t="s">
        <v>992</v>
      </c>
      <c r="O95" s="35" t="s">
        <v>1364</v>
      </c>
      <c r="P95" s="35" t="s">
        <v>3743</v>
      </c>
      <c r="Q95" s="35" t="s">
        <v>554</v>
      </c>
      <c r="R95" s="35" t="s">
        <v>57</v>
      </c>
      <c r="S95" s="35" t="s">
        <v>57</v>
      </c>
      <c r="T95" s="35" t="s">
        <v>74</v>
      </c>
      <c r="U95" s="35" t="s">
        <v>57</v>
      </c>
      <c r="V95" s="35" t="s">
        <v>96</v>
      </c>
      <c r="W95" s="35" t="s">
        <v>351</v>
      </c>
      <c r="X95" s="34" t="s">
        <v>3744</v>
      </c>
      <c r="Y95" s="35" t="s">
        <v>3745</v>
      </c>
      <c r="Z95" s="35" t="s">
        <v>3746</v>
      </c>
      <c r="AA95" s="35" t="s">
        <v>57</v>
      </c>
      <c r="AB95" s="35" t="s">
        <v>57</v>
      </c>
      <c r="AC95" s="35" t="s">
        <v>74</v>
      </c>
      <c r="AD95" s="35" t="s">
        <v>215</v>
      </c>
      <c r="AE95" s="35" t="s">
        <v>3747</v>
      </c>
      <c r="AF95" s="35" t="s">
        <v>74</v>
      </c>
      <c r="AG95" s="35" t="s">
        <v>57</v>
      </c>
      <c r="AH95" s="35" t="s">
        <v>57</v>
      </c>
      <c r="AI95" s="35" t="s">
        <v>57</v>
      </c>
      <c r="AJ95" s="35" t="s">
        <v>57</v>
      </c>
      <c r="AK95" s="35" t="s">
        <v>57</v>
      </c>
      <c r="AL95" s="34"/>
      <c r="AM95" s="34" t="s">
        <v>109</v>
      </c>
      <c r="AN95" s="104"/>
      <c r="AO95" s="104"/>
      <c r="AP95" s="104"/>
    </row>
    <row r="96">
      <c r="A96" s="102">
        <v>128.0</v>
      </c>
      <c r="B96" s="34">
        <v>8.79386497E8</v>
      </c>
      <c r="C96" s="34" t="s">
        <v>3750</v>
      </c>
      <c r="D96" s="34" t="s">
        <v>3751</v>
      </c>
      <c r="E96" s="35" t="s">
        <v>3752</v>
      </c>
      <c r="F96" s="43" t="s">
        <v>3753</v>
      </c>
      <c r="G96" s="35" t="s">
        <v>859</v>
      </c>
      <c r="H96" s="43" t="s">
        <v>3754</v>
      </c>
      <c r="I96" s="35">
        <v>2017.0</v>
      </c>
      <c r="J96" s="43" t="s">
        <v>3755</v>
      </c>
      <c r="K96" s="35" t="s">
        <v>730</v>
      </c>
      <c r="L96" s="35" t="s">
        <v>57</v>
      </c>
      <c r="M96" s="35" t="s">
        <v>57</v>
      </c>
      <c r="N96" s="35" t="s">
        <v>859</v>
      </c>
      <c r="O96" s="35" t="s">
        <v>3756</v>
      </c>
      <c r="P96" s="35" t="s">
        <v>3757</v>
      </c>
      <c r="Q96" s="35" t="s">
        <v>93</v>
      </c>
      <c r="R96" s="35" t="s">
        <v>57</v>
      </c>
      <c r="S96" s="35" t="s">
        <v>57</v>
      </c>
      <c r="T96" s="35" t="s">
        <v>74</v>
      </c>
      <c r="U96" s="35" t="s">
        <v>57</v>
      </c>
      <c r="V96" s="35" t="s">
        <v>2394</v>
      </c>
      <c r="W96" s="35" t="s">
        <v>749</v>
      </c>
      <c r="X96" s="34" t="s">
        <v>3758</v>
      </c>
      <c r="Y96" s="35" t="s">
        <v>2397</v>
      </c>
      <c r="Z96" s="35" t="s">
        <v>3759</v>
      </c>
      <c r="AA96" s="35" t="s">
        <v>57</v>
      </c>
      <c r="AB96" s="35" t="s">
        <v>57</v>
      </c>
      <c r="AC96" s="35" t="s">
        <v>74</v>
      </c>
      <c r="AD96" s="35" t="s">
        <v>96</v>
      </c>
      <c r="AE96" s="35" t="s">
        <v>3760</v>
      </c>
      <c r="AF96" s="35" t="s">
        <v>69</v>
      </c>
      <c r="AG96" s="35" t="s">
        <v>1791</v>
      </c>
      <c r="AH96" s="35" t="s">
        <v>129</v>
      </c>
      <c r="AI96" s="35" t="s">
        <v>2067</v>
      </c>
      <c r="AJ96" s="35" t="s">
        <v>57</v>
      </c>
      <c r="AK96" s="35" t="s">
        <v>3761</v>
      </c>
      <c r="AL96" s="34"/>
      <c r="AM96" s="34" t="s">
        <v>1522</v>
      </c>
      <c r="AN96" s="104"/>
      <c r="AO96" s="104"/>
      <c r="AP96" s="104"/>
    </row>
    <row r="97">
      <c r="A97" s="102">
        <v>129.0</v>
      </c>
      <c r="B97" s="34">
        <v>8.79386525E8</v>
      </c>
      <c r="C97" s="34" t="s">
        <v>3763</v>
      </c>
      <c r="D97" s="34" t="s">
        <v>3764</v>
      </c>
      <c r="E97" s="35" t="s">
        <v>3765</v>
      </c>
      <c r="F97" s="43" t="s">
        <v>3766</v>
      </c>
      <c r="G97" s="35" t="s">
        <v>2315</v>
      </c>
      <c r="H97" s="43" t="s">
        <v>3767</v>
      </c>
      <c r="I97" s="35">
        <v>2004.0</v>
      </c>
      <c r="J97" s="35" t="s">
        <v>3768</v>
      </c>
      <c r="K97" s="35" t="s">
        <v>730</v>
      </c>
      <c r="L97" s="35" t="s">
        <v>57</v>
      </c>
      <c r="M97" s="35" t="s">
        <v>57</v>
      </c>
      <c r="N97" s="35" t="s">
        <v>2315</v>
      </c>
      <c r="O97" s="35" t="s">
        <v>400</v>
      </c>
      <c r="P97" s="35" t="s">
        <v>3769</v>
      </c>
      <c r="Q97" s="35" t="s">
        <v>93</v>
      </c>
      <c r="R97" s="35" t="s">
        <v>57</v>
      </c>
      <c r="S97" s="35" t="s">
        <v>57</v>
      </c>
      <c r="T97" s="35" t="s">
        <v>74</v>
      </c>
      <c r="U97" s="35" t="s">
        <v>57</v>
      </c>
      <c r="V97" s="35" t="s">
        <v>193</v>
      </c>
      <c r="W97" s="35" t="s">
        <v>64</v>
      </c>
      <c r="X97" s="34" t="s">
        <v>3770</v>
      </c>
      <c r="Y97" s="35" t="s">
        <v>2397</v>
      </c>
      <c r="Z97" s="35" t="s">
        <v>3771</v>
      </c>
      <c r="AA97" s="35">
        <v>1997.0</v>
      </c>
      <c r="AB97" s="35">
        <v>2000.0</v>
      </c>
      <c r="AC97" s="35" t="s">
        <v>74</v>
      </c>
      <c r="AD97" s="35" t="s">
        <v>215</v>
      </c>
      <c r="AE97" s="35" t="s">
        <v>3772</v>
      </c>
      <c r="AF97" s="35" t="s">
        <v>74</v>
      </c>
      <c r="AG97" s="35" t="s">
        <v>57</v>
      </c>
      <c r="AH97" s="35" t="s">
        <v>57</v>
      </c>
      <c r="AI97" s="35" t="s">
        <v>57</v>
      </c>
      <c r="AJ97" s="35" t="s">
        <v>57</v>
      </c>
      <c r="AK97" s="35" t="s">
        <v>57</v>
      </c>
      <c r="AL97" s="34"/>
      <c r="AM97" s="34" t="s">
        <v>109</v>
      </c>
      <c r="AN97" s="104"/>
      <c r="AO97" s="104"/>
      <c r="AP97" s="104"/>
    </row>
    <row r="98">
      <c r="A98" s="102">
        <v>131.0</v>
      </c>
      <c r="B98" s="34">
        <v>8.79386538E8</v>
      </c>
      <c r="C98" s="34" t="s">
        <v>3774</v>
      </c>
      <c r="D98" s="38" t="s">
        <v>3775</v>
      </c>
      <c r="E98" s="35" t="s">
        <v>3776</v>
      </c>
      <c r="F98" s="43" t="s">
        <v>3777</v>
      </c>
      <c r="G98" s="35" t="s">
        <v>1455</v>
      </c>
      <c r="H98" s="43" t="s">
        <v>3778</v>
      </c>
      <c r="I98" s="35">
        <v>2021.0</v>
      </c>
      <c r="J98" s="43" t="s">
        <v>3779</v>
      </c>
      <c r="K98" s="35" t="s">
        <v>730</v>
      </c>
      <c r="L98" s="35" t="s">
        <v>3780</v>
      </c>
      <c r="M98" s="35" t="s">
        <v>57</v>
      </c>
      <c r="N98" s="35" t="s">
        <v>1455</v>
      </c>
      <c r="O98" s="35" t="s">
        <v>3781</v>
      </c>
      <c r="P98" s="35" t="s">
        <v>3782</v>
      </c>
      <c r="Q98" s="35" t="s">
        <v>93</v>
      </c>
      <c r="R98" s="35" t="s">
        <v>57</v>
      </c>
      <c r="S98" s="35" t="s">
        <v>57</v>
      </c>
      <c r="T98" s="35" t="s">
        <v>74</v>
      </c>
      <c r="U98" s="35" t="s">
        <v>57</v>
      </c>
      <c r="V98" s="35" t="s">
        <v>96</v>
      </c>
      <c r="W98" s="35" t="s">
        <v>64</v>
      </c>
      <c r="X98" s="34" t="s">
        <v>3783</v>
      </c>
      <c r="Y98" s="35" t="s">
        <v>2397</v>
      </c>
      <c r="Z98" s="35" t="s">
        <v>3784</v>
      </c>
      <c r="AA98" s="35">
        <v>2020.0</v>
      </c>
      <c r="AB98" s="35">
        <v>2020.0</v>
      </c>
      <c r="AC98" s="35" t="s">
        <v>74</v>
      </c>
      <c r="AD98" s="35" t="s">
        <v>215</v>
      </c>
      <c r="AE98" s="35" t="s">
        <v>3785</v>
      </c>
      <c r="AF98" s="35" t="s">
        <v>69</v>
      </c>
      <c r="AG98" s="35" t="s">
        <v>129</v>
      </c>
      <c r="AH98" s="35" t="s">
        <v>129</v>
      </c>
      <c r="AI98" s="35" t="s">
        <v>57</v>
      </c>
      <c r="AJ98" s="35" t="s">
        <v>57</v>
      </c>
      <c r="AK98" s="35" t="s">
        <v>3786</v>
      </c>
      <c r="AL98" s="34"/>
      <c r="AM98" s="34" t="s">
        <v>1522</v>
      </c>
      <c r="AN98" s="104"/>
      <c r="AO98" s="104"/>
      <c r="AP98" s="104"/>
    </row>
    <row r="99">
      <c r="A99" s="102">
        <v>132.0</v>
      </c>
      <c r="B99" s="34">
        <v>8.79386551E8</v>
      </c>
      <c r="C99" s="34" t="s">
        <v>3788</v>
      </c>
      <c r="D99" s="38" t="s">
        <v>3789</v>
      </c>
      <c r="E99" s="35" t="s">
        <v>3790</v>
      </c>
      <c r="F99" s="43" t="s">
        <v>3791</v>
      </c>
      <c r="G99" s="35" t="s">
        <v>1744</v>
      </c>
      <c r="H99" s="43" t="s">
        <v>3792</v>
      </c>
      <c r="I99" s="35">
        <v>2019.0</v>
      </c>
      <c r="J99" s="43" t="s">
        <v>3793</v>
      </c>
      <c r="K99" s="35" t="s">
        <v>730</v>
      </c>
      <c r="L99" s="35" t="s">
        <v>57</v>
      </c>
      <c r="M99" s="35" t="s">
        <v>57</v>
      </c>
      <c r="N99" s="35" t="s">
        <v>1744</v>
      </c>
      <c r="O99" s="43" t="s">
        <v>3794</v>
      </c>
      <c r="P99" s="43" t="s">
        <v>3795</v>
      </c>
      <c r="Q99" s="35" t="s">
        <v>93</v>
      </c>
      <c r="R99" s="35" t="s">
        <v>57</v>
      </c>
      <c r="S99" s="35" t="s">
        <v>57</v>
      </c>
      <c r="T99" s="35" t="s">
        <v>74</v>
      </c>
      <c r="U99" s="35" t="s">
        <v>57</v>
      </c>
      <c r="V99" s="35" t="s">
        <v>96</v>
      </c>
      <c r="W99" s="35" t="s">
        <v>3796</v>
      </c>
      <c r="X99" s="34" t="s">
        <v>3797</v>
      </c>
      <c r="Y99" s="35" t="s">
        <v>2397</v>
      </c>
      <c r="Z99" s="35" t="s">
        <v>3798</v>
      </c>
      <c r="AA99" s="35" t="s">
        <v>57</v>
      </c>
      <c r="AB99" s="35" t="s">
        <v>57</v>
      </c>
      <c r="AC99" s="35" t="s">
        <v>74</v>
      </c>
      <c r="AD99" s="35" t="s">
        <v>215</v>
      </c>
      <c r="AE99" s="35" t="s">
        <v>3799</v>
      </c>
      <c r="AF99" s="35" t="s">
        <v>69</v>
      </c>
      <c r="AG99" s="35" t="s">
        <v>129</v>
      </c>
      <c r="AH99" s="35" t="s">
        <v>129</v>
      </c>
      <c r="AI99" s="35" t="s">
        <v>57</v>
      </c>
      <c r="AJ99" s="35" t="s">
        <v>57</v>
      </c>
      <c r="AK99" s="35" t="s">
        <v>3800</v>
      </c>
      <c r="AL99" s="34"/>
      <c r="AM99" s="34" t="s">
        <v>1522</v>
      </c>
      <c r="AN99" s="104"/>
      <c r="AO99" s="104"/>
      <c r="AP99" s="104"/>
    </row>
    <row r="100">
      <c r="A100" s="102">
        <v>133.0</v>
      </c>
      <c r="B100" s="34">
        <v>8.79386556E8</v>
      </c>
      <c r="C100" s="34" t="s">
        <v>3802</v>
      </c>
      <c r="D100" s="34" t="s">
        <v>3803</v>
      </c>
      <c r="E100" s="35" t="s">
        <v>3804</v>
      </c>
      <c r="F100" s="43" t="s">
        <v>3805</v>
      </c>
      <c r="G100" s="35" t="s">
        <v>154</v>
      </c>
      <c r="H100" s="43" t="s">
        <v>3806</v>
      </c>
      <c r="I100" s="35">
        <v>2010.0</v>
      </c>
      <c r="J100" s="35" t="s">
        <v>3807</v>
      </c>
      <c r="K100" s="35" t="s">
        <v>730</v>
      </c>
      <c r="L100" s="35" t="s">
        <v>3808</v>
      </c>
      <c r="M100" s="35" t="s">
        <v>57</v>
      </c>
      <c r="N100" s="35" t="s">
        <v>154</v>
      </c>
      <c r="O100" s="35" t="s">
        <v>3809</v>
      </c>
      <c r="P100" s="35" t="s">
        <v>3810</v>
      </c>
      <c r="Q100" s="35" t="s">
        <v>93</v>
      </c>
      <c r="R100" s="35" t="s">
        <v>57</v>
      </c>
      <c r="S100" s="35" t="s">
        <v>57</v>
      </c>
      <c r="T100" s="35" t="s">
        <v>74</v>
      </c>
      <c r="U100" s="35" t="s">
        <v>57</v>
      </c>
      <c r="V100" s="35" t="s">
        <v>2394</v>
      </c>
      <c r="W100" s="35" t="s">
        <v>64</v>
      </c>
      <c r="X100" s="34" t="s">
        <v>3811</v>
      </c>
      <c r="Y100" s="35" t="s">
        <v>2397</v>
      </c>
      <c r="Z100" s="35" t="s">
        <v>3812</v>
      </c>
      <c r="AA100" s="35">
        <v>2009.0</v>
      </c>
      <c r="AB100" s="35">
        <v>2009.0</v>
      </c>
      <c r="AC100" s="35" t="s">
        <v>74</v>
      </c>
      <c r="AD100" s="35" t="s">
        <v>215</v>
      </c>
      <c r="AE100" s="35" t="s">
        <v>3813</v>
      </c>
      <c r="AF100" s="35" t="s">
        <v>74</v>
      </c>
      <c r="AG100" s="35" t="s">
        <v>57</v>
      </c>
      <c r="AH100" s="35" t="s">
        <v>57</v>
      </c>
      <c r="AI100" s="35" t="s">
        <v>57</v>
      </c>
      <c r="AJ100" s="35" t="s">
        <v>57</v>
      </c>
      <c r="AK100" s="35" t="s">
        <v>57</v>
      </c>
      <c r="AL100" s="34"/>
      <c r="AM100" s="34" t="s">
        <v>109</v>
      </c>
      <c r="AN100" s="104"/>
      <c r="AO100" s="104"/>
      <c r="AP100" s="104"/>
    </row>
    <row r="101">
      <c r="A101" s="102">
        <v>135.0</v>
      </c>
      <c r="B101" s="34">
        <v>8.79386575E8</v>
      </c>
      <c r="C101" s="34" t="s">
        <v>3815</v>
      </c>
      <c r="D101" s="34" t="s">
        <v>3816</v>
      </c>
      <c r="E101" s="35" t="s">
        <v>3817</v>
      </c>
      <c r="F101" s="43" t="s">
        <v>3818</v>
      </c>
      <c r="G101" s="35" t="s">
        <v>859</v>
      </c>
      <c r="H101" s="43" t="s">
        <v>3819</v>
      </c>
      <c r="I101" s="35">
        <v>2011.0</v>
      </c>
      <c r="J101" s="35" t="s">
        <v>3820</v>
      </c>
      <c r="K101" s="35" t="s">
        <v>730</v>
      </c>
      <c r="L101" s="35" t="s">
        <v>3821</v>
      </c>
      <c r="M101" s="35" t="s">
        <v>57</v>
      </c>
      <c r="N101" s="35" t="s">
        <v>859</v>
      </c>
      <c r="O101" s="35" t="s">
        <v>3129</v>
      </c>
      <c r="P101" s="35" t="s">
        <v>3822</v>
      </c>
      <c r="Q101" s="35" t="s">
        <v>93</v>
      </c>
      <c r="R101" s="35" t="s">
        <v>3823</v>
      </c>
      <c r="S101" s="35" t="s">
        <v>3824</v>
      </c>
      <c r="T101" s="35" t="s">
        <v>74</v>
      </c>
      <c r="U101" s="35" t="s">
        <v>57</v>
      </c>
      <c r="V101" s="35" t="s">
        <v>96</v>
      </c>
      <c r="W101" s="35" t="s">
        <v>64</v>
      </c>
      <c r="X101" s="34" t="s">
        <v>3825</v>
      </c>
      <c r="Y101" s="35" t="s">
        <v>2397</v>
      </c>
      <c r="Z101" s="35" t="s">
        <v>3826</v>
      </c>
      <c r="AA101" s="35">
        <v>2010.0</v>
      </c>
      <c r="AB101" s="35">
        <v>2010.0</v>
      </c>
      <c r="AC101" s="35" t="s">
        <v>74</v>
      </c>
      <c r="AD101" s="35" t="s">
        <v>215</v>
      </c>
      <c r="AE101" s="35" t="s">
        <v>3827</v>
      </c>
      <c r="AF101" s="35" t="s">
        <v>69</v>
      </c>
      <c r="AG101" s="35" t="s">
        <v>129</v>
      </c>
      <c r="AH101" s="35" t="s">
        <v>129</v>
      </c>
      <c r="AI101" s="35" t="s">
        <v>57</v>
      </c>
      <c r="AJ101" s="35" t="s">
        <v>57</v>
      </c>
      <c r="AK101" s="35" t="s">
        <v>3828</v>
      </c>
      <c r="AL101" s="34"/>
      <c r="AM101" s="34" t="s">
        <v>109</v>
      </c>
      <c r="AN101" s="104"/>
      <c r="AO101" s="104"/>
      <c r="AP101" s="104"/>
    </row>
    <row r="102">
      <c r="A102" s="102">
        <v>136.0</v>
      </c>
      <c r="B102" s="34">
        <v>8.79386595E8</v>
      </c>
      <c r="C102" s="34" t="s">
        <v>3830</v>
      </c>
      <c r="D102" s="34" t="s">
        <v>3831</v>
      </c>
      <c r="E102" s="35" t="s">
        <v>3832</v>
      </c>
      <c r="F102" s="43" t="s">
        <v>3833</v>
      </c>
      <c r="G102" s="35" t="s">
        <v>3538</v>
      </c>
      <c r="H102" s="43" t="s">
        <v>3834</v>
      </c>
      <c r="I102" s="35">
        <v>2021.0</v>
      </c>
      <c r="J102" s="35" t="s">
        <v>3835</v>
      </c>
      <c r="K102" s="35" t="s">
        <v>730</v>
      </c>
      <c r="L102" s="35" t="s">
        <v>3836</v>
      </c>
      <c r="M102" s="35" t="s">
        <v>57</v>
      </c>
      <c r="N102" s="35" t="s">
        <v>3538</v>
      </c>
      <c r="O102" s="35" t="s">
        <v>400</v>
      </c>
      <c r="P102" s="35" t="s">
        <v>3837</v>
      </c>
      <c r="Q102" s="35" t="s">
        <v>93</v>
      </c>
      <c r="R102" s="35" t="s">
        <v>57</v>
      </c>
      <c r="S102" s="35" t="s">
        <v>57</v>
      </c>
      <c r="T102" s="35" t="s">
        <v>74</v>
      </c>
      <c r="U102" s="35" t="s">
        <v>57</v>
      </c>
      <c r="V102" s="35" t="s">
        <v>96</v>
      </c>
      <c r="W102" s="35" t="s">
        <v>64</v>
      </c>
      <c r="X102" s="34" t="s">
        <v>3838</v>
      </c>
      <c r="Y102" s="35" t="s">
        <v>2397</v>
      </c>
      <c r="Z102" s="35" t="s">
        <v>3839</v>
      </c>
      <c r="AA102" s="35">
        <v>2019.0</v>
      </c>
      <c r="AB102" s="35">
        <v>2020.0</v>
      </c>
      <c r="AC102" s="35" t="s">
        <v>74</v>
      </c>
      <c r="AD102" s="35" t="s">
        <v>96</v>
      </c>
      <c r="AE102" s="35" t="s">
        <v>3840</v>
      </c>
      <c r="AF102" s="35" t="s">
        <v>69</v>
      </c>
      <c r="AG102" s="35" t="s">
        <v>129</v>
      </c>
      <c r="AH102" s="35" t="s">
        <v>129</v>
      </c>
      <c r="AI102" s="35" t="s">
        <v>57</v>
      </c>
      <c r="AJ102" s="35" t="s">
        <v>57</v>
      </c>
      <c r="AK102" s="35" t="s">
        <v>3841</v>
      </c>
      <c r="AL102" s="34" t="s">
        <v>2556</v>
      </c>
      <c r="AM102" s="34" t="s">
        <v>109</v>
      </c>
      <c r="AN102" s="104"/>
      <c r="AO102" s="104"/>
      <c r="AP102" s="104"/>
    </row>
    <row r="103">
      <c r="A103" s="102">
        <v>137.0</v>
      </c>
      <c r="B103" s="34">
        <v>8.79386608E8</v>
      </c>
      <c r="C103" s="34" t="s">
        <v>3843</v>
      </c>
      <c r="D103" s="34" t="s">
        <v>3844</v>
      </c>
      <c r="E103" s="35" t="s">
        <v>3845</v>
      </c>
      <c r="F103" s="43" t="s">
        <v>3846</v>
      </c>
      <c r="G103" s="35" t="s">
        <v>3847</v>
      </c>
      <c r="H103" s="43" t="s">
        <v>3848</v>
      </c>
      <c r="I103" s="35">
        <v>2020.0</v>
      </c>
      <c r="J103" s="35" t="s">
        <v>3849</v>
      </c>
      <c r="K103" s="35" t="s">
        <v>730</v>
      </c>
      <c r="L103" s="35" t="s">
        <v>3850</v>
      </c>
      <c r="M103" s="35" t="s">
        <v>57</v>
      </c>
      <c r="N103" s="35" t="s">
        <v>3847</v>
      </c>
      <c r="O103" s="35" t="s">
        <v>3851</v>
      </c>
      <c r="P103" s="35" t="s">
        <v>3852</v>
      </c>
      <c r="Q103" s="35" t="s">
        <v>93</v>
      </c>
      <c r="R103" s="35" t="s">
        <v>57</v>
      </c>
      <c r="S103" s="35" t="s">
        <v>57</v>
      </c>
      <c r="T103" s="35" t="s">
        <v>74</v>
      </c>
      <c r="U103" s="35" t="s">
        <v>57</v>
      </c>
      <c r="V103" s="35" t="s">
        <v>96</v>
      </c>
      <c r="W103" s="35" t="s">
        <v>64</v>
      </c>
      <c r="X103" s="34" t="s">
        <v>3853</v>
      </c>
      <c r="Y103" s="35" t="s">
        <v>2397</v>
      </c>
      <c r="Z103" s="35" t="s">
        <v>3854</v>
      </c>
      <c r="AA103" s="35" t="s">
        <v>57</v>
      </c>
      <c r="AB103" s="35" t="s">
        <v>57</v>
      </c>
      <c r="AC103" s="35" t="s">
        <v>74</v>
      </c>
      <c r="AD103" s="35" t="s">
        <v>215</v>
      </c>
      <c r="AE103" s="35" t="s">
        <v>3855</v>
      </c>
      <c r="AF103" s="35" t="s">
        <v>74</v>
      </c>
      <c r="AG103" s="35" t="s">
        <v>57</v>
      </c>
      <c r="AH103" s="35" t="s">
        <v>57</v>
      </c>
      <c r="AI103" s="35" t="s">
        <v>57</v>
      </c>
      <c r="AJ103" s="35" t="s">
        <v>57</v>
      </c>
      <c r="AK103" s="35" t="s">
        <v>57</v>
      </c>
      <c r="AL103" s="34"/>
      <c r="AM103" s="34" t="s">
        <v>109</v>
      </c>
      <c r="AN103" s="104"/>
      <c r="AO103" s="104"/>
      <c r="AP103" s="104"/>
    </row>
    <row r="104">
      <c r="A104" s="102">
        <v>139.0</v>
      </c>
      <c r="B104" s="34">
        <v>8.79386448E8</v>
      </c>
      <c r="C104" s="34" t="s">
        <v>3857</v>
      </c>
      <c r="D104" s="34" t="s">
        <v>3858</v>
      </c>
      <c r="E104" s="35" t="s">
        <v>3859</v>
      </c>
      <c r="F104" s="43" t="s">
        <v>3860</v>
      </c>
      <c r="G104" s="35" t="s">
        <v>2389</v>
      </c>
      <c r="H104" s="43" t="s">
        <v>3861</v>
      </c>
      <c r="I104" s="35">
        <v>2012.0</v>
      </c>
      <c r="J104" s="43" t="s">
        <v>1085</v>
      </c>
      <c r="K104" s="35" t="s">
        <v>730</v>
      </c>
      <c r="L104" s="35" t="s">
        <v>3862</v>
      </c>
      <c r="M104" s="35" t="s">
        <v>57</v>
      </c>
      <c r="N104" s="35" t="s">
        <v>2389</v>
      </c>
      <c r="O104" s="35" t="s">
        <v>1484</v>
      </c>
      <c r="P104" s="35" t="s">
        <v>3863</v>
      </c>
      <c r="Q104" s="35" t="s">
        <v>93</v>
      </c>
      <c r="R104" s="35" t="s">
        <v>57</v>
      </c>
      <c r="S104" s="35" t="s">
        <v>57</v>
      </c>
      <c r="T104" s="35" t="s">
        <v>69</v>
      </c>
      <c r="U104" s="35" t="s">
        <v>3864</v>
      </c>
      <c r="V104" s="35" t="s">
        <v>2394</v>
      </c>
      <c r="W104" s="35" t="s">
        <v>1265</v>
      </c>
      <c r="X104" s="34" t="s">
        <v>3865</v>
      </c>
      <c r="Y104" s="35" t="s">
        <v>3866</v>
      </c>
      <c r="Z104" s="35" t="s">
        <v>3867</v>
      </c>
      <c r="AA104" s="35">
        <v>2010.0</v>
      </c>
      <c r="AB104" s="35">
        <v>2010.0</v>
      </c>
      <c r="AC104" s="35" t="s">
        <v>74</v>
      </c>
      <c r="AD104" s="35" t="s">
        <v>96</v>
      </c>
      <c r="AE104" s="35" t="s">
        <v>3868</v>
      </c>
      <c r="AF104" s="35" t="s">
        <v>74</v>
      </c>
      <c r="AG104" s="35" t="s">
        <v>57</v>
      </c>
      <c r="AH104" s="35" t="s">
        <v>57</v>
      </c>
      <c r="AI104" s="35" t="s">
        <v>57</v>
      </c>
      <c r="AJ104" s="35" t="s">
        <v>57</v>
      </c>
      <c r="AK104" s="35" t="s">
        <v>57</v>
      </c>
      <c r="AL104" s="34"/>
      <c r="AM104" s="34" t="s">
        <v>1522</v>
      </c>
      <c r="AN104" s="104"/>
      <c r="AO104" s="104"/>
      <c r="AP104" s="104"/>
    </row>
    <row r="105">
      <c r="A105" s="102">
        <v>140.0</v>
      </c>
      <c r="B105" s="34">
        <v>8.79386564E8</v>
      </c>
      <c r="C105" s="34" t="s">
        <v>3870</v>
      </c>
      <c r="D105" s="34" t="s">
        <v>3871</v>
      </c>
      <c r="E105" s="35" t="s">
        <v>3872</v>
      </c>
      <c r="F105" s="43" t="s">
        <v>3873</v>
      </c>
      <c r="G105" s="35" t="s">
        <v>2389</v>
      </c>
      <c r="H105" s="43" t="s">
        <v>3874</v>
      </c>
      <c r="I105" s="35">
        <v>2016.0</v>
      </c>
      <c r="J105" s="43" t="s">
        <v>796</v>
      </c>
      <c r="K105" s="35" t="s">
        <v>730</v>
      </c>
      <c r="L105" s="119" t="s">
        <v>2500</v>
      </c>
      <c r="M105" s="35" t="s">
        <v>3875</v>
      </c>
      <c r="N105" s="35" t="s">
        <v>2389</v>
      </c>
      <c r="O105" s="35" t="s">
        <v>400</v>
      </c>
      <c r="P105" s="35" t="s">
        <v>3876</v>
      </c>
      <c r="Q105" s="35" t="s">
        <v>93</v>
      </c>
      <c r="R105" s="35" t="s">
        <v>57</v>
      </c>
      <c r="S105" s="35" t="s">
        <v>57</v>
      </c>
      <c r="T105" s="35" t="s">
        <v>74</v>
      </c>
      <c r="U105" s="35" t="s">
        <v>57</v>
      </c>
      <c r="V105" s="35" t="s">
        <v>193</v>
      </c>
      <c r="W105" s="35" t="s">
        <v>161</v>
      </c>
      <c r="X105" s="34" t="s">
        <v>3877</v>
      </c>
      <c r="Y105" s="35" t="s">
        <v>3878</v>
      </c>
      <c r="Z105" s="35" t="s">
        <v>3879</v>
      </c>
      <c r="AA105" s="35">
        <v>2005.0</v>
      </c>
      <c r="AB105" s="35" t="s">
        <v>57</v>
      </c>
      <c r="AC105" s="35" t="s">
        <v>69</v>
      </c>
      <c r="AD105" s="35" t="s">
        <v>215</v>
      </c>
      <c r="AE105" s="35" t="s">
        <v>3880</v>
      </c>
      <c r="AF105" s="35" t="s">
        <v>69</v>
      </c>
      <c r="AG105" s="35" t="s">
        <v>129</v>
      </c>
      <c r="AH105" s="35" t="s">
        <v>129</v>
      </c>
      <c r="AI105" s="35" t="s">
        <v>57</v>
      </c>
      <c r="AJ105" s="35" t="s">
        <v>57</v>
      </c>
      <c r="AK105" s="35" t="s">
        <v>3881</v>
      </c>
      <c r="AL105" s="34"/>
      <c r="AM105" s="34" t="s">
        <v>1522</v>
      </c>
      <c r="AN105" s="104"/>
      <c r="AO105" s="104"/>
      <c r="AP105" s="104"/>
    </row>
    <row r="106">
      <c r="A106" s="120">
        <v>141.0</v>
      </c>
      <c r="B106" s="121">
        <v>8.79386565E8</v>
      </c>
      <c r="C106" s="121" t="s">
        <v>3883</v>
      </c>
      <c r="D106" s="121" t="s">
        <v>3884</v>
      </c>
      <c r="E106" s="122" t="s">
        <v>3885</v>
      </c>
      <c r="F106" s="123" t="s">
        <v>3886</v>
      </c>
      <c r="G106" s="122" t="s">
        <v>2389</v>
      </c>
      <c r="H106" s="123" t="s">
        <v>3887</v>
      </c>
      <c r="I106" s="122">
        <v>2014.0</v>
      </c>
      <c r="J106" s="123" t="s">
        <v>3888</v>
      </c>
      <c r="K106" s="122" t="s">
        <v>730</v>
      </c>
      <c r="L106" s="124" t="s">
        <v>2500</v>
      </c>
      <c r="M106" s="122" t="s">
        <v>57</v>
      </c>
      <c r="N106" s="122" t="s">
        <v>2389</v>
      </c>
      <c r="O106" s="122" t="s">
        <v>1974</v>
      </c>
      <c r="P106" s="122" t="s">
        <v>3889</v>
      </c>
      <c r="Q106" s="122" t="s">
        <v>93</v>
      </c>
      <c r="R106" s="122" t="s">
        <v>3890</v>
      </c>
      <c r="S106" s="122" t="s">
        <v>3891</v>
      </c>
      <c r="T106" s="122" t="s">
        <v>74</v>
      </c>
      <c r="U106" s="122" t="s">
        <v>57</v>
      </c>
      <c r="V106" s="122" t="s">
        <v>2394</v>
      </c>
      <c r="W106" s="122" t="s">
        <v>161</v>
      </c>
      <c r="X106" s="121" t="s">
        <v>3892</v>
      </c>
      <c r="Y106" s="122" t="s">
        <v>2397</v>
      </c>
      <c r="Z106" s="122" t="s">
        <v>3893</v>
      </c>
      <c r="AA106" s="122">
        <v>2006.0</v>
      </c>
      <c r="AB106" s="122">
        <v>2011.0</v>
      </c>
      <c r="AC106" s="122" t="s">
        <v>74</v>
      </c>
      <c r="AD106" s="122" t="s">
        <v>215</v>
      </c>
      <c r="AE106" s="122" t="s">
        <v>3894</v>
      </c>
      <c r="AF106" s="122" t="s">
        <v>69</v>
      </c>
      <c r="AG106" s="122" t="s">
        <v>129</v>
      </c>
      <c r="AH106" s="35" t="s">
        <v>129</v>
      </c>
      <c r="AI106" s="122" t="s">
        <v>57</v>
      </c>
      <c r="AJ106" s="122" t="s">
        <v>57</v>
      </c>
      <c r="AK106" s="122" t="s">
        <v>3895</v>
      </c>
      <c r="AL106" s="121"/>
      <c r="AM106" s="121" t="s">
        <v>1522</v>
      </c>
      <c r="AN106" s="104"/>
      <c r="AO106" s="104"/>
      <c r="AP106" s="104"/>
    </row>
    <row r="107">
      <c r="A107" s="102">
        <v>142.0</v>
      </c>
      <c r="B107" s="34">
        <v>4.2009093E8</v>
      </c>
      <c r="C107" s="34" t="s">
        <v>3977</v>
      </c>
      <c r="D107" s="34" t="s">
        <v>3978</v>
      </c>
      <c r="E107" s="35" t="s">
        <v>3979</v>
      </c>
      <c r="F107" s="35" t="s">
        <v>3980</v>
      </c>
      <c r="G107" s="35" t="s">
        <v>2315</v>
      </c>
      <c r="H107" s="35" t="s">
        <v>3981</v>
      </c>
      <c r="I107" s="35">
        <v>2013.0</v>
      </c>
      <c r="J107" s="35" t="s">
        <v>3982</v>
      </c>
      <c r="K107" s="35" t="s">
        <v>3983</v>
      </c>
      <c r="L107" s="35" t="s">
        <v>57</v>
      </c>
      <c r="M107" s="35" t="s">
        <v>57</v>
      </c>
      <c r="N107" s="35" t="s">
        <v>2389</v>
      </c>
      <c r="O107" s="35" t="s">
        <v>715</v>
      </c>
      <c r="P107" s="35" t="s">
        <v>3984</v>
      </c>
      <c r="Q107" s="35" t="s">
        <v>93</v>
      </c>
      <c r="R107" s="35" t="s">
        <v>57</v>
      </c>
      <c r="S107" s="35" t="s">
        <v>57</v>
      </c>
      <c r="T107" s="35" t="s">
        <v>74</v>
      </c>
      <c r="U107" s="35" t="s">
        <v>57</v>
      </c>
      <c r="V107" s="35" t="s">
        <v>2394</v>
      </c>
      <c r="W107" s="35" t="s">
        <v>536</v>
      </c>
      <c r="X107" s="34" t="s">
        <v>3985</v>
      </c>
      <c r="Y107" s="35" t="s">
        <v>2397</v>
      </c>
      <c r="Z107" s="35" t="s">
        <v>3986</v>
      </c>
      <c r="AA107" s="35" t="s">
        <v>57</v>
      </c>
      <c r="AB107" s="35" t="s">
        <v>57</v>
      </c>
      <c r="AC107" s="35" t="s">
        <v>74</v>
      </c>
      <c r="AD107" s="35" t="s">
        <v>3987</v>
      </c>
      <c r="AE107" s="35" t="s">
        <v>3988</v>
      </c>
      <c r="AF107" s="35" t="s">
        <v>69</v>
      </c>
      <c r="AG107" s="35" t="s">
        <v>3989</v>
      </c>
      <c r="AH107" s="35" t="s">
        <v>374</v>
      </c>
      <c r="AI107" s="35" t="s">
        <v>129</v>
      </c>
      <c r="AJ107" s="35" t="s">
        <v>57</v>
      </c>
      <c r="AK107" s="35" t="s">
        <v>3990</v>
      </c>
      <c r="AL107" s="34"/>
      <c r="AM107" s="34" t="s">
        <v>1955</v>
      </c>
      <c r="AN107" s="104"/>
      <c r="AO107" s="104"/>
      <c r="AP107" s="104"/>
    </row>
    <row r="108">
      <c r="A108" s="102">
        <v>143.0</v>
      </c>
      <c r="B108" s="34">
        <v>4.20090947E8</v>
      </c>
      <c r="C108" s="34" t="s">
        <v>3992</v>
      </c>
      <c r="D108" s="34" t="s">
        <v>3993</v>
      </c>
      <c r="E108" s="35" t="s">
        <v>3994</v>
      </c>
      <c r="F108" s="35" t="s">
        <v>3995</v>
      </c>
      <c r="G108" s="35" t="s">
        <v>2315</v>
      </c>
      <c r="H108" s="43" t="s">
        <v>3996</v>
      </c>
      <c r="I108" s="35">
        <v>1991.0</v>
      </c>
      <c r="J108" s="35" t="s">
        <v>3997</v>
      </c>
      <c r="K108" s="35" t="s">
        <v>3983</v>
      </c>
      <c r="L108" s="35" t="s">
        <v>57</v>
      </c>
      <c r="M108" s="35" t="s">
        <v>57</v>
      </c>
      <c r="N108" s="35" t="s">
        <v>2389</v>
      </c>
      <c r="O108" s="35" t="s">
        <v>3998</v>
      </c>
      <c r="P108" s="35" t="s">
        <v>3999</v>
      </c>
      <c r="Q108" s="35" t="s">
        <v>93</v>
      </c>
      <c r="R108" s="35" t="s">
        <v>57</v>
      </c>
      <c r="S108" s="35" t="s">
        <v>57</v>
      </c>
      <c r="T108" s="35" t="s">
        <v>74</v>
      </c>
      <c r="U108" s="35" t="s">
        <v>57</v>
      </c>
      <c r="V108" s="35" t="s">
        <v>2394</v>
      </c>
      <c r="W108" s="35" t="s">
        <v>536</v>
      </c>
      <c r="X108" s="34" t="s">
        <v>4000</v>
      </c>
      <c r="Y108" s="35" t="s">
        <v>2380</v>
      </c>
      <c r="Z108" s="35" t="s">
        <v>4001</v>
      </c>
      <c r="AA108" s="35">
        <v>1989.0</v>
      </c>
      <c r="AB108" s="35">
        <v>1989.0</v>
      </c>
      <c r="AC108" s="35" t="s">
        <v>74</v>
      </c>
      <c r="AD108" s="35" t="s">
        <v>215</v>
      </c>
      <c r="AE108" s="35" t="s">
        <v>4002</v>
      </c>
      <c r="AF108" s="35" t="s">
        <v>69</v>
      </c>
      <c r="AG108" s="35" t="s">
        <v>129</v>
      </c>
      <c r="AH108" s="35" t="s">
        <v>129</v>
      </c>
      <c r="AI108" s="35" t="s">
        <v>57</v>
      </c>
      <c r="AJ108" s="35" t="s">
        <v>57</v>
      </c>
      <c r="AK108" s="35" t="s">
        <v>4003</v>
      </c>
      <c r="AL108" s="34" t="s">
        <v>4004</v>
      </c>
      <c r="AM108" s="34" t="s">
        <v>109</v>
      </c>
      <c r="AN108" s="104"/>
      <c r="AO108" s="104"/>
      <c r="AP108" s="104"/>
    </row>
    <row r="109">
      <c r="A109" s="102">
        <v>145.0</v>
      </c>
      <c r="B109" s="34">
        <v>4.20090892E8</v>
      </c>
      <c r="C109" s="34" t="s">
        <v>4005</v>
      </c>
      <c r="D109" s="34" t="s">
        <v>4006</v>
      </c>
      <c r="E109" s="35" t="s">
        <v>4007</v>
      </c>
      <c r="F109" s="35" t="s">
        <v>4008</v>
      </c>
      <c r="G109" s="35" t="s">
        <v>2315</v>
      </c>
      <c r="H109" s="35" t="s">
        <v>4009</v>
      </c>
      <c r="I109" s="35">
        <v>2022.0</v>
      </c>
      <c r="J109" s="35" t="s">
        <v>4010</v>
      </c>
      <c r="K109" s="35" t="s">
        <v>3983</v>
      </c>
      <c r="L109" s="35" t="s">
        <v>57</v>
      </c>
      <c r="M109" s="35" t="s">
        <v>57</v>
      </c>
      <c r="N109" s="35" t="s">
        <v>2389</v>
      </c>
      <c r="O109" s="35" t="s">
        <v>1775</v>
      </c>
      <c r="P109" s="35" t="s">
        <v>4011</v>
      </c>
      <c r="Q109" s="35" t="s">
        <v>93</v>
      </c>
      <c r="R109" s="35" t="s">
        <v>4012</v>
      </c>
      <c r="S109" s="35" t="s">
        <v>4013</v>
      </c>
      <c r="T109" s="35" t="s">
        <v>69</v>
      </c>
      <c r="U109" s="35" t="s">
        <v>4014</v>
      </c>
      <c r="V109" s="35" t="s">
        <v>2394</v>
      </c>
      <c r="W109" s="35" t="s">
        <v>178</v>
      </c>
      <c r="X109" s="34" t="s">
        <v>4015</v>
      </c>
      <c r="Y109" s="35" t="s">
        <v>4016</v>
      </c>
      <c r="Z109" s="35" t="s">
        <v>4017</v>
      </c>
      <c r="AA109" s="35">
        <v>2018.0</v>
      </c>
      <c r="AB109" s="35">
        <v>2019.0</v>
      </c>
      <c r="AC109" s="35" t="s">
        <v>69</v>
      </c>
      <c r="AD109" s="35" t="s">
        <v>2394</v>
      </c>
      <c r="AE109" s="35" t="s">
        <v>4018</v>
      </c>
      <c r="AF109" s="35" t="s">
        <v>69</v>
      </c>
      <c r="AG109" s="35" t="s">
        <v>2067</v>
      </c>
      <c r="AH109" s="35" t="s">
        <v>2067</v>
      </c>
      <c r="AI109" s="35" t="s">
        <v>57</v>
      </c>
      <c r="AJ109" s="35" t="s">
        <v>57</v>
      </c>
      <c r="AK109" s="35" t="s">
        <v>4019</v>
      </c>
      <c r="AL109" s="34" t="s">
        <v>4020</v>
      </c>
      <c r="AM109" s="34" t="s">
        <v>1955</v>
      </c>
      <c r="AN109" s="104"/>
      <c r="AO109" s="104"/>
      <c r="AP109" s="104"/>
    </row>
    <row r="110">
      <c r="A110" s="102">
        <v>146.0</v>
      </c>
      <c r="B110" s="34">
        <v>4.20090892E8</v>
      </c>
      <c r="C110" s="34" t="s">
        <v>4021</v>
      </c>
      <c r="D110" s="34" t="s">
        <v>4006</v>
      </c>
      <c r="E110" s="35" t="s">
        <v>4022</v>
      </c>
      <c r="F110" s="35" t="s">
        <v>4008</v>
      </c>
      <c r="G110" s="35" t="s">
        <v>2315</v>
      </c>
      <c r="H110" s="35" t="s">
        <v>4009</v>
      </c>
      <c r="I110" s="35">
        <v>2022.0</v>
      </c>
      <c r="J110" s="35" t="s">
        <v>4010</v>
      </c>
      <c r="K110" s="35" t="s">
        <v>3983</v>
      </c>
      <c r="L110" s="35" t="s">
        <v>57</v>
      </c>
      <c r="M110" s="35" t="s">
        <v>57</v>
      </c>
      <c r="N110" s="35" t="s">
        <v>2389</v>
      </c>
      <c r="O110" s="35" t="s">
        <v>4023</v>
      </c>
      <c r="P110" s="35" t="s">
        <v>57</v>
      </c>
      <c r="Q110" s="35" t="s">
        <v>93</v>
      </c>
      <c r="R110" s="35" t="s">
        <v>57</v>
      </c>
      <c r="S110" s="35" t="s">
        <v>57</v>
      </c>
      <c r="T110" s="35" t="s">
        <v>74</v>
      </c>
      <c r="U110" s="35" t="s">
        <v>57</v>
      </c>
      <c r="V110" s="35" t="s">
        <v>2430</v>
      </c>
      <c r="W110" s="35" t="s">
        <v>536</v>
      </c>
      <c r="X110" s="34" t="s">
        <v>4024</v>
      </c>
      <c r="Y110" s="35" t="s">
        <v>4016</v>
      </c>
      <c r="Z110" s="35" t="s">
        <v>4025</v>
      </c>
      <c r="AA110" s="35" t="s">
        <v>57</v>
      </c>
      <c r="AB110" s="35" t="s">
        <v>57</v>
      </c>
      <c r="AC110" s="35" t="s">
        <v>74</v>
      </c>
      <c r="AD110" s="35" t="s">
        <v>2394</v>
      </c>
      <c r="AE110" s="35" t="s">
        <v>4026</v>
      </c>
      <c r="AF110" s="35" t="s">
        <v>69</v>
      </c>
      <c r="AG110" s="35" t="s">
        <v>374</v>
      </c>
      <c r="AH110" s="35" t="s">
        <v>374</v>
      </c>
      <c r="AI110" s="35" t="s">
        <v>57</v>
      </c>
      <c r="AJ110" s="35" t="s">
        <v>57</v>
      </c>
      <c r="AK110" s="35" t="s">
        <v>4027</v>
      </c>
      <c r="AL110" s="34" t="s">
        <v>4028</v>
      </c>
      <c r="AM110" s="34" t="s">
        <v>1955</v>
      </c>
      <c r="AN110" s="104"/>
      <c r="AO110" s="104"/>
      <c r="AP110" s="104"/>
    </row>
    <row r="111">
      <c r="A111" s="102">
        <v>150.0</v>
      </c>
      <c r="B111" s="34">
        <v>4.20090922E8</v>
      </c>
      <c r="C111" s="34" t="s">
        <v>4029</v>
      </c>
      <c r="D111" s="34" t="s">
        <v>4030</v>
      </c>
      <c r="E111" s="35" t="s">
        <v>4031</v>
      </c>
      <c r="F111" s="35" t="s">
        <v>4032</v>
      </c>
      <c r="G111" s="35" t="s">
        <v>2315</v>
      </c>
      <c r="H111" s="35" t="s">
        <v>4033</v>
      </c>
      <c r="I111" s="35">
        <v>2015.0</v>
      </c>
      <c r="J111" s="35" t="s">
        <v>4034</v>
      </c>
      <c r="K111" s="35" t="s">
        <v>4035</v>
      </c>
      <c r="L111" s="35" t="s">
        <v>57</v>
      </c>
      <c r="M111" s="35" t="s">
        <v>57</v>
      </c>
      <c r="N111" s="35" t="s">
        <v>2389</v>
      </c>
      <c r="O111" s="35" t="s">
        <v>4036</v>
      </c>
      <c r="P111" s="35" t="s">
        <v>4037</v>
      </c>
      <c r="Q111" s="35" t="s">
        <v>93</v>
      </c>
      <c r="R111" s="35" t="s">
        <v>57</v>
      </c>
      <c r="S111" s="35" t="s">
        <v>57</v>
      </c>
      <c r="T111" s="35" t="s">
        <v>74</v>
      </c>
      <c r="U111" s="35" t="s">
        <v>57</v>
      </c>
      <c r="V111" s="35" t="s">
        <v>2394</v>
      </c>
      <c r="W111" s="35" t="s">
        <v>536</v>
      </c>
      <c r="X111" s="34" t="s">
        <v>4038</v>
      </c>
      <c r="Y111" s="35" t="s">
        <v>2397</v>
      </c>
      <c r="Z111" s="35" t="s">
        <v>4039</v>
      </c>
      <c r="AA111" s="35">
        <v>2015.0</v>
      </c>
      <c r="AB111" s="35">
        <v>2015.0</v>
      </c>
      <c r="AC111" s="35" t="s">
        <v>74</v>
      </c>
      <c r="AD111" s="35" t="s">
        <v>215</v>
      </c>
      <c r="AE111" s="35" t="s">
        <v>4040</v>
      </c>
      <c r="AF111" s="35" t="s">
        <v>69</v>
      </c>
      <c r="AG111" s="35" t="s">
        <v>129</v>
      </c>
      <c r="AH111" s="35" t="s">
        <v>129</v>
      </c>
      <c r="AI111" s="35" t="s">
        <v>57</v>
      </c>
      <c r="AJ111" s="35" t="s">
        <v>57</v>
      </c>
      <c r="AK111" s="35" t="s">
        <v>4041</v>
      </c>
      <c r="AL111" s="34"/>
      <c r="AM111" s="34" t="s">
        <v>1955</v>
      </c>
      <c r="AN111" s="104"/>
      <c r="AO111" s="104"/>
      <c r="AP111" s="104"/>
    </row>
    <row r="112">
      <c r="A112" s="102">
        <v>151.0</v>
      </c>
      <c r="B112" s="34">
        <v>4.2009091E8</v>
      </c>
      <c r="C112" s="34" t="s">
        <v>4042</v>
      </c>
      <c r="D112" s="34" t="s">
        <v>4043</v>
      </c>
      <c r="E112" s="35" t="s">
        <v>4044</v>
      </c>
      <c r="F112" s="35" t="s">
        <v>4045</v>
      </c>
      <c r="G112" s="35" t="s">
        <v>396</v>
      </c>
      <c r="H112" s="35" t="s">
        <v>4046</v>
      </c>
      <c r="I112" s="35">
        <v>2018.0</v>
      </c>
      <c r="J112" s="35" t="s">
        <v>4047</v>
      </c>
      <c r="K112" s="35" t="s">
        <v>3983</v>
      </c>
      <c r="L112" s="35" t="s">
        <v>57</v>
      </c>
      <c r="M112" s="35" t="s">
        <v>57</v>
      </c>
      <c r="N112" s="35" t="s">
        <v>396</v>
      </c>
      <c r="O112" s="35" t="s">
        <v>1717</v>
      </c>
      <c r="P112" s="35" t="s">
        <v>4048</v>
      </c>
      <c r="Q112" s="35" t="s">
        <v>93</v>
      </c>
      <c r="R112" s="35" t="s">
        <v>57</v>
      </c>
      <c r="S112" s="35" t="s">
        <v>57</v>
      </c>
      <c r="T112" s="35" t="s">
        <v>74</v>
      </c>
      <c r="U112" s="35" t="s">
        <v>57</v>
      </c>
      <c r="V112" s="35" t="s">
        <v>2394</v>
      </c>
      <c r="W112" s="35" t="s">
        <v>64</v>
      </c>
      <c r="X112" s="34" t="s">
        <v>4049</v>
      </c>
      <c r="Y112" s="35" t="s">
        <v>2397</v>
      </c>
      <c r="Z112" s="35" t="s">
        <v>4050</v>
      </c>
      <c r="AA112" s="35">
        <v>2016.0</v>
      </c>
      <c r="AB112" s="35">
        <v>2016.0</v>
      </c>
      <c r="AC112" s="35" t="s">
        <v>74</v>
      </c>
      <c r="AD112" s="35" t="s">
        <v>2394</v>
      </c>
      <c r="AE112" s="35" t="s">
        <v>4051</v>
      </c>
      <c r="AF112" s="35" t="s">
        <v>69</v>
      </c>
      <c r="AG112" s="35" t="s">
        <v>129</v>
      </c>
      <c r="AH112" s="35" t="s">
        <v>129</v>
      </c>
      <c r="AI112" s="35" t="s">
        <v>57</v>
      </c>
      <c r="AJ112" s="35" t="s">
        <v>57</v>
      </c>
      <c r="AK112" s="35" t="s">
        <v>4052</v>
      </c>
      <c r="AL112" s="34" t="s">
        <v>4053</v>
      </c>
      <c r="AM112" s="34" t="s">
        <v>1955</v>
      </c>
      <c r="AN112" s="104"/>
      <c r="AO112" s="104"/>
      <c r="AP112" s="104"/>
    </row>
    <row r="113">
      <c r="A113" s="102">
        <v>152.0</v>
      </c>
      <c r="B113" s="34">
        <v>4.20090928E8</v>
      </c>
      <c r="C113" s="34" t="s">
        <v>4054</v>
      </c>
      <c r="D113" s="34" t="s">
        <v>4055</v>
      </c>
      <c r="E113" s="35" t="s">
        <v>4056</v>
      </c>
      <c r="F113" s="35" t="s">
        <v>4057</v>
      </c>
      <c r="G113" s="35" t="s">
        <v>396</v>
      </c>
      <c r="H113" s="35" t="s">
        <v>4058</v>
      </c>
      <c r="I113" s="35">
        <v>2013.0</v>
      </c>
      <c r="J113" s="35" t="s">
        <v>4059</v>
      </c>
      <c r="K113" s="35" t="s">
        <v>3983</v>
      </c>
      <c r="L113" s="35" t="s">
        <v>57</v>
      </c>
      <c r="M113" s="35" t="s">
        <v>57</v>
      </c>
      <c r="N113" s="35" t="s">
        <v>396</v>
      </c>
      <c r="O113" s="35" t="s">
        <v>4060</v>
      </c>
      <c r="P113" s="35" t="s">
        <v>4061</v>
      </c>
      <c r="Q113" s="35" t="s">
        <v>93</v>
      </c>
      <c r="R113" s="35" t="s">
        <v>57</v>
      </c>
      <c r="S113" s="35" t="s">
        <v>57</v>
      </c>
      <c r="T113" s="35" t="s">
        <v>74</v>
      </c>
      <c r="U113" s="35" t="s">
        <v>57</v>
      </c>
      <c r="V113" s="35" t="s">
        <v>193</v>
      </c>
      <c r="W113" s="35" t="s">
        <v>1938</v>
      </c>
      <c r="X113" s="34" t="s">
        <v>4062</v>
      </c>
      <c r="Y113" s="35" t="s">
        <v>4063</v>
      </c>
      <c r="Z113" s="35" t="s">
        <v>4064</v>
      </c>
      <c r="AA113" s="35">
        <v>2008.0</v>
      </c>
      <c r="AB113" s="35">
        <v>2010.0</v>
      </c>
      <c r="AC113" s="35" t="s">
        <v>69</v>
      </c>
      <c r="AD113" s="35" t="s">
        <v>215</v>
      </c>
      <c r="AE113" s="35" t="s">
        <v>4065</v>
      </c>
      <c r="AF113" s="35" t="s">
        <v>69</v>
      </c>
      <c r="AG113" s="35" t="s">
        <v>129</v>
      </c>
      <c r="AH113" s="35" t="s">
        <v>129</v>
      </c>
      <c r="AI113" s="35" t="s">
        <v>57</v>
      </c>
      <c r="AJ113" s="35" t="s">
        <v>57</v>
      </c>
      <c r="AK113" s="35" t="s">
        <v>4066</v>
      </c>
      <c r="AL113" s="34"/>
      <c r="AM113" s="34" t="s">
        <v>1955</v>
      </c>
      <c r="AN113" s="104"/>
      <c r="AO113" s="104"/>
      <c r="AP113" s="104"/>
    </row>
    <row r="114">
      <c r="A114" s="102">
        <v>155.0</v>
      </c>
      <c r="B114" s="34">
        <v>4.20090926E8</v>
      </c>
      <c r="C114" s="34" t="s">
        <v>4067</v>
      </c>
      <c r="D114" s="34" t="s">
        <v>4068</v>
      </c>
      <c r="E114" s="35" t="s">
        <v>4069</v>
      </c>
      <c r="F114" s="35" t="s">
        <v>4070</v>
      </c>
      <c r="G114" s="35" t="s">
        <v>2315</v>
      </c>
      <c r="H114" s="35" t="s">
        <v>4071</v>
      </c>
      <c r="I114" s="35">
        <v>2015.0</v>
      </c>
      <c r="J114" s="35" t="s">
        <v>4072</v>
      </c>
      <c r="K114" s="35" t="s">
        <v>3983</v>
      </c>
      <c r="L114" s="35" t="s">
        <v>57</v>
      </c>
      <c r="M114" s="35" t="s">
        <v>57</v>
      </c>
      <c r="N114" s="35" t="s">
        <v>2389</v>
      </c>
      <c r="O114" s="35" t="s">
        <v>3030</v>
      </c>
      <c r="P114" s="35" t="s">
        <v>4073</v>
      </c>
      <c r="Q114" s="35" t="s">
        <v>93</v>
      </c>
      <c r="R114" s="35" t="s">
        <v>57</v>
      </c>
      <c r="S114" s="35" t="s">
        <v>57</v>
      </c>
      <c r="T114" s="35" t="s">
        <v>74</v>
      </c>
      <c r="U114" s="35" t="s">
        <v>57</v>
      </c>
      <c r="V114" s="35" t="s">
        <v>2394</v>
      </c>
      <c r="W114" s="35" t="s">
        <v>536</v>
      </c>
      <c r="X114" s="34" t="s">
        <v>4074</v>
      </c>
      <c r="Y114" s="35" t="s">
        <v>2397</v>
      </c>
      <c r="Z114" s="35" t="s">
        <v>4075</v>
      </c>
      <c r="AA114" s="35">
        <v>2014.0</v>
      </c>
      <c r="AB114" s="35">
        <v>2014.0</v>
      </c>
      <c r="AC114" s="35" t="s">
        <v>74</v>
      </c>
      <c r="AD114" s="35" t="s">
        <v>2394</v>
      </c>
      <c r="AE114" s="35" t="s">
        <v>4076</v>
      </c>
      <c r="AF114" s="35" t="s">
        <v>69</v>
      </c>
      <c r="AG114" s="35" t="s">
        <v>129</v>
      </c>
      <c r="AH114" s="35" t="s">
        <v>129</v>
      </c>
      <c r="AI114" s="35" t="s">
        <v>57</v>
      </c>
      <c r="AJ114" s="35" t="s">
        <v>57</v>
      </c>
      <c r="AK114" s="35" t="s">
        <v>4077</v>
      </c>
      <c r="AL114" s="34"/>
      <c r="AM114" s="34" t="s">
        <v>1955</v>
      </c>
      <c r="AN114" s="104"/>
      <c r="AO114" s="104"/>
      <c r="AP114" s="104"/>
    </row>
    <row r="115">
      <c r="A115" s="102">
        <v>158.0</v>
      </c>
      <c r="B115" s="155">
        <v>4.20090941E8</v>
      </c>
      <c r="C115" s="155" t="s">
        <v>4078</v>
      </c>
      <c r="D115" s="155" t="s">
        <v>4079</v>
      </c>
      <c r="E115" s="156" t="s">
        <v>4080</v>
      </c>
      <c r="F115" s="156" t="s">
        <v>4081</v>
      </c>
      <c r="G115" s="156" t="s">
        <v>2315</v>
      </c>
      <c r="H115" s="156" t="s">
        <v>4082</v>
      </c>
      <c r="I115" s="156">
        <v>2007.0</v>
      </c>
      <c r="J115" s="156" t="s">
        <v>4083</v>
      </c>
      <c r="K115" s="156" t="s">
        <v>3983</v>
      </c>
      <c r="L115" s="156" t="s">
        <v>57</v>
      </c>
      <c r="M115" s="156" t="s">
        <v>57</v>
      </c>
      <c r="N115" s="156" t="s">
        <v>2389</v>
      </c>
      <c r="O115" s="156" t="s">
        <v>4084</v>
      </c>
      <c r="P115" s="156" t="s">
        <v>4085</v>
      </c>
      <c r="Q115" s="156" t="s">
        <v>93</v>
      </c>
      <c r="R115" s="156" t="s">
        <v>4086</v>
      </c>
      <c r="S115" s="156" t="s">
        <v>4087</v>
      </c>
      <c r="T115" s="156" t="s">
        <v>74</v>
      </c>
      <c r="U115" s="156" t="s">
        <v>57</v>
      </c>
      <c r="V115" s="156" t="s">
        <v>193</v>
      </c>
      <c r="W115" s="156" t="s">
        <v>64</v>
      </c>
      <c r="X115" s="155" t="s">
        <v>4088</v>
      </c>
      <c r="Y115" s="156" t="s">
        <v>2397</v>
      </c>
      <c r="Z115" s="156" t="s">
        <v>4089</v>
      </c>
      <c r="AA115" s="156" t="s">
        <v>57</v>
      </c>
      <c r="AB115" s="156" t="s">
        <v>57</v>
      </c>
      <c r="AC115" s="156" t="s">
        <v>74</v>
      </c>
      <c r="AD115" s="156" t="s">
        <v>96</v>
      </c>
      <c r="AE115" s="156" t="s">
        <v>4090</v>
      </c>
      <c r="AF115" s="156" t="s">
        <v>69</v>
      </c>
      <c r="AG115" s="156" t="s">
        <v>129</v>
      </c>
      <c r="AH115" s="156" t="s">
        <v>129</v>
      </c>
      <c r="AI115" s="156" t="s">
        <v>57</v>
      </c>
      <c r="AJ115" s="156" t="s">
        <v>57</v>
      </c>
      <c r="AK115" s="156" t="s">
        <v>57</v>
      </c>
      <c r="AL115" s="155" t="s">
        <v>4091</v>
      </c>
      <c r="AM115" s="155" t="s">
        <v>1955</v>
      </c>
      <c r="AN115" s="157"/>
      <c r="AO115" s="157"/>
      <c r="AP115" s="44"/>
    </row>
    <row r="116">
      <c r="A116" s="120">
        <v>159.0</v>
      </c>
      <c r="B116" s="121">
        <v>8.79385757E8</v>
      </c>
      <c r="C116" s="121" t="s">
        <v>3897</v>
      </c>
      <c r="D116" s="121" t="s">
        <v>3898</v>
      </c>
      <c r="E116" s="122" t="s">
        <v>3899</v>
      </c>
      <c r="F116" s="122" t="s">
        <v>3900</v>
      </c>
      <c r="G116" s="122" t="s">
        <v>273</v>
      </c>
      <c r="H116" s="122" t="s">
        <v>3901</v>
      </c>
      <c r="I116" s="122">
        <v>2014.0</v>
      </c>
      <c r="J116" s="122" t="s">
        <v>3902</v>
      </c>
      <c r="K116" s="122" t="s">
        <v>3903</v>
      </c>
      <c r="L116" s="122" t="s">
        <v>57</v>
      </c>
      <c r="M116" s="122" t="s">
        <v>3904</v>
      </c>
      <c r="N116" s="122" t="s">
        <v>273</v>
      </c>
      <c r="O116" s="122" t="s">
        <v>701</v>
      </c>
      <c r="P116" s="122" t="s">
        <v>3905</v>
      </c>
      <c r="Q116" s="122" t="s">
        <v>93</v>
      </c>
      <c r="R116" s="122" t="s">
        <v>57</v>
      </c>
      <c r="S116" s="122" t="s">
        <v>57</v>
      </c>
      <c r="T116" s="122" t="s">
        <v>74</v>
      </c>
      <c r="U116" s="122" t="s">
        <v>57</v>
      </c>
      <c r="V116" s="122" t="s">
        <v>2394</v>
      </c>
      <c r="W116" s="122" t="s">
        <v>749</v>
      </c>
      <c r="X116" s="121" t="s">
        <v>3906</v>
      </c>
      <c r="Y116" s="122" t="s">
        <v>2397</v>
      </c>
      <c r="Z116" s="122" t="s">
        <v>3907</v>
      </c>
      <c r="AA116" s="122">
        <v>2009.0</v>
      </c>
      <c r="AB116" s="122">
        <v>2009.0</v>
      </c>
      <c r="AC116" s="122" t="s">
        <v>74</v>
      </c>
      <c r="AD116" s="122" t="s">
        <v>96</v>
      </c>
      <c r="AE116" s="122" t="s">
        <v>3908</v>
      </c>
      <c r="AF116" s="122" t="s">
        <v>69</v>
      </c>
      <c r="AG116" s="122" t="s">
        <v>129</v>
      </c>
      <c r="AH116" s="122" t="s">
        <v>129</v>
      </c>
      <c r="AI116" s="122" t="s">
        <v>57</v>
      </c>
      <c r="AJ116" s="122" t="s">
        <v>57</v>
      </c>
      <c r="AK116" s="122" t="s">
        <v>3909</v>
      </c>
      <c r="AL116" s="121" t="s">
        <v>3910</v>
      </c>
      <c r="AM116" s="121" t="s">
        <v>1522</v>
      </c>
      <c r="AN116" s="158"/>
      <c r="AO116" s="158"/>
      <c r="AP116" s="44"/>
    </row>
    <row r="117">
      <c r="A117" s="102">
        <v>160.0</v>
      </c>
      <c r="B117" s="130">
        <v>5.23992296E8</v>
      </c>
      <c r="C117" s="130" t="s">
        <v>3912</v>
      </c>
      <c r="D117" s="159" t="s">
        <v>3913</v>
      </c>
      <c r="E117" s="131" t="s">
        <v>3914</v>
      </c>
      <c r="F117" s="131" t="s">
        <v>3915</v>
      </c>
      <c r="G117" s="131" t="s">
        <v>2315</v>
      </c>
      <c r="H117" s="131" t="s">
        <v>3916</v>
      </c>
      <c r="I117" s="131">
        <v>2005.0</v>
      </c>
      <c r="J117" s="131" t="s">
        <v>3917</v>
      </c>
      <c r="K117" s="131" t="s">
        <v>730</v>
      </c>
      <c r="L117" s="131" t="s">
        <v>57</v>
      </c>
      <c r="M117" s="131" t="s">
        <v>57</v>
      </c>
      <c r="N117" s="131" t="s">
        <v>2389</v>
      </c>
      <c r="O117" s="131" t="s">
        <v>400</v>
      </c>
      <c r="P117" s="131" t="s">
        <v>3918</v>
      </c>
      <c r="Q117" s="131" t="s">
        <v>93</v>
      </c>
      <c r="R117" s="131" t="s">
        <v>57</v>
      </c>
      <c r="S117" s="131" t="s">
        <v>57</v>
      </c>
      <c r="T117" s="131" t="s">
        <v>74</v>
      </c>
      <c r="U117" s="131" t="s">
        <v>57</v>
      </c>
      <c r="V117" s="131" t="s">
        <v>2430</v>
      </c>
      <c r="W117" s="131" t="s">
        <v>302</v>
      </c>
      <c r="X117" s="130" t="s">
        <v>3919</v>
      </c>
      <c r="Y117" s="131" t="s">
        <v>2380</v>
      </c>
      <c r="Z117" s="131" t="s">
        <v>3920</v>
      </c>
      <c r="AA117" s="131">
        <v>2003.0</v>
      </c>
      <c r="AB117" s="131">
        <v>2005.0</v>
      </c>
      <c r="AC117" s="131" t="s">
        <v>74</v>
      </c>
      <c r="AD117" s="131" t="s">
        <v>215</v>
      </c>
      <c r="AE117" s="131" t="s">
        <v>3921</v>
      </c>
      <c r="AF117" s="131" t="s">
        <v>74</v>
      </c>
      <c r="AG117" s="131" t="s">
        <v>57</v>
      </c>
      <c r="AH117" s="131" t="s">
        <v>57</v>
      </c>
      <c r="AI117" s="131" t="s">
        <v>57</v>
      </c>
      <c r="AJ117" s="131" t="s">
        <v>57</v>
      </c>
      <c r="AK117" s="131" t="s">
        <v>57</v>
      </c>
      <c r="AL117" s="130"/>
      <c r="AM117" s="130" t="s">
        <v>109</v>
      </c>
      <c r="AN117" s="104"/>
      <c r="AO117" s="104"/>
      <c r="AP117" s="104"/>
    </row>
    <row r="118">
      <c r="A118" s="102">
        <v>161.0</v>
      </c>
      <c r="B118" s="34">
        <v>5.23992297E8</v>
      </c>
      <c r="C118" s="34" t="s">
        <v>3923</v>
      </c>
      <c r="D118" s="34" t="s">
        <v>3924</v>
      </c>
      <c r="E118" s="35" t="s">
        <v>3925</v>
      </c>
      <c r="F118" s="35" t="s">
        <v>3926</v>
      </c>
      <c r="G118" s="35" t="s">
        <v>273</v>
      </c>
      <c r="H118" s="35" t="s">
        <v>3927</v>
      </c>
      <c r="I118" s="35">
        <v>2011.0</v>
      </c>
      <c r="J118" s="35" t="s">
        <v>796</v>
      </c>
      <c r="K118" s="35" t="s">
        <v>730</v>
      </c>
      <c r="L118" s="35" t="s">
        <v>3928</v>
      </c>
      <c r="M118" s="35" t="s">
        <v>57</v>
      </c>
      <c r="N118" s="35" t="s">
        <v>2926</v>
      </c>
      <c r="O118" s="35" t="s">
        <v>2930</v>
      </c>
      <c r="P118" s="35" t="s">
        <v>3929</v>
      </c>
      <c r="Q118" s="35" t="s">
        <v>93</v>
      </c>
      <c r="R118" s="35" t="s">
        <v>57</v>
      </c>
      <c r="S118" s="35" t="s">
        <v>57</v>
      </c>
      <c r="T118" s="35" t="s">
        <v>74</v>
      </c>
      <c r="U118" s="35" t="s">
        <v>57</v>
      </c>
      <c r="V118" s="35" t="s">
        <v>96</v>
      </c>
      <c r="W118" s="35" t="s">
        <v>302</v>
      </c>
      <c r="X118" s="34" t="s">
        <v>3930</v>
      </c>
      <c r="Y118" s="35" t="s">
        <v>2380</v>
      </c>
      <c r="Z118" s="35" t="s">
        <v>3931</v>
      </c>
      <c r="AA118" s="35">
        <v>2003.0</v>
      </c>
      <c r="AB118" s="35">
        <v>2003.0</v>
      </c>
      <c r="AC118" s="35" t="s">
        <v>74</v>
      </c>
      <c r="AD118" s="35" t="s">
        <v>215</v>
      </c>
      <c r="AE118" s="35" t="s">
        <v>3932</v>
      </c>
      <c r="AF118" s="35" t="s">
        <v>69</v>
      </c>
      <c r="AG118" s="35" t="s">
        <v>129</v>
      </c>
      <c r="AH118" s="35" t="s">
        <v>129</v>
      </c>
      <c r="AI118" s="35" t="s">
        <v>57</v>
      </c>
      <c r="AJ118" s="35" t="s">
        <v>57</v>
      </c>
      <c r="AK118" s="35" t="s">
        <v>3933</v>
      </c>
      <c r="AL118" s="34"/>
      <c r="AM118" s="34" t="s">
        <v>109</v>
      </c>
      <c r="AN118" s="104"/>
      <c r="AO118" s="104"/>
      <c r="AP118" s="104"/>
    </row>
    <row r="119">
      <c r="A119" s="102">
        <v>163.0</v>
      </c>
      <c r="B119" s="34">
        <v>5.23992333E8</v>
      </c>
      <c r="C119" s="34" t="s">
        <v>3935</v>
      </c>
      <c r="D119" s="34" t="s">
        <v>3936</v>
      </c>
      <c r="E119" s="35" t="s">
        <v>3937</v>
      </c>
      <c r="F119" s="35" t="s">
        <v>3938</v>
      </c>
      <c r="G119" s="35" t="s">
        <v>293</v>
      </c>
      <c r="H119" s="35" t="s">
        <v>3939</v>
      </c>
      <c r="I119" s="35">
        <v>2016.0</v>
      </c>
      <c r="J119" s="35" t="s">
        <v>3176</v>
      </c>
      <c r="K119" s="35" t="s">
        <v>730</v>
      </c>
      <c r="L119" s="35" t="s">
        <v>3940</v>
      </c>
      <c r="M119" s="35" t="s">
        <v>57</v>
      </c>
      <c r="N119" s="35" t="s">
        <v>293</v>
      </c>
      <c r="O119" s="35" t="s">
        <v>3941</v>
      </c>
      <c r="P119" s="35" t="s">
        <v>3942</v>
      </c>
      <c r="Q119" s="35" t="s">
        <v>93</v>
      </c>
      <c r="R119" s="35" t="s">
        <v>57</v>
      </c>
      <c r="S119" s="35" t="s">
        <v>57</v>
      </c>
      <c r="T119" s="35" t="s">
        <v>74</v>
      </c>
      <c r="U119" s="35" t="s">
        <v>57</v>
      </c>
      <c r="V119" s="35" t="s">
        <v>2394</v>
      </c>
      <c r="W119" s="35" t="s">
        <v>64</v>
      </c>
      <c r="X119" s="34" t="s">
        <v>3943</v>
      </c>
      <c r="Y119" s="35" t="s">
        <v>3944</v>
      </c>
      <c r="Z119" s="35" t="s">
        <v>3945</v>
      </c>
      <c r="AA119" s="35" t="s">
        <v>57</v>
      </c>
      <c r="AB119" s="35" t="s">
        <v>57</v>
      </c>
      <c r="AC119" s="35" t="s">
        <v>74</v>
      </c>
      <c r="AD119" s="35" t="s">
        <v>63</v>
      </c>
      <c r="AE119" s="35" t="s">
        <v>3946</v>
      </c>
      <c r="AF119" s="35" t="s">
        <v>69</v>
      </c>
      <c r="AG119" s="35" t="s">
        <v>129</v>
      </c>
      <c r="AH119" s="35" t="s">
        <v>129</v>
      </c>
      <c r="AI119" s="35" t="s">
        <v>57</v>
      </c>
      <c r="AJ119" s="35" t="s">
        <v>57</v>
      </c>
      <c r="AK119" s="35" t="s">
        <v>3947</v>
      </c>
      <c r="AL119" s="34"/>
      <c r="AM119" s="34" t="s">
        <v>109</v>
      </c>
      <c r="AN119" s="104"/>
      <c r="AO119" s="104"/>
      <c r="AP119" s="104"/>
    </row>
    <row r="120">
      <c r="A120" s="102">
        <v>168.0</v>
      </c>
      <c r="B120" s="34">
        <v>5.23992399E8</v>
      </c>
      <c r="C120" s="34" t="s">
        <v>3949</v>
      </c>
      <c r="D120" s="34" t="s">
        <v>3950</v>
      </c>
      <c r="E120" s="35" t="s">
        <v>3951</v>
      </c>
      <c r="F120" s="35" t="s">
        <v>3952</v>
      </c>
      <c r="G120" s="35" t="s">
        <v>859</v>
      </c>
      <c r="H120" s="35" t="s">
        <v>3953</v>
      </c>
      <c r="I120" s="35">
        <v>2016.0</v>
      </c>
      <c r="J120" s="43" t="s">
        <v>361</v>
      </c>
      <c r="K120" s="35" t="s">
        <v>730</v>
      </c>
      <c r="L120" s="35" t="s">
        <v>3954</v>
      </c>
      <c r="M120" s="35" t="s">
        <v>57</v>
      </c>
      <c r="N120" s="35" t="s">
        <v>859</v>
      </c>
      <c r="O120" s="35" t="s">
        <v>862</v>
      </c>
      <c r="P120" s="35" t="s">
        <v>3955</v>
      </c>
      <c r="Q120" s="35" t="s">
        <v>93</v>
      </c>
      <c r="R120" s="35" t="s">
        <v>3956</v>
      </c>
      <c r="S120" s="35" t="s">
        <v>3957</v>
      </c>
      <c r="T120" s="35" t="s">
        <v>74</v>
      </c>
      <c r="U120" s="35" t="s">
        <v>57</v>
      </c>
      <c r="V120" s="35" t="s">
        <v>96</v>
      </c>
      <c r="W120" s="35" t="s">
        <v>1389</v>
      </c>
      <c r="X120" s="34" t="s">
        <v>3958</v>
      </c>
      <c r="Y120" s="35" t="s">
        <v>2397</v>
      </c>
      <c r="Z120" s="35" t="s">
        <v>3959</v>
      </c>
      <c r="AA120" s="35" t="s">
        <v>57</v>
      </c>
      <c r="AB120" s="35" t="s">
        <v>57</v>
      </c>
      <c r="AC120" s="35" t="s">
        <v>74</v>
      </c>
      <c r="AD120" s="35" t="s">
        <v>96</v>
      </c>
      <c r="AE120" s="35" t="s">
        <v>3960</v>
      </c>
      <c r="AF120" s="35" t="s">
        <v>74</v>
      </c>
      <c r="AG120" s="35" t="s">
        <v>57</v>
      </c>
      <c r="AH120" s="35" t="s">
        <v>57</v>
      </c>
      <c r="AI120" s="35" t="s">
        <v>57</v>
      </c>
      <c r="AJ120" s="35" t="s">
        <v>57</v>
      </c>
      <c r="AK120" s="35" t="s">
        <v>57</v>
      </c>
      <c r="AL120" s="34"/>
      <c r="AM120" s="34" t="s">
        <v>109</v>
      </c>
      <c r="AN120" s="104"/>
      <c r="AO120" s="104"/>
      <c r="AP120" s="104"/>
    </row>
    <row r="121">
      <c r="A121" s="102">
        <v>169.0</v>
      </c>
      <c r="B121" s="34">
        <v>5.23992376E8</v>
      </c>
      <c r="C121" s="34" t="s">
        <v>3962</v>
      </c>
      <c r="D121" s="34" t="s">
        <v>3963</v>
      </c>
      <c r="E121" s="35" t="s">
        <v>3964</v>
      </c>
      <c r="F121" s="35" t="s">
        <v>3965</v>
      </c>
      <c r="G121" s="35" t="s">
        <v>114</v>
      </c>
      <c r="H121" s="35" t="s">
        <v>3966</v>
      </c>
      <c r="I121" s="35">
        <v>2018.0</v>
      </c>
      <c r="J121" s="35" t="s">
        <v>796</v>
      </c>
      <c r="K121" s="35" t="s">
        <v>730</v>
      </c>
      <c r="L121" s="35" t="s">
        <v>3967</v>
      </c>
      <c r="M121" s="35" t="s">
        <v>57</v>
      </c>
      <c r="N121" s="35" t="s">
        <v>114</v>
      </c>
      <c r="O121" s="35" t="s">
        <v>1999</v>
      </c>
      <c r="P121" s="35" t="s">
        <v>3968</v>
      </c>
      <c r="Q121" s="35" t="s">
        <v>93</v>
      </c>
      <c r="R121" s="43" t="s">
        <v>3969</v>
      </c>
      <c r="S121" s="43" t="s">
        <v>3970</v>
      </c>
      <c r="T121" s="35" t="s">
        <v>74</v>
      </c>
      <c r="U121" s="35" t="s">
        <v>57</v>
      </c>
      <c r="V121" s="35" t="s">
        <v>2394</v>
      </c>
      <c r="W121" s="35" t="s">
        <v>3971</v>
      </c>
      <c r="X121" s="34" t="s">
        <v>3972</v>
      </c>
      <c r="Y121" s="35" t="s">
        <v>2397</v>
      </c>
      <c r="Z121" s="35" t="s">
        <v>3973</v>
      </c>
      <c r="AA121" s="35">
        <v>2015.0</v>
      </c>
      <c r="AB121" s="35">
        <v>2015.0</v>
      </c>
      <c r="AC121" s="35" t="s">
        <v>74</v>
      </c>
      <c r="AD121" s="35" t="s">
        <v>96</v>
      </c>
      <c r="AE121" s="35" t="s">
        <v>3974</v>
      </c>
      <c r="AF121" s="35" t="s">
        <v>74</v>
      </c>
      <c r="AG121" s="35" t="s">
        <v>57</v>
      </c>
      <c r="AH121" s="35" t="s">
        <v>57</v>
      </c>
      <c r="AI121" s="35" t="s">
        <v>57</v>
      </c>
      <c r="AJ121" s="35" t="s">
        <v>57</v>
      </c>
      <c r="AK121" s="35" t="s">
        <v>57</v>
      </c>
      <c r="AL121" s="34"/>
      <c r="AM121" s="34" t="s">
        <v>109</v>
      </c>
      <c r="AN121" s="104"/>
      <c r="AO121" s="104"/>
      <c r="AP121" s="104"/>
    </row>
    <row r="122">
      <c r="A122" s="34"/>
      <c r="B122" s="34"/>
      <c r="C122" s="34"/>
      <c r="D122" s="34"/>
      <c r="E122" s="35"/>
      <c r="F122" s="35"/>
      <c r="G122" s="35"/>
      <c r="H122" s="35"/>
      <c r="I122" s="35"/>
      <c r="J122" s="35"/>
      <c r="K122" s="35"/>
      <c r="L122" s="35"/>
      <c r="M122" s="35"/>
      <c r="N122" s="35"/>
      <c r="O122" s="35"/>
      <c r="P122" s="35"/>
      <c r="Q122" s="35"/>
      <c r="R122" s="35"/>
      <c r="S122" s="35"/>
      <c r="T122" s="35"/>
      <c r="U122" s="35"/>
      <c r="V122" s="35"/>
      <c r="W122" s="35"/>
      <c r="X122" s="34"/>
      <c r="Y122" s="35"/>
      <c r="Z122" s="35"/>
      <c r="AA122" s="35"/>
      <c r="AB122" s="35"/>
      <c r="AC122" s="35"/>
      <c r="AD122" s="35"/>
      <c r="AE122" s="35"/>
      <c r="AF122" s="35"/>
      <c r="AG122" s="35"/>
      <c r="AH122" s="35"/>
      <c r="AI122" s="35"/>
      <c r="AJ122" s="35"/>
      <c r="AK122" s="35"/>
      <c r="AL122" s="34"/>
      <c r="AM122" s="34"/>
      <c r="AN122" s="104"/>
      <c r="AO122" s="104"/>
      <c r="AP122" s="104"/>
    </row>
    <row r="123">
      <c r="A123" s="34"/>
      <c r="B123" s="34"/>
      <c r="C123" s="34"/>
      <c r="D123" s="34"/>
      <c r="E123" s="35"/>
      <c r="F123" s="35"/>
      <c r="G123" s="35"/>
      <c r="H123" s="35"/>
      <c r="I123" s="35"/>
      <c r="J123" s="35"/>
      <c r="K123" s="35"/>
      <c r="L123" s="35"/>
      <c r="M123" s="35"/>
      <c r="N123" s="35"/>
      <c r="O123" s="35"/>
      <c r="P123" s="35"/>
      <c r="Q123" s="35"/>
      <c r="R123" s="35"/>
      <c r="S123" s="35"/>
      <c r="T123" s="35"/>
      <c r="U123" s="35"/>
      <c r="V123" s="35"/>
      <c r="W123" s="35"/>
      <c r="X123" s="34"/>
      <c r="Y123" s="35"/>
      <c r="Z123" s="35"/>
      <c r="AA123" s="35"/>
      <c r="AB123" s="35"/>
      <c r="AC123" s="35"/>
      <c r="AD123" s="35"/>
      <c r="AE123" s="35"/>
      <c r="AF123" s="35"/>
      <c r="AG123" s="35"/>
      <c r="AH123" s="35"/>
      <c r="AI123" s="35"/>
      <c r="AJ123" s="35"/>
      <c r="AK123" s="35"/>
      <c r="AL123" s="34"/>
      <c r="AM123" s="34"/>
      <c r="AN123" s="104"/>
      <c r="AO123" s="104"/>
      <c r="AP123" s="104"/>
    </row>
    <row r="124">
      <c r="A124" s="34"/>
      <c r="B124" s="34"/>
      <c r="C124" s="34"/>
      <c r="D124" s="34"/>
      <c r="E124" s="35"/>
      <c r="F124" s="35"/>
      <c r="G124" s="35"/>
      <c r="H124" s="35"/>
      <c r="I124" s="35"/>
      <c r="J124" s="35"/>
      <c r="K124" s="35"/>
      <c r="L124" s="35"/>
      <c r="M124" s="35"/>
      <c r="N124" s="35"/>
      <c r="O124" s="35"/>
      <c r="P124" s="35"/>
      <c r="Q124" s="35"/>
      <c r="R124" s="35"/>
      <c r="S124" s="35"/>
      <c r="T124" s="35"/>
      <c r="U124" s="35"/>
      <c r="V124" s="35"/>
      <c r="W124" s="35"/>
      <c r="X124" s="34"/>
      <c r="Y124" s="35"/>
      <c r="Z124" s="35"/>
      <c r="AA124" s="35"/>
      <c r="AB124" s="35"/>
      <c r="AC124" s="35"/>
      <c r="AD124" s="35"/>
      <c r="AE124" s="35"/>
      <c r="AF124" s="35"/>
      <c r="AG124" s="35"/>
      <c r="AH124" s="35"/>
      <c r="AI124" s="35"/>
      <c r="AJ124" s="35"/>
      <c r="AK124" s="35"/>
      <c r="AL124" s="34"/>
      <c r="AM124" s="34"/>
      <c r="AN124" s="104"/>
      <c r="AO124" s="104"/>
      <c r="AP124" s="104"/>
    </row>
    <row r="125">
      <c r="A125" s="34"/>
      <c r="B125" s="34"/>
      <c r="C125" s="34"/>
      <c r="D125" s="34"/>
      <c r="E125" s="35"/>
      <c r="F125" s="35"/>
      <c r="G125" s="35"/>
      <c r="H125" s="35"/>
      <c r="I125" s="35"/>
      <c r="J125" s="35"/>
      <c r="K125" s="35"/>
      <c r="L125" s="35"/>
      <c r="M125" s="35"/>
      <c r="N125" s="35"/>
      <c r="O125" s="35"/>
      <c r="P125" s="35"/>
      <c r="Q125" s="35"/>
      <c r="R125" s="35"/>
      <c r="S125" s="35"/>
      <c r="T125" s="35"/>
      <c r="U125" s="35"/>
      <c r="V125" s="35"/>
      <c r="W125" s="35"/>
      <c r="X125" s="34"/>
      <c r="Y125" s="35"/>
      <c r="Z125" s="35"/>
      <c r="AA125" s="35"/>
      <c r="AB125" s="35"/>
      <c r="AC125" s="35"/>
      <c r="AD125" s="35"/>
      <c r="AE125" s="35"/>
      <c r="AF125" s="35"/>
      <c r="AG125" s="35"/>
      <c r="AH125" s="35"/>
      <c r="AI125" s="35"/>
      <c r="AJ125" s="35"/>
      <c r="AK125" s="35"/>
      <c r="AL125" s="34"/>
      <c r="AM125" s="34"/>
      <c r="AN125" s="104"/>
      <c r="AO125" s="104"/>
      <c r="AP125" s="104"/>
    </row>
    <row r="126">
      <c r="A126" s="34"/>
      <c r="B126" s="34"/>
      <c r="C126" s="34"/>
      <c r="D126" s="34"/>
      <c r="E126" s="35"/>
      <c r="F126" s="35"/>
      <c r="G126" s="35"/>
      <c r="H126" s="35"/>
      <c r="I126" s="35"/>
      <c r="J126" s="35"/>
      <c r="K126" s="35"/>
      <c r="L126" s="35"/>
      <c r="M126" s="35"/>
      <c r="N126" s="35"/>
      <c r="O126" s="35"/>
      <c r="P126" s="35"/>
      <c r="Q126" s="35"/>
      <c r="R126" s="35"/>
      <c r="S126" s="35"/>
      <c r="T126" s="35"/>
      <c r="U126" s="35"/>
      <c r="V126" s="35"/>
      <c r="W126" s="35"/>
      <c r="X126" s="34"/>
      <c r="Y126" s="35"/>
      <c r="Z126" s="35"/>
      <c r="AA126" s="35"/>
      <c r="AB126" s="35"/>
      <c r="AC126" s="35"/>
      <c r="AD126" s="35"/>
      <c r="AE126" s="35"/>
      <c r="AF126" s="35"/>
      <c r="AG126" s="35"/>
      <c r="AH126" s="35"/>
      <c r="AI126" s="35"/>
      <c r="AJ126" s="35"/>
      <c r="AK126" s="35"/>
      <c r="AL126" s="34"/>
      <c r="AM126" s="34"/>
      <c r="AN126" s="104"/>
      <c r="AO126" s="104"/>
      <c r="AP126" s="104"/>
    </row>
    <row r="127">
      <c r="A127" s="34"/>
      <c r="B127" s="34"/>
      <c r="C127" s="34"/>
      <c r="D127" s="34"/>
      <c r="E127" s="35"/>
      <c r="F127" s="35"/>
      <c r="G127" s="35"/>
      <c r="H127" s="35"/>
      <c r="I127" s="35"/>
      <c r="J127" s="35"/>
      <c r="K127" s="35"/>
      <c r="L127" s="35"/>
      <c r="M127" s="35"/>
      <c r="N127" s="35"/>
      <c r="O127" s="35"/>
      <c r="P127" s="35"/>
      <c r="Q127" s="35"/>
      <c r="R127" s="35"/>
      <c r="S127" s="35"/>
      <c r="T127" s="35"/>
      <c r="U127" s="35"/>
      <c r="V127" s="35"/>
      <c r="W127" s="35"/>
      <c r="X127" s="34"/>
      <c r="Y127" s="35"/>
      <c r="Z127" s="35"/>
      <c r="AA127" s="35"/>
      <c r="AB127" s="35"/>
      <c r="AC127" s="35"/>
      <c r="AD127" s="35"/>
      <c r="AE127" s="35"/>
      <c r="AF127" s="35"/>
      <c r="AG127" s="35"/>
      <c r="AH127" s="35"/>
      <c r="AI127" s="35"/>
      <c r="AJ127" s="35"/>
      <c r="AK127" s="35"/>
      <c r="AL127" s="34"/>
      <c r="AM127" s="34"/>
      <c r="AN127" s="104"/>
      <c r="AO127" s="104"/>
      <c r="AP127" s="104"/>
    </row>
    <row r="128">
      <c r="A128" s="34"/>
      <c r="B128" s="34"/>
      <c r="C128" s="34"/>
      <c r="D128" s="34"/>
      <c r="E128" s="35"/>
      <c r="F128" s="35"/>
      <c r="G128" s="35"/>
      <c r="H128" s="35"/>
      <c r="I128" s="35"/>
      <c r="J128" s="35"/>
      <c r="K128" s="35"/>
      <c r="L128" s="35"/>
      <c r="M128" s="35"/>
      <c r="N128" s="35"/>
      <c r="O128" s="35"/>
      <c r="P128" s="35"/>
      <c r="Q128" s="35"/>
      <c r="R128" s="35"/>
      <c r="S128" s="35"/>
      <c r="T128" s="35"/>
      <c r="U128" s="35"/>
      <c r="V128" s="35"/>
      <c r="W128" s="35"/>
      <c r="X128" s="34"/>
      <c r="Y128" s="35"/>
      <c r="Z128" s="35"/>
      <c r="AA128" s="35"/>
      <c r="AB128" s="35"/>
      <c r="AC128" s="35"/>
      <c r="AD128" s="35"/>
      <c r="AE128" s="35"/>
      <c r="AF128" s="35"/>
      <c r="AG128" s="35"/>
      <c r="AH128" s="35"/>
      <c r="AI128" s="35"/>
      <c r="AJ128" s="35"/>
      <c r="AK128" s="35"/>
      <c r="AL128" s="34"/>
      <c r="AM128" s="34"/>
      <c r="AN128" s="104"/>
      <c r="AO128" s="104"/>
      <c r="AP128" s="104"/>
    </row>
    <row r="129">
      <c r="A129" s="34"/>
      <c r="B129" s="34"/>
      <c r="C129" s="34"/>
      <c r="D129" s="34"/>
      <c r="E129" s="35"/>
      <c r="F129" s="35"/>
      <c r="G129" s="35"/>
      <c r="H129" s="35"/>
      <c r="I129" s="35"/>
      <c r="J129" s="35"/>
      <c r="K129" s="35"/>
      <c r="L129" s="35"/>
      <c r="M129" s="35"/>
      <c r="N129" s="35"/>
      <c r="O129" s="35"/>
      <c r="P129" s="35"/>
      <c r="Q129" s="35"/>
      <c r="R129" s="35"/>
      <c r="S129" s="35"/>
      <c r="T129" s="35"/>
      <c r="U129" s="35"/>
      <c r="V129" s="35"/>
      <c r="W129" s="35"/>
      <c r="X129" s="34"/>
      <c r="Y129" s="35"/>
      <c r="Z129" s="35"/>
      <c r="AA129" s="35"/>
      <c r="AB129" s="35"/>
      <c r="AC129" s="35"/>
      <c r="AD129" s="35"/>
      <c r="AE129" s="35"/>
      <c r="AF129" s="35"/>
      <c r="AG129" s="35"/>
      <c r="AH129" s="35"/>
      <c r="AI129" s="35"/>
      <c r="AJ129" s="35"/>
      <c r="AK129" s="35"/>
      <c r="AL129" s="34"/>
      <c r="AM129" s="34"/>
      <c r="AN129" s="104"/>
      <c r="AO129" s="104"/>
      <c r="AP129" s="104"/>
    </row>
    <row r="130">
      <c r="A130" s="34"/>
      <c r="B130" s="34"/>
      <c r="C130" s="34"/>
      <c r="D130" s="34"/>
      <c r="E130" s="35"/>
      <c r="F130" s="35"/>
      <c r="G130" s="35"/>
      <c r="H130" s="35"/>
      <c r="I130" s="35"/>
      <c r="J130" s="35"/>
      <c r="K130" s="35"/>
      <c r="L130" s="35"/>
      <c r="M130" s="35"/>
      <c r="N130" s="35"/>
      <c r="O130" s="35"/>
      <c r="P130" s="35"/>
      <c r="Q130" s="35"/>
      <c r="R130" s="35"/>
      <c r="S130" s="35"/>
      <c r="T130" s="35"/>
      <c r="U130" s="35"/>
      <c r="V130" s="35"/>
      <c r="W130" s="35"/>
      <c r="X130" s="34"/>
      <c r="Y130" s="35"/>
      <c r="Z130" s="35"/>
      <c r="AA130" s="35"/>
      <c r="AB130" s="35"/>
      <c r="AC130" s="35"/>
      <c r="AD130" s="35"/>
      <c r="AE130" s="35"/>
      <c r="AF130" s="35"/>
      <c r="AG130" s="35"/>
      <c r="AH130" s="35"/>
      <c r="AI130" s="35"/>
      <c r="AJ130" s="35"/>
      <c r="AK130" s="35"/>
      <c r="AL130" s="34"/>
      <c r="AM130" s="34"/>
      <c r="AN130" s="104"/>
      <c r="AO130" s="104"/>
      <c r="AP130" s="104"/>
    </row>
    <row r="131">
      <c r="A131" s="34"/>
      <c r="B131" s="34"/>
      <c r="C131" s="34"/>
      <c r="D131" s="34"/>
      <c r="E131" s="35"/>
      <c r="F131" s="35"/>
      <c r="G131" s="35"/>
      <c r="H131" s="35"/>
      <c r="I131" s="35"/>
      <c r="J131" s="35"/>
      <c r="K131" s="35"/>
      <c r="L131" s="35"/>
      <c r="M131" s="35"/>
      <c r="N131" s="35"/>
      <c r="O131" s="35"/>
      <c r="P131" s="35"/>
      <c r="Q131" s="35"/>
      <c r="R131" s="35"/>
      <c r="S131" s="35"/>
      <c r="T131" s="35"/>
      <c r="U131" s="35"/>
      <c r="V131" s="35"/>
      <c r="W131" s="35"/>
      <c r="X131" s="34"/>
      <c r="Y131" s="35"/>
      <c r="Z131" s="35"/>
      <c r="AA131" s="35"/>
      <c r="AB131" s="35"/>
      <c r="AC131" s="35"/>
      <c r="AD131" s="35"/>
      <c r="AE131" s="35"/>
      <c r="AF131" s="35"/>
      <c r="AG131" s="35"/>
      <c r="AH131" s="35"/>
      <c r="AI131" s="35"/>
      <c r="AJ131" s="35"/>
      <c r="AK131" s="35"/>
      <c r="AL131" s="34"/>
      <c r="AM131" s="34"/>
      <c r="AN131" s="104"/>
      <c r="AO131" s="104"/>
      <c r="AP131" s="104"/>
    </row>
    <row r="132">
      <c r="A132" s="34"/>
      <c r="B132" s="34"/>
      <c r="C132" s="34"/>
      <c r="D132" s="34"/>
      <c r="E132" s="35"/>
      <c r="F132" s="35"/>
      <c r="G132" s="35"/>
      <c r="H132" s="35"/>
      <c r="I132" s="35"/>
      <c r="J132" s="35"/>
      <c r="K132" s="35"/>
      <c r="L132" s="35"/>
      <c r="M132" s="35"/>
      <c r="N132" s="35"/>
      <c r="O132" s="35"/>
      <c r="P132" s="35"/>
      <c r="Q132" s="35"/>
      <c r="R132" s="35"/>
      <c r="S132" s="35"/>
      <c r="T132" s="35"/>
      <c r="U132" s="35"/>
      <c r="V132" s="35"/>
      <c r="W132" s="35"/>
      <c r="X132" s="34"/>
      <c r="Y132" s="35"/>
      <c r="Z132" s="35"/>
      <c r="AA132" s="35"/>
      <c r="AB132" s="35"/>
      <c r="AC132" s="35"/>
      <c r="AD132" s="35"/>
      <c r="AE132" s="35"/>
      <c r="AF132" s="35"/>
      <c r="AG132" s="35"/>
      <c r="AH132" s="35"/>
      <c r="AI132" s="35"/>
      <c r="AJ132" s="35"/>
      <c r="AK132" s="35"/>
      <c r="AL132" s="34"/>
      <c r="AM132" s="34"/>
      <c r="AN132" s="104"/>
      <c r="AO132" s="104"/>
      <c r="AP132" s="104"/>
    </row>
    <row r="133">
      <c r="A133" s="34"/>
      <c r="B133" s="34"/>
      <c r="C133" s="34"/>
      <c r="D133" s="34"/>
      <c r="E133" s="35"/>
      <c r="F133" s="35"/>
      <c r="G133" s="35"/>
      <c r="H133" s="35"/>
      <c r="I133" s="35"/>
      <c r="J133" s="35"/>
      <c r="K133" s="35"/>
      <c r="L133" s="35"/>
      <c r="M133" s="35"/>
      <c r="N133" s="35"/>
      <c r="O133" s="35"/>
      <c r="P133" s="35"/>
      <c r="Q133" s="35"/>
      <c r="R133" s="35"/>
      <c r="S133" s="35"/>
      <c r="T133" s="35"/>
      <c r="U133" s="35"/>
      <c r="V133" s="35"/>
      <c r="W133" s="35"/>
      <c r="X133" s="34"/>
      <c r="Y133" s="35"/>
      <c r="Z133" s="35"/>
      <c r="AA133" s="35"/>
      <c r="AB133" s="35"/>
      <c r="AC133" s="35"/>
      <c r="AD133" s="35"/>
      <c r="AE133" s="35"/>
      <c r="AF133" s="35"/>
      <c r="AG133" s="35"/>
      <c r="AH133" s="35"/>
      <c r="AI133" s="35"/>
      <c r="AJ133" s="35"/>
      <c r="AK133" s="35"/>
      <c r="AL133" s="34"/>
      <c r="AM133" s="34"/>
      <c r="AN133" s="104"/>
      <c r="AO133" s="104"/>
      <c r="AP133" s="104"/>
    </row>
    <row r="134">
      <c r="A134" s="34"/>
      <c r="B134" s="34"/>
      <c r="C134" s="34"/>
      <c r="D134" s="34"/>
      <c r="E134" s="35"/>
      <c r="F134" s="35"/>
      <c r="G134" s="35"/>
      <c r="H134" s="35"/>
      <c r="I134" s="35"/>
      <c r="J134" s="35"/>
      <c r="K134" s="35"/>
      <c r="L134" s="35"/>
      <c r="M134" s="35"/>
      <c r="N134" s="35"/>
      <c r="O134" s="35"/>
      <c r="P134" s="35"/>
      <c r="Q134" s="35"/>
      <c r="R134" s="35"/>
      <c r="S134" s="35"/>
      <c r="T134" s="35"/>
      <c r="U134" s="35"/>
      <c r="V134" s="35"/>
      <c r="W134" s="35"/>
      <c r="X134" s="34"/>
      <c r="Y134" s="35"/>
      <c r="Z134" s="35"/>
      <c r="AA134" s="35"/>
      <c r="AB134" s="35"/>
      <c r="AC134" s="35"/>
      <c r="AD134" s="35"/>
      <c r="AE134" s="35"/>
      <c r="AF134" s="35"/>
      <c r="AG134" s="35"/>
      <c r="AH134" s="35"/>
      <c r="AI134" s="35"/>
      <c r="AJ134" s="35"/>
      <c r="AK134" s="35"/>
      <c r="AL134" s="34"/>
      <c r="AM134" s="34"/>
      <c r="AN134" s="104"/>
      <c r="AO134" s="104"/>
      <c r="AP134" s="104"/>
    </row>
    <row r="135">
      <c r="A135" s="34"/>
      <c r="B135" s="34"/>
      <c r="C135" s="34"/>
      <c r="D135" s="34"/>
      <c r="E135" s="35"/>
      <c r="F135" s="35"/>
      <c r="G135" s="35"/>
      <c r="H135" s="35"/>
      <c r="I135" s="35"/>
      <c r="J135" s="35"/>
      <c r="K135" s="35"/>
      <c r="L135" s="35"/>
      <c r="M135" s="35"/>
      <c r="N135" s="35"/>
      <c r="O135" s="35"/>
      <c r="P135" s="35"/>
      <c r="Q135" s="35"/>
      <c r="R135" s="35"/>
      <c r="S135" s="35"/>
      <c r="T135" s="35"/>
      <c r="U135" s="35"/>
      <c r="V135" s="35"/>
      <c r="W135" s="35"/>
      <c r="X135" s="34"/>
      <c r="Y135" s="35"/>
      <c r="Z135" s="35"/>
      <c r="AA135" s="35"/>
      <c r="AB135" s="35"/>
      <c r="AC135" s="35"/>
      <c r="AD135" s="35"/>
      <c r="AE135" s="35"/>
      <c r="AF135" s="35"/>
      <c r="AG135" s="35"/>
      <c r="AH135" s="35"/>
      <c r="AI135" s="35"/>
      <c r="AJ135" s="35"/>
      <c r="AK135" s="35"/>
      <c r="AL135" s="34"/>
      <c r="AM135" s="34"/>
      <c r="AN135" s="104"/>
      <c r="AO135" s="104"/>
      <c r="AP135" s="104"/>
    </row>
    <row r="136">
      <c r="A136" s="34"/>
      <c r="B136" s="34"/>
      <c r="C136" s="34"/>
      <c r="D136" s="34"/>
      <c r="E136" s="35"/>
      <c r="F136" s="35"/>
      <c r="G136" s="35"/>
      <c r="H136" s="35"/>
      <c r="I136" s="35"/>
      <c r="J136" s="35"/>
      <c r="K136" s="35"/>
      <c r="L136" s="35"/>
      <c r="M136" s="35"/>
      <c r="N136" s="35"/>
      <c r="O136" s="35"/>
      <c r="P136" s="35"/>
      <c r="Q136" s="35"/>
      <c r="R136" s="35"/>
      <c r="S136" s="35"/>
      <c r="T136" s="35"/>
      <c r="U136" s="35"/>
      <c r="V136" s="35"/>
      <c r="W136" s="35"/>
      <c r="X136" s="34"/>
      <c r="Y136" s="35"/>
      <c r="Z136" s="35"/>
      <c r="AA136" s="35"/>
      <c r="AB136" s="35"/>
      <c r="AC136" s="35"/>
      <c r="AD136" s="35"/>
      <c r="AE136" s="35"/>
      <c r="AF136" s="35"/>
      <c r="AG136" s="35"/>
      <c r="AH136" s="35"/>
      <c r="AI136" s="35"/>
      <c r="AJ136" s="35"/>
      <c r="AK136" s="35"/>
      <c r="AL136" s="34"/>
      <c r="AM136" s="34"/>
      <c r="AN136" s="104"/>
      <c r="AO136" s="104"/>
      <c r="AP136" s="104"/>
    </row>
    <row r="137">
      <c r="A137" s="34"/>
      <c r="B137" s="34"/>
      <c r="C137" s="34"/>
      <c r="D137" s="34"/>
      <c r="E137" s="35"/>
      <c r="F137" s="35"/>
      <c r="G137" s="35"/>
      <c r="H137" s="35"/>
      <c r="I137" s="35"/>
      <c r="J137" s="35"/>
      <c r="K137" s="35"/>
      <c r="L137" s="35"/>
      <c r="M137" s="35"/>
      <c r="N137" s="35"/>
      <c r="O137" s="35"/>
      <c r="P137" s="35"/>
      <c r="Q137" s="35"/>
      <c r="R137" s="35"/>
      <c r="S137" s="35"/>
      <c r="T137" s="35"/>
      <c r="U137" s="35"/>
      <c r="V137" s="35"/>
      <c r="W137" s="35"/>
      <c r="X137" s="34"/>
      <c r="Y137" s="35"/>
      <c r="Z137" s="35"/>
      <c r="AA137" s="35"/>
      <c r="AB137" s="35"/>
      <c r="AC137" s="35"/>
      <c r="AD137" s="35"/>
      <c r="AE137" s="35"/>
      <c r="AF137" s="35"/>
      <c r="AG137" s="35"/>
      <c r="AH137" s="35"/>
      <c r="AI137" s="35"/>
      <c r="AJ137" s="35"/>
      <c r="AK137" s="35"/>
      <c r="AL137" s="34"/>
      <c r="AM137" s="34"/>
      <c r="AN137" s="104"/>
      <c r="AO137" s="104"/>
      <c r="AP137" s="104"/>
    </row>
    <row r="138">
      <c r="A138" s="34"/>
      <c r="B138" s="34"/>
      <c r="C138" s="34"/>
      <c r="D138" s="34"/>
      <c r="E138" s="35"/>
      <c r="F138" s="35"/>
      <c r="G138" s="35"/>
      <c r="H138" s="35"/>
      <c r="I138" s="35"/>
      <c r="J138" s="35"/>
      <c r="K138" s="35"/>
      <c r="L138" s="35"/>
      <c r="M138" s="35"/>
      <c r="N138" s="35"/>
      <c r="O138" s="35"/>
      <c r="P138" s="35"/>
      <c r="Q138" s="35"/>
      <c r="R138" s="35"/>
      <c r="S138" s="35"/>
      <c r="T138" s="35"/>
      <c r="U138" s="35"/>
      <c r="V138" s="35"/>
      <c r="W138" s="35"/>
      <c r="X138" s="34"/>
      <c r="Y138" s="35"/>
      <c r="Z138" s="35"/>
      <c r="AA138" s="35"/>
      <c r="AB138" s="35"/>
      <c r="AC138" s="35"/>
      <c r="AD138" s="35"/>
      <c r="AE138" s="35"/>
      <c r="AF138" s="35"/>
      <c r="AG138" s="35"/>
      <c r="AH138" s="35"/>
      <c r="AI138" s="35"/>
      <c r="AJ138" s="35"/>
      <c r="AK138" s="35"/>
      <c r="AL138" s="34"/>
      <c r="AM138" s="34"/>
      <c r="AN138" s="104"/>
      <c r="AO138" s="104"/>
      <c r="AP138" s="104"/>
    </row>
    <row r="139">
      <c r="A139" s="34"/>
      <c r="B139" s="34"/>
      <c r="C139" s="34"/>
      <c r="D139" s="34"/>
      <c r="E139" s="35"/>
      <c r="F139" s="35"/>
      <c r="G139" s="35"/>
      <c r="H139" s="35"/>
      <c r="I139" s="35"/>
      <c r="J139" s="35"/>
      <c r="K139" s="35"/>
      <c r="L139" s="35"/>
      <c r="M139" s="35"/>
      <c r="N139" s="35"/>
      <c r="O139" s="35"/>
      <c r="P139" s="35"/>
      <c r="Q139" s="35"/>
      <c r="R139" s="35"/>
      <c r="S139" s="35"/>
      <c r="T139" s="35"/>
      <c r="U139" s="35"/>
      <c r="V139" s="35"/>
      <c r="W139" s="35"/>
      <c r="X139" s="34"/>
      <c r="Y139" s="35"/>
      <c r="Z139" s="35"/>
      <c r="AA139" s="35"/>
      <c r="AB139" s="35"/>
      <c r="AC139" s="35"/>
      <c r="AD139" s="35"/>
      <c r="AE139" s="35"/>
      <c r="AF139" s="35"/>
      <c r="AG139" s="35"/>
      <c r="AH139" s="35"/>
      <c r="AI139" s="35"/>
      <c r="AJ139" s="35"/>
      <c r="AK139" s="35"/>
      <c r="AL139" s="34"/>
      <c r="AM139" s="34"/>
      <c r="AN139" s="104"/>
      <c r="AO139" s="104"/>
      <c r="AP139" s="104"/>
    </row>
    <row r="140">
      <c r="A140" s="34"/>
      <c r="B140" s="34"/>
      <c r="C140" s="34"/>
      <c r="D140" s="34"/>
      <c r="E140" s="35"/>
      <c r="F140" s="35"/>
      <c r="G140" s="35"/>
      <c r="H140" s="35"/>
      <c r="I140" s="35"/>
      <c r="J140" s="35"/>
      <c r="K140" s="35"/>
      <c r="L140" s="35"/>
      <c r="M140" s="35"/>
      <c r="N140" s="35"/>
      <c r="O140" s="35"/>
      <c r="P140" s="35"/>
      <c r="Q140" s="35"/>
      <c r="R140" s="35"/>
      <c r="S140" s="35"/>
      <c r="T140" s="35"/>
      <c r="U140" s="35"/>
      <c r="V140" s="35"/>
      <c r="W140" s="35"/>
      <c r="X140" s="34"/>
      <c r="Y140" s="35"/>
      <c r="Z140" s="35"/>
      <c r="AA140" s="35"/>
      <c r="AB140" s="35"/>
      <c r="AC140" s="35"/>
      <c r="AD140" s="35"/>
      <c r="AE140" s="35"/>
      <c r="AF140" s="35"/>
      <c r="AG140" s="35"/>
      <c r="AH140" s="35"/>
      <c r="AI140" s="35"/>
      <c r="AJ140" s="35"/>
      <c r="AK140" s="35"/>
      <c r="AL140" s="34"/>
      <c r="AM140" s="34"/>
      <c r="AN140" s="104"/>
      <c r="AO140" s="104"/>
      <c r="AP140" s="104"/>
    </row>
    <row r="141">
      <c r="A141" s="34"/>
      <c r="B141" s="34"/>
      <c r="C141" s="34"/>
      <c r="D141" s="34"/>
      <c r="E141" s="35"/>
      <c r="F141" s="35"/>
      <c r="G141" s="35"/>
      <c r="H141" s="35"/>
      <c r="I141" s="35"/>
      <c r="J141" s="35"/>
      <c r="K141" s="35"/>
      <c r="L141" s="35"/>
      <c r="M141" s="35"/>
      <c r="N141" s="35"/>
      <c r="O141" s="35"/>
      <c r="P141" s="35"/>
      <c r="Q141" s="35"/>
      <c r="R141" s="35"/>
      <c r="S141" s="35"/>
      <c r="T141" s="35"/>
      <c r="U141" s="35"/>
      <c r="V141" s="35"/>
      <c r="W141" s="35"/>
      <c r="X141" s="34"/>
      <c r="Y141" s="35"/>
      <c r="Z141" s="35"/>
      <c r="AA141" s="35"/>
      <c r="AB141" s="35"/>
      <c r="AC141" s="35"/>
      <c r="AD141" s="35"/>
      <c r="AE141" s="35"/>
      <c r="AF141" s="35"/>
      <c r="AG141" s="35"/>
      <c r="AH141" s="35"/>
      <c r="AI141" s="35"/>
      <c r="AJ141" s="35"/>
      <c r="AK141" s="35"/>
      <c r="AL141" s="34"/>
      <c r="AM141" s="34"/>
      <c r="AN141" s="104"/>
      <c r="AO141" s="104"/>
      <c r="AP141" s="104"/>
    </row>
    <row r="142">
      <c r="A142" s="34"/>
      <c r="B142" s="34"/>
      <c r="C142" s="34"/>
      <c r="D142" s="34"/>
      <c r="E142" s="35"/>
      <c r="F142" s="35"/>
      <c r="G142" s="35"/>
      <c r="H142" s="35"/>
      <c r="I142" s="35"/>
      <c r="J142" s="35"/>
      <c r="K142" s="35"/>
      <c r="L142" s="35"/>
      <c r="M142" s="35"/>
      <c r="N142" s="35"/>
      <c r="O142" s="35"/>
      <c r="P142" s="35"/>
      <c r="Q142" s="35"/>
      <c r="R142" s="35"/>
      <c r="S142" s="35"/>
      <c r="T142" s="35"/>
      <c r="U142" s="35"/>
      <c r="V142" s="35"/>
      <c r="W142" s="35"/>
      <c r="X142" s="34"/>
      <c r="Y142" s="35"/>
      <c r="Z142" s="35"/>
      <c r="AA142" s="35"/>
      <c r="AB142" s="35"/>
      <c r="AC142" s="35"/>
      <c r="AD142" s="35"/>
      <c r="AE142" s="35"/>
      <c r="AF142" s="35"/>
      <c r="AG142" s="35"/>
      <c r="AH142" s="35"/>
      <c r="AI142" s="35"/>
      <c r="AJ142" s="35"/>
      <c r="AK142" s="35"/>
      <c r="AL142" s="34"/>
      <c r="AM142" s="34"/>
      <c r="AN142" s="104"/>
      <c r="AO142" s="104"/>
      <c r="AP142" s="104"/>
    </row>
    <row r="143">
      <c r="A143" s="34"/>
      <c r="B143" s="34"/>
      <c r="C143" s="34"/>
      <c r="D143" s="34"/>
      <c r="E143" s="35"/>
      <c r="F143" s="35"/>
      <c r="G143" s="35"/>
      <c r="H143" s="35"/>
      <c r="I143" s="35"/>
      <c r="J143" s="35"/>
      <c r="K143" s="35"/>
      <c r="L143" s="35"/>
      <c r="M143" s="35"/>
      <c r="N143" s="35"/>
      <c r="O143" s="35"/>
      <c r="P143" s="35"/>
      <c r="Q143" s="35"/>
      <c r="R143" s="35"/>
      <c r="S143" s="35"/>
      <c r="T143" s="35"/>
      <c r="U143" s="35"/>
      <c r="V143" s="35"/>
      <c r="W143" s="35"/>
      <c r="X143" s="34"/>
      <c r="Y143" s="35"/>
      <c r="Z143" s="35"/>
      <c r="AA143" s="35"/>
      <c r="AB143" s="35"/>
      <c r="AC143" s="35"/>
      <c r="AD143" s="35"/>
      <c r="AE143" s="35"/>
      <c r="AF143" s="35"/>
      <c r="AG143" s="35"/>
      <c r="AH143" s="35"/>
      <c r="AI143" s="35"/>
      <c r="AJ143" s="35"/>
      <c r="AK143" s="35"/>
      <c r="AL143" s="34"/>
      <c r="AM143" s="34"/>
      <c r="AN143" s="104"/>
      <c r="AO143" s="104"/>
      <c r="AP143" s="104"/>
    </row>
    <row r="144">
      <c r="A144" s="34"/>
      <c r="B144" s="34"/>
      <c r="C144" s="34"/>
      <c r="D144" s="34"/>
      <c r="E144" s="35"/>
      <c r="F144" s="35"/>
      <c r="G144" s="35"/>
      <c r="H144" s="35"/>
      <c r="I144" s="35"/>
      <c r="J144" s="35"/>
      <c r="K144" s="35"/>
      <c r="L144" s="35"/>
      <c r="M144" s="35"/>
      <c r="N144" s="35"/>
      <c r="O144" s="35"/>
      <c r="P144" s="35"/>
      <c r="Q144" s="35"/>
      <c r="R144" s="35"/>
      <c r="S144" s="35"/>
      <c r="T144" s="35"/>
      <c r="U144" s="35"/>
      <c r="V144" s="35"/>
      <c r="W144" s="35"/>
      <c r="X144" s="34"/>
      <c r="Y144" s="35"/>
      <c r="Z144" s="35"/>
      <c r="AA144" s="35"/>
      <c r="AB144" s="35"/>
      <c r="AC144" s="35"/>
      <c r="AD144" s="35"/>
      <c r="AE144" s="35"/>
      <c r="AF144" s="35"/>
      <c r="AG144" s="35"/>
      <c r="AH144" s="35"/>
      <c r="AI144" s="35"/>
      <c r="AJ144" s="35"/>
      <c r="AK144" s="35"/>
      <c r="AL144" s="34"/>
      <c r="AM144" s="34"/>
      <c r="AN144" s="104"/>
      <c r="AO144" s="104"/>
      <c r="AP144" s="104"/>
    </row>
    <row r="145">
      <c r="A145" s="34"/>
      <c r="B145" s="34"/>
      <c r="C145" s="34"/>
      <c r="D145" s="34"/>
      <c r="E145" s="35"/>
      <c r="F145" s="35"/>
      <c r="G145" s="35"/>
      <c r="H145" s="35"/>
      <c r="I145" s="35"/>
      <c r="J145" s="35"/>
      <c r="K145" s="35"/>
      <c r="L145" s="35"/>
      <c r="M145" s="35"/>
      <c r="N145" s="35"/>
      <c r="O145" s="35"/>
      <c r="P145" s="35"/>
      <c r="Q145" s="35"/>
      <c r="R145" s="35"/>
      <c r="S145" s="35"/>
      <c r="T145" s="35"/>
      <c r="U145" s="35"/>
      <c r="V145" s="35"/>
      <c r="W145" s="35"/>
      <c r="X145" s="34"/>
      <c r="Y145" s="35"/>
      <c r="Z145" s="35"/>
      <c r="AA145" s="35"/>
      <c r="AB145" s="35"/>
      <c r="AC145" s="35"/>
      <c r="AD145" s="35"/>
      <c r="AE145" s="35"/>
      <c r="AF145" s="35"/>
      <c r="AG145" s="35"/>
      <c r="AH145" s="35"/>
      <c r="AI145" s="35"/>
      <c r="AJ145" s="35"/>
      <c r="AK145" s="35"/>
      <c r="AL145" s="34"/>
      <c r="AM145" s="34"/>
      <c r="AN145" s="104"/>
      <c r="AO145" s="104"/>
      <c r="AP145" s="104"/>
    </row>
    <row r="146">
      <c r="A146" s="34"/>
      <c r="B146" s="34"/>
      <c r="C146" s="34"/>
      <c r="D146" s="34"/>
      <c r="E146" s="35"/>
      <c r="F146" s="35"/>
      <c r="G146" s="35"/>
      <c r="H146" s="35"/>
      <c r="I146" s="35"/>
      <c r="J146" s="35"/>
      <c r="K146" s="35"/>
      <c r="L146" s="35"/>
      <c r="M146" s="35"/>
      <c r="N146" s="35"/>
      <c r="O146" s="35"/>
      <c r="P146" s="35"/>
      <c r="Q146" s="35"/>
      <c r="R146" s="35"/>
      <c r="S146" s="35"/>
      <c r="T146" s="35"/>
      <c r="U146" s="35"/>
      <c r="V146" s="35"/>
      <c r="W146" s="35"/>
      <c r="X146" s="34"/>
      <c r="Y146" s="35"/>
      <c r="Z146" s="35"/>
      <c r="AA146" s="35"/>
      <c r="AB146" s="35"/>
      <c r="AC146" s="35"/>
      <c r="AD146" s="35"/>
      <c r="AE146" s="35"/>
      <c r="AF146" s="35"/>
      <c r="AG146" s="35"/>
      <c r="AH146" s="35"/>
      <c r="AI146" s="35"/>
      <c r="AJ146" s="35"/>
      <c r="AK146" s="35"/>
      <c r="AL146" s="34"/>
      <c r="AM146" s="34"/>
      <c r="AN146" s="104"/>
      <c r="AO146" s="104"/>
      <c r="AP146" s="104"/>
    </row>
    <row r="147">
      <c r="A147" s="34"/>
      <c r="B147" s="34"/>
      <c r="C147" s="34"/>
      <c r="D147" s="34"/>
      <c r="E147" s="35"/>
      <c r="F147" s="35"/>
      <c r="G147" s="35"/>
      <c r="H147" s="35"/>
      <c r="I147" s="35"/>
      <c r="J147" s="35"/>
      <c r="K147" s="35"/>
      <c r="L147" s="35"/>
      <c r="M147" s="35"/>
      <c r="N147" s="35"/>
      <c r="O147" s="35"/>
      <c r="P147" s="35"/>
      <c r="Q147" s="35"/>
      <c r="R147" s="35"/>
      <c r="S147" s="35"/>
      <c r="T147" s="35"/>
      <c r="U147" s="35"/>
      <c r="V147" s="35"/>
      <c r="W147" s="35"/>
      <c r="X147" s="34"/>
      <c r="Y147" s="35"/>
      <c r="Z147" s="35"/>
      <c r="AA147" s="35"/>
      <c r="AB147" s="35"/>
      <c r="AC147" s="35"/>
      <c r="AD147" s="35"/>
      <c r="AE147" s="35"/>
      <c r="AF147" s="35"/>
      <c r="AG147" s="35"/>
      <c r="AH147" s="35"/>
      <c r="AI147" s="35"/>
      <c r="AJ147" s="35"/>
      <c r="AK147" s="35"/>
      <c r="AL147" s="34"/>
      <c r="AM147" s="34"/>
      <c r="AN147" s="104"/>
      <c r="AO147" s="104"/>
      <c r="AP147" s="104"/>
    </row>
    <row r="148">
      <c r="A148" s="34"/>
      <c r="B148" s="34"/>
      <c r="C148" s="34"/>
      <c r="D148" s="34"/>
      <c r="E148" s="35"/>
      <c r="F148" s="35"/>
      <c r="G148" s="35"/>
      <c r="H148" s="35"/>
      <c r="I148" s="35"/>
      <c r="J148" s="35"/>
      <c r="K148" s="35"/>
      <c r="L148" s="35"/>
      <c r="M148" s="35"/>
      <c r="N148" s="35"/>
      <c r="O148" s="35"/>
      <c r="P148" s="35"/>
      <c r="Q148" s="35"/>
      <c r="R148" s="35"/>
      <c r="S148" s="35"/>
      <c r="T148" s="35"/>
      <c r="U148" s="35"/>
      <c r="V148" s="35"/>
      <c r="W148" s="35"/>
      <c r="X148" s="34"/>
      <c r="Y148" s="35"/>
      <c r="Z148" s="35"/>
      <c r="AA148" s="35"/>
      <c r="AB148" s="35"/>
      <c r="AC148" s="35"/>
      <c r="AD148" s="35"/>
      <c r="AE148" s="35"/>
      <c r="AF148" s="35"/>
      <c r="AG148" s="35"/>
      <c r="AH148" s="35"/>
      <c r="AI148" s="35"/>
      <c r="AJ148" s="35"/>
      <c r="AK148" s="35"/>
      <c r="AL148" s="34"/>
      <c r="AM148" s="34"/>
      <c r="AN148" s="104"/>
      <c r="AO148" s="104"/>
      <c r="AP148" s="104"/>
    </row>
    <row r="149">
      <c r="A149" s="34"/>
      <c r="B149" s="34"/>
      <c r="C149" s="34"/>
      <c r="D149" s="34"/>
      <c r="E149" s="35"/>
      <c r="F149" s="35"/>
      <c r="G149" s="35"/>
      <c r="H149" s="35"/>
      <c r="I149" s="35"/>
      <c r="J149" s="35"/>
      <c r="K149" s="35"/>
      <c r="L149" s="35"/>
      <c r="M149" s="35"/>
      <c r="N149" s="35"/>
      <c r="O149" s="35"/>
      <c r="P149" s="35"/>
      <c r="Q149" s="35"/>
      <c r="R149" s="35"/>
      <c r="S149" s="35"/>
      <c r="T149" s="35"/>
      <c r="U149" s="35"/>
      <c r="V149" s="35"/>
      <c r="W149" s="35"/>
      <c r="X149" s="34"/>
      <c r="Y149" s="35"/>
      <c r="Z149" s="35"/>
      <c r="AA149" s="35"/>
      <c r="AB149" s="35"/>
      <c r="AC149" s="35"/>
      <c r="AD149" s="35"/>
      <c r="AE149" s="35"/>
      <c r="AF149" s="35"/>
      <c r="AG149" s="35"/>
      <c r="AH149" s="35"/>
      <c r="AI149" s="35"/>
      <c r="AJ149" s="35"/>
      <c r="AK149" s="35"/>
      <c r="AL149" s="34"/>
      <c r="AM149" s="34"/>
      <c r="AN149" s="104"/>
      <c r="AO149" s="104"/>
      <c r="AP149" s="104"/>
    </row>
    <row r="150">
      <c r="A150" s="34"/>
      <c r="B150" s="34"/>
      <c r="C150" s="34"/>
      <c r="D150" s="34"/>
      <c r="E150" s="35"/>
      <c r="F150" s="35"/>
      <c r="G150" s="35"/>
      <c r="H150" s="35"/>
      <c r="I150" s="35"/>
      <c r="J150" s="35"/>
      <c r="K150" s="35"/>
      <c r="L150" s="35"/>
      <c r="M150" s="35"/>
      <c r="N150" s="35"/>
      <c r="O150" s="35"/>
      <c r="P150" s="35"/>
      <c r="Q150" s="35"/>
      <c r="R150" s="35"/>
      <c r="S150" s="35"/>
      <c r="T150" s="35"/>
      <c r="U150" s="35"/>
      <c r="V150" s="35"/>
      <c r="W150" s="35"/>
      <c r="X150" s="34"/>
      <c r="Y150" s="35"/>
      <c r="Z150" s="35"/>
      <c r="AA150" s="35"/>
      <c r="AB150" s="35"/>
      <c r="AC150" s="35"/>
      <c r="AD150" s="35"/>
      <c r="AE150" s="35"/>
      <c r="AF150" s="35"/>
      <c r="AG150" s="35"/>
      <c r="AH150" s="35"/>
      <c r="AI150" s="35"/>
      <c r="AJ150" s="35"/>
      <c r="AK150" s="35"/>
      <c r="AL150" s="34"/>
      <c r="AM150" s="34"/>
      <c r="AN150" s="104"/>
      <c r="AO150" s="104"/>
      <c r="AP150" s="104"/>
    </row>
    <row r="151">
      <c r="A151" s="34"/>
      <c r="B151" s="34"/>
      <c r="C151" s="34"/>
      <c r="D151" s="34"/>
      <c r="E151" s="35"/>
      <c r="F151" s="35"/>
      <c r="G151" s="35"/>
      <c r="H151" s="35"/>
      <c r="I151" s="35"/>
      <c r="J151" s="35"/>
      <c r="K151" s="35"/>
      <c r="L151" s="35"/>
      <c r="M151" s="35"/>
      <c r="N151" s="35"/>
      <c r="O151" s="35"/>
      <c r="P151" s="35"/>
      <c r="Q151" s="35"/>
      <c r="R151" s="35"/>
      <c r="S151" s="35"/>
      <c r="T151" s="35"/>
      <c r="U151" s="35"/>
      <c r="V151" s="35"/>
      <c r="W151" s="35"/>
      <c r="X151" s="34"/>
      <c r="Y151" s="35"/>
      <c r="Z151" s="35"/>
      <c r="AA151" s="35"/>
      <c r="AB151" s="35"/>
      <c r="AC151" s="35"/>
      <c r="AD151" s="35"/>
      <c r="AE151" s="35"/>
      <c r="AF151" s="35"/>
      <c r="AG151" s="35"/>
      <c r="AH151" s="35"/>
      <c r="AI151" s="35"/>
      <c r="AJ151" s="35"/>
      <c r="AK151" s="35"/>
      <c r="AL151" s="34"/>
      <c r="AM151" s="34"/>
      <c r="AN151" s="104"/>
      <c r="AO151" s="104"/>
      <c r="AP151" s="104"/>
    </row>
    <row r="152">
      <c r="A152" s="34"/>
      <c r="B152" s="34"/>
      <c r="C152" s="34"/>
      <c r="D152" s="34"/>
      <c r="E152" s="35"/>
      <c r="F152" s="35"/>
      <c r="G152" s="35"/>
      <c r="H152" s="35"/>
      <c r="I152" s="35"/>
      <c r="J152" s="35"/>
      <c r="K152" s="35"/>
      <c r="L152" s="35"/>
      <c r="M152" s="35"/>
      <c r="N152" s="35"/>
      <c r="O152" s="35"/>
      <c r="P152" s="35"/>
      <c r="Q152" s="35"/>
      <c r="R152" s="35"/>
      <c r="S152" s="35"/>
      <c r="T152" s="35"/>
      <c r="U152" s="35"/>
      <c r="V152" s="35"/>
      <c r="W152" s="35"/>
      <c r="X152" s="34"/>
      <c r="Y152" s="35"/>
      <c r="Z152" s="35"/>
      <c r="AA152" s="35"/>
      <c r="AB152" s="35"/>
      <c r="AC152" s="35"/>
      <c r="AD152" s="35"/>
      <c r="AE152" s="35"/>
      <c r="AF152" s="35"/>
      <c r="AG152" s="35"/>
      <c r="AH152" s="35"/>
      <c r="AI152" s="35"/>
      <c r="AJ152" s="35"/>
      <c r="AK152" s="35"/>
      <c r="AL152" s="34"/>
      <c r="AM152" s="34"/>
      <c r="AN152" s="104"/>
      <c r="AO152" s="104"/>
      <c r="AP152" s="104"/>
    </row>
    <row r="153">
      <c r="A153" s="34"/>
      <c r="B153" s="34"/>
      <c r="C153" s="34"/>
      <c r="D153" s="34"/>
      <c r="E153" s="35"/>
      <c r="F153" s="35"/>
      <c r="G153" s="35"/>
      <c r="H153" s="35"/>
      <c r="I153" s="35"/>
      <c r="J153" s="35"/>
      <c r="K153" s="35"/>
      <c r="L153" s="35"/>
      <c r="M153" s="35"/>
      <c r="N153" s="35"/>
      <c r="O153" s="35"/>
      <c r="P153" s="35"/>
      <c r="Q153" s="35"/>
      <c r="R153" s="35"/>
      <c r="S153" s="35"/>
      <c r="T153" s="35"/>
      <c r="U153" s="35"/>
      <c r="V153" s="35"/>
      <c r="W153" s="35"/>
      <c r="X153" s="34"/>
      <c r="Y153" s="35"/>
      <c r="Z153" s="35"/>
      <c r="AA153" s="35"/>
      <c r="AB153" s="35"/>
      <c r="AC153" s="35"/>
      <c r="AD153" s="35"/>
      <c r="AE153" s="35"/>
      <c r="AF153" s="35"/>
      <c r="AG153" s="35"/>
      <c r="AH153" s="35"/>
      <c r="AI153" s="35"/>
      <c r="AJ153" s="35"/>
      <c r="AK153" s="35"/>
      <c r="AL153" s="34"/>
      <c r="AM153" s="34"/>
      <c r="AN153" s="104"/>
      <c r="AO153" s="104"/>
      <c r="AP153" s="104"/>
    </row>
    <row r="154">
      <c r="A154" s="34"/>
      <c r="B154" s="34"/>
      <c r="C154" s="34"/>
      <c r="D154" s="34"/>
      <c r="E154" s="35"/>
      <c r="F154" s="35"/>
      <c r="G154" s="35"/>
      <c r="H154" s="35"/>
      <c r="I154" s="35"/>
      <c r="J154" s="35"/>
      <c r="K154" s="35"/>
      <c r="L154" s="35"/>
      <c r="M154" s="35"/>
      <c r="N154" s="35"/>
      <c r="O154" s="35"/>
      <c r="P154" s="35"/>
      <c r="Q154" s="35"/>
      <c r="R154" s="35"/>
      <c r="S154" s="35"/>
      <c r="T154" s="35"/>
      <c r="U154" s="35"/>
      <c r="V154" s="35"/>
      <c r="W154" s="35"/>
      <c r="X154" s="34"/>
      <c r="Y154" s="35"/>
      <c r="Z154" s="35"/>
      <c r="AA154" s="35"/>
      <c r="AB154" s="35"/>
      <c r="AC154" s="35"/>
      <c r="AD154" s="35"/>
      <c r="AE154" s="35"/>
      <c r="AF154" s="35"/>
      <c r="AG154" s="35"/>
      <c r="AH154" s="35"/>
      <c r="AI154" s="35"/>
      <c r="AJ154" s="35"/>
      <c r="AK154" s="35"/>
      <c r="AL154" s="34"/>
      <c r="AM154" s="34"/>
      <c r="AN154" s="104"/>
      <c r="AO154" s="104"/>
      <c r="AP154" s="104"/>
    </row>
    <row r="155">
      <c r="A155" s="34"/>
      <c r="B155" s="34"/>
      <c r="C155" s="34"/>
      <c r="D155" s="34"/>
      <c r="E155" s="35"/>
      <c r="F155" s="35"/>
      <c r="G155" s="35"/>
      <c r="H155" s="35"/>
      <c r="I155" s="35"/>
      <c r="J155" s="35"/>
      <c r="K155" s="35"/>
      <c r="L155" s="35"/>
      <c r="M155" s="35"/>
      <c r="N155" s="35"/>
      <c r="O155" s="35"/>
      <c r="P155" s="35"/>
      <c r="Q155" s="35"/>
      <c r="R155" s="35"/>
      <c r="S155" s="35"/>
      <c r="T155" s="35"/>
      <c r="U155" s="35"/>
      <c r="V155" s="35"/>
      <c r="W155" s="35"/>
      <c r="X155" s="34"/>
      <c r="Y155" s="35"/>
      <c r="Z155" s="35"/>
      <c r="AA155" s="35"/>
      <c r="AB155" s="35"/>
      <c r="AC155" s="35"/>
      <c r="AD155" s="35"/>
      <c r="AE155" s="35"/>
      <c r="AF155" s="35"/>
      <c r="AG155" s="35"/>
      <c r="AH155" s="35"/>
      <c r="AI155" s="35"/>
      <c r="AJ155" s="35"/>
      <c r="AK155" s="35"/>
      <c r="AL155" s="34"/>
      <c r="AM155" s="34"/>
      <c r="AN155" s="104"/>
      <c r="AO155" s="104"/>
      <c r="AP155" s="104"/>
    </row>
    <row r="156">
      <c r="A156" s="34"/>
      <c r="B156" s="34"/>
      <c r="C156" s="34"/>
      <c r="D156" s="34"/>
      <c r="E156" s="35"/>
      <c r="F156" s="35"/>
      <c r="G156" s="35"/>
      <c r="H156" s="35"/>
      <c r="I156" s="35"/>
      <c r="J156" s="35"/>
      <c r="K156" s="35"/>
      <c r="L156" s="35"/>
      <c r="M156" s="35"/>
      <c r="N156" s="35"/>
      <c r="O156" s="35"/>
      <c r="P156" s="35"/>
      <c r="Q156" s="35"/>
      <c r="R156" s="35"/>
      <c r="S156" s="35"/>
      <c r="T156" s="35"/>
      <c r="U156" s="35"/>
      <c r="V156" s="35"/>
      <c r="W156" s="35"/>
      <c r="X156" s="34"/>
      <c r="Y156" s="35"/>
      <c r="Z156" s="35"/>
      <c r="AA156" s="35"/>
      <c r="AB156" s="35"/>
      <c r="AC156" s="35"/>
      <c r="AD156" s="35"/>
      <c r="AE156" s="35"/>
      <c r="AF156" s="35"/>
      <c r="AG156" s="35"/>
      <c r="AH156" s="35"/>
      <c r="AI156" s="35"/>
      <c r="AJ156" s="35"/>
      <c r="AK156" s="35"/>
      <c r="AL156" s="34"/>
      <c r="AM156" s="34"/>
      <c r="AN156" s="104"/>
      <c r="AO156" s="104"/>
      <c r="AP156" s="104"/>
    </row>
    <row r="157">
      <c r="A157" s="34"/>
      <c r="B157" s="34"/>
      <c r="C157" s="34"/>
      <c r="D157" s="34"/>
      <c r="E157" s="35"/>
      <c r="F157" s="35"/>
      <c r="G157" s="35"/>
      <c r="H157" s="35"/>
      <c r="I157" s="35"/>
      <c r="J157" s="35"/>
      <c r="K157" s="35"/>
      <c r="L157" s="35"/>
      <c r="M157" s="35"/>
      <c r="N157" s="35"/>
      <c r="O157" s="35"/>
      <c r="P157" s="35"/>
      <c r="Q157" s="35"/>
      <c r="R157" s="35"/>
      <c r="S157" s="35"/>
      <c r="T157" s="35"/>
      <c r="U157" s="35"/>
      <c r="V157" s="35"/>
      <c r="W157" s="35"/>
      <c r="X157" s="34"/>
      <c r="Y157" s="35"/>
      <c r="Z157" s="35"/>
      <c r="AA157" s="35"/>
      <c r="AB157" s="35"/>
      <c r="AC157" s="35"/>
      <c r="AD157" s="35"/>
      <c r="AE157" s="35"/>
      <c r="AF157" s="35"/>
      <c r="AG157" s="35"/>
      <c r="AH157" s="35"/>
      <c r="AI157" s="35"/>
      <c r="AJ157" s="35"/>
      <c r="AK157" s="35"/>
      <c r="AL157" s="34"/>
      <c r="AM157" s="34"/>
      <c r="AN157" s="104"/>
      <c r="AO157" s="104"/>
      <c r="AP157" s="104"/>
    </row>
    <row r="158">
      <c r="A158" s="34"/>
      <c r="B158" s="34"/>
      <c r="C158" s="34"/>
      <c r="D158" s="34"/>
      <c r="E158" s="35"/>
      <c r="F158" s="35"/>
      <c r="G158" s="35"/>
      <c r="H158" s="35"/>
      <c r="I158" s="35"/>
      <c r="J158" s="35"/>
      <c r="K158" s="35"/>
      <c r="L158" s="35"/>
      <c r="M158" s="35"/>
      <c r="N158" s="35"/>
      <c r="O158" s="35"/>
      <c r="P158" s="35"/>
      <c r="Q158" s="35"/>
      <c r="R158" s="35"/>
      <c r="S158" s="35"/>
      <c r="T158" s="35"/>
      <c r="U158" s="35"/>
      <c r="V158" s="35"/>
      <c r="W158" s="35"/>
      <c r="X158" s="34"/>
      <c r="Y158" s="35"/>
      <c r="Z158" s="35"/>
      <c r="AA158" s="35"/>
      <c r="AB158" s="35"/>
      <c r="AC158" s="35"/>
      <c r="AD158" s="35"/>
      <c r="AE158" s="35"/>
      <c r="AF158" s="35"/>
      <c r="AG158" s="35"/>
      <c r="AH158" s="35"/>
      <c r="AI158" s="35"/>
      <c r="AJ158" s="35"/>
      <c r="AK158" s="35"/>
      <c r="AL158" s="34"/>
      <c r="AM158" s="34"/>
      <c r="AN158" s="104"/>
      <c r="AO158" s="104"/>
      <c r="AP158" s="104"/>
    </row>
    <row r="159">
      <c r="A159" s="34"/>
      <c r="B159" s="34"/>
      <c r="C159" s="34"/>
      <c r="D159" s="34"/>
      <c r="E159" s="35"/>
      <c r="F159" s="35"/>
      <c r="G159" s="35"/>
      <c r="H159" s="35"/>
      <c r="I159" s="35"/>
      <c r="J159" s="35"/>
      <c r="K159" s="35"/>
      <c r="L159" s="35"/>
      <c r="M159" s="35"/>
      <c r="N159" s="35"/>
      <c r="O159" s="35"/>
      <c r="P159" s="35"/>
      <c r="Q159" s="35"/>
      <c r="R159" s="35"/>
      <c r="S159" s="35"/>
      <c r="T159" s="35"/>
      <c r="U159" s="35"/>
      <c r="V159" s="35"/>
      <c r="W159" s="35"/>
      <c r="X159" s="34"/>
      <c r="Y159" s="35"/>
      <c r="Z159" s="35"/>
      <c r="AA159" s="35"/>
      <c r="AB159" s="35"/>
      <c r="AC159" s="35"/>
      <c r="AD159" s="35"/>
      <c r="AE159" s="35"/>
      <c r="AF159" s="35"/>
      <c r="AG159" s="35"/>
      <c r="AH159" s="35"/>
      <c r="AI159" s="35"/>
      <c r="AJ159" s="35"/>
      <c r="AK159" s="35"/>
      <c r="AL159" s="34"/>
      <c r="AM159" s="34"/>
      <c r="AN159" s="104"/>
      <c r="AO159" s="104"/>
      <c r="AP159" s="104"/>
    </row>
    <row r="160">
      <c r="A160" s="34"/>
      <c r="B160" s="34"/>
      <c r="C160" s="34"/>
      <c r="D160" s="34"/>
      <c r="E160" s="35"/>
      <c r="F160" s="35"/>
      <c r="G160" s="35"/>
      <c r="H160" s="35"/>
      <c r="I160" s="35"/>
      <c r="J160" s="35"/>
      <c r="K160" s="35"/>
      <c r="L160" s="35"/>
      <c r="M160" s="35"/>
      <c r="N160" s="35"/>
      <c r="O160" s="35"/>
      <c r="P160" s="35"/>
      <c r="Q160" s="35"/>
      <c r="R160" s="35"/>
      <c r="S160" s="35"/>
      <c r="T160" s="35"/>
      <c r="U160" s="35"/>
      <c r="V160" s="35"/>
      <c r="W160" s="35"/>
      <c r="X160" s="34"/>
      <c r="Y160" s="35"/>
      <c r="Z160" s="35"/>
      <c r="AA160" s="35"/>
      <c r="AB160" s="35"/>
      <c r="AC160" s="35"/>
      <c r="AD160" s="35"/>
      <c r="AE160" s="35"/>
      <c r="AF160" s="35"/>
      <c r="AG160" s="35"/>
      <c r="AH160" s="35"/>
      <c r="AI160" s="35"/>
      <c r="AJ160" s="35"/>
      <c r="AK160" s="35"/>
      <c r="AL160" s="34"/>
      <c r="AM160" s="34"/>
      <c r="AN160" s="104"/>
      <c r="AO160" s="104"/>
      <c r="AP160" s="104"/>
    </row>
    <row r="161">
      <c r="A161" s="34"/>
      <c r="B161" s="34"/>
      <c r="C161" s="34"/>
      <c r="D161" s="34"/>
      <c r="E161" s="35"/>
      <c r="F161" s="35"/>
      <c r="G161" s="35"/>
      <c r="H161" s="35"/>
      <c r="I161" s="35"/>
      <c r="J161" s="35"/>
      <c r="K161" s="35"/>
      <c r="L161" s="35"/>
      <c r="M161" s="35"/>
      <c r="N161" s="35"/>
      <c r="O161" s="35"/>
      <c r="P161" s="35"/>
      <c r="Q161" s="35"/>
      <c r="R161" s="35"/>
      <c r="S161" s="35"/>
      <c r="T161" s="35"/>
      <c r="U161" s="35"/>
      <c r="V161" s="35"/>
      <c r="W161" s="35"/>
      <c r="X161" s="34"/>
      <c r="Y161" s="35"/>
      <c r="Z161" s="35"/>
      <c r="AA161" s="35"/>
      <c r="AB161" s="35"/>
      <c r="AC161" s="35"/>
      <c r="AD161" s="35"/>
      <c r="AE161" s="35"/>
      <c r="AF161" s="35"/>
      <c r="AG161" s="35"/>
      <c r="AH161" s="35"/>
      <c r="AI161" s="35"/>
      <c r="AJ161" s="35"/>
      <c r="AK161" s="35"/>
      <c r="AL161" s="34"/>
      <c r="AM161" s="34"/>
      <c r="AN161" s="104"/>
      <c r="AO161" s="104"/>
      <c r="AP161" s="104"/>
    </row>
    <row r="162">
      <c r="A162" s="34"/>
      <c r="B162" s="34"/>
      <c r="C162" s="34"/>
      <c r="D162" s="34"/>
      <c r="E162" s="35"/>
      <c r="F162" s="35"/>
      <c r="G162" s="35"/>
      <c r="H162" s="35"/>
      <c r="I162" s="35"/>
      <c r="J162" s="35"/>
      <c r="K162" s="35"/>
      <c r="L162" s="35"/>
      <c r="M162" s="35"/>
      <c r="N162" s="35"/>
      <c r="O162" s="35"/>
      <c r="P162" s="35"/>
      <c r="Q162" s="35"/>
      <c r="R162" s="35"/>
      <c r="S162" s="35"/>
      <c r="T162" s="35"/>
      <c r="U162" s="35"/>
      <c r="V162" s="35"/>
      <c r="W162" s="35"/>
      <c r="X162" s="34"/>
      <c r="Y162" s="35"/>
      <c r="Z162" s="35"/>
      <c r="AA162" s="35"/>
      <c r="AB162" s="35"/>
      <c r="AC162" s="35"/>
      <c r="AD162" s="35"/>
      <c r="AE162" s="35"/>
      <c r="AF162" s="35"/>
      <c r="AG162" s="35"/>
      <c r="AH162" s="35"/>
      <c r="AI162" s="35"/>
      <c r="AJ162" s="35"/>
      <c r="AK162" s="35"/>
      <c r="AL162" s="34"/>
      <c r="AM162" s="34"/>
      <c r="AN162" s="104"/>
      <c r="AO162" s="104"/>
      <c r="AP162" s="104"/>
    </row>
    <row r="163">
      <c r="A163" s="34"/>
      <c r="B163" s="34"/>
      <c r="C163" s="34"/>
      <c r="D163" s="34"/>
      <c r="E163" s="35"/>
      <c r="F163" s="35"/>
      <c r="G163" s="35"/>
      <c r="H163" s="35"/>
      <c r="I163" s="35"/>
      <c r="J163" s="35"/>
      <c r="K163" s="35"/>
      <c r="L163" s="35"/>
      <c r="M163" s="35"/>
      <c r="N163" s="35"/>
      <c r="O163" s="35"/>
      <c r="P163" s="35"/>
      <c r="Q163" s="35"/>
      <c r="R163" s="35"/>
      <c r="S163" s="35"/>
      <c r="T163" s="35"/>
      <c r="U163" s="35"/>
      <c r="V163" s="35"/>
      <c r="W163" s="35"/>
      <c r="X163" s="34"/>
      <c r="Y163" s="35"/>
      <c r="Z163" s="35"/>
      <c r="AA163" s="35"/>
      <c r="AB163" s="35"/>
      <c r="AC163" s="35"/>
      <c r="AD163" s="35"/>
      <c r="AE163" s="35"/>
      <c r="AF163" s="35"/>
      <c r="AG163" s="35"/>
      <c r="AH163" s="35"/>
      <c r="AI163" s="35"/>
      <c r="AJ163" s="35"/>
      <c r="AK163" s="35"/>
      <c r="AL163" s="34"/>
      <c r="AM163" s="34"/>
      <c r="AN163" s="104"/>
      <c r="AO163" s="104"/>
      <c r="AP163" s="104"/>
    </row>
    <row r="164">
      <c r="A164" s="34"/>
      <c r="B164" s="34"/>
      <c r="C164" s="34"/>
      <c r="D164" s="34"/>
      <c r="E164" s="35"/>
      <c r="F164" s="35"/>
      <c r="G164" s="35"/>
      <c r="H164" s="35"/>
      <c r="I164" s="35"/>
      <c r="J164" s="35"/>
      <c r="K164" s="35"/>
      <c r="L164" s="35"/>
      <c r="M164" s="35"/>
      <c r="N164" s="35"/>
      <c r="O164" s="35"/>
      <c r="P164" s="35"/>
      <c r="Q164" s="35"/>
      <c r="R164" s="35"/>
      <c r="S164" s="35"/>
      <c r="T164" s="35"/>
      <c r="U164" s="35"/>
      <c r="V164" s="35"/>
      <c r="W164" s="35"/>
      <c r="X164" s="34"/>
      <c r="Y164" s="35"/>
      <c r="Z164" s="35"/>
      <c r="AA164" s="35"/>
      <c r="AB164" s="35"/>
      <c r="AC164" s="35"/>
      <c r="AD164" s="35"/>
      <c r="AE164" s="35"/>
      <c r="AF164" s="35"/>
      <c r="AG164" s="35"/>
      <c r="AH164" s="35"/>
      <c r="AI164" s="35"/>
      <c r="AJ164" s="35"/>
      <c r="AK164" s="35"/>
      <c r="AL164" s="34"/>
      <c r="AM164" s="34"/>
      <c r="AN164" s="104"/>
      <c r="AO164" s="104"/>
      <c r="AP164" s="104"/>
    </row>
    <row r="165">
      <c r="A165" s="34"/>
      <c r="B165" s="34"/>
      <c r="C165" s="34"/>
      <c r="D165" s="34"/>
      <c r="E165" s="35"/>
      <c r="F165" s="35"/>
      <c r="G165" s="35"/>
      <c r="H165" s="35"/>
      <c r="I165" s="35"/>
      <c r="J165" s="35"/>
      <c r="K165" s="35"/>
      <c r="L165" s="35"/>
      <c r="M165" s="35"/>
      <c r="N165" s="35"/>
      <c r="O165" s="35"/>
      <c r="P165" s="35"/>
      <c r="Q165" s="35"/>
      <c r="R165" s="35"/>
      <c r="S165" s="35"/>
      <c r="T165" s="35"/>
      <c r="U165" s="35"/>
      <c r="V165" s="35"/>
      <c r="W165" s="35"/>
      <c r="X165" s="34"/>
      <c r="Y165" s="35"/>
      <c r="Z165" s="35"/>
      <c r="AA165" s="35"/>
      <c r="AB165" s="35"/>
      <c r="AC165" s="35"/>
      <c r="AD165" s="35"/>
      <c r="AE165" s="35"/>
      <c r="AF165" s="35"/>
      <c r="AG165" s="35"/>
      <c r="AH165" s="35"/>
      <c r="AI165" s="35"/>
      <c r="AJ165" s="35"/>
      <c r="AK165" s="35"/>
      <c r="AL165" s="34"/>
      <c r="AM165" s="34"/>
      <c r="AN165" s="104"/>
      <c r="AO165" s="104"/>
      <c r="AP165" s="104"/>
    </row>
    <row r="166">
      <c r="A166" s="34"/>
      <c r="B166" s="34"/>
      <c r="C166" s="34"/>
      <c r="D166" s="34"/>
      <c r="E166" s="35"/>
      <c r="F166" s="35"/>
      <c r="G166" s="35"/>
      <c r="H166" s="35"/>
      <c r="I166" s="35"/>
      <c r="J166" s="35"/>
      <c r="K166" s="35"/>
      <c r="L166" s="35"/>
      <c r="M166" s="35"/>
      <c r="N166" s="35"/>
      <c r="O166" s="35"/>
      <c r="P166" s="35"/>
      <c r="Q166" s="35"/>
      <c r="R166" s="35"/>
      <c r="S166" s="35"/>
      <c r="T166" s="35"/>
      <c r="U166" s="35"/>
      <c r="V166" s="35"/>
      <c r="W166" s="35"/>
      <c r="X166" s="34"/>
      <c r="Y166" s="35"/>
      <c r="Z166" s="35"/>
      <c r="AA166" s="35"/>
      <c r="AB166" s="35"/>
      <c r="AC166" s="35"/>
      <c r="AD166" s="35"/>
      <c r="AE166" s="35"/>
      <c r="AF166" s="35"/>
      <c r="AG166" s="35"/>
      <c r="AH166" s="35"/>
      <c r="AI166" s="35"/>
      <c r="AJ166" s="35"/>
      <c r="AK166" s="35"/>
      <c r="AL166" s="34"/>
      <c r="AM166" s="34"/>
      <c r="AN166" s="104"/>
      <c r="AO166" s="104"/>
      <c r="AP166" s="104"/>
    </row>
    <row r="167">
      <c r="A167" s="34"/>
      <c r="B167" s="34"/>
      <c r="C167" s="34"/>
      <c r="D167" s="34"/>
      <c r="E167" s="35"/>
      <c r="F167" s="35"/>
      <c r="G167" s="35"/>
      <c r="H167" s="35"/>
      <c r="I167" s="35"/>
      <c r="J167" s="35"/>
      <c r="K167" s="35"/>
      <c r="L167" s="35"/>
      <c r="M167" s="35"/>
      <c r="N167" s="35"/>
      <c r="O167" s="35"/>
      <c r="P167" s="35"/>
      <c r="Q167" s="35"/>
      <c r="R167" s="35"/>
      <c r="S167" s="35"/>
      <c r="T167" s="35"/>
      <c r="U167" s="35"/>
      <c r="V167" s="35"/>
      <c r="W167" s="35"/>
      <c r="X167" s="34"/>
      <c r="Y167" s="35"/>
      <c r="Z167" s="35"/>
      <c r="AA167" s="35"/>
      <c r="AB167" s="35"/>
      <c r="AC167" s="35"/>
      <c r="AD167" s="35"/>
      <c r="AE167" s="35"/>
      <c r="AF167" s="35"/>
      <c r="AG167" s="35"/>
      <c r="AH167" s="35"/>
      <c r="AI167" s="35"/>
      <c r="AJ167" s="35"/>
      <c r="AK167" s="35"/>
      <c r="AL167" s="34"/>
      <c r="AM167" s="34"/>
      <c r="AN167" s="104"/>
      <c r="AO167" s="104"/>
      <c r="AP167" s="104"/>
    </row>
    <row r="168">
      <c r="A168" s="34"/>
      <c r="B168" s="34"/>
      <c r="C168" s="34"/>
      <c r="D168" s="34"/>
      <c r="E168" s="35"/>
      <c r="F168" s="35"/>
      <c r="G168" s="35"/>
      <c r="H168" s="35"/>
      <c r="I168" s="35"/>
      <c r="J168" s="35"/>
      <c r="K168" s="35"/>
      <c r="L168" s="35"/>
      <c r="M168" s="35"/>
      <c r="N168" s="35"/>
      <c r="O168" s="35"/>
      <c r="P168" s="35"/>
      <c r="Q168" s="35"/>
      <c r="R168" s="35"/>
      <c r="S168" s="35"/>
      <c r="T168" s="35"/>
      <c r="U168" s="35"/>
      <c r="V168" s="35"/>
      <c r="W168" s="35"/>
      <c r="X168" s="34"/>
      <c r="Y168" s="35"/>
      <c r="Z168" s="35"/>
      <c r="AA168" s="35"/>
      <c r="AB168" s="35"/>
      <c r="AC168" s="35"/>
      <c r="AD168" s="35"/>
      <c r="AE168" s="35"/>
      <c r="AF168" s="35"/>
      <c r="AG168" s="35"/>
      <c r="AH168" s="35"/>
      <c r="AI168" s="35"/>
      <c r="AJ168" s="35"/>
      <c r="AK168" s="35"/>
      <c r="AL168" s="34"/>
      <c r="AM168" s="34"/>
      <c r="AN168" s="104"/>
      <c r="AO168" s="104"/>
      <c r="AP168" s="104"/>
    </row>
    <row r="169">
      <c r="A169" s="34"/>
      <c r="B169" s="34"/>
      <c r="C169" s="34"/>
      <c r="D169" s="34"/>
      <c r="E169" s="35"/>
      <c r="F169" s="35"/>
      <c r="G169" s="35"/>
      <c r="H169" s="35"/>
      <c r="I169" s="35"/>
      <c r="J169" s="35"/>
      <c r="K169" s="35"/>
      <c r="L169" s="35"/>
      <c r="M169" s="35"/>
      <c r="N169" s="35"/>
      <c r="O169" s="35"/>
      <c r="P169" s="35"/>
      <c r="Q169" s="35"/>
      <c r="R169" s="35"/>
      <c r="S169" s="35"/>
      <c r="T169" s="35"/>
      <c r="U169" s="35"/>
      <c r="V169" s="35"/>
      <c r="W169" s="35"/>
      <c r="X169" s="34"/>
      <c r="Y169" s="35"/>
      <c r="Z169" s="35"/>
      <c r="AA169" s="35"/>
      <c r="AB169" s="35"/>
      <c r="AC169" s="35"/>
      <c r="AD169" s="35"/>
      <c r="AE169" s="35"/>
      <c r="AF169" s="35"/>
      <c r="AG169" s="35"/>
      <c r="AH169" s="35"/>
      <c r="AI169" s="35"/>
      <c r="AJ169" s="35"/>
      <c r="AK169" s="35"/>
      <c r="AL169" s="34"/>
      <c r="AM169" s="34"/>
      <c r="AN169" s="104"/>
      <c r="AO169" s="104"/>
      <c r="AP169" s="104"/>
    </row>
    <row r="170">
      <c r="A170" s="34"/>
      <c r="B170" s="34"/>
      <c r="C170" s="34"/>
      <c r="D170" s="34"/>
      <c r="E170" s="35"/>
      <c r="F170" s="35"/>
      <c r="G170" s="35"/>
      <c r="H170" s="35"/>
      <c r="I170" s="35"/>
      <c r="J170" s="35"/>
      <c r="K170" s="35"/>
      <c r="L170" s="35"/>
      <c r="M170" s="35"/>
      <c r="N170" s="35"/>
      <c r="O170" s="35"/>
      <c r="P170" s="35"/>
      <c r="Q170" s="35"/>
      <c r="R170" s="35"/>
      <c r="S170" s="35"/>
      <c r="T170" s="35"/>
      <c r="U170" s="35"/>
      <c r="V170" s="35"/>
      <c r="W170" s="35"/>
      <c r="X170" s="34"/>
      <c r="Y170" s="35"/>
      <c r="Z170" s="35"/>
      <c r="AA170" s="35"/>
      <c r="AB170" s="35"/>
      <c r="AC170" s="35"/>
      <c r="AD170" s="35"/>
      <c r="AE170" s="35"/>
      <c r="AF170" s="35"/>
      <c r="AG170" s="35"/>
      <c r="AH170" s="35"/>
      <c r="AI170" s="35"/>
      <c r="AJ170" s="35"/>
      <c r="AK170" s="35"/>
      <c r="AL170" s="34"/>
      <c r="AM170" s="34"/>
      <c r="AN170" s="104"/>
      <c r="AO170" s="104"/>
      <c r="AP170" s="104"/>
    </row>
    <row r="171">
      <c r="A171" s="34"/>
      <c r="B171" s="34"/>
      <c r="C171" s="34"/>
      <c r="D171" s="34"/>
      <c r="E171" s="35"/>
      <c r="F171" s="35"/>
      <c r="G171" s="35"/>
      <c r="H171" s="35"/>
      <c r="I171" s="35"/>
      <c r="J171" s="35"/>
      <c r="K171" s="35"/>
      <c r="L171" s="35"/>
      <c r="M171" s="35"/>
      <c r="N171" s="35"/>
      <c r="O171" s="35"/>
      <c r="P171" s="35"/>
      <c r="Q171" s="35"/>
      <c r="R171" s="35"/>
      <c r="S171" s="35"/>
      <c r="T171" s="35"/>
      <c r="U171" s="35"/>
      <c r="V171" s="35"/>
      <c r="W171" s="35"/>
      <c r="X171" s="34"/>
      <c r="Y171" s="35"/>
      <c r="Z171" s="35"/>
      <c r="AA171" s="35"/>
      <c r="AB171" s="35"/>
      <c r="AC171" s="35"/>
      <c r="AD171" s="35"/>
      <c r="AE171" s="35"/>
      <c r="AF171" s="35"/>
      <c r="AG171" s="35"/>
      <c r="AH171" s="35"/>
      <c r="AI171" s="35"/>
      <c r="AJ171" s="35"/>
      <c r="AK171" s="35"/>
      <c r="AL171" s="34"/>
      <c r="AM171" s="34"/>
      <c r="AN171" s="104"/>
      <c r="AO171" s="104"/>
      <c r="AP171" s="104"/>
    </row>
    <row r="172">
      <c r="A172" s="34"/>
      <c r="B172" s="34"/>
      <c r="C172" s="34"/>
      <c r="D172" s="34"/>
      <c r="E172" s="35"/>
      <c r="F172" s="35"/>
      <c r="G172" s="35"/>
      <c r="H172" s="35"/>
      <c r="I172" s="35"/>
      <c r="J172" s="35"/>
      <c r="K172" s="35"/>
      <c r="L172" s="35"/>
      <c r="M172" s="35"/>
      <c r="N172" s="35"/>
      <c r="O172" s="35"/>
      <c r="P172" s="35"/>
      <c r="Q172" s="35"/>
      <c r="R172" s="35"/>
      <c r="S172" s="35"/>
      <c r="T172" s="35"/>
      <c r="U172" s="35"/>
      <c r="V172" s="35"/>
      <c r="W172" s="35"/>
      <c r="X172" s="34"/>
      <c r="Y172" s="35"/>
      <c r="Z172" s="35"/>
      <c r="AA172" s="35"/>
      <c r="AB172" s="35"/>
      <c r="AC172" s="35"/>
      <c r="AD172" s="35"/>
      <c r="AE172" s="35"/>
      <c r="AF172" s="35"/>
      <c r="AG172" s="35"/>
      <c r="AH172" s="35"/>
      <c r="AI172" s="35"/>
      <c r="AJ172" s="35"/>
      <c r="AK172" s="35"/>
      <c r="AL172" s="34"/>
      <c r="AM172" s="34"/>
      <c r="AN172" s="104"/>
      <c r="AO172" s="104"/>
      <c r="AP172" s="104"/>
    </row>
    <row r="173">
      <c r="A173" s="34"/>
      <c r="B173" s="34"/>
      <c r="C173" s="34"/>
      <c r="D173" s="34"/>
      <c r="E173" s="35"/>
      <c r="F173" s="35"/>
      <c r="G173" s="35"/>
      <c r="H173" s="35"/>
      <c r="I173" s="35"/>
      <c r="J173" s="35"/>
      <c r="K173" s="35"/>
      <c r="L173" s="35"/>
      <c r="M173" s="35"/>
      <c r="N173" s="35"/>
      <c r="O173" s="35"/>
      <c r="P173" s="35"/>
      <c r="Q173" s="35"/>
      <c r="R173" s="35"/>
      <c r="S173" s="35"/>
      <c r="T173" s="35"/>
      <c r="U173" s="35"/>
      <c r="V173" s="35"/>
      <c r="W173" s="35"/>
      <c r="X173" s="34"/>
      <c r="Y173" s="35"/>
      <c r="Z173" s="35"/>
      <c r="AA173" s="35"/>
      <c r="AB173" s="35"/>
      <c r="AC173" s="35"/>
      <c r="AD173" s="35"/>
      <c r="AE173" s="35"/>
      <c r="AF173" s="35"/>
      <c r="AG173" s="35"/>
      <c r="AH173" s="35"/>
      <c r="AI173" s="35"/>
      <c r="AJ173" s="35"/>
      <c r="AK173" s="35"/>
      <c r="AL173" s="34"/>
      <c r="AM173" s="34"/>
      <c r="AN173" s="104"/>
      <c r="AO173" s="104"/>
      <c r="AP173" s="104"/>
    </row>
    <row r="174">
      <c r="A174" s="34"/>
      <c r="B174" s="34"/>
      <c r="C174" s="34"/>
      <c r="D174" s="34"/>
      <c r="E174" s="35"/>
      <c r="F174" s="35"/>
      <c r="G174" s="35"/>
      <c r="H174" s="35"/>
      <c r="I174" s="35"/>
      <c r="J174" s="35"/>
      <c r="K174" s="35"/>
      <c r="L174" s="35"/>
      <c r="M174" s="35"/>
      <c r="N174" s="35"/>
      <c r="O174" s="35"/>
      <c r="P174" s="35"/>
      <c r="Q174" s="35"/>
      <c r="R174" s="35"/>
      <c r="S174" s="35"/>
      <c r="T174" s="35"/>
      <c r="U174" s="35"/>
      <c r="V174" s="35"/>
      <c r="W174" s="35"/>
      <c r="X174" s="34"/>
      <c r="Y174" s="35"/>
      <c r="Z174" s="35"/>
      <c r="AA174" s="35"/>
      <c r="AB174" s="35"/>
      <c r="AC174" s="35"/>
      <c r="AD174" s="35"/>
      <c r="AE174" s="35"/>
      <c r="AF174" s="35"/>
      <c r="AG174" s="35"/>
      <c r="AH174" s="35"/>
      <c r="AI174" s="35"/>
      <c r="AJ174" s="35"/>
      <c r="AK174" s="35"/>
      <c r="AL174" s="34"/>
      <c r="AM174" s="34"/>
      <c r="AN174" s="104"/>
      <c r="AO174" s="104"/>
      <c r="AP174" s="104"/>
    </row>
    <row r="175">
      <c r="A175" s="34"/>
      <c r="B175" s="34"/>
      <c r="C175" s="34"/>
      <c r="D175" s="34"/>
      <c r="E175" s="35"/>
      <c r="F175" s="35"/>
      <c r="G175" s="35"/>
      <c r="H175" s="35"/>
      <c r="I175" s="35"/>
      <c r="J175" s="35"/>
      <c r="K175" s="35"/>
      <c r="L175" s="35"/>
      <c r="M175" s="35"/>
      <c r="N175" s="35"/>
      <c r="O175" s="35"/>
      <c r="P175" s="35"/>
      <c r="Q175" s="35"/>
      <c r="R175" s="35"/>
      <c r="S175" s="35"/>
      <c r="T175" s="35"/>
      <c r="U175" s="35"/>
      <c r="V175" s="35"/>
      <c r="W175" s="35"/>
      <c r="X175" s="34"/>
      <c r="Y175" s="35"/>
      <c r="Z175" s="35"/>
      <c r="AA175" s="35"/>
      <c r="AB175" s="35"/>
      <c r="AC175" s="35"/>
      <c r="AD175" s="35"/>
      <c r="AE175" s="35"/>
      <c r="AF175" s="35"/>
      <c r="AG175" s="35"/>
      <c r="AH175" s="35"/>
      <c r="AI175" s="35"/>
      <c r="AJ175" s="35"/>
      <c r="AK175" s="35"/>
      <c r="AL175" s="34"/>
      <c r="AM175" s="34"/>
      <c r="AN175" s="104"/>
      <c r="AO175" s="104"/>
      <c r="AP175" s="104"/>
    </row>
    <row r="176">
      <c r="A176" s="34"/>
      <c r="B176" s="34"/>
      <c r="C176" s="34"/>
      <c r="D176" s="34"/>
      <c r="E176" s="35"/>
      <c r="F176" s="35"/>
      <c r="G176" s="35"/>
      <c r="H176" s="35"/>
      <c r="I176" s="35"/>
      <c r="J176" s="35"/>
      <c r="K176" s="35"/>
      <c r="L176" s="35"/>
      <c r="M176" s="35"/>
      <c r="N176" s="35"/>
      <c r="O176" s="35"/>
      <c r="P176" s="35"/>
      <c r="Q176" s="35"/>
      <c r="R176" s="35"/>
      <c r="S176" s="35"/>
      <c r="T176" s="35"/>
      <c r="U176" s="35"/>
      <c r="V176" s="35"/>
      <c r="W176" s="35"/>
      <c r="X176" s="34"/>
      <c r="Y176" s="35"/>
      <c r="Z176" s="35"/>
      <c r="AA176" s="35"/>
      <c r="AB176" s="35"/>
      <c r="AC176" s="35"/>
      <c r="AD176" s="35"/>
      <c r="AE176" s="35"/>
      <c r="AF176" s="35"/>
      <c r="AG176" s="35"/>
      <c r="AH176" s="35"/>
      <c r="AI176" s="35"/>
      <c r="AJ176" s="35"/>
      <c r="AK176" s="35"/>
      <c r="AL176" s="34"/>
      <c r="AM176" s="34"/>
      <c r="AN176" s="104"/>
      <c r="AO176" s="104"/>
      <c r="AP176" s="104"/>
    </row>
    <row r="177">
      <c r="A177" s="34"/>
      <c r="B177" s="34"/>
      <c r="C177" s="34"/>
      <c r="D177" s="34"/>
      <c r="E177" s="35"/>
      <c r="F177" s="35"/>
      <c r="G177" s="35"/>
      <c r="H177" s="35"/>
      <c r="I177" s="35"/>
      <c r="J177" s="35"/>
      <c r="K177" s="35"/>
      <c r="L177" s="35"/>
      <c r="M177" s="35"/>
      <c r="N177" s="35"/>
      <c r="O177" s="35"/>
      <c r="P177" s="35"/>
      <c r="Q177" s="35"/>
      <c r="R177" s="35"/>
      <c r="S177" s="35"/>
      <c r="T177" s="35"/>
      <c r="U177" s="35"/>
      <c r="V177" s="35"/>
      <c r="W177" s="35"/>
      <c r="X177" s="34"/>
      <c r="Y177" s="35"/>
      <c r="Z177" s="35"/>
      <c r="AA177" s="35"/>
      <c r="AB177" s="35"/>
      <c r="AC177" s="35"/>
      <c r="AD177" s="35"/>
      <c r="AE177" s="35"/>
      <c r="AF177" s="35"/>
      <c r="AG177" s="35"/>
      <c r="AH177" s="35"/>
      <c r="AI177" s="35"/>
      <c r="AJ177" s="35"/>
      <c r="AK177" s="35"/>
      <c r="AL177" s="34"/>
      <c r="AM177" s="34"/>
      <c r="AN177" s="104"/>
      <c r="AO177" s="104"/>
      <c r="AP177" s="104"/>
    </row>
    <row r="178">
      <c r="A178" s="34"/>
      <c r="B178" s="34"/>
      <c r="C178" s="34"/>
      <c r="D178" s="34"/>
      <c r="E178" s="35"/>
      <c r="F178" s="35"/>
      <c r="G178" s="35"/>
      <c r="H178" s="35"/>
      <c r="I178" s="35"/>
      <c r="J178" s="35"/>
      <c r="K178" s="35"/>
      <c r="L178" s="35"/>
      <c r="M178" s="35"/>
      <c r="N178" s="35"/>
      <c r="O178" s="35"/>
      <c r="P178" s="35"/>
      <c r="Q178" s="35"/>
      <c r="R178" s="35"/>
      <c r="S178" s="35"/>
      <c r="T178" s="35"/>
      <c r="U178" s="35"/>
      <c r="V178" s="35"/>
      <c r="W178" s="35"/>
      <c r="X178" s="34"/>
      <c r="Y178" s="35"/>
      <c r="Z178" s="35"/>
      <c r="AA178" s="35"/>
      <c r="AB178" s="35"/>
      <c r="AC178" s="35"/>
      <c r="AD178" s="35"/>
      <c r="AE178" s="35"/>
      <c r="AF178" s="35"/>
      <c r="AG178" s="35"/>
      <c r="AH178" s="35"/>
      <c r="AI178" s="35"/>
      <c r="AJ178" s="35"/>
      <c r="AK178" s="35"/>
      <c r="AL178" s="34"/>
      <c r="AM178" s="34"/>
      <c r="AN178" s="104"/>
      <c r="AO178" s="104"/>
      <c r="AP178" s="104"/>
    </row>
    <row r="179">
      <c r="A179" s="34"/>
      <c r="B179" s="34"/>
      <c r="C179" s="34"/>
      <c r="D179" s="34"/>
      <c r="E179" s="35"/>
      <c r="F179" s="35"/>
      <c r="G179" s="35"/>
      <c r="H179" s="35"/>
      <c r="I179" s="35"/>
      <c r="J179" s="35"/>
      <c r="K179" s="35"/>
      <c r="L179" s="35"/>
      <c r="M179" s="35"/>
      <c r="N179" s="35"/>
      <c r="O179" s="35"/>
      <c r="P179" s="35"/>
      <c r="Q179" s="35"/>
      <c r="R179" s="35"/>
      <c r="S179" s="35"/>
      <c r="T179" s="35"/>
      <c r="U179" s="35"/>
      <c r="V179" s="35"/>
      <c r="W179" s="35"/>
      <c r="X179" s="34"/>
      <c r="Y179" s="35"/>
      <c r="Z179" s="35"/>
      <c r="AA179" s="35"/>
      <c r="AB179" s="35"/>
      <c r="AC179" s="35"/>
      <c r="AD179" s="35"/>
      <c r="AE179" s="35"/>
      <c r="AF179" s="35"/>
      <c r="AG179" s="35"/>
      <c r="AH179" s="35"/>
      <c r="AI179" s="35"/>
      <c r="AJ179" s="35"/>
      <c r="AK179" s="35"/>
      <c r="AL179" s="34"/>
      <c r="AM179" s="34"/>
      <c r="AN179" s="104"/>
      <c r="AO179" s="104"/>
      <c r="AP179" s="104"/>
    </row>
    <row r="180">
      <c r="A180" s="34"/>
      <c r="B180" s="34"/>
      <c r="C180" s="34"/>
      <c r="D180" s="34"/>
      <c r="E180" s="35"/>
      <c r="F180" s="35"/>
      <c r="G180" s="35"/>
      <c r="H180" s="35"/>
      <c r="I180" s="35"/>
      <c r="J180" s="35"/>
      <c r="K180" s="35"/>
      <c r="L180" s="35"/>
      <c r="M180" s="35"/>
      <c r="N180" s="35"/>
      <c r="O180" s="35"/>
      <c r="P180" s="35"/>
      <c r="Q180" s="35"/>
      <c r="R180" s="35"/>
      <c r="S180" s="35"/>
      <c r="T180" s="35"/>
      <c r="U180" s="35"/>
      <c r="V180" s="35"/>
      <c r="W180" s="35"/>
      <c r="X180" s="34"/>
      <c r="Y180" s="35"/>
      <c r="Z180" s="35"/>
      <c r="AA180" s="35"/>
      <c r="AB180" s="35"/>
      <c r="AC180" s="35"/>
      <c r="AD180" s="35"/>
      <c r="AE180" s="35"/>
      <c r="AF180" s="35"/>
      <c r="AG180" s="35"/>
      <c r="AH180" s="35"/>
      <c r="AI180" s="35"/>
      <c r="AJ180" s="35"/>
      <c r="AK180" s="35"/>
      <c r="AL180" s="34"/>
      <c r="AM180" s="34"/>
      <c r="AN180" s="104"/>
      <c r="AO180" s="104"/>
      <c r="AP180" s="104"/>
    </row>
    <row r="181">
      <c r="A181" s="34"/>
      <c r="B181" s="34"/>
      <c r="C181" s="34"/>
      <c r="D181" s="34"/>
      <c r="E181" s="35"/>
      <c r="F181" s="35"/>
      <c r="G181" s="35"/>
      <c r="H181" s="35"/>
      <c r="I181" s="35"/>
      <c r="J181" s="35"/>
      <c r="K181" s="35"/>
      <c r="L181" s="35"/>
      <c r="M181" s="35"/>
      <c r="N181" s="35"/>
      <c r="O181" s="35"/>
      <c r="P181" s="35"/>
      <c r="Q181" s="35"/>
      <c r="R181" s="35"/>
      <c r="S181" s="35"/>
      <c r="T181" s="35"/>
      <c r="U181" s="35"/>
      <c r="V181" s="35"/>
      <c r="W181" s="35"/>
      <c r="X181" s="34"/>
      <c r="Y181" s="35"/>
      <c r="Z181" s="35"/>
      <c r="AA181" s="35"/>
      <c r="AB181" s="35"/>
      <c r="AC181" s="35"/>
      <c r="AD181" s="35"/>
      <c r="AE181" s="35"/>
      <c r="AF181" s="35"/>
      <c r="AG181" s="35"/>
      <c r="AH181" s="35"/>
      <c r="AI181" s="35"/>
      <c r="AJ181" s="35"/>
      <c r="AK181" s="35"/>
      <c r="AL181" s="34"/>
      <c r="AM181" s="34"/>
      <c r="AN181" s="104"/>
      <c r="AO181" s="104"/>
      <c r="AP181" s="104"/>
    </row>
    <row r="182">
      <c r="A182" s="34"/>
      <c r="B182" s="34"/>
      <c r="C182" s="34"/>
      <c r="D182" s="34"/>
      <c r="E182" s="35"/>
      <c r="F182" s="35"/>
      <c r="G182" s="35"/>
      <c r="H182" s="35"/>
      <c r="I182" s="35"/>
      <c r="J182" s="35"/>
      <c r="K182" s="35"/>
      <c r="L182" s="35"/>
      <c r="M182" s="35"/>
      <c r="N182" s="35"/>
      <c r="O182" s="35"/>
      <c r="P182" s="35"/>
      <c r="Q182" s="35"/>
      <c r="R182" s="35"/>
      <c r="S182" s="35"/>
      <c r="T182" s="35"/>
      <c r="U182" s="35"/>
      <c r="V182" s="35"/>
      <c r="W182" s="35"/>
      <c r="X182" s="34"/>
      <c r="Y182" s="35"/>
      <c r="Z182" s="35"/>
      <c r="AA182" s="35"/>
      <c r="AB182" s="35"/>
      <c r="AC182" s="35"/>
      <c r="AD182" s="35"/>
      <c r="AE182" s="35"/>
      <c r="AF182" s="35"/>
      <c r="AG182" s="35"/>
      <c r="AH182" s="35"/>
      <c r="AI182" s="35"/>
      <c r="AJ182" s="35"/>
      <c r="AK182" s="35"/>
      <c r="AL182" s="34"/>
      <c r="AM182" s="34"/>
      <c r="AN182" s="104"/>
      <c r="AO182" s="104"/>
      <c r="AP182" s="104"/>
    </row>
    <row r="183">
      <c r="A183" s="34"/>
      <c r="B183" s="34"/>
      <c r="C183" s="34"/>
      <c r="D183" s="34"/>
      <c r="E183" s="35"/>
      <c r="F183" s="35"/>
      <c r="G183" s="35"/>
      <c r="H183" s="35"/>
      <c r="I183" s="35"/>
      <c r="J183" s="35"/>
      <c r="K183" s="35"/>
      <c r="L183" s="35"/>
      <c r="M183" s="35"/>
      <c r="N183" s="35"/>
      <c r="O183" s="35"/>
      <c r="P183" s="35"/>
      <c r="Q183" s="35"/>
      <c r="R183" s="35"/>
      <c r="S183" s="35"/>
      <c r="T183" s="35"/>
      <c r="U183" s="35"/>
      <c r="V183" s="35"/>
      <c r="W183" s="35"/>
      <c r="X183" s="34"/>
      <c r="Y183" s="35"/>
      <c r="Z183" s="35"/>
      <c r="AA183" s="35"/>
      <c r="AB183" s="35"/>
      <c r="AC183" s="35"/>
      <c r="AD183" s="35"/>
      <c r="AE183" s="35"/>
      <c r="AF183" s="35"/>
      <c r="AG183" s="35"/>
      <c r="AH183" s="35"/>
      <c r="AI183" s="35"/>
      <c r="AJ183" s="35"/>
      <c r="AK183" s="35"/>
      <c r="AL183" s="34"/>
      <c r="AM183" s="34"/>
      <c r="AN183" s="104"/>
      <c r="AO183" s="104"/>
      <c r="AP183" s="104"/>
    </row>
    <row r="184">
      <c r="A184" s="34"/>
      <c r="B184" s="34"/>
      <c r="C184" s="34"/>
      <c r="D184" s="34"/>
      <c r="E184" s="35"/>
      <c r="F184" s="35"/>
      <c r="G184" s="35"/>
      <c r="H184" s="35"/>
      <c r="I184" s="35"/>
      <c r="J184" s="35"/>
      <c r="K184" s="35"/>
      <c r="L184" s="35"/>
      <c r="M184" s="35"/>
      <c r="N184" s="35"/>
      <c r="O184" s="35"/>
      <c r="P184" s="35"/>
      <c r="Q184" s="35"/>
      <c r="R184" s="35"/>
      <c r="S184" s="35"/>
      <c r="T184" s="35"/>
      <c r="U184" s="35"/>
      <c r="V184" s="35"/>
      <c r="W184" s="35"/>
      <c r="X184" s="34"/>
      <c r="Y184" s="35"/>
      <c r="Z184" s="35"/>
      <c r="AA184" s="35"/>
      <c r="AB184" s="35"/>
      <c r="AC184" s="35"/>
      <c r="AD184" s="35"/>
      <c r="AE184" s="35"/>
      <c r="AF184" s="35"/>
      <c r="AG184" s="35"/>
      <c r="AH184" s="35"/>
      <c r="AI184" s="35"/>
      <c r="AJ184" s="35"/>
      <c r="AK184" s="35"/>
      <c r="AL184" s="34"/>
      <c r="AM184" s="34"/>
      <c r="AN184" s="104"/>
      <c r="AO184" s="104"/>
      <c r="AP184" s="104"/>
    </row>
    <row r="185">
      <c r="A185" s="34"/>
      <c r="B185" s="34"/>
      <c r="C185" s="34"/>
      <c r="D185" s="34"/>
      <c r="E185" s="35"/>
      <c r="F185" s="35"/>
      <c r="G185" s="35"/>
      <c r="H185" s="35"/>
      <c r="I185" s="35"/>
      <c r="J185" s="35"/>
      <c r="K185" s="35"/>
      <c r="L185" s="35"/>
      <c r="M185" s="35"/>
      <c r="N185" s="35"/>
      <c r="O185" s="35"/>
      <c r="P185" s="35"/>
      <c r="Q185" s="35"/>
      <c r="R185" s="35"/>
      <c r="S185" s="35"/>
      <c r="T185" s="35"/>
      <c r="U185" s="35"/>
      <c r="V185" s="35"/>
      <c r="W185" s="35"/>
      <c r="X185" s="34"/>
      <c r="Y185" s="35"/>
      <c r="Z185" s="35"/>
      <c r="AA185" s="35"/>
      <c r="AB185" s="35"/>
      <c r="AC185" s="35"/>
      <c r="AD185" s="35"/>
      <c r="AE185" s="35"/>
      <c r="AF185" s="35"/>
      <c r="AG185" s="35"/>
      <c r="AH185" s="35"/>
      <c r="AI185" s="35"/>
      <c r="AJ185" s="35"/>
      <c r="AK185" s="35"/>
      <c r="AL185" s="34"/>
      <c r="AM185" s="34"/>
      <c r="AN185" s="104"/>
      <c r="AO185" s="104"/>
      <c r="AP185" s="104"/>
    </row>
    <row r="186">
      <c r="A186" s="34"/>
      <c r="B186" s="34"/>
      <c r="C186" s="34"/>
      <c r="D186" s="34"/>
      <c r="E186" s="35"/>
      <c r="F186" s="35"/>
      <c r="G186" s="35"/>
      <c r="H186" s="35"/>
      <c r="I186" s="35"/>
      <c r="J186" s="35"/>
      <c r="K186" s="35"/>
      <c r="L186" s="35"/>
      <c r="M186" s="35"/>
      <c r="N186" s="35"/>
      <c r="O186" s="35"/>
      <c r="P186" s="35"/>
      <c r="Q186" s="35"/>
      <c r="R186" s="35"/>
      <c r="S186" s="35"/>
      <c r="T186" s="35"/>
      <c r="U186" s="35"/>
      <c r="V186" s="35"/>
      <c r="W186" s="35"/>
      <c r="X186" s="34"/>
      <c r="Y186" s="35"/>
      <c r="Z186" s="35"/>
      <c r="AA186" s="35"/>
      <c r="AB186" s="35"/>
      <c r="AC186" s="35"/>
      <c r="AD186" s="35"/>
      <c r="AE186" s="35"/>
      <c r="AF186" s="35"/>
      <c r="AG186" s="35"/>
      <c r="AH186" s="35"/>
      <c r="AI186" s="35"/>
      <c r="AJ186" s="35"/>
      <c r="AK186" s="35"/>
      <c r="AL186" s="34"/>
      <c r="AM186" s="34"/>
      <c r="AN186" s="104"/>
      <c r="AO186" s="104"/>
      <c r="AP186" s="104"/>
    </row>
    <row r="187">
      <c r="A187" s="34"/>
      <c r="B187" s="34"/>
      <c r="C187" s="34"/>
      <c r="D187" s="34"/>
      <c r="E187" s="35"/>
      <c r="F187" s="35"/>
      <c r="G187" s="35"/>
      <c r="H187" s="35"/>
      <c r="I187" s="35"/>
      <c r="J187" s="35"/>
      <c r="K187" s="35"/>
      <c r="L187" s="35"/>
      <c r="M187" s="35"/>
      <c r="N187" s="35"/>
      <c r="O187" s="35"/>
      <c r="P187" s="35"/>
      <c r="Q187" s="35"/>
      <c r="R187" s="35"/>
      <c r="S187" s="35"/>
      <c r="T187" s="35"/>
      <c r="U187" s="35"/>
      <c r="V187" s="35"/>
      <c r="W187" s="35"/>
      <c r="X187" s="34"/>
      <c r="Y187" s="35"/>
      <c r="Z187" s="35"/>
      <c r="AA187" s="35"/>
      <c r="AB187" s="35"/>
      <c r="AC187" s="35"/>
      <c r="AD187" s="35"/>
      <c r="AE187" s="35"/>
      <c r="AF187" s="35"/>
      <c r="AG187" s="35"/>
      <c r="AH187" s="35"/>
      <c r="AI187" s="35"/>
      <c r="AJ187" s="35"/>
      <c r="AK187" s="35"/>
      <c r="AL187" s="34"/>
      <c r="AM187" s="34"/>
      <c r="AN187" s="104"/>
      <c r="AO187" s="104"/>
      <c r="AP187" s="104"/>
    </row>
    <row r="188">
      <c r="A188" s="34"/>
      <c r="B188" s="34"/>
      <c r="C188" s="34"/>
      <c r="D188" s="34"/>
      <c r="E188" s="35"/>
      <c r="F188" s="35"/>
      <c r="G188" s="35"/>
      <c r="H188" s="35"/>
      <c r="I188" s="35"/>
      <c r="J188" s="35"/>
      <c r="K188" s="35"/>
      <c r="L188" s="35"/>
      <c r="M188" s="35"/>
      <c r="N188" s="35"/>
      <c r="O188" s="35"/>
      <c r="P188" s="35"/>
      <c r="Q188" s="35"/>
      <c r="R188" s="35"/>
      <c r="S188" s="35"/>
      <c r="T188" s="35"/>
      <c r="U188" s="35"/>
      <c r="V188" s="35"/>
      <c r="W188" s="35"/>
      <c r="X188" s="34"/>
      <c r="Y188" s="35"/>
      <c r="Z188" s="35"/>
      <c r="AA188" s="35"/>
      <c r="AB188" s="35"/>
      <c r="AC188" s="35"/>
      <c r="AD188" s="35"/>
      <c r="AE188" s="35"/>
      <c r="AF188" s="35"/>
      <c r="AG188" s="35"/>
      <c r="AH188" s="35"/>
      <c r="AI188" s="35"/>
      <c r="AJ188" s="35"/>
      <c r="AK188" s="35"/>
      <c r="AL188" s="34"/>
      <c r="AM188" s="34"/>
      <c r="AN188" s="104"/>
      <c r="AO188" s="104"/>
      <c r="AP188" s="104"/>
    </row>
    <row r="189">
      <c r="A189" s="34"/>
      <c r="B189" s="34"/>
      <c r="C189" s="34"/>
      <c r="D189" s="34"/>
      <c r="E189" s="35"/>
      <c r="F189" s="35"/>
      <c r="G189" s="35"/>
      <c r="H189" s="35"/>
      <c r="I189" s="35"/>
      <c r="J189" s="35"/>
      <c r="K189" s="35"/>
      <c r="L189" s="35"/>
      <c r="M189" s="35"/>
      <c r="N189" s="35"/>
      <c r="O189" s="35"/>
      <c r="P189" s="35"/>
      <c r="Q189" s="35"/>
      <c r="R189" s="35"/>
      <c r="S189" s="35"/>
      <c r="T189" s="35"/>
      <c r="U189" s="35"/>
      <c r="V189" s="35"/>
      <c r="W189" s="35"/>
      <c r="X189" s="34"/>
      <c r="Y189" s="35"/>
      <c r="Z189" s="35"/>
      <c r="AA189" s="35"/>
      <c r="AB189" s="35"/>
      <c r="AC189" s="35"/>
      <c r="AD189" s="35"/>
      <c r="AE189" s="35"/>
      <c r="AF189" s="35"/>
      <c r="AG189" s="35"/>
      <c r="AH189" s="35"/>
      <c r="AI189" s="35"/>
      <c r="AJ189" s="35"/>
      <c r="AK189" s="35"/>
      <c r="AL189" s="34"/>
      <c r="AM189" s="34"/>
      <c r="AN189" s="104"/>
      <c r="AO189" s="104"/>
      <c r="AP189" s="104"/>
    </row>
    <row r="190">
      <c r="A190" s="34"/>
      <c r="B190" s="34"/>
      <c r="C190" s="34"/>
      <c r="D190" s="34"/>
      <c r="E190" s="35"/>
      <c r="F190" s="35"/>
      <c r="G190" s="35"/>
      <c r="H190" s="35"/>
      <c r="I190" s="35"/>
      <c r="J190" s="35"/>
      <c r="K190" s="35"/>
      <c r="L190" s="35"/>
      <c r="M190" s="35"/>
      <c r="N190" s="35"/>
      <c r="O190" s="35"/>
      <c r="P190" s="35"/>
      <c r="Q190" s="35"/>
      <c r="R190" s="35"/>
      <c r="S190" s="35"/>
      <c r="T190" s="35"/>
      <c r="U190" s="35"/>
      <c r="V190" s="35"/>
      <c r="W190" s="35"/>
      <c r="X190" s="34"/>
      <c r="Y190" s="35"/>
      <c r="Z190" s="35"/>
      <c r="AA190" s="35"/>
      <c r="AB190" s="35"/>
      <c r="AC190" s="35"/>
      <c r="AD190" s="35"/>
      <c r="AE190" s="35"/>
      <c r="AF190" s="35"/>
      <c r="AG190" s="35"/>
      <c r="AH190" s="35"/>
      <c r="AI190" s="35"/>
      <c r="AJ190" s="35"/>
      <c r="AK190" s="35"/>
      <c r="AL190" s="34"/>
      <c r="AM190" s="34"/>
      <c r="AN190" s="104"/>
      <c r="AO190" s="104"/>
      <c r="AP190" s="104"/>
    </row>
    <row r="191">
      <c r="A191" s="34"/>
      <c r="B191" s="34"/>
      <c r="C191" s="34"/>
      <c r="D191" s="34"/>
      <c r="E191" s="35"/>
      <c r="F191" s="35"/>
      <c r="G191" s="35"/>
      <c r="H191" s="35"/>
      <c r="I191" s="35"/>
      <c r="J191" s="35"/>
      <c r="K191" s="35"/>
      <c r="L191" s="35"/>
      <c r="M191" s="35"/>
      <c r="N191" s="35"/>
      <c r="O191" s="35"/>
      <c r="P191" s="35"/>
      <c r="Q191" s="35"/>
      <c r="R191" s="35"/>
      <c r="S191" s="35"/>
      <c r="T191" s="35"/>
      <c r="U191" s="35"/>
      <c r="V191" s="35"/>
      <c r="W191" s="35"/>
      <c r="X191" s="34"/>
      <c r="Y191" s="35"/>
      <c r="Z191" s="35"/>
      <c r="AA191" s="35"/>
      <c r="AB191" s="35"/>
      <c r="AC191" s="35"/>
      <c r="AD191" s="35"/>
      <c r="AE191" s="35"/>
      <c r="AF191" s="35"/>
      <c r="AG191" s="35"/>
      <c r="AH191" s="35"/>
      <c r="AI191" s="35"/>
      <c r="AJ191" s="35"/>
      <c r="AK191" s="35"/>
      <c r="AL191" s="34"/>
      <c r="AM191" s="34"/>
      <c r="AN191" s="104"/>
      <c r="AO191" s="104"/>
      <c r="AP191" s="104"/>
    </row>
    <row r="192">
      <c r="A192" s="34"/>
      <c r="B192" s="34"/>
      <c r="C192" s="34"/>
      <c r="D192" s="34"/>
      <c r="E192" s="35"/>
      <c r="F192" s="35"/>
      <c r="G192" s="35"/>
      <c r="H192" s="35"/>
      <c r="I192" s="35"/>
      <c r="J192" s="35"/>
      <c r="K192" s="35"/>
      <c r="L192" s="35"/>
      <c r="M192" s="35"/>
      <c r="N192" s="35"/>
      <c r="O192" s="35"/>
      <c r="P192" s="35"/>
      <c r="Q192" s="35"/>
      <c r="R192" s="35"/>
      <c r="S192" s="35"/>
      <c r="T192" s="35"/>
      <c r="U192" s="35"/>
      <c r="V192" s="35"/>
      <c r="W192" s="35"/>
      <c r="X192" s="34"/>
      <c r="Y192" s="35"/>
      <c r="Z192" s="35"/>
      <c r="AA192" s="35"/>
      <c r="AB192" s="35"/>
      <c r="AC192" s="35"/>
      <c r="AD192" s="35"/>
      <c r="AE192" s="35"/>
      <c r="AF192" s="35"/>
      <c r="AG192" s="35"/>
      <c r="AH192" s="35"/>
      <c r="AI192" s="35"/>
      <c r="AJ192" s="35"/>
      <c r="AK192" s="35"/>
      <c r="AL192" s="34"/>
      <c r="AM192" s="34"/>
      <c r="AN192" s="104"/>
      <c r="AO192" s="104"/>
      <c r="AP192" s="104"/>
    </row>
    <row r="193">
      <c r="A193" s="34"/>
      <c r="B193" s="34"/>
      <c r="C193" s="34"/>
      <c r="D193" s="34"/>
      <c r="E193" s="35"/>
      <c r="F193" s="35"/>
      <c r="G193" s="35"/>
      <c r="H193" s="35"/>
      <c r="I193" s="35"/>
      <c r="J193" s="35"/>
      <c r="K193" s="35"/>
      <c r="L193" s="35"/>
      <c r="M193" s="35"/>
      <c r="N193" s="35"/>
      <c r="O193" s="35"/>
      <c r="P193" s="35"/>
      <c r="Q193" s="35"/>
      <c r="R193" s="35"/>
      <c r="S193" s="35"/>
      <c r="T193" s="35"/>
      <c r="U193" s="35"/>
      <c r="V193" s="35"/>
      <c r="W193" s="35"/>
      <c r="X193" s="34"/>
      <c r="Y193" s="35"/>
      <c r="Z193" s="35"/>
      <c r="AA193" s="35"/>
      <c r="AB193" s="35"/>
      <c r="AC193" s="35"/>
      <c r="AD193" s="35"/>
      <c r="AE193" s="35"/>
      <c r="AF193" s="35"/>
      <c r="AG193" s="35"/>
      <c r="AH193" s="35"/>
      <c r="AI193" s="35"/>
      <c r="AJ193" s="35"/>
      <c r="AK193" s="35"/>
      <c r="AL193" s="34"/>
      <c r="AM193" s="34"/>
      <c r="AN193" s="104"/>
      <c r="AO193" s="104"/>
      <c r="AP193" s="104"/>
    </row>
    <row r="194">
      <c r="A194" s="34"/>
      <c r="B194" s="34"/>
      <c r="C194" s="34"/>
      <c r="D194" s="34"/>
      <c r="E194" s="35"/>
      <c r="F194" s="35"/>
      <c r="G194" s="35"/>
      <c r="H194" s="35"/>
      <c r="I194" s="35"/>
      <c r="J194" s="35"/>
      <c r="K194" s="35"/>
      <c r="L194" s="35"/>
      <c r="M194" s="35"/>
      <c r="N194" s="35"/>
      <c r="O194" s="35"/>
      <c r="P194" s="35"/>
      <c r="Q194" s="35"/>
      <c r="R194" s="35"/>
      <c r="S194" s="35"/>
      <c r="T194" s="35"/>
      <c r="U194" s="35"/>
      <c r="V194" s="35"/>
      <c r="W194" s="35"/>
      <c r="X194" s="34"/>
      <c r="Y194" s="35"/>
      <c r="Z194" s="35"/>
      <c r="AA194" s="35"/>
      <c r="AB194" s="35"/>
      <c r="AC194" s="35"/>
      <c r="AD194" s="35"/>
      <c r="AE194" s="35"/>
      <c r="AF194" s="35"/>
      <c r="AG194" s="35"/>
      <c r="AH194" s="35"/>
      <c r="AI194" s="35"/>
      <c r="AJ194" s="35"/>
      <c r="AK194" s="35"/>
      <c r="AL194" s="34"/>
      <c r="AM194" s="34"/>
      <c r="AN194" s="104"/>
      <c r="AO194" s="104"/>
      <c r="AP194" s="104"/>
    </row>
    <row r="195">
      <c r="A195" s="34"/>
      <c r="B195" s="34"/>
      <c r="C195" s="34"/>
      <c r="D195" s="34"/>
      <c r="E195" s="35"/>
      <c r="F195" s="35"/>
      <c r="G195" s="35"/>
      <c r="H195" s="35"/>
      <c r="I195" s="35"/>
      <c r="J195" s="35"/>
      <c r="K195" s="35"/>
      <c r="L195" s="35"/>
      <c r="M195" s="35"/>
      <c r="N195" s="35"/>
      <c r="O195" s="35"/>
      <c r="P195" s="35"/>
      <c r="Q195" s="35"/>
      <c r="R195" s="35"/>
      <c r="S195" s="35"/>
      <c r="T195" s="35"/>
      <c r="U195" s="35"/>
      <c r="V195" s="35"/>
      <c r="W195" s="35"/>
      <c r="X195" s="34"/>
      <c r="Y195" s="35"/>
      <c r="Z195" s="35"/>
      <c r="AA195" s="35"/>
      <c r="AB195" s="35"/>
      <c r="AC195" s="35"/>
      <c r="AD195" s="35"/>
      <c r="AE195" s="35"/>
      <c r="AF195" s="35"/>
      <c r="AG195" s="35"/>
      <c r="AH195" s="35"/>
      <c r="AI195" s="35"/>
      <c r="AJ195" s="35"/>
      <c r="AK195" s="35"/>
      <c r="AL195" s="34"/>
      <c r="AM195" s="34"/>
      <c r="AN195" s="104"/>
      <c r="AO195" s="104"/>
      <c r="AP195" s="104"/>
    </row>
    <row r="196">
      <c r="A196" s="34"/>
      <c r="B196" s="34"/>
      <c r="C196" s="34"/>
      <c r="D196" s="34"/>
      <c r="E196" s="35"/>
      <c r="F196" s="35"/>
      <c r="G196" s="35"/>
      <c r="H196" s="35"/>
      <c r="I196" s="35"/>
      <c r="J196" s="35"/>
      <c r="K196" s="35"/>
      <c r="L196" s="35"/>
      <c r="M196" s="35"/>
      <c r="N196" s="35"/>
      <c r="O196" s="35"/>
      <c r="P196" s="35"/>
      <c r="Q196" s="35"/>
      <c r="R196" s="35"/>
      <c r="S196" s="35"/>
      <c r="T196" s="35"/>
      <c r="U196" s="35"/>
      <c r="V196" s="35"/>
      <c r="W196" s="35"/>
      <c r="X196" s="34"/>
      <c r="Y196" s="35"/>
      <c r="Z196" s="35"/>
      <c r="AA196" s="35"/>
      <c r="AB196" s="35"/>
      <c r="AC196" s="35"/>
      <c r="AD196" s="35"/>
      <c r="AE196" s="35"/>
      <c r="AF196" s="35"/>
      <c r="AG196" s="35"/>
      <c r="AH196" s="35"/>
      <c r="AI196" s="35"/>
      <c r="AJ196" s="35"/>
      <c r="AK196" s="35"/>
      <c r="AL196" s="34"/>
      <c r="AM196" s="34"/>
      <c r="AN196" s="104"/>
      <c r="AO196" s="104"/>
      <c r="AP196" s="104"/>
    </row>
    <row r="197">
      <c r="A197" s="34"/>
      <c r="B197" s="34"/>
      <c r="C197" s="34"/>
      <c r="D197" s="34"/>
      <c r="E197" s="35"/>
      <c r="F197" s="35"/>
      <c r="G197" s="35"/>
      <c r="H197" s="35"/>
      <c r="I197" s="35"/>
      <c r="J197" s="35"/>
      <c r="K197" s="35"/>
      <c r="L197" s="35"/>
      <c r="M197" s="35"/>
      <c r="N197" s="35"/>
      <c r="O197" s="35"/>
      <c r="P197" s="35"/>
      <c r="Q197" s="35"/>
      <c r="R197" s="35"/>
      <c r="S197" s="35"/>
      <c r="T197" s="35"/>
      <c r="U197" s="35"/>
      <c r="V197" s="35"/>
      <c r="W197" s="35"/>
      <c r="X197" s="34"/>
      <c r="Y197" s="35"/>
      <c r="Z197" s="35"/>
      <c r="AA197" s="35"/>
      <c r="AB197" s="35"/>
      <c r="AC197" s="35"/>
      <c r="AD197" s="35"/>
      <c r="AE197" s="35"/>
      <c r="AF197" s="35"/>
      <c r="AG197" s="35"/>
      <c r="AH197" s="35"/>
      <c r="AI197" s="35"/>
      <c r="AJ197" s="35"/>
      <c r="AK197" s="35"/>
      <c r="AL197" s="34"/>
      <c r="AM197" s="34"/>
      <c r="AN197" s="104"/>
      <c r="AO197" s="104"/>
      <c r="AP197" s="104"/>
    </row>
    <row r="198">
      <c r="A198" s="34"/>
      <c r="B198" s="34"/>
      <c r="C198" s="34"/>
      <c r="D198" s="34"/>
      <c r="E198" s="35"/>
      <c r="F198" s="35"/>
      <c r="G198" s="35"/>
      <c r="H198" s="35"/>
      <c r="I198" s="35"/>
      <c r="J198" s="35"/>
      <c r="K198" s="35"/>
      <c r="L198" s="35"/>
      <c r="M198" s="35"/>
      <c r="N198" s="35"/>
      <c r="O198" s="35"/>
      <c r="P198" s="35"/>
      <c r="Q198" s="35"/>
      <c r="R198" s="35"/>
      <c r="S198" s="35"/>
      <c r="T198" s="35"/>
      <c r="U198" s="35"/>
      <c r="V198" s="35"/>
      <c r="W198" s="35"/>
      <c r="X198" s="34"/>
      <c r="Y198" s="35"/>
      <c r="Z198" s="35"/>
      <c r="AA198" s="35"/>
      <c r="AB198" s="35"/>
      <c r="AC198" s="35"/>
      <c r="AD198" s="35"/>
      <c r="AE198" s="35"/>
      <c r="AF198" s="35"/>
      <c r="AG198" s="35"/>
      <c r="AH198" s="35"/>
      <c r="AI198" s="35"/>
      <c r="AJ198" s="35"/>
      <c r="AK198" s="35"/>
      <c r="AL198" s="34"/>
      <c r="AM198" s="34"/>
      <c r="AN198" s="104"/>
      <c r="AO198" s="104"/>
      <c r="AP198" s="104"/>
    </row>
    <row r="199">
      <c r="A199" s="34"/>
      <c r="B199" s="34"/>
      <c r="C199" s="34"/>
      <c r="D199" s="34"/>
      <c r="E199" s="35"/>
      <c r="F199" s="35"/>
      <c r="G199" s="35"/>
      <c r="H199" s="35"/>
      <c r="I199" s="35"/>
      <c r="J199" s="35"/>
      <c r="K199" s="35"/>
      <c r="L199" s="35"/>
      <c r="M199" s="35"/>
      <c r="N199" s="35"/>
      <c r="O199" s="35"/>
      <c r="P199" s="35"/>
      <c r="Q199" s="35"/>
      <c r="R199" s="35"/>
      <c r="S199" s="35"/>
      <c r="T199" s="35"/>
      <c r="U199" s="35"/>
      <c r="V199" s="35"/>
      <c r="W199" s="35"/>
      <c r="X199" s="34"/>
      <c r="Y199" s="35"/>
      <c r="Z199" s="35"/>
      <c r="AA199" s="35"/>
      <c r="AB199" s="35"/>
      <c r="AC199" s="35"/>
      <c r="AD199" s="35"/>
      <c r="AE199" s="35"/>
      <c r="AF199" s="35"/>
      <c r="AG199" s="35"/>
      <c r="AH199" s="35"/>
      <c r="AI199" s="35"/>
      <c r="AJ199" s="35"/>
      <c r="AK199" s="35"/>
      <c r="AL199" s="34"/>
      <c r="AM199" s="34"/>
      <c r="AN199" s="104"/>
      <c r="AO199" s="104"/>
      <c r="AP199" s="104"/>
    </row>
    <row r="200">
      <c r="A200" s="34"/>
      <c r="B200" s="34"/>
      <c r="C200" s="34"/>
      <c r="D200" s="34"/>
      <c r="E200" s="35"/>
      <c r="F200" s="35"/>
      <c r="G200" s="35"/>
      <c r="H200" s="35"/>
      <c r="I200" s="35"/>
      <c r="J200" s="35"/>
      <c r="K200" s="35"/>
      <c r="L200" s="35"/>
      <c r="M200" s="35"/>
      <c r="N200" s="35"/>
      <c r="O200" s="35"/>
      <c r="P200" s="35"/>
      <c r="Q200" s="35"/>
      <c r="R200" s="35"/>
      <c r="S200" s="35"/>
      <c r="T200" s="35"/>
      <c r="U200" s="35"/>
      <c r="V200" s="35"/>
      <c r="W200" s="35"/>
      <c r="X200" s="34"/>
      <c r="Y200" s="35"/>
      <c r="Z200" s="35"/>
      <c r="AA200" s="35"/>
      <c r="AB200" s="35"/>
      <c r="AC200" s="35"/>
      <c r="AD200" s="35"/>
      <c r="AE200" s="35"/>
      <c r="AF200" s="35"/>
      <c r="AG200" s="35"/>
      <c r="AH200" s="35"/>
      <c r="AI200" s="35"/>
      <c r="AJ200" s="35"/>
      <c r="AK200" s="35"/>
      <c r="AL200" s="34"/>
      <c r="AM200" s="34"/>
      <c r="AN200" s="104"/>
      <c r="AO200" s="104"/>
      <c r="AP200" s="104"/>
    </row>
    <row r="201">
      <c r="A201" s="34"/>
      <c r="B201" s="34"/>
      <c r="C201" s="34"/>
      <c r="D201" s="34"/>
      <c r="E201" s="35"/>
      <c r="F201" s="35"/>
      <c r="G201" s="35"/>
      <c r="H201" s="35"/>
      <c r="I201" s="35"/>
      <c r="J201" s="35"/>
      <c r="K201" s="35"/>
      <c r="L201" s="35"/>
      <c r="M201" s="35"/>
      <c r="N201" s="35"/>
      <c r="O201" s="35"/>
      <c r="P201" s="35"/>
      <c r="Q201" s="35"/>
      <c r="R201" s="35"/>
      <c r="S201" s="35"/>
      <c r="T201" s="35"/>
      <c r="U201" s="35"/>
      <c r="V201" s="35"/>
      <c r="W201" s="35"/>
      <c r="X201" s="34"/>
      <c r="Y201" s="35"/>
      <c r="Z201" s="35"/>
      <c r="AA201" s="35"/>
      <c r="AB201" s="35"/>
      <c r="AC201" s="35"/>
      <c r="AD201" s="35"/>
      <c r="AE201" s="35"/>
      <c r="AF201" s="35"/>
      <c r="AG201" s="35"/>
      <c r="AH201" s="35"/>
      <c r="AI201" s="35"/>
      <c r="AJ201" s="35"/>
      <c r="AK201" s="35"/>
      <c r="AL201" s="34"/>
      <c r="AM201" s="34"/>
      <c r="AN201" s="104"/>
      <c r="AO201" s="104"/>
      <c r="AP201" s="104"/>
    </row>
    <row r="202">
      <c r="A202" s="34"/>
      <c r="B202" s="34"/>
      <c r="C202" s="34"/>
      <c r="D202" s="34"/>
      <c r="E202" s="35"/>
      <c r="F202" s="35"/>
      <c r="G202" s="35"/>
      <c r="H202" s="35"/>
      <c r="I202" s="35"/>
      <c r="J202" s="35"/>
      <c r="K202" s="35"/>
      <c r="L202" s="35"/>
      <c r="M202" s="35"/>
      <c r="N202" s="35"/>
      <c r="O202" s="35"/>
      <c r="P202" s="35"/>
      <c r="Q202" s="35"/>
      <c r="R202" s="35"/>
      <c r="S202" s="35"/>
      <c r="T202" s="35"/>
      <c r="U202" s="35"/>
      <c r="V202" s="35"/>
      <c r="W202" s="35"/>
      <c r="X202" s="34"/>
      <c r="Y202" s="35"/>
      <c r="Z202" s="35"/>
      <c r="AA202" s="35"/>
      <c r="AB202" s="35"/>
      <c r="AC202" s="35"/>
      <c r="AD202" s="35"/>
      <c r="AE202" s="35"/>
      <c r="AF202" s="35"/>
      <c r="AG202" s="35"/>
      <c r="AH202" s="35"/>
      <c r="AI202" s="35"/>
      <c r="AJ202" s="35"/>
      <c r="AK202" s="35"/>
      <c r="AL202" s="34"/>
      <c r="AM202" s="34"/>
      <c r="AN202" s="104"/>
      <c r="AO202" s="104"/>
      <c r="AP202" s="104"/>
    </row>
    <row r="203">
      <c r="A203" s="34"/>
      <c r="B203" s="34"/>
      <c r="C203" s="34"/>
      <c r="D203" s="34"/>
      <c r="E203" s="35"/>
      <c r="F203" s="35"/>
      <c r="G203" s="35"/>
      <c r="H203" s="35"/>
      <c r="I203" s="35"/>
      <c r="J203" s="35"/>
      <c r="K203" s="35"/>
      <c r="L203" s="35"/>
      <c r="M203" s="35"/>
      <c r="N203" s="35"/>
      <c r="O203" s="35"/>
      <c r="P203" s="35"/>
      <c r="Q203" s="35"/>
      <c r="R203" s="35"/>
      <c r="S203" s="35"/>
      <c r="T203" s="35"/>
      <c r="U203" s="35"/>
      <c r="V203" s="35"/>
      <c r="W203" s="35"/>
      <c r="X203" s="34"/>
      <c r="Y203" s="35"/>
      <c r="Z203" s="35"/>
      <c r="AA203" s="35"/>
      <c r="AB203" s="35"/>
      <c r="AC203" s="35"/>
      <c r="AD203" s="35"/>
      <c r="AE203" s="35"/>
      <c r="AF203" s="35"/>
      <c r="AG203" s="35"/>
      <c r="AH203" s="35"/>
      <c r="AI203" s="35"/>
      <c r="AJ203" s="35"/>
      <c r="AK203" s="35"/>
      <c r="AL203" s="34"/>
      <c r="AM203" s="34"/>
      <c r="AN203" s="104"/>
      <c r="AO203" s="104"/>
      <c r="AP203" s="104"/>
    </row>
    <row r="204">
      <c r="A204" s="34"/>
      <c r="B204" s="34"/>
      <c r="C204" s="34"/>
      <c r="D204" s="34"/>
      <c r="E204" s="35"/>
      <c r="F204" s="35"/>
      <c r="G204" s="35"/>
      <c r="H204" s="35"/>
      <c r="I204" s="35"/>
      <c r="J204" s="35"/>
      <c r="K204" s="35"/>
      <c r="L204" s="35"/>
      <c r="M204" s="35"/>
      <c r="N204" s="35"/>
      <c r="O204" s="35"/>
      <c r="P204" s="35"/>
      <c r="Q204" s="35"/>
      <c r="R204" s="35"/>
      <c r="S204" s="35"/>
      <c r="T204" s="35"/>
      <c r="U204" s="35"/>
      <c r="V204" s="35"/>
      <c r="W204" s="35"/>
      <c r="X204" s="34"/>
      <c r="Y204" s="35"/>
      <c r="Z204" s="35"/>
      <c r="AA204" s="35"/>
      <c r="AB204" s="35"/>
      <c r="AC204" s="35"/>
      <c r="AD204" s="35"/>
      <c r="AE204" s="35"/>
      <c r="AF204" s="35"/>
      <c r="AG204" s="35"/>
      <c r="AH204" s="35"/>
      <c r="AI204" s="35"/>
      <c r="AJ204" s="35"/>
      <c r="AK204" s="35"/>
      <c r="AL204" s="34"/>
      <c r="AM204" s="34"/>
      <c r="AN204" s="104"/>
      <c r="AO204" s="104"/>
      <c r="AP204" s="104"/>
    </row>
    <row r="205">
      <c r="A205" s="34"/>
      <c r="B205" s="34"/>
      <c r="C205" s="34"/>
      <c r="D205" s="34"/>
      <c r="E205" s="35"/>
      <c r="F205" s="35"/>
      <c r="G205" s="35"/>
      <c r="H205" s="35"/>
      <c r="I205" s="35"/>
      <c r="J205" s="35"/>
      <c r="K205" s="35"/>
      <c r="L205" s="35"/>
      <c r="M205" s="35"/>
      <c r="N205" s="35"/>
      <c r="O205" s="35"/>
      <c r="P205" s="35"/>
      <c r="Q205" s="35"/>
      <c r="R205" s="35"/>
      <c r="S205" s="35"/>
      <c r="T205" s="35"/>
      <c r="U205" s="35"/>
      <c r="V205" s="35"/>
      <c r="W205" s="35"/>
      <c r="X205" s="34"/>
      <c r="Y205" s="35"/>
      <c r="Z205" s="35"/>
      <c r="AA205" s="35"/>
      <c r="AB205" s="35"/>
      <c r="AC205" s="35"/>
      <c r="AD205" s="35"/>
      <c r="AE205" s="35"/>
      <c r="AF205" s="35"/>
      <c r="AG205" s="35"/>
      <c r="AH205" s="35"/>
      <c r="AI205" s="35"/>
      <c r="AJ205" s="35"/>
      <c r="AK205" s="35"/>
      <c r="AL205" s="34"/>
      <c r="AM205" s="34"/>
      <c r="AN205" s="104"/>
      <c r="AO205" s="104"/>
      <c r="AP205" s="104"/>
    </row>
    <row r="206">
      <c r="A206" s="34"/>
      <c r="B206" s="34"/>
      <c r="C206" s="34"/>
      <c r="D206" s="34"/>
      <c r="E206" s="35"/>
      <c r="F206" s="35"/>
      <c r="G206" s="35"/>
      <c r="H206" s="35"/>
      <c r="I206" s="35"/>
      <c r="J206" s="35"/>
      <c r="K206" s="35"/>
      <c r="L206" s="35"/>
      <c r="M206" s="35"/>
      <c r="N206" s="35"/>
      <c r="O206" s="35"/>
      <c r="P206" s="35"/>
      <c r="Q206" s="35"/>
      <c r="R206" s="35"/>
      <c r="S206" s="35"/>
      <c r="T206" s="35"/>
      <c r="U206" s="35"/>
      <c r="V206" s="35"/>
      <c r="W206" s="35"/>
      <c r="X206" s="34"/>
      <c r="Y206" s="35"/>
      <c r="Z206" s="35"/>
      <c r="AA206" s="35"/>
      <c r="AB206" s="35"/>
      <c r="AC206" s="35"/>
      <c r="AD206" s="35"/>
      <c r="AE206" s="35"/>
      <c r="AF206" s="35"/>
      <c r="AG206" s="35"/>
      <c r="AH206" s="35"/>
      <c r="AI206" s="35"/>
      <c r="AJ206" s="35"/>
      <c r="AK206" s="35"/>
      <c r="AL206" s="34"/>
      <c r="AM206" s="34"/>
      <c r="AN206" s="104"/>
      <c r="AO206" s="104"/>
      <c r="AP206" s="104"/>
    </row>
    <row r="207">
      <c r="A207" s="34"/>
      <c r="B207" s="34"/>
      <c r="C207" s="34"/>
      <c r="D207" s="34"/>
      <c r="E207" s="35"/>
      <c r="F207" s="35"/>
      <c r="G207" s="35"/>
      <c r="H207" s="35"/>
      <c r="I207" s="35"/>
      <c r="J207" s="35"/>
      <c r="K207" s="35"/>
      <c r="L207" s="35"/>
      <c r="M207" s="35"/>
      <c r="N207" s="35"/>
      <c r="O207" s="35"/>
      <c r="P207" s="35"/>
      <c r="Q207" s="35"/>
      <c r="R207" s="35"/>
      <c r="S207" s="35"/>
      <c r="T207" s="35"/>
      <c r="U207" s="35"/>
      <c r="V207" s="35"/>
      <c r="W207" s="35"/>
      <c r="X207" s="34"/>
      <c r="Y207" s="35"/>
      <c r="Z207" s="35"/>
      <c r="AA207" s="35"/>
      <c r="AB207" s="35"/>
      <c r="AC207" s="35"/>
      <c r="AD207" s="35"/>
      <c r="AE207" s="35"/>
      <c r="AF207" s="35"/>
      <c r="AG207" s="35"/>
      <c r="AH207" s="35"/>
      <c r="AI207" s="35"/>
      <c r="AJ207" s="35"/>
      <c r="AK207" s="35"/>
      <c r="AL207" s="34"/>
      <c r="AM207" s="34"/>
      <c r="AN207" s="104"/>
      <c r="AO207" s="104"/>
      <c r="AP207" s="104"/>
    </row>
    <row r="208">
      <c r="A208" s="34"/>
      <c r="B208" s="34"/>
      <c r="C208" s="34"/>
      <c r="D208" s="34"/>
      <c r="E208" s="35"/>
      <c r="F208" s="35"/>
      <c r="G208" s="35"/>
      <c r="H208" s="35"/>
      <c r="I208" s="35"/>
      <c r="J208" s="35"/>
      <c r="K208" s="35"/>
      <c r="L208" s="35"/>
      <c r="M208" s="35"/>
      <c r="N208" s="35"/>
      <c r="O208" s="35"/>
      <c r="P208" s="35"/>
      <c r="Q208" s="35"/>
      <c r="R208" s="35"/>
      <c r="S208" s="35"/>
      <c r="T208" s="35"/>
      <c r="U208" s="35"/>
      <c r="V208" s="35"/>
      <c r="W208" s="35"/>
      <c r="X208" s="34"/>
      <c r="Y208" s="35"/>
      <c r="Z208" s="35"/>
      <c r="AA208" s="35"/>
      <c r="AB208" s="35"/>
      <c r="AC208" s="35"/>
      <c r="AD208" s="35"/>
      <c r="AE208" s="35"/>
      <c r="AF208" s="35"/>
      <c r="AG208" s="35"/>
      <c r="AH208" s="35"/>
      <c r="AI208" s="35"/>
      <c r="AJ208" s="35"/>
      <c r="AK208" s="35"/>
      <c r="AL208" s="34"/>
      <c r="AM208" s="34"/>
      <c r="AN208" s="104"/>
      <c r="AO208" s="104"/>
      <c r="AP208" s="104"/>
    </row>
    <row r="209">
      <c r="A209" s="34"/>
      <c r="B209" s="34"/>
      <c r="C209" s="34"/>
      <c r="D209" s="34"/>
      <c r="E209" s="35"/>
      <c r="F209" s="35"/>
      <c r="G209" s="35"/>
      <c r="H209" s="35"/>
      <c r="I209" s="35"/>
      <c r="J209" s="35"/>
      <c r="K209" s="35"/>
      <c r="L209" s="35"/>
      <c r="M209" s="35"/>
      <c r="N209" s="35"/>
      <c r="O209" s="35"/>
      <c r="P209" s="35"/>
      <c r="Q209" s="35"/>
      <c r="R209" s="35"/>
      <c r="S209" s="35"/>
      <c r="T209" s="35"/>
      <c r="U209" s="35"/>
      <c r="V209" s="35"/>
      <c r="W209" s="35"/>
      <c r="X209" s="34"/>
      <c r="Y209" s="35"/>
      <c r="Z209" s="35"/>
      <c r="AA209" s="35"/>
      <c r="AB209" s="35"/>
      <c r="AC209" s="35"/>
      <c r="AD209" s="35"/>
      <c r="AE209" s="35"/>
      <c r="AF209" s="35"/>
      <c r="AG209" s="35"/>
      <c r="AH209" s="35"/>
      <c r="AI209" s="35"/>
      <c r="AJ209" s="35"/>
      <c r="AK209" s="35"/>
      <c r="AL209" s="34"/>
      <c r="AM209" s="34"/>
      <c r="AN209" s="104"/>
      <c r="AO209" s="104"/>
      <c r="AP209" s="104"/>
    </row>
    <row r="210">
      <c r="A210" s="34"/>
      <c r="B210" s="34"/>
      <c r="C210" s="34"/>
      <c r="D210" s="34"/>
      <c r="E210" s="35"/>
      <c r="F210" s="35"/>
      <c r="G210" s="35"/>
      <c r="H210" s="35"/>
      <c r="I210" s="35"/>
      <c r="J210" s="35"/>
      <c r="K210" s="35"/>
      <c r="L210" s="35"/>
      <c r="M210" s="35"/>
      <c r="N210" s="35"/>
      <c r="O210" s="35"/>
      <c r="P210" s="35"/>
      <c r="Q210" s="35"/>
      <c r="R210" s="35"/>
      <c r="S210" s="35"/>
      <c r="T210" s="35"/>
      <c r="U210" s="35"/>
      <c r="V210" s="35"/>
      <c r="W210" s="35"/>
      <c r="X210" s="34"/>
      <c r="Y210" s="35"/>
      <c r="Z210" s="35"/>
      <c r="AA210" s="35"/>
      <c r="AB210" s="35"/>
      <c r="AC210" s="35"/>
      <c r="AD210" s="35"/>
      <c r="AE210" s="35"/>
      <c r="AF210" s="35"/>
      <c r="AG210" s="35"/>
      <c r="AH210" s="35"/>
      <c r="AI210" s="35"/>
      <c r="AJ210" s="35"/>
      <c r="AK210" s="35"/>
      <c r="AL210" s="34"/>
      <c r="AM210" s="34"/>
      <c r="AN210" s="104"/>
      <c r="AO210" s="104"/>
      <c r="AP210" s="104"/>
    </row>
    <row r="211">
      <c r="A211" s="34"/>
      <c r="B211" s="34"/>
      <c r="C211" s="34"/>
      <c r="D211" s="34"/>
      <c r="E211" s="35"/>
      <c r="F211" s="35"/>
      <c r="G211" s="35"/>
      <c r="H211" s="35"/>
      <c r="I211" s="35"/>
      <c r="J211" s="35"/>
      <c r="K211" s="35"/>
      <c r="L211" s="35"/>
      <c r="M211" s="35"/>
      <c r="N211" s="35"/>
      <c r="O211" s="35"/>
      <c r="P211" s="35"/>
      <c r="Q211" s="35"/>
      <c r="R211" s="35"/>
      <c r="S211" s="35"/>
      <c r="T211" s="35"/>
      <c r="U211" s="35"/>
      <c r="V211" s="35"/>
      <c r="W211" s="35"/>
      <c r="X211" s="34"/>
      <c r="Y211" s="35"/>
      <c r="Z211" s="35"/>
      <c r="AA211" s="35"/>
      <c r="AB211" s="35"/>
      <c r="AC211" s="35"/>
      <c r="AD211" s="35"/>
      <c r="AE211" s="35"/>
      <c r="AF211" s="35"/>
      <c r="AG211" s="35"/>
      <c r="AH211" s="35"/>
      <c r="AI211" s="35"/>
      <c r="AJ211" s="35"/>
      <c r="AK211" s="35"/>
      <c r="AL211" s="34"/>
      <c r="AM211" s="34"/>
      <c r="AN211" s="104"/>
      <c r="AO211" s="104"/>
      <c r="AP211" s="104"/>
    </row>
    <row r="212">
      <c r="A212" s="34"/>
      <c r="B212" s="34"/>
      <c r="C212" s="34"/>
      <c r="D212" s="34"/>
      <c r="E212" s="35"/>
      <c r="F212" s="35"/>
      <c r="G212" s="35"/>
      <c r="H212" s="35"/>
      <c r="I212" s="35"/>
      <c r="J212" s="35"/>
      <c r="K212" s="35"/>
      <c r="L212" s="35"/>
      <c r="M212" s="35"/>
      <c r="N212" s="35"/>
      <c r="O212" s="35"/>
      <c r="P212" s="35"/>
      <c r="Q212" s="35"/>
      <c r="R212" s="35"/>
      <c r="S212" s="35"/>
      <c r="T212" s="35"/>
      <c r="U212" s="35"/>
      <c r="V212" s="35"/>
      <c r="W212" s="35"/>
      <c r="X212" s="34"/>
      <c r="Y212" s="35"/>
      <c r="Z212" s="35"/>
      <c r="AA212" s="35"/>
      <c r="AB212" s="35"/>
      <c r="AC212" s="35"/>
      <c r="AD212" s="35"/>
      <c r="AE212" s="35"/>
      <c r="AF212" s="35"/>
      <c r="AG212" s="35"/>
      <c r="AH212" s="35"/>
      <c r="AI212" s="35"/>
      <c r="AJ212" s="35"/>
      <c r="AK212" s="35"/>
      <c r="AL212" s="34"/>
      <c r="AM212" s="34"/>
      <c r="AN212" s="104"/>
      <c r="AO212" s="104"/>
      <c r="AP212" s="104"/>
    </row>
    <row r="213">
      <c r="A213" s="34"/>
      <c r="B213" s="34"/>
      <c r="C213" s="34"/>
      <c r="D213" s="34"/>
      <c r="E213" s="35"/>
      <c r="F213" s="35"/>
      <c r="G213" s="35"/>
      <c r="H213" s="35"/>
      <c r="I213" s="35"/>
      <c r="J213" s="35"/>
      <c r="K213" s="35"/>
      <c r="L213" s="35"/>
      <c r="M213" s="35"/>
      <c r="N213" s="35"/>
      <c r="O213" s="35"/>
      <c r="P213" s="35"/>
      <c r="Q213" s="35"/>
      <c r="R213" s="35"/>
      <c r="S213" s="35"/>
      <c r="T213" s="35"/>
      <c r="U213" s="35"/>
      <c r="V213" s="35"/>
      <c r="W213" s="35"/>
      <c r="X213" s="34"/>
      <c r="Y213" s="35"/>
      <c r="Z213" s="35"/>
      <c r="AA213" s="35"/>
      <c r="AB213" s="35"/>
      <c r="AC213" s="35"/>
      <c r="AD213" s="35"/>
      <c r="AE213" s="35"/>
      <c r="AF213" s="35"/>
      <c r="AG213" s="35"/>
      <c r="AH213" s="35"/>
      <c r="AI213" s="35"/>
      <c r="AJ213" s="35"/>
      <c r="AK213" s="35"/>
      <c r="AL213" s="34"/>
      <c r="AM213" s="34"/>
      <c r="AN213" s="104"/>
      <c r="AO213" s="104"/>
      <c r="AP213" s="104"/>
    </row>
    <row r="214">
      <c r="A214" s="34"/>
      <c r="B214" s="34"/>
      <c r="C214" s="34"/>
      <c r="D214" s="34"/>
      <c r="E214" s="35"/>
      <c r="F214" s="35"/>
      <c r="G214" s="35"/>
      <c r="H214" s="35"/>
      <c r="I214" s="35"/>
      <c r="J214" s="35"/>
      <c r="K214" s="35"/>
      <c r="L214" s="35"/>
      <c r="M214" s="35"/>
      <c r="N214" s="35"/>
      <c r="O214" s="35"/>
      <c r="P214" s="35"/>
      <c r="Q214" s="35"/>
      <c r="R214" s="35"/>
      <c r="S214" s="35"/>
      <c r="T214" s="35"/>
      <c r="U214" s="35"/>
      <c r="V214" s="35"/>
      <c r="W214" s="35"/>
      <c r="X214" s="34"/>
      <c r="Y214" s="35"/>
      <c r="Z214" s="35"/>
      <c r="AA214" s="35"/>
      <c r="AB214" s="35"/>
      <c r="AC214" s="35"/>
      <c r="AD214" s="35"/>
      <c r="AE214" s="35"/>
      <c r="AF214" s="35"/>
      <c r="AG214" s="35"/>
      <c r="AH214" s="35"/>
      <c r="AI214" s="35"/>
      <c r="AJ214" s="35"/>
      <c r="AK214" s="35"/>
      <c r="AL214" s="34"/>
      <c r="AM214" s="34"/>
      <c r="AN214" s="104"/>
      <c r="AO214" s="104"/>
      <c r="AP214" s="104"/>
    </row>
    <row r="215">
      <c r="A215" s="34"/>
      <c r="B215" s="34"/>
      <c r="C215" s="34"/>
      <c r="D215" s="34"/>
      <c r="E215" s="35"/>
      <c r="F215" s="35"/>
      <c r="G215" s="35"/>
      <c r="H215" s="35"/>
      <c r="I215" s="35"/>
      <c r="J215" s="35"/>
      <c r="K215" s="35"/>
      <c r="L215" s="35"/>
      <c r="M215" s="35"/>
      <c r="N215" s="35"/>
      <c r="O215" s="35"/>
      <c r="P215" s="35"/>
      <c r="Q215" s="35"/>
      <c r="R215" s="35"/>
      <c r="S215" s="35"/>
      <c r="T215" s="35"/>
      <c r="U215" s="35"/>
      <c r="V215" s="35"/>
      <c r="W215" s="35"/>
      <c r="X215" s="34"/>
      <c r="Y215" s="35"/>
      <c r="Z215" s="35"/>
      <c r="AA215" s="35"/>
      <c r="AB215" s="35"/>
      <c r="AC215" s="35"/>
      <c r="AD215" s="35"/>
      <c r="AE215" s="35"/>
      <c r="AF215" s="35"/>
      <c r="AG215" s="35"/>
      <c r="AH215" s="35"/>
      <c r="AI215" s="35"/>
      <c r="AJ215" s="35"/>
      <c r="AK215" s="35"/>
      <c r="AL215" s="34"/>
      <c r="AM215" s="34"/>
      <c r="AN215" s="104"/>
      <c r="AO215" s="104"/>
      <c r="AP215" s="104"/>
    </row>
    <row r="216">
      <c r="A216" s="34"/>
      <c r="B216" s="34"/>
      <c r="C216" s="34"/>
      <c r="D216" s="34"/>
      <c r="E216" s="35"/>
      <c r="F216" s="35"/>
      <c r="G216" s="35"/>
      <c r="H216" s="35"/>
      <c r="I216" s="35"/>
      <c r="J216" s="35"/>
      <c r="K216" s="35"/>
      <c r="L216" s="35"/>
      <c r="M216" s="35"/>
      <c r="N216" s="35"/>
      <c r="O216" s="35"/>
      <c r="P216" s="35"/>
      <c r="Q216" s="35"/>
      <c r="R216" s="35"/>
      <c r="S216" s="35"/>
      <c r="T216" s="35"/>
      <c r="U216" s="35"/>
      <c r="V216" s="35"/>
      <c r="W216" s="35"/>
      <c r="X216" s="34"/>
      <c r="Y216" s="35"/>
      <c r="Z216" s="35"/>
      <c r="AA216" s="35"/>
      <c r="AB216" s="35"/>
      <c r="AC216" s="35"/>
      <c r="AD216" s="35"/>
      <c r="AE216" s="35"/>
      <c r="AF216" s="35"/>
      <c r="AG216" s="35"/>
      <c r="AH216" s="35"/>
      <c r="AI216" s="35"/>
      <c r="AJ216" s="35"/>
      <c r="AK216" s="35"/>
      <c r="AL216" s="34"/>
      <c r="AM216" s="34"/>
      <c r="AN216" s="104"/>
      <c r="AO216" s="104"/>
      <c r="AP216" s="104"/>
    </row>
    <row r="217">
      <c r="A217" s="34"/>
      <c r="B217" s="34"/>
      <c r="C217" s="34"/>
      <c r="D217" s="34"/>
      <c r="E217" s="35"/>
      <c r="F217" s="35"/>
      <c r="G217" s="35"/>
      <c r="H217" s="35"/>
      <c r="I217" s="35"/>
      <c r="J217" s="35"/>
      <c r="K217" s="35"/>
      <c r="L217" s="35"/>
      <c r="M217" s="35"/>
      <c r="N217" s="35"/>
      <c r="O217" s="35"/>
      <c r="P217" s="35"/>
      <c r="Q217" s="35"/>
      <c r="R217" s="35"/>
      <c r="S217" s="35"/>
      <c r="T217" s="35"/>
      <c r="U217" s="35"/>
      <c r="V217" s="35"/>
      <c r="W217" s="35"/>
      <c r="X217" s="34"/>
      <c r="Y217" s="35"/>
      <c r="Z217" s="35"/>
      <c r="AA217" s="35"/>
      <c r="AB217" s="35"/>
      <c r="AC217" s="35"/>
      <c r="AD217" s="35"/>
      <c r="AE217" s="35"/>
      <c r="AF217" s="35"/>
      <c r="AG217" s="35"/>
      <c r="AH217" s="35"/>
      <c r="AI217" s="35"/>
      <c r="AJ217" s="35"/>
      <c r="AK217" s="35"/>
      <c r="AL217" s="34"/>
      <c r="AM217" s="34"/>
      <c r="AN217" s="104"/>
      <c r="AO217" s="104"/>
      <c r="AP217" s="104"/>
    </row>
    <row r="218">
      <c r="A218" s="34"/>
      <c r="B218" s="34"/>
      <c r="C218" s="34"/>
      <c r="D218" s="34"/>
      <c r="E218" s="35"/>
      <c r="F218" s="35"/>
      <c r="G218" s="35"/>
      <c r="H218" s="35"/>
      <c r="I218" s="35"/>
      <c r="J218" s="35"/>
      <c r="K218" s="35"/>
      <c r="L218" s="35"/>
      <c r="M218" s="35"/>
      <c r="N218" s="35"/>
      <c r="O218" s="35"/>
      <c r="P218" s="35"/>
      <c r="Q218" s="35"/>
      <c r="R218" s="35"/>
      <c r="S218" s="35"/>
      <c r="T218" s="35"/>
      <c r="U218" s="35"/>
      <c r="V218" s="35"/>
      <c r="W218" s="35"/>
      <c r="X218" s="34"/>
      <c r="Y218" s="35"/>
      <c r="Z218" s="35"/>
      <c r="AA218" s="35"/>
      <c r="AB218" s="35"/>
      <c r="AC218" s="35"/>
      <c r="AD218" s="35"/>
      <c r="AE218" s="35"/>
      <c r="AF218" s="35"/>
      <c r="AG218" s="35"/>
      <c r="AH218" s="35"/>
      <c r="AI218" s="35"/>
      <c r="AJ218" s="35"/>
      <c r="AK218" s="35"/>
      <c r="AL218" s="34"/>
      <c r="AM218" s="34"/>
      <c r="AN218" s="104"/>
      <c r="AO218" s="104"/>
      <c r="AP218" s="104"/>
    </row>
    <row r="219">
      <c r="A219" s="34"/>
      <c r="B219" s="34"/>
      <c r="C219" s="34"/>
      <c r="D219" s="34"/>
      <c r="E219" s="35"/>
      <c r="F219" s="35"/>
      <c r="G219" s="35"/>
      <c r="H219" s="35"/>
      <c r="I219" s="35"/>
      <c r="J219" s="35"/>
      <c r="K219" s="35"/>
      <c r="L219" s="35"/>
      <c r="M219" s="35"/>
      <c r="N219" s="35"/>
      <c r="O219" s="35"/>
      <c r="P219" s="35"/>
      <c r="Q219" s="35"/>
      <c r="R219" s="35"/>
      <c r="S219" s="35"/>
      <c r="T219" s="35"/>
      <c r="U219" s="35"/>
      <c r="V219" s="35"/>
      <c r="W219" s="35"/>
      <c r="X219" s="34"/>
      <c r="Y219" s="35"/>
      <c r="Z219" s="35"/>
      <c r="AA219" s="35"/>
      <c r="AB219" s="35"/>
      <c r="AC219" s="35"/>
      <c r="AD219" s="35"/>
      <c r="AE219" s="35"/>
      <c r="AF219" s="35"/>
      <c r="AG219" s="35"/>
      <c r="AH219" s="35"/>
      <c r="AI219" s="35"/>
      <c r="AJ219" s="35"/>
      <c r="AK219" s="35"/>
      <c r="AL219" s="34"/>
      <c r="AM219" s="34"/>
      <c r="AN219" s="104"/>
      <c r="AO219" s="104"/>
      <c r="AP219" s="104"/>
    </row>
    <row r="220">
      <c r="A220" s="34"/>
      <c r="B220" s="34"/>
      <c r="C220" s="34"/>
      <c r="D220" s="34"/>
      <c r="E220" s="35"/>
      <c r="F220" s="35"/>
      <c r="G220" s="35"/>
      <c r="H220" s="35"/>
      <c r="I220" s="35"/>
      <c r="J220" s="35"/>
      <c r="K220" s="35"/>
      <c r="L220" s="35"/>
      <c r="M220" s="35"/>
      <c r="N220" s="35"/>
      <c r="O220" s="35"/>
      <c r="P220" s="35"/>
      <c r="Q220" s="35"/>
      <c r="R220" s="35"/>
      <c r="S220" s="35"/>
      <c r="T220" s="35"/>
      <c r="U220" s="35"/>
      <c r="V220" s="35"/>
      <c r="W220" s="35"/>
      <c r="X220" s="34"/>
      <c r="Y220" s="35"/>
      <c r="Z220" s="35"/>
      <c r="AA220" s="35"/>
      <c r="AB220" s="35"/>
      <c r="AC220" s="35"/>
      <c r="AD220" s="35"/>
      <c r="AE220" s="35"/>
      <c r="AF220" s="35"/>
      <c r="AG220" s="35"/>
      <c r="AH220" s="35"/>
      <c r="AI220" s="35"/>
      <c r="AJ220" s="35"/>
      <c r="AK220" s="35"/>
      <c r="AL220" s="34"/>
      <c r="AM220" s="34"/>
      <c r="AN220" s="104"/>
      <c r="AO220" s="104"/>
      <c r="AP220" s="104"/>
    </row>
    <row r="221">
      <c r="A221" s="34"/>
      <c r="B221" s="34"/>
      <c r="C221" s="34"/>
      <c r="D221" s="34"/>
      <c r="E221" s="35"/>
      <c r="F221" s="35"/>
      <c r="G221" s="35"/>
      <c r="H221" s="35"/>
      <c r="I221" s="35"/>
      <c r="J221" s="35"/>
      <c r="K221" s="35"/>
      <c r="L221" s="35"/>
      <c r="M221" s="35"/>
      <c r="N221" s="35"/>
      <c r="O221" s="35"/>
      <c r="P221" s="35"/>
      <c r="Q221" s="35"/>
      <c r="R221" s="35"/>
      <c r="S221" s="35"/>
      <c r="T221" s="35"/>
      <c r="U221" s="35"/>
      <c r="V221" s="35"/>
      <c r="W221" s="35"/>
      <c r="X221" s="34"/>
      <c r="Y221" s="35"/>
      <c r="Z221" s="35"/>
      <c r="AA221" s="35"/>
      <c r="AB221" s="35"/>
      <c r="AC221" s="35"/>
      <c r="AD221" s="35"/>
      <c r="AE221" s="35"/>
      <c r="AF221" s="35"/>
      <c r="AG221" s="35"/>
      <c r="AH221" s="35"/>
      <c r="AI221" s="35"/>
      <c r="AJ221" s="35"/>
      <c r="AK221" s="35"/>
      <c r="AL221" s="34"/>
      <c r="AM221" s="34"/>
      <c r="AN221" s="104"/>
      <c r="AO221" s="104"/>
      <c r="AP221" s="104"/>
    </row>
    <row r="222">
      <c r="A222" s="34"/>
      <c r="B222" s="34"/>
      <c r="C222" s="34"/>
      <c r="D222" s="34"/>
      <c r="E222" s="35"/>
      <c r="F222" s="35"/>
      <c r="G222" s="35"/>
      <c r="H222" s="35"/>
      <c r="I222" s="35"/>
      <c r="J222" s="35"/>
      <c r="K222" s="35"/>
      <c r="L222" s="35"/>
      <c r="M222" s="35"/>
      <c r="N222" s="35"/>
      <c r="O222" s="35"/>
      <c r="P222" s="35"/>
      <c r="Q222" s="35"/>
      <c r="R222" s="35"/>
      <c r="S222" s="35"/>
      <c r="T222" s="35"/>
      <c r="U222" s="35"/>
      <c r="V222" s="35"/>
      <c r="W222" s="35"/>
      <c r="X222" s="34"/>
      <c r="Y222" s="35"/>
      <c r="Z222" s="35"/>
      <c r="AA222" s="35"/>
      <c r="AB222" s="35"/>
      <c r="AC222" s="35"/>
      <c r="AD222" s="35"/>
      <c r="AE222" s="35"/>
      <c r="AF222" s="35"/>
      <c r="AG222" s="35"/>
      <c r="AH222" s="35"/>
      <c r="AI222" s="35"/>
      <c r="AJ222" s="35"/>
      <c r="AK222" s="35"/>
      <c r="AL222" s="34"/>
      <c r="AM222" s="34"/>
      <c r="AN222" s="104"/>
      <c r="AO222" s="104"/>
      <c r="AP222" s="104"/>
    </row>
    <row r="223">
      <c r="A223" s="34"/>
      <c r="B223" s="34"/>
      <c r="C223" s="34"/>
      <c r="D223" s="34"/>
      <c r="E223" s="35"/>
      <c r="F223" s="35"/>
      <c r="G223" s="35"/>
      <c r="H223" s="35"/>
      <c r="I223" s="35"/>
      <c r="J223" s="35"/>
      <c r="K223" s="35"/>
      <c r="L223" s="35"/>
      <c r="M223" s="35"/>
      <c r="N223" s="35"/>
      <c r="O223" s="35"/>
      <c r="P223" s="35"/>
      <c r="Q223" s="35"/>
      <c r="R223" s="35"/>
      <c r="S223" s="35"/>
      <c r="T223" s="35"/>
      <c r="U223" s="35"/>
      <c r="V223" s="35"/>
      <c r="W223" s="35"/>
      <c r="X223" s="34"/>
      <c r="Y223" s="35"/>
      <c r="Z223" s="35"/>
      <c r="AA223" s="35"/>
      <c r="AB223" s="35"/>
      <c r="AC223" s="35"/>
      <c r="AD223" s="35"/>
      <c r="AE223" s="35"/>
      <c r="AF223" s="35"/>
      <c r="AG223" s="35"/>
      <c r="AH223" s="35"/>
      <c r="AI223" s="35"/>
      <c r="AJ223" s="35"/>
      <c r="AK223" s="35"/>
      <c r="AL223" s="34"/>
      <c r="AM223" s="34"/>
      <c r="AN223" s="104"/>
      <c r="AO223" s="104"/>
      <c r="AP223" s="104"/>
    </row>
    <row r="224">
      <c r="A224" s="34"/>
      <c r="B224" s="34"/>
      <c r="C224" s="34"/>
      <c r="D224" s="34"/>
      <c r="E224" s="35"/>
      <c r="F224" s="35"/>
      <c r="G224" s="35"/>
      <c r="H224" s="35"/>
      <c r="I224" s="35"/>
      <c r="J224" s="35"/>
      <c r="K224" s="35"/>
      <c r="L224" s="35"/>
      <c r="M224" s="35"/>
      <c r="N224" s="35"/>
      <c r="O224" s="35"/>
      <c r="P224" s="35"/>
      <c r="Q224" s="35"/>
      <c r="R224" s="35"/>
      <c r="S224" s="35"/>
      <c r="T224" s="35"/>
      <c r="U224" s="35"/>
      <c r="V224" s="35"/>
      <c r="W224" s="35"/>
      <c r="X224" s="34"/>
      <c r="Y224" s="35"/>
      <c r="Z224" s="35"/>
      <c r="AA224" s="35"/>
      <c r="AB224" s="35"/>
      <c r="AC224" s="35"/>
      <c r="AD224" s="35"/>
      <c r="AE224" s="35"/>
      <c r="AF224" s="35"/>
      <c r="AG224" s="35"/>
      <c r="AH224" s="35"/>
      <c r="AI224" s="35"/>
      <c r="AJ224" s="35"/>
      <c r="AK224" s="35"/>
      <c r="AL224" s="34"/>
      <c r="AM224" s="34"/>
      <c r="AN224" s="104"/>
      <c r="AO224" s="104"/>
      <c r="AP224" s="104"/>
    </row>
    <row r="225">
      <c r="A225" s="34"/>
      <c r="B225" s="34"/>
      <c r="C225" s="34"/>
      <c r="D225" s="34"/>
      <c r="E225" s="35"/>
      <c r="F225" s="35"/>
      <c r="G225" s="35"/>
      <c r="H225" s="35"/>
      <c r="I225" s="35"/>
      <c r="J225" s="35"/>
      <c r="K225" s="35"/>
      <c r="L225" s="35"/>
      <c r="M225" s="35"/>
      <c r="N225" s="35"/>
      <c r="O225" s="35"/>
      <c r="P225" s="35"/>
      <c r="Q225" s="35"/>
      <c r="R225" s="35"/>
      <c r="S225" s="35"/>
      <c r="T225" s="35"/>
      <c r="U225" s="35"/>
      <c r="V225" s="35"/>
      <c r="W225" s="35"/>
      <c r="X225" s="34"/>
      <c r="Y225" s="35"/>
      <c r="Z225" s="35"/>
      <c r="AA225" s="35"/>
      <c r="AB225" s="35"/>
      <c r="AC225" s="35"/>
      <c r="AD225" s="35"/>
      <c r="AE225" s="35"/>
      <c r="AF225" s="35"/>
      <c r="AG225" s="35"/>
      <c r="AH225" s="35"/>
      <c r="AI225" s="35"/>
      <c r="AJ225" s="35"/>
      <c r="AK225" s="35"/>
      <c r="AL225" s="34"/>
      <c r="AM225" s="34"/>
      <c r="AN225" s="104"/>
      <c r="AO225" s="104"/>
      <c r="AP225" s="104"/>
    </row>
    <row r="226">
      <c r="A226" s="34"/>
      <c r="B226" s="34"/>
      <c r="C226" s="34"/>
      <c r="D226" s="34"/>
      <c r="E226" s="35"/>
      <c r="F226" s="35"/>
      <c r="G226" s="35"/>
      <c r="H226" s="35"/>
      <c r="I226" s="35"/>
      <c r="J226" s="35"/>
      <c r="K226" s="35"/>
      <c r="L226" s="35"/>
      <c r="M226" s="35"/>
      <c r="N226" s="35"/>
      <c r="O226" s="35"/>
      <c r="P226" s="35"/>
      <c r="Q226" s="35"/>
      <c r="R226" s="35"/>
      <c r="S226" s="35"/>
      <c r="T226" s="35"/>
      <c r="U226" s="35"/>
      <c r="V226" s="35"/>
      <c r="W226" s="35"/>
      <c r="X226" s="34"/>
      <c r="Y226" s="35"/>
      <c r="Z226" s="35"/>
      <c r="AA226" s="35"/>
      <c r="AB226" s="35"/>
      <c r="AC226" s="35"/>
      <c r="AD226" s="35"/>
      <c r="AE226" s="35"/>
      <c r="AF226" s="35"/>
      <c r="AG226" s="35"/>
      <c r="AH226" s="35"/>
      <c r="AI226" s="35"/>
      <c r="AJ226" s="35"/>
      <c r="AK226" s="35"/>
      <c r="AL226" s="34"/>
      <c r="AM226" s="34"/>
      <c r="AN226" s="104"/>
      <c r="AO226" s="104"/>
      <c r="AP226" s="104"/>
    </row>
    <row r="227">
      <c r="A227" s="34"/>
      <c r="B227" s="34"/>
      <c r="C227" s="34"/>
      <c r="D227" s="34"/>
      <c r="E227" s="35"/>
      <c r="F227" s="35"/>
      <c r="G227" s="35"/>
      <c r="H227" s="35"/>
      <c r="I227" s="35"/>
      <c r="J227" s="35"/>
      <c r="K227" s="35"/>
      <c r="L227" s="35"/>
      <c r="M227" s="35"/>
      <c r="N227" s="35"/>
      <c r="O227" s="35"/>
      <c r="P227" s="35"/>
      <c r="Q227" s="35"/>
      <c r="R227" s="35"/>
      <c r="S227" s="35"/>
      <c r="T227" s="35"/>
      <c r="U227" s="35"/>
      <c r="V227" s="35"/>
      <c r="W227" s="35"/>
      <c r="X227" s="34"/>
      <c r="Y227" s="35"/>
      <c r="Z227" s="35"/>
      <c r="AA227" s="35"/>
      <c r="AB227" s="35"/>
      <c r="AC227" s="35"/>
      <c r="AD227" s="35"/>
      <c r="AE227" s="35"/>
      <c r="AF227" s="35"/>
      <c r="AG227" s="35"/>
      <c r="AH227" s="35"/>
      <c r="AI227" s="35"/>
      <c r="AJ227" s="35"/>
      <c r="AK227" s="35"/>
      <c r="AL227" s="34"/>
      <c r="AM227" s="34"/>
      <c r="AN227" s="104"/>
      <c r="AO227" s="104"/>
      <c r="AP227" s="104"/>
    </row>
    <row r="228">
      <c r="A228" s="34"/>
      <c r="B228" s="34"/>
      <c r="C228" s="34"/>
      <c r="D228" s="34"/>
      <c r="E228" s="35"/>
      <c r="F228" s="35"/>
      <c r="G228" s="35"/>
      <c r="H228" s="35"/>
      <c r="I228" s="35"/>
      <c r="J228" s="35"/>
      <c r="K228" s="35"/>
      <c r="L228" s="35"/>
      <c r="M228" s="35"/>
      <c r="N228" s="35"/>
      <c r="O228" s="35"/>
      <c r="P228" s="35"/>
      <c r="Q228" s="35"/>
      <c r="R228" s="35"/>
      <c r="S228" s="35"/>
      <c r="T228" s="35"/>
      <c r="U228" s="35"/>
      <c r="V228" s="35"/>
      <c r="W228" s="35"/>
      <c r="X228" s="34"/>
      <c r="Y228" s="35"/>
      <c r="Z228" s="35"/>
      <c r="AA228" s="35"/>
      <c r="AB228" s="35"/>
      <c r="AC228" s="35"/>
      <c r="AD228" s="35"/>
      <c r="AE228" s="35"/>
      <c r="AF228" s="35"/>
      <c r="AG228" s="35"/>
      <c r="AH228" s="35"/>
      <c r="AI228" s="35"/>
      <c r="AJ228" s="35"/>
      <c r="AK228" s="35"/>
      <c r="AL228" s="34"/>
      <c r="AM228" s="34"/>
      <c r="AN228" s="104"/>
      <c r="AO228" s="104"/>
      <c r="AP228" s="104"/>
    </row>
    <row r="229">
      <c r="A229" s="34"/>
      <c r="B229" s="34"/>
      <c r="C229" s="34"/>
      <c r="D229" s="34"/>
      <c r="E229" s="35"/>
      <c r="F229" s="35"/>
      <c r="G229" s="35"/>
      <c r="H229" s="35"/>
      <c r="I229" s="35"/>
      <c r="J229" s="35"/>
      <c r="K229" s="35"/>
      <c r="L229" s="35"/>
      <c r="M229" s="35"/>
      <c r="N229" s="35"/>
      <c r="O229" s="35"/>
      <c r="P229" s="35"/>
      <c r="Q229" s="35"/>
      <c r="R229" s="35"/>
      <c r="S229" s="35"/>
      <c r="T229" s="35"/>
      <c r="U229" s="35"/>
      <c r="V229" s="35"/>
      <c r="W229" s="35"/>
      <c r="X229" s="34"/>
      <c r="Y229" s="35"/>
      <c r="Z229" s="35"/>
      <c r="AA229" s="35"/>
      <c r="AB229" s="35"/>
      <c r="AC229" s="35"/>
      <c r="AD229" s="35"/>
      <c r="AE229" s="35"/>
      <c r="AF229" s="35"/>
      <c r="AG229" s="35"/>
      <c r="AH229" s="35"/>
      <c r="AI229" s="35"/>
      <c r="AJ229" s="35"/>
      <c r="AK229" s="35"/>
      <c r="AL229" s="34"/>
      <c r="AM229" s="34"/>
      <c r="AN229" s="104"/>
      <c r="AO229" s="104"/>
      <c r="AP229" s="104"/>
    </row>
    <row r="230">
      <c r="A230" s="34"/>
      <c r="B230" s="34"/>
      <c r="C230" s="34"/>
      <c r="D230" s="34"/>
      <c r="E230" s="35"/>
      <c r="F230" s="35"/>
      <c r="G230" s="35"/>
      <c r="H230" s="35"/>
      <c r="I230" s="35"/>
      <c r="J230" s="35"/>
      <c r="K230" s="35"/>
      <c r="L230" s="35"/>
      <c r="M230" s="35"/>
      <c r="N230" s="35"/>
      <c r="O230" s="35"/>
      <c r="P230" s="35"/>
      <c r="Q230" s="35"/>
      <c r="R230" s="35"/>
      <c r="S230" s="35"/>
      <c r="T230" s="35"/>
      <c r="U230" s="35"/>
      <c r="V230" s="35"/>
      <c r="W230" s="35"/>
      <c r="X230" s="34"/>
      <c r="Y230" s="35"/>
      <c r="Z230" s="35"/>
      <c r="AA230" s="35"/>
      <c r="AB230" s="35"/>
      <c r="AC230" s="35"/>
      <c r="AD230" s="35"/>
      <c r="AE230" s="35"/>
      <c r="AF230" s="35"/>
      <c r="AG230" s="35"/>
      <c r="AH230" s="35"/>
      <c r="AI230" s="35"/>
      <c r="AJ230" s="35"/>
      <c r="AK230" s="35"/>
      <c r="AL230" s="34"/>
      <c r="AM230" s="34"/>
      <c r="AN230" s="104"/>
      <c r="AO230" s="104"/>
      <c r="AP230" s="104"/>
    </row>
    <row r="231">
      <c r="A231" s="34"/>
      <c r="B231" s="34"/>
      <c r="C231" s="34"/>
      <c r="D231" s="34"/>
      <c r="E231" s="35"/>
      <c r="F231" s="35"/>
      <c r="G231" s="35"/>
      <c r="H231" s="35"/>
      <c r="I231" s="35"/>
      <c r="J231" s="35"/>
      <c r="K231" s="35"/>
      <c r="L231" s="35"/>
      <c r="M231" s="35"/>
      <c r="N231" s="35"/>
      <c r="O231" s="35"/>
      <c r="P231" s="35"/>
      <c r="Q231" s="35"/>
      <c r="R231" s="35"/>
      <c r="S231" s="35"/>
      <c r="T231" s="35"/>
      <c r="U231" s="35"/>
      <c r="V231" s="35"/>
      <c r="W231" s="35"/>
      <c r="X231" s="34"/>
      <c r="Y231" s="35"/>
      <c r="Z231" s="35"/>
      <c r="AA231" s="35"/>
      <c r="AB231" s="35"/>
      <c r="AC231" s="35"/>
      <c r="AD231" s="35"/>
      <c r="AE231" s="35"/>
      <c r="AF231" s="35"/>
      <c r="AG231" s="35"/>
      <c r="AH231" s="35"/>
      <c r="AI231" s="35"/>
      <c r="AJ231" s="35"/>
      <c r="AK231" s="35"/>
      <c r="AL231" s="34"/>
      <c r="AM231" s="34"/>
      <c r="AN231" s="104"/>
      <c r="AO231" s="104"/>
      <c r="AP231" s="104"/>
    </row>
    <row r="232">
      <c r="A232" s="34"/>
      <c r="B232" s="34"/>
      <c r="C232" s="34"/>
      <c r="D232" s="34"/>
      <c r="E232" s="35"/>
      <c r="F232" s="35"/>
      <c r="G232" s="35"/>
      <c r="H232" s="35"/>
      <c r="I232" s="35"/>
      <c r="J232" s="35"/>
      <c r="K232" s="35"/>
      <c r="L232" s="35"/>
      <c r="M232" s="35"/>
      <c r="N232" s="35"/>
      <c r="O232" s="35"/>
      <c r="P232" s="35"/>
      <c r="Q232" s="35"/>
      <c r="R232" s="35"/>
      <c r="S232" s="35"/>
      <c r="T232" s="35"/>
      <c r="U232" s="35"/>
      <c r="V232" s="35"/>
      <c r="W232" s="35"/>
      <c r="X232" s="34"/>
      <c r="Y232" s="35"/>
      <c r="Z232" s="35"/>
      <c r="AA232" s="35"/>
      <c r="AB232" s="35"/>
      <c r="AC232" s="35"/>
      <c r="AD232" s="35"/>
      <c r="AE232" s="35"/>
      <c r="AF232" s="35"/>
      <c r="AG232" s="35"/>
      <c r="AH232" s="35"/>
      <c r="AI232" s="35"/>
      <c r="AJ232" s="35"/>
      <c r="AK232" s="35"/>
      <c r="AL232" s="34"/>
      <c r="AM232" s="34"/>
      <c r="AN232" s="104"/>
      <c r="AO232" s="104"/>
      <c r="AP232" s="104"/>
    </row>
    <row r="233">
      <c r="A233" s="34"/>
      <c r="B233" s="34"/>
      <c r="C233" s="34"/>
      <c r="D233" s="34"/>
      <c r="E233" s="35"/>
      <c r="F233" s="35"/>
      <c r="G233" s="35"/>
      <c r="H233" s="35"/>
      <c r="I233" s="35"/>
      <c r="J233" s="35"/>
      <c r="K233" s="35"/>
      <c r="L233" s="35"/>
      <c r="M233" s="35"/>
      <c r="N233" s="35"/>
      <c r="O233" s="35"/>
      <c r="P233" s="35"/>
      <c r="Q233" s="35"/>
      <c r="R233" s="35"/>
      <c r="S233" s="35"/>
      <c r="T233" s="35"/>
      <c r="U233" s="35"/>
      <c r="V233" s="35"/>
      <c r="W233" s="35"/>
      <c r="X233" s="34"/>
      <c r="Y233" s="35"/>
      <c r="Z233" s="35"/>
      <c r="AA233" s="35"/>
      <c r="AB233" s="35"/>
      <c r="AC233" s="35"/>
      <c r="AD233" s="35"/>
      <c r="AE233" s="35"/>
      <c r="AF233" s="35"/>
      <c r="AG233" s="35"/>
      <c r="AH233" s="35"/>
      <c r="AI233" s="35"/>
      <c r="AJ233" s="35"/>
      <c r="AK233" s="35"/>
      <c r="AL233" s="34"/>
      <c r="AM233" s="34"/>
      <c r="AN233" s="104"/>
      <c r="AO233" s="104"/>
      <c r="AP233" s="104"/>
    </row>
    <row r="234">
      <c r="A234" s="34"/>
      <c r="B234" s="34"/>
      <c r="C234" s="34"/>
      <c r="D234" s="34"/>
      <c r="E234" s="35"/>
      <c r="F234" s="35"/>
      <c r="G234" s="35"/>
      <c r="H234" s="35"/>
      <c r="I234" s="35"/>
      <c r="J234" s="35"/>
      <c r="K234" s="35"/>
      <c r="L234" s="35"/>
      <c r="M234" s="35"/>
      <c r="N234" s="35"/>
      <c r="O234" s="35"/>
      <c r="P234" s="35"/>
      <c r="Q234" s="35"/>
      <c r="R234" s="35"/>
      <c r="S234" s="35"/>
      <c r="T234" s="35"/>
      <c r="U234" s="35"/>
      <c r="V234" s="35"/>
      <c r="W234" s="35"/>
      <c r="X234" s="34"/>
      <c r="Y234" s="35"/>
      <c r="Z234" s="35"/>
      <c r="AA234" s="35"/>
      <c r="AB234" s="35"/>
      <c r="AC234" s="35"/>
      <c r="AD234" s="35"/>
      <c r="AE234" s="35"/>
      <c r="AF234" s="35"/>
      <c r="AG234" s="35"/>
      <c r="AH234" s="35"/>
      <c r="AI234" s="35"/>
      <c r="AJ234" s="35"/>
      <c r="AK234" s="35"/>
      <c r="AL234" s="34"/>
      <c r="AM234" s="34"/>
      <c r="AN234" s="104"/>
      <c r="AO234" s="104"/>
      <c r="AP234" s="104"/>
    </row>
    <row r="235">
      <c r="A235" s="34"/>
      <c r="B235" s="34"/>
      <c r="C235" s="34"/>
      <c r="D235" s="34"/>
      <c r="E235" s="35"/>
      <c r="F235" s="35"/>
      <c r="G235" s="35"/>
      <c r="H235" s="35"/>
      <c r="I235" s="35"/>
      <c r="J235" s="35"/>
      <c r="K235" s="35"/>
      <c r="L235" s="35"/>
      <c r="M235" s="35"/>
      <c r="N235" s="35"/>
      <c r="O235" s="35"/>
      <c r="P235" s="35"/>
      <c r="Q235" s="35"/>
      <c r="R235" s="35"/>
      <c r="S235" s="35"/>
      <c r="T235" s="35"/>
      <c r="U235" s="35"/>
      <c r="V235" s="35"/>
      <c r="W235" s="35"/>
      <c r="X235" s="34"/>
      <c r="Y235" s="35"/>
      <c r="Z235" s="35"/>
      <c r="AA235" s="35"/>
      <c r="AB235" s="35"/>
      <c r="AC235" s="35"/>
      <c r="AD235" s="35"/>
      <c r="AE235" s="35"/>
      <c r="AF235" s="35"/>
      <c r="AG235" s="35"/>
      <c r="AH235" s="35"/>
      <c r="AI235" s="35"/>
      <c r="AJ235" s="35"/>
      <c r="AK235" s="35"/>
      <c r="AL235" s="34"/>
      <c r="AM235" s="34"/>
      <c r="AN235" s="104"/>
      <c r="AO235" s="104"/>
      <c r="AP235" s="104"/>
    </row>
    <row r="236">
      <c r="A236" s="34"/>
      <c r="B236" s="34"/>
      <c r="C236" s="34"/>
      <c r="D236" s="34"/>
      <c r="E236" s="35"/>
      <c r="F236" s="35"/>
      <c r="G236" s="35"/>
      <c r="H236" s="35"/>
      <c r="I236" s="35"/>
      <c r="J236" s="35"/>
      <c r="K236" s="35"/>
      <c r="L236" s="35"/>
      <c r="M236" s="35"/>
      <c r="N236" s="35"/>
      <c r="O236" s="35"/>
      <c r="P236" s="35"/>
      <c r="Q236" s="35"/>
      <c r="R236" s="35"/>
      <c r="S236" s="35"/>
      <c r="T236" s="35"/>
      <c r="U236" s="35"/>
      <c r="V236" s="35"/>
      <c r="W236" s="35"/>
      <c r="X236" s="34"/>
      <c r="Y236" s="35"/>
      <c r="Z236" s="35"/>
      <c r="AA236" s="35"/>
      <c r="AB236" s="35"/>
      <c r="AC236" s="35"/>
      <c r="AD236" s="35"/>
      <c r="AE236" s="35"/>
      <c r="AF236" s="35"/>
      <c r="AG236" s="35"/>
      <c r="AH236" s="35"/>
      <c r="AI236" s="35"/>
      <c r="AJ236" s="35"/>
      <c r="AK236" s="35"/>
      <c r="AL236" s="34"/>
      <c r="AM236" s="34"/>
      <c r="AN236" s="104"/>
      <c r="AO236" s="104"/>
      <c r="AP236" s="104"/>
    </row>
    <row r="237">
      <c r="A237" s="34"/>
      <c r="B237" s="34"/>
      <c r="C237" s="34"/>
      <c r="D237" s="34"/>
      <c r="E237" s="35"/>
      <c r="F237" s="35"/>
      <c r="G237" s="35"/>
      <c r="H237" s="35"/>
      <c r="I237" s="35"/>
      <c r="J237" s="35"/>
      <c r="K237" s="35"/>
      <c r="L237" s="35"/>
      <c r="M237" s="35"/>
      <c r="N237" s="35"/>
      <c r="O237" s="35"/>
      <c r="P237" s="35"/>
      <c r="Q237" s="35"/>
      <c r="R237" s="35"/>
      <c r="S237" s="35"/>
      <c r="T237" s="35"/>
      <c r="U237" s="35"/>
      <c r="V237" s="35"/>
      <c r="W237" s="35"/>
      <c r="X237" s="34"/>
      <c r="Y237" s="35"/>
      <c r="Z237" s="35"/>
      <c r="AA237" s="35"/>
      <c r="AB237" s="35"/>
      <c r="AC237" s="35"/>
      <c r="AD237" s="35"/>
      <c r="AE237" s="35"/>
      <c r="AF237" s="35"/>
      <c r="AG237" s="35"/>
      <c r="AH237" s="35"/>
      <c r="AI237" s="35"/>
      <c r="AJ237" s="35"/>
      <c r="AK237" s="35"/>
      <c r="AL237" s="34"/>
      <c r="AM237" s="34"/>
      <c r="AN237" s="104"/>
      <c r="AO237" s="104"/>
      <c r="AP237" s="104"/>
    </row>
    <row r="238">
      <c r="A238" s="34"/>
      <c r="B238" s="34"/>
      <c r="C238" s="34"/>
      <c r="D238" s="34"/>
      <c r="E238" s="35"/>
      <c r="F238" s="35"/>
      <c r="G238" s="35"/>
      <c r="H238" s="35"/>
      <c r="I238" s="35"/>
      <c r="J238" s="35"/>
      <c r="K238" s="35"/>
      <c r="L238" s="35"/>
      <c r="M238" s="35"/>
      <c r="N238" s="35"/>
      <c r="O238" s="35"/>
      <c r="P238" s="35"/>
      <c r="Q238" s="35"/>
      <c r="R238" s="35"/>
      <c r="S238" s="35"/>
      <c r="T238" s="35"/>
      <c r="U238" s="35"/>
      <c r="V238" s="35"/>
      <c r="W238" s="35"/>
      <c r="X238" s="34"/>
      <c r="Y238" s="35"/>
      <c r="Z238" s="35"/>
      <c r="AA238" s="35"/>
      <c r="AB238" s="35"/>
      <c r="AC238" s="35"/>
      <c r="AD238" s="35"/>
      <c r="AE238" s="35"/>
      <c r="AF238" s="35"/>
      <c r="AG238" s="35"/>
      <c r="AH238" s="35"/>
      <c r="AI238" s="35"/>
      <c r="AJ238" s="35"/>
      <c r="AK238" s="35"/>
      <c r="AL238" s="34"/>
      <c r="AM238" s="34"/>
      <c r="AN238" s="104"/>
      <c r="AO238" s="104"/>
      <c r="AP238" s="104"/>
    </row>
    <row r="239">
      <c r="A239" s="34"/>
      <c r="B239" s="34"/>
      <c r="C239" s="34"/>
      <c r="D239" s="34"/>
      <c r="E239" s="35"/>
      <c r="F239" s="35"/>
      <c r="G239" s="35"/>
      <c r="H239" s="35"/>
      <c r="I239" s="35"/>
      <c r="J239" s="35"/>
      <c r="K239" s="35"/>
      <c r="L239" s="35"/>
      <c r="M239" s="35"/>
      <c r="N239" s="35"/>
      <c r="O239" s="35"/>
      <c r="P239" s="35"/>
      <c r="Q239" s="35"/>
      <c r="R239" s="35"/>
      <c r="S239" s="35"/>
      <c r="T239" s="35"/>
      <c r="U239" s="35"/>
      <c r="V239" s="35"/>
      <c r="W239" s="35"/>
      <c r="X239" s="34"/>
      <c r="Y239" s="35"/>
      <c r="Z239" s="35"/>
      <c r="AA239" s="35"/>
      <c r="AB239" s="35"/>
      <c r="AC239" s="35"/>
      <c r="AD239" s="35"/>
      <c r="AE239" s="35"/>
      <c r="AF239" s="35"/>
      <c r="AG239" s="35"/>
      <c r="AH239" s="35"/>
      <c r="AI239" s="35"/>
      <c r="AJ239" s="35"/>
      <c r="AK239" s="35"/>
      <c r="AL239" s="34"/>
      <c r="AM239" s="34"/>
      <c r="AN239" s="104"/>
      <c r="AO239" s="104"/>
      <c r="AP239" s="104"/>
    </row>
    <row r="240">
      <c r="A240" s="34"/>
      <c r="B240" s="34"/>
      <c r="C240" s="34"/>
      <c r="D240" s="34"/>
      <c r="E240" s="35"/>
      <c r="F240" s="35"/>
      <c r="G240" s="35"/>
      <c r="H240" s="35"/>
      <c r="I240" s="35"/>
      <c r="J240" s="35"/>
      <c r="K240" s="35"/>
      <c r="L240" s="35"/>
      <c r="M240" s="35"/>
      <c r="N240" s="35"/>
      <c r="O240" s="35"/>
      <c r="P240" s="35"/>
      <c r="Q240" s="35"/>
      <c r="R240" s="35"/>
      <c r="S240" s="35"/>
      <c r="T240" s="35"/>
      <c r="U240" s="35"/>
      <c r="V240" s="35"/>
      <c r="W240" s="35"/>
      <c r="X240" s="34"/>
      <c r="Y240" s="35"/>
      <c r="Z240" s="35"/>
      <c r="AA240" s="35"/>
      <c r="AB240" s="35"/>
      <c r="AC240" s="35"/>
      <c r="AD240" s="35"/>
      <c r="AE240" s="35"/>
      <c r="AF240" s="35"/>
      <c r="AG240" s="35"/>
      <c r="AH240" s="35"/>
      <c r="AI240" s="35"/>
      <c r="AJ240" s="35"/>
      <c r="AK240" s="35"/>
      <c r="AL240" s="34"/>
      <c r="AM240" s="34"/>
      <c r="AN240" s="104"/>
      <c r="AO240" s="104"/>
      <c r="AP240" s="104"/>
    </row>
    <row r="241">
      <c r="A241" s="34"/>
      <c r="B241" s="34"/>
      <c r="C241" s="34"/>
      <c r="D241" s="34"/>
      <c r="E241" s="35"/>
      <c r="F241" s="35"/>
      <c r="G241" s="35"/>
      <c r="H241" s="35"/>
      <c r="I241" s="35"/>
      <c r="J241" s="35"/>
      <c r="K241" s="35"/>
      <c r="L241" s="35"/>
      <c r="M241" s="35"/>
      <c r="N241" s="35"/>
      <c r="O241" s="35"/>
      <c r="P241" s="35"/>
      <c r="Q241" s="35"/>
      <c r="R241" s="35"/>
      <c r="S241" s="35"/>
      <c r="T241" s="35"/>
      <c r="U241" s="35"/>
      <c r="V241" s="35"/>
      <c r="W241" s="35"/>
      <c r="X241" s="34"/>
      <c r="Y241" s="35"/>
      <c r="Z241" s="35"/>
      <c r="AA241" s="35"/>
      <c r="AB241" s="35"/>
      <c r="AC241" s="35"/>
      <c r="AD241" s="35"/>
      <c r="AE241" s="35"/>
      <c r="AF241" s="35"/>
      <c r="AG241" s="35"/>
      <c r="AH241" s="35"/>
      <c r="AI241" s="35"/>
      <c r="AJ241" s="35"/>
      <c r="AK241" s="35"/>
      <c r="AL241" s="34"/>
      <c r="AM241" s="34"/>
      <c r="AN241" s="104"/>
      <c r="AO241" s="104"/>
      <c r="AP241" s="104"/>
    </row>
    <row r="242">
      <c r="A242" s="34"/>
      <c r="B242" s="34"/>
      <c r="C242" s="34"/>
      <c r="D242" s="34"/>
      <c r="E242" s="35"/>
      <c r="F242" s="35"/>
      <c r="G242" s="35"/>
      <c r="H242" s="35"/>
      <c r="I242" s="35"/>
      <c r="J242" s="35"/>
      <c r="K242" s="35"/>
      <c r="L242" s="35"/>
      <c r="M242" s="35"/>
      <c r="N242" s="35"/>
      <c r="O242" s="35"/>
      <c r="P242" s="35"/>
      <c r="Q242" s="35"/>
      <c r="R242" s="35"/>
      <c r="S242" s="35"/>
      <c r="T242" s="35"/>
      <c r="U242" s="35"/>
      <c r="V242" s="35"/>
      <c r="W242" s="35"/>
      <c r="X242" s="34"/>
      <c r="Y242" s="35"/>
      <c r="Z242" s="35"/>
      <c r="AA242" s="35"/>
      <c r="AB242" s="35"/>
      <c r="AC242" s="35"/>
      <c r="AD242" s="35"/>
      <c r="AE242" s="35"/>
      <c r="AF242" s="35"/>
      <c r="AG242" s="35"/>
      <c r="AH242" s="35"/>
      <c r="AI242" s="35"/>
      <c r="AJ242" s="35"/>
      <c r="AK242" s="35"/>
      <c r="AL242" s="34"/>
      <c r="AM242" s="34"/>
      <c r="AN242" s="104"/>
      <c r="AO242" s="104"/>
      <c r="AP242" s="104"/>
    </row>
    <row r="243">
      <c r="A243" s="34"/>
      <c r="B243" s="34"/>
      <c r="C243" s="34"/>
      <c r="D243" s="34"/>
      <c r="E243" s="35"/>
      <c r="F243" s="35"/>
      <c r="G243" s="35"/>
      <c r="H243" s="35"/>
      <c r="I243" s="35"/>
      <c r="J243" s="35"/>
      <c r="K243" s="35"/>
      <c r="L243" s="35"/>
      <c r="M243" s="35"/>
      <c r="N243" s="35"/>
      <c r="O243" s="35"/>
      <c r="P243" s="35"/>
      <c r="Q243" s="35"/>
      <c r="R243" s="35"/>
      <c r="S243" s="35"/>
      <c r="T243" s="35"/>
      <c r="U243" s="35"/>
      <c r="V243" s="35"/>
      <c r="W243" s="35"/>
      <c r="X243" s="34"/>
      <c r="Y243" s="35"/>
      <c r="Z243" s="35"/>
      <c r="AA243" s="35"/>
      <c r="AB243" s="35"/>
      <c r="AC243" s="35"/>
      <c r="AD243" s="35"/>
      <c r="AE243" s="35"/>
      <c r="AF243" s="35"/>
      <c r="AG243" s="35"/>
      <c r="AH243" s="35"/>
      <c r="AI243" s="35"/>
      <c r="AJ243" s="35"/>
      <c r="AK243" s="35"/>
      <c r="AL243" s="34"/>
      <c r="AM243" s="34"/>
      <c r="AN243" s="104"/>
      <c r="AO243" s="104"/>
      <c r="AP243" s="104"/>
    </row>
    <row r="244">
      <c r="A244" s="34"/>
      <c r="B244" s="34"/>
      <c r="C244" s="34"/>
      <c r="D244" s="34"/>
      <c r="E244" s="35"/>
      <c r="F244" s="35"/>
      <c r="G244" s="35"/>
      <c r="H244" s="35"/>
      <c r="I244" s="35"/>
      <c r="J244" s="35"/>
      <c r="K244" s="35"/>
      <c r="L244" s="35"/>
      <c r="M244" s="35"/>
      <c r="N244" s="35"/>
      <c r="O244" s="35"/>
      <c r="P244" s="35"/>
      <c r="Q244" s="35"/>
      <c r="R244" s="35"/>
      <c r="S244" s="35"/>
      <c r="T244" s="35"/>
      <c r="U244" s="35"/>
      <c r="V244" s="35"/>
      <c r="W244" s="35"/>
      <c r="X244" s="34"/>
      <c r="Y244" s="35"/>
      <c r="Z244" s="35"/>
      <c r="AA244" s="35"/>
      <c r="AB244" s="35"/>
      <c r="AC244" s="35"/>
      <c r="AD244" s="35"/>
      <c r="AE244" s="35"/>
      <c r="AF244" s="35"/>
      <c r="AG244" s="35"/>
      <c r="AH244" s="35"/>
      <c r="AI244" s="35"/>
      <c r="AJ244" s="35"/>
      <c r="AK244" s="35"/>
      <c r="AL244" s="34"/>
      <c r="AM244" s="34"/>
      <c r="AN244" s="104"/>
      <c r="AO244" s="104"/>
      <c r="AP244" s="104"/>
    </row>
    <row r="245">
      <c r="A245" s="34"/>
      <c r="B245" s="34"/>
      <c r="C245" s="34"/>
      <c r="D245" s="34"/>
      <c r="E245" s="35"/>
      <c r="F245" s="35"/>
      <c r="G245" s="35"/>
      <c r="H245" s="35"/>
      <c r="I245" s="35"/>
      <c r="J245" s="35"/>
      <c r="K245" s="35"/>
      <c r="L245" s="35"/>
      <c r="M245" s="35"/>
      <c r="N245" s="35"/>
      <c r="O245" s="35"/>
      <c r="P245" s="35"/>
      <c r="Q245" s="35"/>
      <c r="R245" s="35"/>
      <c r="S245" s="35"/>
      <c r="T245" s="35"/>
      <c r="U245" s="35"/>
      <c r="V245" s="35"/>
      <c r="W245" s="35"/>
      <c r="X245" s="34"/>
      <c r="Y245" s="35"/>
      <c r="Z245" s="35"/>
      <c r="AA245" s="35"/>
      <c r="AB245" s="35"/>
      <c r="AC245" s="35"/>
      <c r="AD245" s="35"/>
      <c r="AE245" s="35"/>
      <c r="AF245" s="35"/>
      <c r="AG245" s="35"/>
      <c r="AH245" s="35"/>
      <c r="AI245" s="35"/>
      <c r="AJ245" s="35"/>
      <c r="AK245" s="35"/>
      <c r="AL245" s="34"/>
      <c r="AM245" s="34"/>
      <c r="AN245" s="104"/>
      <c r="AO245" s="104"/>
      <c r="AP245" s="104"/>
    </row>
    <row r="246">
      <c r="A246" s="34"/>
      <c r="B246" s="34"/>
      <c r="C246" s="34"/>
      <c r="D246" s="34"/>
      <c r="E246" s="35"/>
      <c r="F246" s="35"/>
      <c r="G246" s="35"/>
      <c r="H246" s="35"/>
      <c r="I246" s="35"/>
      <c r="J246" s="35"/>
      <c r="K246" s="35"/>
      <c r="L246" s="35"/>
      <c r="M246" s="35"/>
      <c r="N246" s="35"/>
      <c r="O246" s="35"/>
      <c r="P246" s="35"/>
      <c r="Q246" s="35"/>
      <c r="R246" s="35"/>
      <c r="S246" s="35"/>
      <c r="T246" s="35"/>
      <c r="U246" s="35"/>
      <c r="V246" s="35"/>
      <c r="W246" s="35"/>
      <c r="X246" s="34"/>
      <c r="Y246" s="35"/>
      <c r="Z246" s="35"/>
      <c r="AA246" s="35"/>
      <c r="AB246" s="35"/>
      <c r="AC246" s="35"/>
      <c r="AD246" s="35"/>
      <c r="AE246" s="35"/>
      <c r="AF246" s="35"/>
      <c r="AG246" s="35"/>
      <c r="AH246" s="35"/>
      <c r="AI246" s="35"/>
      <c r="AJ246" s="35"/>
      <c r="AK246" s="35"/>
      <c r="AL246" s="34"/>
      <c r="AM246" s="34"/>
      <c r="AN246" s="104"/>
      <c r="AO246" s="104"/>
      <c r="AP246" s="104"/>
    </row>
    <row r="247">
      <c r="A247" s="34"/>
      <c r="B247" s="34"/>
      <c r="C247" s="34"/>
      <c r="D247" s="34"/>
      <c r="E247" s="35"/>
      <c r="F247" s="35"/>
      <c r="G247" s="35"/>
      <c r="H247" s="35"/>
      <c r="I247" s="35"/>
      <c r="J247" s="35"/>
      <c r="K247" s="35"/>
      <c r="L247" s="35"/>
      <c r="M247" s="35"/>
      <c r="N247" s="35"/>
      <c r="O247" s="35"/>
      <c r="P247" s="35"/>
      <c r="Q247" s="35"/>
      <c r="R247" s="35"/>
      <c r="S247" s="35"/>
      <c r="T247" s="35"/>
      <c r="U247" s="35"/>
      <c r="V247" s="35"/>
      <c r="W247" s="35"/>
      <c r="X247" s="34"/>
      <c r="Y247" s="35"/>
      <c r="Z247" s="35"/>
      <c r="AA247" s="35"/>
      <c r="AB247" s="35"/>
      <c r="AC247" s="35"/>
      <c r="AD247" s="35"/>
      <c r="AE247" s="35"/>
      <c r="AF247" s="35"/>
      <c r="AG247" s="35"/>
      <c r="AH247" s="35"/>
      <c r="AI247" s="35"/>
      <c r="AJ247" s="35"/>
      <c r="AK247" s="35"/>
      <c r="AL247" s="34"/>
      <c r="AM247" s="34"/>
      <c r="AN247" s="104"/>
      <c r="AO247" s="104"/>
      <c r="AP247" s="104"/>
    </row>
    <row r="248">
      <c r="A248" s="34"/>
      <c r="B248" s="34"/>
      <c r="C248" s="34"/>
      <c r="D248" s="34"/>
      <c r="E248" s="35"/>
      <c r="F248" s="35"/>
      <c r="G248" s="35"/>
      <c r="H248" s="35"/>
      <c r="I248" s="35"/>
      <c r="J248" s="35"/>
      <c r="K248" s="35"/>
      <c r="L248" s="35"/>
      <c r="M248" s="35"/>
      <c r="N248" s="35"/>
      <c r="O248" s="35"/>
      <c r="P248" s="35"/>
      <c r="Q248" s="35"/>
      <c r="R248" s="35"/>
      <c r="S248" s="35"/>
      <c r="T248" s="35"/>
      <c r="U248" s="35"/>
      <c r="V248" s="35"/>
      <c r="W248" s="35"/>
      <c r="X248" s="34"/>
      <c r="Y248" s="35"/>
      <c r="Z248" s="35"/>
      <c r="AA248" s="35"/>
      <c r="AB248" s="35"/>
      <c r="AC248" s="35"/>
      <c r="AD248" s="35"/>
      <c r="AE248" s="35"/>
      <c r="AF248" s="35"/>
      <c r="AG248" s="35"/>
      <c r="AH248" s="35"/>
      <c r="AI248" s="35"/>
      <c r="AJ248" s="35"/>
      <c r="AK248" s="35"/>
      <c r="AL248" s="34"/>
      <c r="AM248" s="34"/>
      <c r="AN248" s="104"/>
      <c r="AO248" s="104"/>
      <c r="AP248" s="104"/>
    </row>
    <row r="249">
      <c r="A249" s="34"/>
      <c r="B249" s="34"/>
      <c r="C249" s="34"/>
      <c r="D249" s="34"/>
      <c r="E249" s="35"/>
      <c r="F249" s="35"/>
      <c r="G249" s="35"/>
      <c r="H249" s="35"/>
      <c r="I249" s="35"/>
      <c r="J249" s="35"/>
      <c r="K249" s="35"/>
      <c r="L249" s="35"/>
      <c r="M249" s="35"/>
      <c r="N249" s="35"/>
      <c r="O249" s="35"/>
      <c r="P249" s="35"/>
      <c r="Q249" s="35"/>
      <c r="R249" s="35"/>
      <c r="S249" s="35"/>
      <c r="T249" s="35"/>
      <c r="U249" s="35"/>
      <c r="V249" s="35"/>
      <c r="W249" s="35"/>
      <c r="X249" s="34"/>
      <c r="Y249" s="35"/>
      <c r="Z249" s="35"/>
      <c r="AA249" s="35"/>
      <c r="AB249" s="35"/>
      <c r="AC249" s="35"/>
      <c r="AD249" s="35"/>
      <c r="AE249" s="35"/>
      <c r="AF249" s="35"/>
      <c r="AG249" s="35"/>
      <c r="AH249" s="35"/>
      <c r="AI249" s="35"/>
      <c r="AJ249" s="35"/>
      <c r="AK249" s="35"/>
      <c r="AL249" s="34"/>
      <c r="AM249" s="34"/>
      <c r="AN249" s="104"/>
      <c r="AO249" s="104"/>
      <c r="AP249" s="104"/>
    </row>
    <row r="250">
      <c r="A250" s="34"/>
      <c r="B250" s="34"/>
      <c r="C250" s="34"/>
      <c r="D250" s="34"/>
      <c r="E250" s="35"/>
      <c r="F250" s="35"/>
      <c r="G250" s="35"/>
      <c r="H250" s="35"/>
      <c r="I250" s="35"/>
      <c r="J250" s="35"/>
      <c r="K250" s="35"/>
      <c r="L250" s="35"/>
      <c r="M250" s="35"/>
      <c r="N250" s="35"/>
      <c r="O250" s="35"/>
      <c r="P250" s="35"/>
      <c r="Q250" s="35"/>
      <c r="R250" s="35"/>
      <c r="S250" s="35"/>
      <c r="T250" s="35"/>
      <c r="U250" s="35"/>
      <c r="V250" s="35"/>
      <c r="W250" s="35"/>
      <c r="X250" s="34"/>
      <c r="Y250" s="35"/>
      <c r="Z250" s="35"/>
      <c r="AA250" s="35"/>
      <c r="AB250" s="35"/>
      <c r="AC250" s="35"/>
      <c r="AD250" s="35"/>
      <c r="AE250" s="35"/>
      <c r="AF250" s="35"/>
      <c r="AG250" s="35"/>
      <c r="AH250" s="35"/>
      <c r="AI250" s="35"/>
      <c r="AJ250" s="35"/>
      <c r="AK250" s="35"/>
      <c r="AL250" s="34"/>
      <c r="AM250" s="34"/>
      <c r="AN250" s="104"/>
      <c r="AO250" s="104"/>
      <c r="AP250" s="104"/>
    </row>
    <row r="251">
      <c r="A251" s="34"/>
      <c r="B251" s="34"/>
      <c r="C251" s="34"/>
      <c r="D251" s="34"/>
      <c r="E251" s="35"/>
      <c r="F251" s="35"/>
      <c r="G251" s="35"/>
      <c r="H251" s="35"/>
      <c r="I251" s="35"/>
      <c r="J251" s="35"/>
      <c r="K251" s="35"/>
      <c r="L251" s="35"/>
      <c r="M251" s="35"/>
      <c r="N251" s="35"/>
      <c r="O251" s="35"/>
      <c r="P251" s="35"/>
      <c r="Q251" s="35"/>
      <c r="R251" s="35"/>
      <c r="S251" s="35"/>
      <c r="T251" s="35"/>
      <c r="U251" s="35"/>
      <c r="V251" s="35"/>
      <c r="W251" s="35"/>
      <c r="X251" s="34"/>
      <c r="Y251" s="35"/>
      <c r="Z251" s="35"/>
      <c r="AA251" s="35"/>
      <c r="AB251" s="35"/>
      <c r="AC251" s="35"/>
      <c r="AD251" s="35"/>
      <c r="AE251" s="35"/>
      <c r="AF251" s="35"/>
      <c r="AG251" s="35"/>
      <c r="AH251" s="35"/>
      <c r="AI251" s="35"/>
      <c r="AJ251" s="35"/>
      <c r="AK251" s="35"/>
      <c r="AL251" s="34"/>
      <c r="AM251" s="34"/>
      <c r="AN251" s="104"/>
      <c r="AO251" s="104"/>
      <c r="AP251" s="104"/>
    </row>
    <row r="252">
      <c r="A252" s="34"/>
      <c r="B252" s="34"/>
      <c r="C252" s="34"/>
      <c r="D252" s="34"/>
      <c r="E252" s="35"/>
      <c r="F252" s="35"/>
      <c r="G252" s="35"/>
      <c r="H252" s="35"/>
      <c r="I252" s="35"/>
      <c r="J252" s="35"/>
      <c r="K252" s="35"/>
      <c r="L252" s="35"/>
      <c r="M252" s="35"/>
      <c r="N252" s="35"/>
      <c r="O252" s="35"/>
      <c r="P252" s="35"/>
      <c r="Q252" s="35"/>
      <c r="R252" s="35"/>
      <c r="S252" s="35"/>
      <c r="T252" s="35"/>
      <c r="U252" s="35"/>
      <c r="V252" s="35"/>
      <c r="W252" s="35"/>
      <c r="X252" s="34"/>
      <c r="Y252" s="35"/>
      <c r="Z252" s="35"/>
      <c r="AA252" s="35"/>
      <c r="AB252" s="35"/>
      <c r="AC252" s="35"/>
      <c r="AD252" s="35"/>
      <c r="AE252" s="35"/>
      <c r="AF252" s="35"/>
      <c r="AG252" s="35"/>
      <c r="AH252" s="35"/>
      <c r="AI252" s="35"/>
      <c r="AJ252" s="35"/>
      <c r="AK252" s="35"/>
      <c r="AL252" s="34"/>
      <c r="AM252" s="34"/>
      <c r="AN252" s="104"/>
      <c r="AO252" s="104"/>
      <c r="AP252" s="104"/>
    </row>
    <row r="253">
      <c r="A253" s="34"/>
      <c r="B253" s="34"/>
      <c r="C253" s="34"/>
      <c r="D253" s="34"/>
      <c r="E253" s="35"/>
      <c r="F253" s="35"/>
      <c r="G253" s="35"/>
      <c r="H253" s="35"/>
      <c r="I253" s="35"/>
      <c r="J253" s="35"/>
      <c r="K253" s="35"/>
      <c r="L253" s="35"/>
      <c r="M253" s="35"/>
      <c r="N253" s="35"/>
      <c r="O253" s="35"/>
      <c r="P253" s="35"/>
      <c r="Q253" s="35"/>
      <c r="R253" s="35"/>
      <c r="S253" s="35"/>
      <c r="T253" s="35"/>
      <c r="U253" s="35"/>
      <c r="V253" s="35"/>
      <c r="W253" s="35"/>
      <c r="X253" s="34"/>
      <c r="Y253" s="35"/>
      <c r="Z253" s="35"/>
      <c r="AA253" s="35"/>
      <c r="AB253" s="35"/>
      <c r="AC253" s="35"/>
      <c r="AD253" s="35"/>
      <c r="AE253" s="35"/>
      <c r="AF253" s="35"/>
      <c r="AG253" s="35"/>
      <c r="AH253" s="35"/>
      <c r="AI253" s="35"/>
      <c r="AJ253" s="35"/>
      <c r="AK253" s="35"/>
      <c r="AL253" s="34"/>
      <c r="AM253" s="34"/>
      <c r="AN253" s="104"/>
      <c r="AO253" s="104"/>
      <c r="AP253" s="104"/>
    </row>
    <row r="254">
      <c r="A254" s="34"/>
      <c r="B254" s="34"/>
      <c r="C254" s="34"/>
      <c r="D254" s="34"/>
      <c r="E254" s="35"/>
      <c r="F254" s="35"/>
      <c r="G254" s="35"/>
      <c r="H254" s="35"/>
      <c r="I254" s="35"/>
      <c r="J254" s="35"/>
      <c r="K254" s="35"/>
      <c r="L254" s="35"/>
      <c r="M254" s="35"/>
      <c r="N254" s="35"/>
      <c r="O254" s="35"/>
      <c r="P254" s="35"/>
      <c r="Q254" s="35"/>
      <c r="R254" s="35"/>
      <c r="S254" s="35"/>
      <c r="T254" s="35"/>
      <c r="U254" s="35"/>
      <c r="V254" s="35"/>
      <c r="W254" s="35"/>
      <c r="X254" s="34"/>
      <c r="Y254" s="35"/>
      <c r="Z254" s="35"/>
      <c r="AA254" s="35"/>
      <c r="AB254" s="35"/>
      <c r="AC254" s="35"/>
      <c r="AD254" s="35"/>
      <c r="AE254" s="35"/>
      <c r="AF254" s="35"/>
      <c r="AG254" s="35"/>
      <c r="AH254" s="35"/>
      <c r="AI254" s="35"/>
      <c r="AJ254" s="35"/>
      <c r="AK254" s="35"/>
      <c r="AL254" s="34"/>
      <c r="AM254" s="34"/>
      <c r="AN254" s="104"/>
      <c r="AO254" s="104"/>
      <c r="AP254" s="104"/>
    </row>
    <row r="255">
      <c r="A255" s="34"/>
      <c r="B255" s="34"/>
      <c r="C255" s="34"/>
      <c r="D255" s="34"/>
      <c r="E255" s="35"/>
      <c r="F255" s="35"/>
      <c r="G255" s="35"/>
      <c r="H255" s="35"/>
      <c r="I255" s="35"/>
      <c r="J255" s="35"/>
      <c r="K255" s="35"/>
      <c r="L255" s="35"/>
      <c r="M255" s="35"/>
      <c r="N255" s="35"/>
      <c r="O255" s="35"/>
      <c r="P255" s="35"/>
      <c r="Q255" s="35"/>
      <c r="R255" s="35"/>
      <c r="S255" s="35"/>
      <c r="T255" s="35"/>
      <c r="U255" s="35"/>
      <c r="V255" s="35"/>
      <c r="W255" s="35"/>
      <c r="X255" s="34"/>
      <c r="Y255" s="35"/>
      <c r="Z255" s="35"/>
      <c r="AA255" s="35"/>
      <c r="AB255" s="35"/>
      <c r="AC255" s="35"/>
      <c r="AD255" s="35"/>
      <c r="AE255" s="35"/>
      <c r="AF255" s="35"/>
      <c r="AG255" s="35"/>
      <c r="AH255" s="35"/>
      <c r="AI255" s="35"/>
      <c r="AJ255" s="35"/>
      <c r="AK255" s="35"/>
      <c r="AL255" s="34"/>
      <c r="AM255" s="34"/>
      <c r="AN255" s="104"/>
      <c r="AO255" s="104"/>
      <c r="AP255" s="104"/>
    </row>
    <row r="256">
      <c r="A256" s="34"/>
      <c r="B256" s="34"/>
      <c r="C256" s="34"/>
      <c r="D256" s="34"/>
      <c r="E256" s="35"/>
      <c r="F256" s="35"/>
      <c r="G256" s="35"/>
      <c r="H256" s="35"/>
      <c r="I256" s="35"/>
      <c r="J256" s="35"/>
      <c r="K256" s="35"/>
      <c r="L256" s="35"/>
      <c r="M256" s="35"/>
      <c r="N256" s="35"/>
      <c r="O256" s="35"/>
      <c r="P256" s="35"/>
      <c r="Q256" s="35"/>
      <c r="R256" s="35"/>
      <c r="S256" s="35"/>
      <c r="T256" s="35"/>
      <c r="U256" s="35"/>
      <c r="V256" s="35"/>
      <c r="W256" s="35"/>
      <c r="X256" s="34"/>
      <c r="Y256" s="35"/>
      <c r="Z256" s="35"/>
      <c r="AA256" s="35"/>
      <c r="AB256" s="35"/>
      <c r="AC256" s="35"/>
      <c r="AD256" s="35"/>
      <c r="AE256" s="35"/>
      <c r="AF256" s="35"/>
      <c r="AG256" s="35"/>
      <c r="AH256" s="35"/>
      <c r="AI256" s="35"/>
      <c r="AJ256" s="35"/>
      <c r="AK256" s="35"/>
      <c r="AL256" s="34"/>
      <c r="AM256" s="34"/>
      <c r="AN256" s="104"/>
      <c r="AO256" s="104"/>
      <c r="AP256" s="104"/>
    </row>
    <row r="257">
      <c r="A257" s="34"/>
      <c r="B257" s="34"/>
      <c r="C257" s="34"/>
      <c r="D257" s="34"/>
      <c r="E257" s="35"/>
      <c r="F257" s="35"/>
      <c r="G257" s="35"/>
      <c r="H257" s="35"/>
      <c r="I257" s="35"/>
      <c r="J257" s="35"/>
      <c r="K257" s="35"/>
      <c r="L257" s="35"/>
      <c r="M257" s="35"/>
      <c r="N257" s="35"/>
      <c r="O257" s="35"/>
      <c r="P257" s="35"/>
      <c r="Q257" s="35"/>
      <c r="R257" s="35"/>
      <c r="S257" s="35"/>
      <c r="T257" s="35"/>
      <c r="U257" s="35"/>
      <c r="V257" s="35"/>
      <c r="W257" s="35"/>
      <c r="X257" s="34"/>
      <c r="Y257" s="35"/>
      <c r="Z257" s="35"/>
      <c r="AA257" s="35"/>
      <c r="AB257" s="35"/>
      <c r="AC257" s="35"/>
      <c r="AD257" s="35"/>
      <c r="AE257" s="35"/>
      <c r="AF257" s="35"/>
      <c r="AG257" s="35"/>
      <c r="AH257" s="35"/>
      <c r="AI257" s="35"/>
      <c r="AJ257" s="35"/>
      <c r="AK257" s="35"/>
      <c r="AL257" s="34"/>
      <c r="AM257" s="34"/>
      <c r="AN257" s="104"/>
      <c r="AO257" s="104"/>
      <c r="AP257" s="104"/>
    </row>
    <row r="258">
      <c r="A258" s="34"/>
      <c r="B258" s="34"/>
      <c r="C258" s="34"/>
      <c r="D258" s="34"/>
      <c r="E258" s="35"/>
      <c r="F258" s="35"/>
      <c r="G258" s="35"/>
      <c r="H258" s="35"/>
      <c r="I258" s="35"/>
      <c r="J258" s="35"/>
      <c r="K258" s="35"/>
      <c r="L258" s="35"/>
      <c r="M258" s="35"/>
      <c r="N258" s="35"/>
      <c r="O258" s="35"/>
      <c r="P258" s="35"/>
      <c r="Q258" s="35"/>
      <c r="R258" s="35"/>
      <c r="S258" s="35"/>
      <c r="T258" s="35"/>
      <c r="U258" s="35"/>
      <c r="V258" s="35"/>
      <c r="W258" s="35"/>
      <c r="X258" s="34"/>
      <c r="Y258" s="35"/>
      <c r="Z258" s="35"/>
      <c r="AA258" s="35"/>
      <c r="AB258" s="35"/>
      <c r="AC258" s="35"/>
      <c r="AD258" s="35"/>
      <c r="AE258" s="35"/>
      <c r="AF258" s="35"/>
      <c r="AG258" s="35"/>
      <c r="AH258" s="35"/>
      <c r="AI258" s="35"/>
      <c r="AJ258" s="35"/>
      <c r="AK258" s="35"/>
      <c r="AL258" s="34"/>
      <c r="AM258" s="34"/>
      <c r="AN258" s="104"/>
      <c r="AO258" s="104"/>
      <c r="AP258" s="104"/>
    </row>
    <row r="259">
      <c r="A259" s="34"/>
      <c r="B259" s="34"/>
      <c r="C259" s="34"/>
      <c r="D259" s="34"/>
      <c r="E259" s="35"/>
      <c r="F259" s="35"/>
      <c r="G259" s="35"/>
      <c r="H259" s="35"/>
      <c r="I259" s="35"/>
      <c r="J259" s="35"/>
      <c r="K259" s="35"/>
      <c r="L259" s="35"/>
      <c r="M259" s="35"/>
      <c r="N259" s="35"/>
      <c r="O259" s="35"/>
      <c r="P259" s="35"/>
      <c r="Q259" s="35"/>
      <c r="R259" s="35"/>
      <c r="S259" s="35"/>
      <c r="T259" s="35"/>
      <c r="U259" s="35"/>
      <c r="V259" s="35"/>
      <c r="W259" s="35"/>
      <c r="X259" s="34"/>
      <c r="Y259" s="35"/>
      <c r="Z259" s="35"/>
      <c r="AA259" s="35"/>
      <c r="AB259" s="35"/>
      <c r="AC259" s="35"/>
      <c r="AD259" s="35"/>
      <c r="AE259" s="35"/>
      <c r="AF259" s="35"/>
      <c r="AG259" s="35"/>
      <c r="AH259" s="35"/>
      <c r="AI259" s="35"/>
      <c r="AJ259" s="35"/>
      <c r="AK259" s="35"/>
      <c r="AL259" s="34"/>
      <c r="AM259" s="34"/>
      <c r="AN259" s="104"/>
      <c r="AO259" s="104"/>
      <c r="AP259" s="104"/>
    </row>
    <row r="260">
      <c r="A260" s="34"/>
      <c r="B260" s="34"/>
      <c r="C260" s="34"/>
      <c r="D260" s="34"/>
      <c r="E260" s="35"/>
      <c r="F260" s="35"/>
      <c r="G260" s="35"/>
      <c r="H260" s="35"/>
      <c r="I260" s="35"/>
      <c r="J260" s="35"/>
      <c r="K260" s="35"/>
      <c r="L260" s="35"/>
      <c r="M260" s="35"/>
      <c r="N260" s="35"/>
      <c r="O260" s="35"/>
      <c r="P260" s="35"/>
      <c r="Q260" s="35"/>
      <c r="R260" s="35"/>
      <c r="S260" s="35"/>
      <c r="T260" s="35"/>
      <c r="U260" s="35"/>
      <c r="V260" s="35"/>
      <c r="W260" s="35"/>
      <c r="X260" s="34"/>
      <c r="Y260" s="35"/>
      <c r="Z260" s="35"/>
      <c r="AA260" s="35"/>
      <c r="AB260" s="35"/>
      <c r="AC260" s="35"/>
      <c r="AD260" s="35"/>
      <c r="AE260" s="35"/>
      <c r="AF260" s="35"/>
      <c r="AG260" s="35"/>
      <c r="AH260" s="35"/>
      <c r="AI260" s="35"/>
      <c r="AJ260" s="35"/>
      <c r="AK260" s="35"/>
      <c r="AL260" s="34"/>
      <c r="AM260" s="34"/>
      <c r="AN260" s="104"/>
      <c r="AO260" s="104"/>
      <c r="AP260" s="104"/>
    </row>
    <row r="261">
      <c r="A261" s="34"/>
      <c r="B261" s="34"/>
      <c r="C261" s="34"/>
      <c r="D261" s="34"/>
      <c r="E261" s="35"/>
      <c r="F261" s="35"/>
      <c r="G261" s="35"/>
      <c r="H261" s="35"/>
      <c r="I261" s="35"/>
      <c r="J261" s="35"/>
      <c r="K261" s="35"/>
      <c r="L261" s="35"/>
      <c r="M261" s="35"/>
      <c r="N261" s="35"/>
      <c r="O261" s="35"/>
      <c r="P261" s="35"/>
      <c r="Q261" s="35"/>
      <c r="R261" s="35"/>
      <c r="S261" s="35"/>
      <c r="T261" s="35"/>
      <c r="U261" s="35"/>
      <c r="V261" s="35"/>
      <c r="W261" s="35"/>
      <c r="X261" s="34"/>
      <c r="Y261" s="35"/>
      <c r="Z261" s="35"/>
      <c r="AA261" s="35"/>
      <c r="AB261" s="35"/>
      <c r="AC261" s="35"/>
      <c r="AD261" s="35"/>
      <c r="AE261" s="35"/>
      <c r="AF261" s="35"/>
      <c r="AG261" s="35"/>
      <c r="AH261" s="35"/>
      <c r="AI261" s="35"/>
      <c r="AJ261" s="35"/>
      <c r="AK261" s="35"/>
      <c r="AL261" s="34"/>
      <c r="AM261" s="34"/>
      <c r="AN261" s="104"/>
      <c r="AO261" s="104"/>
      <c r="AP261" s="104"/>
    </row>
    <row r="262">
      <c r="A262" s="34"/>
      <c r="B262" s="34"/>
      <c r="C262" s="34"/>
      <c r="D262" s="34"/>
      <c r="E262" s="35"/>
      <c r="F262" s="35"/>
      <c r="G262" s="35"/>
      <c r="H262" s="35"/>
      <c r="I262" s="35"/>
      <c r="J262" s="35"/>
      <c r="K262" s="35"/>
      <c r="L262" s="35"/>
      <c r="M262" s="35"/>
      <c r="N262" s="35"/>
      <c r="O262" s="35"/>
      <c r="P262" s="35"/>
      <c r="Q262" s="35"/>
      <c r="R262" s="35"/>
      <c r="S262" s="35"/>
      <c r="T262" s="35"/>
      <c r="U262" s="35"/>
      <c r="V262" s="35"/>
      <c r="W262" s="35"/>
      <c r="X262" s="34"/>
      <c r="Y262" s="35"/>
      <c r="Z262" s="35"/>
      <c r="AA262" s="35"/>
      <c r="AB262" s="35"/>
      <c r="AC262" s="35"/>
      <c r="AD262" s="35"/>
      <c r="AE262" s="35"/>
      <c r="AF262" s="35"/>
      <c r="AG262" s="35"/>
      <c r="AH262" s="35"/>
      <c r="AI262" s="35"/>
      <c r="AJ262" s="35"/>
      <c r="AK262" s="35"/>
      <c r="AL262" s="34"/>
      <c r="AM262" s="34"/>
      <c r="AN262" s="104"/>
      <c r="AO262" s="104"/>
      <c r="AP262" s="104"/>
    </row>
    <row r="263">
      <c r="A263" s="34"/>
      <c r="B263" s="34"/>
      <c r="C263" s="34"/>
      <c r="D263" s="34"/>
      <c r="E263" s="35"/>
      <c r="F263" s="35"/>
      <c r="G263" s="35"/>
      <c r="H263" s="35"/>
      <c r="I263" s="35"/>
      <c r="J263" s="35"/>
      <c r="K263" s="35"/>
      <c r="L263" s="35"/>
      <c r="M263" s="35"/>
      <c r="N263" s="35"/>
      <c r="O263" s="35"/>
      <c r="P263" s="35"/>
      <c r="Q263" s="35"/>
      <c r="R263" s="35"/>
      <c r="S263" s="35"/>
      <c r="T263" s="35"/>
      <c r="U263" s="35"/>
      <c r="V263" s="35"/>
      <c r="W263" s="35"/>
      <c r="X263" s="34"/>
      <c r="Y263" s="35"/>
      <c r="Z263" s="35"/>
      <c r="AA263" s="35"/>
      <c r="AB263" s="35"/>
      <c r="AC263" s="35"/>
      <c r="AD263" s="35"/>
      <c r="AE263" s="35"/>
      <c r="AF263" s="35"/>
      <c r="AG263" s="35"/>
      <c r="AH263" s="35"/>
      <c r="AI263" s="35"/>
      <c r="AJ263" s="35"/>
      <c r="AK263" s="35"/>
      <c r="AL263" s="34"/>
      <c r="AM263" s="34"/>
      <c r="AN263" s="104"/>
      <c r="AO263" s="104"/>
      <c r="AP263" s="104"/>
    </row>
    <row r="264">
      <c r="A264" s="34"/>
      <c r="B264" s="34"/>
      <c r="C264" s="34"/>
      <c r="D264" s="34"/>
      <c r="E264" s="35"/>
      <c r="F264" s="35"/>
      <c r="G264" s="35"/>
      <c r="H264" s="35"/>
      <c r="I264" s="35"/>
      <c r="J264" s="35"/>
      <c r="K264" s="35"/>
      <c r="L264" s="35"/>
      <c r="M264" s="35"/>
      <c r="N264" s="35"/>
      <c r="O264" s="35"/>
      <c r="P264" s="35"/>
      <c r="Q264" s="35"/>
      <c r="R264" s="35"/>
      <c r="S264" s="35"/>
      <c r="T264" s="35"/>
      <c r="U264" s="35"/>
      <c r="V264" s="35"/>
      <c r="W264" s="35"/>
      <c r="X264" s="34"/>
      <c r="Y264" s="35"/>
      <c r="Z264" s="35"/>
      <c r="AA264" s="35"/>
      <c r="AB264" s="35"/>
      <c r="AC264" s="35"/>
      <c r="AD264" s="35"/>
      <c r="AE264" s="35"/>
      <c r="AF264" s="35"/>
      <c r="AG264" s="35"/>
      <c r="AH264" s="35"/>
      <c r="AI264" s="35"/>
      <c r="AJ264" s="35"/>
      <c r="AK264" s="35"/>
      <c r="AL264" s="34"/>
      <c r="AM264" s="34"/>
      <c r="AN264" s="104"/>
      <c r="AO264" s="104"/>
      <c r="AP264" s="104"/>
    </row>
    <row r="265">
      <c r="A265" s="34"/>
      <c r="B265" s="34"/>
      <c r="C265" s="34"/>
      <c r="D265" s="34"/>
      <c r="E265" s="35"/>
      <c r="F265" s="35"/>
      <c r="G265" s="35"/>
      <c r="H265" s="35"/>
      <c r="I265" s="35"/>
      <c r="J265" s="35"/>
      <c r="K265" s="35"/>
      <c r="L265" s="35"/>
      <c r="M265" s="35"/>
      <c r="N265" s="35"/>
      <c r="O265" s="35"/>
      <c r="P265" s="35"/>
      <c r="Q265" s="35"/>
      <c r="R265" s="35"/>
      <c r="S265" s="35"/>
      <c r="T265" s="35"/>
      <c r="U265" s="35"/>
      <c r="V265" s="35"/>
      <c r="W265" s="35"/>
      <c r="X265" s="34"/>
      <c r="Y265" s="35"/>
      <c r="Z265" s="35"/>
      <c r="AA265" s="35"/>
      <c r="AB265" s="35"/>
      <c r="AC265" s="35"/>
      <c r="AD265" s="35"/>
      <c r="AE265" s="35"/>
      <c r="AF265" s="35"/>
      <c r="AG265" s="35"/>
      <c r="AH265" s="35"/>
      <c r="AI265" s="35"/>
      <c r="AJ265" s="35"/>
      <c r="AK265" s="35"/>
      <c r="AL265" s="34"/>
      <c r="AM265" s="34"/>
      <c r="AN265" s="104"/>
      <c r="AO265" s="104"/>
      <c r="AP265" s="104"/>
    </row>
    <row r="266">
      <c r="A266" s="34"/>
      <c r="B266" s="34"/>
      <c r="C266" s="34"/>
      <c r="D266" s="34"/>
      <c r="E266" s="35"/>
      <c r="F266" s="35"/>
      <c r="G266" s="35"/>
      <c r="H266" s="35"/>
      <c r="I266" s="35"/>
      <c r="J266" s="35"/>
      <c r="K266" s="35"/>
      <c r="L266" s="35"/>
      <c r="M266" s="35"/>
      <c r="N266" s="35"/>
      <c r="O266" s="35"/>
      <c r="P266" s="35"/>
      <c r="Q266" s="35"/>
      <c r="R266" s="35"/>
      <c r="S266" s="35"/>
      <c r="T266" s="35"/>
      <c r="U266" s="35"/>
      <c r="V266" s="35"/>
      <c r="W266" s="35"/>
      <c r="X266" s="34"/>
      <c r="Y266" s="35"/>
      <c r="Z266" s="35"/>
      <c r="AA266" s="35"/>
      <c r="AB266" s="35"/>
      <c r="AC266" s="35"/>
      <c r="AD266" s="35"/>
      <c r="AE266" s="35"/>
      <c r="AF266" s="35"/>
      <c r="AG266" s="35"/>
      <c r="AH266" s="35"/>
      <c r="AI266" s="35"/>
      <c r="AJ266" s="35"/>
      <c r="AK266" s="35"/>
      <c r="AL266" s="34"/>
      <c r="AM266" s="34"/>
      <c r="AN266" s="104"/>
      <c r="AO266" s="104"/>
      <c r="AP266" s="104"/>
    </row>
    <row r="267">
      <c r="A267" s="34"/>
      <c r="B267" s="34"/>
      <c r="C267" s="34"/>
      <c r="D267" s="34"/>
      <c r="E267" s="35"/>
      <c r="F267" s="35"/>
      <c r="G267" s="35"/>
      <c r="H267" s="35"/>
      <c r="I267" s="35"/>
      <c r="J267" s="35"/>
      <c r="K267" s="35"/>
      <c r="L267" s="35"/>
      <c r="M267" s="35"/>
      <c r="N267" s="35"/>
      <c r="O267" s="35"/>
      <c r="P267" s="35"/>
      <c r="Q267" s="35"/>
      <c r="R267" s="35"/>
      <c r="S267" s="35"/>
      <c r="T267" s="35"/>
      <c r="U267" s="35"/>
      <c r="V267" s="35"/>
      <c r="W267" s="35"/>
      <c r="X267" s="34"/>
      <c r="Y267" s="35"/>
      <c r="Z267" s="35"/>
      <c r="AA267" s="35"/>
      <c r="AB267" s="35"/>
      <c r="AC267" s="35"/>
      <c r="AD267" s="35"/>
      <c r="AE267" s="35"/>
      <c r="AF267" s="35"/>
      <c r="AG267" s="35"/>
      <c r="AH267" s="35"/>
      <c r="AI267" s="35"/>
      <c r="AJ267" s="35"/>
      <c r="AK267" s="35"/>
      <c r="AL267" s="34"/>
      <c r="AM267" s="34"/>
      <c r="AN267" s="104"/>
      <c r="AO267" s="104"/>
      <c r="AP267" s="104"/>
    </row>
    <row r="268">
      <c r="A268" s="34"/>
      <c r="B268" s="34"/>
      <c r="C268" s="34"/>
      <c r="D268" s="34"/>
      <c r="E268" s="35"/>
      <c r="F268" s="35"/>
      <c r="G268" s="35"/>
      <c r="H268" s="35"/>
      <c r="I268" s="35"/>
      <c r="J268" s="35"/>
      <c r="K268" s="35"/>
      <c r="L268" s="35"/>
      <c r="M268" s="35"/>
      <c r="N268" s="35"/>
      <c r="O268" s="35"/>
      <c r="P268" s="35"/>
      <c r="Q268" s="35"/>
      <c r="R268" s="35"/>
      <c r="S268" s="35"/>
      <c r="T268" s="35"/>
      <c r="U268" s="35"/>
      <c r="V268" s="35"/>
      <c r="W268" s="35"/>
      <c r="X268" s="34"/>
      <c r="Y268" s="35"/>
      <c r="Z268" s="35"/>
      <c r="AA268" s="35"/>
      <c r="AB268" s="35"/>
      <c r="AC268" s="35"/>
      <c r="AD268" s="35"/>
      <c r="AE268" s="35"/>
      <c r="AF268" s="35"/>
      <c r="AG268" s="35"/>
      <c r="AH268" s="35"/>
      <c r="AI268" s="35"/>
      <c r="AJ268" s="35"/>
      <c r="AK268" s="35"/>
      <c r="AL268" s="34"/>
      <c r="AM268" s="34"/>
      <c r="AN268" s="104"/>
      <c r="AO268" s="104"/>
      <c r="AP268" s="104"/>
    </row>
    <row r="269">
      <c r="A269" s="34"/>
      <c r="B269" s="34"/>
      <c r="C269" s="34"/>
      <c r="D269" s="34"/>
      <c r="E269" s="35"/>
      <c r="F269" s="35"/>
      <c r="G269" s="35"/>
      <c r="H269" s="35"/>
      <c r="I269" s="35"/>
      <c r="J269" s="35"/>
      <c r="K269" s="35"/>
      <c r="L269" s="35"/>
      <c r="M269" s="35"/>
      <c r="N269" s="35"/>
      <c r="O269" s="35"/>
      <c r="P269" s="35"/>
      <c r="Q269" s="35"/>
      <c r="R269" s="35"/>
      <c r="S269" s="35"/>
      <c r="T269" s="35"/>
      <c r="U269" s="35"/>
      <c r="V269" s="35"/>
      <c r="W269" s="35"/>
      <c r="X269" s="34"/>
      <c r="Y269" s="35"/>
      <c r="Z269" s="35"/>
      <c r="AA269" s="35"/>
      <c r="AB269" s="35"/>
      <c r="AC269" s="35"/>
      <c r="AD269" s="35"/>
      <c r="AE269" s="35"/>
      <c r="AF269" s="35"/>
      <c r="AG269" s="35"/>
      <c r="AH269" s="35"/>
      <c r="AI269" s="35"/>
      <c r="AJ269" s="35"/>
      <c r="AK269" s="35"/>
      <c r="AL269" s="34"/>
      <c r="AM269" s="34"/>
      <c r="AN269" s="104"/>
      <c r="AO269" s="104"/>
      <c r="AP269" s="104"/>
    </row>
    <row r="270">
      <c r="A270" s="34"/>
      <c r="B270" s="34"/>
      <c r="C270" s="34"/>
      <c r="D270" s="34"/>
      <c r="E270" s="35"/>
      <c r="F270" s="35"/>
      <c r="G270" s="35"/>
      <c r="H270" s="35"/>
      <c r="I270" s="35"/>
      <c r="J270" s="35"/>
      <c r="K270" s="35"/>
      <c r="L270" s="35"/>
      <c r="M270" s="35"/>
      <c r="N270" s="35"/>
      <c r="O270" s="35"/>
      <c r="P270" s="35"/>
      <c r="Q270" s="35"/>
      <c r="R270" s="35"/>
      <c r="S270" s="35"/>
      <c r="T270" s="35"/>
      <c r="U270" s="35"/>
      <c r="V270" s="35"/>
      <c r="W270" s="35"/>
      <c r="X270" s="34"/>
      <c r="Y270" s="35"/>
      <c r="Z270" s="35"/>
      <c r="AA270" s="35"/>
      <c r="AB270" s="35"/>
      <c r="AC270" s="35"/>
      <c r="AD270" s="35"/>
      <c r="AE270" s="35"/>
      <c r="AF270" s="35"/>
      <c r="AG270" s="35"/>
      <c r="AH270" s="35"/>
      <c r="AI270" s="35"/>
      <c r="AJ270" s="35"/>
      <c r="AK270" s="35"/>
      <c r="AL270" s="34"/>
      <c r="AM270" s="34"/>
      <c r="AN270" s="104"/>
      <c r="AO270" s="104"/>
      <c r="AP270" s="104"/>
    </row>
    <row r="271">
      <c r="A271" s="34"/>
      <c r="B271" s="34"/>
      <c r="C271" s="34"/>
      <c r="D271" s="34"/>
      <c r="E271" s="35"/>
      <c r="F271" s="35"/>
      <c r="G271" s="35"/>
      <c r="H271" s="35"/>
      <c r="I271" s="35"/>
      <c r="J271" s="35"/>
      <c r="K271" s="35"/>
      <c r="L271" s="35"/>
      <c r="M271" s="35"/>
      <c r="N271" s="35"/>
      <c r="O271" s="35"/>
      <c r="P271" s="35"/>
      <c r="Q271" s="35"/>
      <c r="R271" s="35"/>
      <c r="S271" s="35"/>
      <c r="T271" s="35"/>
      <c r="U271" s="35"/>
      <c r="V271" s="35"/>
      <c r="W271" s="35"/>
      <c r="X271" s="34"/>
      <c r="Y271" s="35"/>
      <c r="Z271" s="35"/>
      <c r="AA271" s="35"/>
      <c r="AB271" s="35"/>
      <c r="AC271" s="35"/>
      <c r="AD271" s="35"/>
      <c r="AE271" s="35"/>
      <c r="AF271" s="35"/>
      <c r="AG271" s="35"/>
      <c r="AH271" s="35"/>
      <c r="AI271" s="35"/>
      <c r="AJ271" s="35"/>
      <c r="AK271" s="35"/>
      <c r="AL271" s="34"/>
      <c r="AM271" s="34"/>
      <c r="AN271" s="104"/>
      <c r="AO271" s="104"/>
      <c r="AP271" s="104"/>
    </row>
    <row r="272">
      <c r="A272" s="34"/>
      <c r="B272" s="34"/>
      <c r="C272" s="34"/>
      <c r="D272" s="34"/>
      <c r="E272" s="35"/>
      <c r="F272" s="35"/>
      <c r="G272" s="35"/>
      <c r="H272" s="35"/>
      <c r="I272" s="35"/>
      <c r="J272" s="35"/>
      <c r="K272" s="35"/>
      <c r="L272" s="35"/>
      <c r="M272" s="35"/>
      <c r="N272" s="35"/>
      <c r="O272" s="35"/>
      <c r="P272" s="35"/>
      <c r="Q272" s="35"/>
      <c r="R272" s="35"/>
      <c r="S272" s="35"/>
      <c r="T272" s="35"/>
      <c r="U272" s="35"/>
      <c r="V272" s="35"/>
      <c r="W272" s="35"/>
      <c r="X272" s="34"/>
      <c r="Y272" s="35"/>
      <c r="Z272" s="35"/>
      <c r="AA272" s="35"/>
      <c r="AB272" s="35"/>
      <c r="AC272" s="35"/>
      <c r="AD272" s="35"/>
      <c r="AE272" s="35"/>
      <c r="AF272" s="35"/>
      <c r="AG272" s="35"/>
      <c r="AH272" s="35"/>
      <c r="AI272" s="35"/>
      <c r="AJ272" s="35"/>
      <c r="AK272" s="35"/>
      <c r="AL272" s="34"/>
      <c r="AM272" s="34"/>
      <c r="AN272" s="104"/>
      <c r="AO272" s="104"/>
      <c r="AP272" s="104"/>
    </row>
    <row r="273">
      <c r="A273" s="34"/>
      <c r="B273" s="34"/>
      <c r="C273" s="34"/>
      <c r="D273" s="34"/>
      <c r="E273" s="35"/>
      <c r="F273" s="35"/>
      <c r="G273" s="35"/>
      <c r="H273" s="35"/>
      <c r="I273" s="35"/>
      <c r="J273" s="35"/>
      <c r="K273" s="35"/>
      <c r="L273" s="35"/>
      <c r="M273" s="35"/>
      <c r="N273" s="35"/>
      <c r="O273" s="35"/>
      <c r="P273" s="35"/>
      <c r="Q273" s="35"/>
      <c r="R273" s="35"/>
      <c r="S273" s="35"/>
      <c r="T273" s="35"/>
      <c r="U273" s="35"/>
      <c r="V273" s="35"/>
      <c r="W273" s="35"/>
      <c r="X273" s="34"/>
      <c r="Y273" s="35"/>
      <c r="Z273" s="35"/>
      <c r="AA273" s="35"/>
      <c r="AB273" s="35"/>
      <c r="AC273" s="35"/>
      <c r="AD273" s="35"/>
      <c r="AE273" s="35"/>
      <c r="AF273" s="35"/>
      <c r="AG273" s="35"/>
      <c r="AH273" s="35"/>
      <c r="AI273" s="35"/>
      <c r="AJ273" s="35"/>
      <c r="AK273" s="35"/>
      <c r="AL273" s="34"/>
      <c r="AM273" s="34"/>
      <c r="AN273" s="104"/>
      <c r="AO273" s="104"/>
      <c r="AP273" s="104"/>
    </row>
    <row r="274">
      <c r="A274" s="34"/>
      <c r="B274" s="34"/>
      <c r="C274" s="34"/>
      <c r="D274" s="34"/>
      <c r="E274" s="35"/>
      <c r="F274" s="35"/>
      <c r="G274" s="35"/>
      <c r="H274" s="35"/>
      <c r="I274" s="35"/>
      <c r="J274" s="35"/>
      <c r="K274" s="35"/>
      <c r="L274" s="35"/>
      <c r="M274" s="35"/>
      <c r="N274" s="35"/>
      <c r="O274" s="35"/>
      <c r="P274" s="35"/>
      <c r="Q274" s="35"/>
      <c r="R274" s="35"/>
      <c r="S274" s="35"/>
      <c r="T274" s="35"/>
      <c r="U274" s="35"/>
      <c r="V274" s="35"/>
      <c r="W274" s="35"/>
      <c r="X274" s="34"/>
      <c r="Y274" s="35"/>
      <c r="Z274" s="35"/>
      <c r="AA274" s="35"/>
      <c r="AB274" s="35"/>
      <c r="AC274" s="35"/>
      <c r="AD274" s="35"/>
      <c r="AE274" s="35"/>
      <c r="AF274" s="35"/>
      <c r="AG274" s="35"/>
      <c r="AH274" s="35"/>
      <c r="AI274" s="35"/>
      <c r="AJ274" s="35"/>
      <c r="AK274" s="35"/>
      <c r="AL274" s="34"/>
      <c r="AM274" s="34"/>
      <c r="AN274" s="104"/>
      <c r="AO274" s="104"/>
      <c r="AP274" s="104"/>
    </row>
    <row r="275">
      <c r="A275" s="34"/>
      <c r="B275" s="34"/>
      <c r="C275" s="34"/>
      <c r="D275" s="34"/>
      <c r="E275" s="35"/>
      <c r="F275" s="35"/>
      <c r="G275" s="35"/>
      <c r="H275" s="35"/>
      <c r="I275" s="35"/>
      <c r="J275" s="35"/>
      <c r="K275" s="35"/>
      <c r="L275" s="35"/>
      <c r="M275" s="35"/>
      <c r="N275" s="35"/>
      <c r="O275" s="35"/>
      <c r="P275" s="35"/>
      <c r="Q275" s="35"/>
      <c r="R275" s="35"/>
      <c r="S275" s="35"/>
      <c r="T275" s="35"/>
      <c r="U275" s="35"/>
      <c r="V275" s="35"/>
      <c r="W275" s="35"/>
      <c r="X275" s="34"/>
      <c r="Y275" s="35"/>
      <c r="Z275" s="35"/>
      <c r="AA275" s="35"/>
      <c r="AB275" s="35"/>
      <c r="AC275" s="35"/>
      <c r="AD275" s="35"/>
      <c r="AE275" s="35"/>
      <c r="AF275" s="35"/>
      <c r="AG275" s="35"/>
      <c r="AH275" s="35"/>
      <c r="AI275" s="35"/>
      <c r="AJ275" s="35"/>
      <c r="AK275" s="35"/>
      <c r="AL275" s="34"/>
      <c r="AM275" s="34"/>
      <c r="AN275" s="104"/>
      <c r="AO275" s="104"/>
      <c r="AP275" s="104"/>
    </row>
    <row r="276">
      <c r="A276" s="34"/>
      <c r="B276" s="34"/>
      <c r="C276" s="34"/>
      <c r="D276" s="34"/>
      <c r="E276" s="35"/>
      <c r="F276" s="35"/>
      <c r="G276" s="35"/>
      <c r="H276" s="35"/>
      <c r="I276" s="35"/>
      <c r="J276" s="35"/>
      <c r="K276" s="35"/>
      <c r="L276" s="35"/>
      <c r="M276" s="35"/>
      <c r="N276" s="35"/>
      <c r="O276" s="35"/>
      <c r="P276" s="35"/>
      <c r="Q276" s="35"/>
      <c r="R276" s="35"/>
      <c r="S276" s="35"/>
      <c r="T276" s="35"/>
      <c r="U276" s="35"/>
      <c r="V276" s="35"/>
      <c r="W276" s="35"/>
      <c r="X276" s="34"/>
      <c r="Y276" s="35"/>
      <c r="Z276" s="35"/>
      <c r="AA276" s="35"/>
      <c r="AB276" s="35"/>
      <c r="AC276" s="35"/>
      <c r="AD276" s="35"/>
      <c r="AE276" s="35"/>
      <c r="AF276" s="35"/>
      <c r="AG276" s="35"/>
      <c r="AH276" s="35"/>
      <c r="AI276" s="35"/>
      <c r="AJ276" s="35"/>
      <c r="AK276" s="35"/>
      <c r="AL276" s="34"/>
      <c r="AM276" s="34"/>
      <c r="AN276" s="104"/>
      <c r="AO276" s="104"/>
      <c r="AP276" s="104"/>
    </row>
    <row r="277">
      <c r="A277" s="34"/>
      <c r="B277" s="34"/>
      <c r="C277" s="34"/>
      <c r="D277" s="34"/>
      <c r="E277" s="35"/>
      <c r="F277" s="35"/>
      <c r="G277" s="35"/>
      <c r="H277" s="35"/>
      <c r="I277" s="35"/>
      <c r="J277" s="35"/>
      <c r="K277" s="35"/>
      <c r="L277" s="35"/>
      <c r="M277" s="35"/>
      <c r="N277" s="35"/>
      <c r="O277" s="35"/>
      <c r="P277" s="35"/>
      <c r="Q277" s="35"/>
      <c r="R277" s="35"/>
      <c r="S277" s="35"/>
      <c r="T277" s="35"/>
      <c r="U277" s="35"/>
      <c r="V277" s="35"/>
      <c r="W277" s="35"/>
      <c r="X277" s="34"/>
      <c r="Y277" s="35"/>
      <c r="Z277" s="35"/>
      <c r="AA277" s="35"/>
      <c r="AB277" s="35"/>
      <c r="AC277" s="35"/>
      <c r="AD277" s="35"/>
      <c r="AE277" s="35"/>
      <c r="AF277" s="35"/>
      <c r="AG277" s="35"/>
      <c r="AH277" s="35"/>
      <c r="AI277" s="35"/>
      <c r="AJ277" s="35"/>
      <c r="AK277" s="35"/>
      <c r="AL277" s="34"/>
      <c r="AM277" s="34"/>
      <c r="AN277" s="104"/>
      <c r="AO277" s="104"/>
      <c r="AP277" s="104"/>
    </row>
    <row r="278">
      <c r="A278" s="34"/>
      <c r="B278" s="34"/>
      <c r="C278" s="34"/>
      <c r="D278" s="34"/>
      <c r="E278" s="35"/>
      <c r="F278" s="35"/>
      <c r="G278" s="35"/>
      <c r="H278" s="35"/>
      <c r="I278" s="35"/>
      <c r="J278" s="35"/>
      <c r="K278" s="35"/>
      <c r="L278" s="35"/>
      <c r="M278" s="35"/>
      <c r="N278" s="35"/>
      <c r="O278" s="35"/>
      <c r="P278" s="35"/>
      <c r="Q278" s="35"/>
      <c r="R278" s="35"/>
      <c r="S278" s="35"/>
      <c r="T278" s="35"/>
      <c r="U278" s="35"/>
      <c r="V278" s="35"/>
      <c r="W278" s="35"/>
      <c r="X278" s="34"/>
      <c r="Y278" s="35"/>
      <c r="Z278" s="35"/>
      <c r="AA278" s="35"/>
      <c r="AB278" s="35"/>
      <c r="AC278" s="35"/>
      <c r="AD278" s="35"/>
      <c r="AE278" s="35"/>
      <c r="AF278" s="35"/>
      <c r="AG278" s="35"/>
      <c r="AH278" s="35"/>
      <c r="AI278" s="35"/>
      <c r="AJ278" s="35"/>
      <c r="AK278" s="35"/>
      <c r="AL278" s="34"/>
      <c r="AM278" s="34"/>
      <c r="AN278" s="104"/>
      <c r="AO278" s="104"/>
      <c r="AP278" s="104"/>
    </row>
    <row r="279">
      <c r="A279" s="34"/>
      <c r="B279" s="34"/>
      <c r="C279" s="34"/>
      <c r="D279" s="34"/>
      <c r="E279" s="35"/>
      <c r="F279" s="35"/>
      <c r="G279" s="35"/>
      <c r="H279" s="35"/>
      <c r="I279" s="35"/>
      <c r="J279" s="35"/>
      <c r="K279" s="35"/>
      <c r="L279" s="35"/>
      <c r="M279" s="35"/>
      <c r="N279" s="35"/>
      <c r="O279" s="35"/>
      <c r="P279" s="35"/>
      <c r="Q279" s="35"/>
      <c r="R279" s="35"/>
      <c r="S279" s="35"/>
      <c r="T279" s="35"/>
      <c r="U279" s="35"/>
      <c r="V279" s="35"/>
      <c r="W279" s="35"/>
      <c r="X279" s="34"/>
      <c r="Y279" s="35"/>
      <c r="Z279" s="35"/>
      <c r="AA279" s="35"/>
      <c r="AB279" s="35"/>
      <c r="AC279" s="35"/>
      <c r="AD279" s="35"/>
      <c r="AE279" s="35"/>
      <c r="AF279" s="35"/>
      <c r="AG279" s="35"/>
      <c r="AH279" s="35"/>
      <c r="AI279" s="35"/>
      <c r="AJ279" s="35"/>
      <c r="AK279" s="35"/>
      <c r="AL279" s="34"/>
      <c r="AM279" s="34"/>
      <c r="AN279" s="104"/>
      <c r="AO279" s="104"/>
      <c r="AP279" s="104"/>
    </row>
    <row r="280">
      <c r="A280" s="34"/>
      <c r="B280" s="34"/>
      <c r="C280" s="34"/>
      <c r="D280" s="34"/>
      <c r="E280" s="35"/>
      <c r="F280" s="35"/>
      <c r="G280" s="35"/>
      <c r="H280" s="35"/>
      <c r="I280" s="35"/>
      <c r="J280" s="35"/>
      <c r="K280" s="35"/>
      <c r="L280" s="35"/>
      <c r="M280" s="35"/>
      <c r="N280" s="35"/>
      <c r="O280" s="35"/>
      <c r="P280" s="35"/>
      <c r="Q280" s="35"/>
      <c r="R280" s="35"/>
      <c r="S280" s="35"/>
      <c r="T280" s="35"/>
      <c r="U280" s="35"/>
      <c r="V280" s="35"/>
      <c r="W280" s="35"/>
      <c r="X280" s="34"/>
      <c r="Y280" s="35"/>
      <c r="Z280" s="35"/>
      <c r="AA280" s="35"/>
      <c r="AB280" s="35"/>
      <c r="AC280" s="35"/>
      <c r="AD280" s="35"/>
      <c r="AE280" s="35"/>
      <c r="AF280" s="35"/>
      <c r="AG280" s="35"/>
      <c r="AH280" s="35"/>
      <c r="AI280" s="35"/>
      <c r="AJ280" s="35"/>
      <c r="AK280" s="35"/>
      <c r="AL280" s="34"/>
      <c r="AM280" s="34"/>
      <c r="AN280" s="104"/>
      <c r="AO280" s="104"/>
      <c r="AP280" s="104"/>
    </row>
    <row r="281">
      <c r="A281" s="34"/>
      <c r="B281" s="34"/>
      <c r="C281" s="34"/>
      <c r="D281" s="34"/>
      <c r="E281" s="35"/>
      <c r="F281" s="35"/>
      <c r="G281" s="35"/>
      <c r="H281" s="35"/>
      <c r="I281" s="35"/>
      <c r="J281" s="35"/>
      <c r="K281" s="35"/>
      <c r="L281" s="35"/>
      <c r="M281" s="35"/>
      <c r="N281" s="35"/>
      <c r="O281" s="35"/>
      <c r="P281" s="35"/>
      <c r="Q281" s="35"/>
      <c r="R281" s="35"/>
      <c r="S281" s="35"/>
      <c r="T281" s="35"/>
      <c r="U281" s="35"/>
      <c r="V281" s="35"/>
      <c r="W281" s="35"/>
      <c r="X281" s="34"/>
      <c r="Y281" s="35"/>
      <c r="Z281" s="35"/>
      <c r="AA281" s="35"/>
      <c r="AB281" s="35"/>
      <c r="AC281" s="35"/>
      <c r="AD281" s="35"/>
      <c r="AE281" s="35"/>
      <c r="AF281" s="35"/>
      <c r="AG281" s="35"/>
      <c r="AH281" s="35"/>
      <c r="AI281" s="35"/>
      <c r="AJ281" s="35"/>
      <c r="AK281" s="35"/>
      <c r="AL281" s="34"/>
      <c r="AM281" s="34"/>
      <c r="AN281" s="104"/>
      <c r="AO281" s="104"/>
      <c r="AP281" s="104"/>
    </row>
    <row r="282">
      <c r="A282" s="34"/>
      <c r="B282" s="34"/>
      <c r="C282" s="34"/>
      <c r="D282" s="34"/>
      <c r="E282" s="35"/>
      <c r="F282" s="35"/>
      <c r="G282" s="35"/>
      <c r="H282" s="35"/>
      <c r="I282" s="35"/>
      <c r="J282" s="35"/>
      <c r="K282" s="35"/>
      <c r="L282" s="35"/>
      <c r="M282" s="35"/>
      <c r="N282" s="35"/>
      <c r="O282" s="35"/>
      <c r="P282" s="35"/>
      <c r="Q282" s="35"/>
      <c r="R282" s="35"/>
      <c r="S282" s="35"/>
      <c r="T282" s="35"/>
      <c r="U282" s="35"/>
      <c r="V282" s="35"/>
      <c r="W282" s="35"/>
      <c r="X282" s="34"/>
      <c r="Y282" s="35"/>
      <c r="Z282" s="35"/>
      <c r="AA282" s="35"/>
      <c r="AB282" s="35"/>
      <c r="AC282" s="35"/>
      <c r="AD282" s="35"/>
      <c r="AE282" s="35"/>
      <c r="AF282" s="35"/>
      <c r="AG282" s="35"/>
      <c r="AH282" s="35"/>
      <c r="AI282" s="35"/>
      <c r="AJ282" s="35"/>
      <c r="AK282" s="35"/>
      <c r="AL282" s="34"/>
      <c r="AM282" s="34"/>
      <c r="AN282" s="104"/>
      <c r="AO282" s="104"/>
      <c r="AP282" s="104"/>
    </row>
    <row r="283">
      <c r="A283" s="34"/>
      <c r="B283" s="34"/>
      <c r="C283" s="34"/>
      <c r="D283" s="34"/>
      <c r="E283" s="35"/>
      <c r="F283" s="35"/>
      <c r="G283" s="35"/>
      <c r="H283" s="35"/>
      <c r="I283" s="35"/>
      <c r="J283" s="35"/>
      <c r="K283" s="35"/>
      <c r="L283" s="35"/>
      <c r="M283" s="35"/>
      <c r="N283" s="35"/>
      <c r="O283" s="35"/>
      <c r="P283" s="35"/>
      <c r="Q283" s="35"/>
      <c r="R283" s="35"/>
      <c r="S283" s="35"/>
      <c r="T283" s="35"/>
      <c r="U283" s="35"/>
      <c r="V283" s="35"/>
      <c r="W283" s="35"/>
      <c r="X283" s="34"/>
      <c r="Y283" s="35"/>
      <c r="Z283" s="35"/>
      <c r="AA283" s="35"/>
      <c r="AB283" s="35"/>
      <c r="AC283" s="35"/>
      <c r="AD283" s="35"/>
      <c r="AE283" s="35"/>
      <c r="AF283" s="35"/>
      <c r="AG283" s="35"/>
      <c r="AH283" s="35"/>
      <c r="AI283" s="35"/>
      <c r="AJ283" s="35"/>
      <c r="AK283" s="35"/>
      <c r="AL283" s="34"/>
      <c r="AM283" s="34"/>
      <c r="AN283" s="104"/>
      <c r="AO283" s="104"/>
      <c r="AP283" s="104"/>
    </row>
    <row r="284">
      <c r="A284" s="34"/>
      <c r="B284" s="34"/>
      <c r="C284" s="34"/>
      <c r="D284" s="34"/>
      <c r="E284" s="35"/>
      <c r="F284" s="35"/>
      <c r="G284" s="35"/>
      <c r="H284" s="35"/>
      <c r="I284" s="35"/>
      <c r="J284" s="35"/>
      <c r="K284" s="35"/>
      <c r="L284" s="35"/>
      <c r="M284" s="35"/>
      <c r="N284" s="35"/>
      <c r="O284" s="35"/>
      <c r="P284" s="35"/>
      <c r="Q284" s="35"/>
      <c r="R284" s="35"/>
      <c r="S284" s="35"/>
      <c r="T284" s="35"/>
      <c r="U284" s="35"/>
      <c r="V284" s="35"/>
      <c r="W284" s="35"/>
      <c r="X284" s="34"/>
      <c r="Y284" s="35"/>
      <c r="Z284" s="35"/>
      <c r="AA284" s="35"/>
      <c r="AB284" s="35"/>
      <c r="AC284" s="35"/>
      <c r="AD284" s="35"/>
      <c r="AE284" s="35"/>
      <c r="AF284" s="35"/>
      <c r="AG284" s="35"/>
      <c r="AH284" s="35"/>
      <c r="AI284" s="35"/>
      <c r="AJ284" s="35"/>
      <c r="AK284" s="35"/>
      <c r="AL284" s="34"/>
      <c r="AM284" s="34"/>
      <c r="AN284" s="104"/>
      <c r="AO284" s="104"/>
      <c r="AP284" s="104"/>
    </row>
    <row r="285">
      <c r="A285" s="34"/>
      <c r="B285" s="34"/>
      <c r="C285" s="34"/>
      <c r="D285" s="34"/>
      <c r="E285" s="35"/>
      <c r="F285" s="35"/>
      <c r="G285" s="35"/>
      <c r="H285" s="35"/>
      <c r="I285" s="35"/>
      <c r="J285" s="35"/>
      <c r="K285" s="35"/>
      <c r="L285" s="35"/>
      <c r="M285" s="35"/>
      <c r="N285" s="35"/>
      <c r="O285" s="35"/>
      <c r="P285" s="35"/>
      <c r="Q285" s="35"/>
      <c r="R285" s="35"/>
      <c r="S285" s="35"/>
      <c r="T285" s="35"/>
      <c r="U285" s="35"/>
      <c r="V285" s="35"/>
      <c r="W285" s="35"/>
      <c r="X285" s="34"/>
      <c r="Y285" s="35"/>
      <c r="Z285" s="35"/>
      <c r="AA285" s="35"/>
      <c r="AB285" s="35"/>
      <c r="AC285" s="35"/>
      <c r="AD285" s="35"/>
      <c r="AE285" s="35"/>
      <c r="AF285" s="35"/>
      <c r="AG285" s="35"/>
      <c r="AH285" s="35"/>
      <c r="AI285" s="35"/>
      <c r="AJ285" s="35"/>
      <c r="AK285" s="35"/>
      <c r="AL285" s="34"/>
      <c r="AM285" s="34"/>
      <c r="AN285" s="104"/>
      <c r="AO285" s="104"/>
      <c r="AP285" s="104"/>
    </row>
    <row r="286">
      <c r="A286" s="34"/>
      <c r="B286" s="34"/>
      <c r="C286" s="34"/>
      <c r="D286" s="34"/>
      <c r="E286" s="35"/>
      <c r="F286" s="35"/>
      <c r="G286" s="35"/>
      <c r="H286" s="35"/>
      <c r="I286" s="35"/>
      <c r="J286" s="35"/>
      <c r="K286" s="35"/>
      <c r="L286" s="35"/>
      <c r="M286" s="35"/>
      <c r="N286" s="35"/>
      <c r="O286" s="35"/>
      <c r="P286" s="35"/>
      <c r="Q286" s="35"/>
      <c r="R286" s="35"/>
      <c r="S286" s="35"/>
      <c r="T286" s="35"/>
      <c r="U286" s="35"/>
      <c r="V286" s="35"/>
      <c r="W286" s="35"/>
      <c r="X286" s="34"/>
      <c r="Y286" s="35"/>
      <c r="Z286" s="35"/>
      <c r="AA286" s="35"/>
      <c r="AB286" s="35"/>
      <c r="AC286" s="35"/>
      <c r="AD286" s="35"/>
      <c r="AE286" s="35"/>
      <c r="AF286" s="35"/>
      <c r="AG286" s="35"/>
      <c r="AH286" s="35"/>
      <c r="AI286" s="35"/>
      <c r="AJ286" s="35"/>
      <c r="AK286" s="35"/>
      <c r="AL286" s="34"/>
      <c r="AM286" s="34"/>
      <c r="AN286" s="104"/>
      <c r="AO286" s="104"/>
      <c r="AP286" s="104"/>
    </row>
    <row r="287">
      <c r="A287" s="34"/>
      <c r="B287" s="34"/>
      <c r="C287" s="34"/>
      <c r="D287" s="34"/>
      <c r="E287" s="35"/>
      <c r="F287" s="35"/>
      <c r="G287" s="35"/>
      <c r="H287" s="35"/>
      <c r="I287" s="35"/>
      <c r="J287" s="35"/>
      <c r="K287" s="35"/>
      <c r="L287" s="35"/>
      <c r="M287" s="35"/>
      <c r="N287" s="35"/>
      <c r="O287" s="35"/>
      <c r="P287" s="35"/>
      <c r="Q287" s="35"/>
      <c r="R287" s="35"/>
      <c r="S287" s="35"/>
      <c r="T287" s="35"/>
      <c r="U287" s="35"/>
      <c r="V287" s="35"/>
      <c r="W287" s="35"/>
      <c r="X287" s="34"/>
      <c r="Y287" s="35"/>
      <c r="Z287" s="35"/>
      <c r="AA287" s="35"/>
      <c r="AB287" s="35"/>
      <c r="AC287" s="35"/>
      <c r="AD287" s="35"/>
      <c r="AE287" s="35"/>
      <c r="AF287" s="35"/>
      <c r="AG287" s="35"/>
      <c r="AH287" s="35"/>
      <c r="AI287" s="35"/>
      <c r="AJ287" s="35"/>
      <c r="AK287" s="35"/>
      <c r="AL287" s="34"/>
      <c r="AM287" s="34"/>
      <c r="AN287" s="104"/>
      <c r="AO287" s="104"/>
      <c r="AP287" s="104"/>
    </row>
    <row r="288">
      <c r="A288" s="34"/>
      <c r="B288" s="34"/>
      <c r="C288" s="34"/>
      <c r="D288" s="34"/>
      <c r="E288" s="35"/>
      <c r="F288" s="35"/>
      <c r="G288" s="35"/>
      <c r="H288" s="35"/>
      <c r="I288" s="35"/>
      <c r="J288" s="35"/>
      <c r="K288" s="35"/>
      <c r="L288" s="35"/>
      <c r="M288" s="35"/>
      <c r="N288" s="35"/>
      <c r="O288" s="35"/>
      <c r="P288" s="35"/>
      <c r="Q288" s="35"/>
      <c r="R288" s="35"/>
      <c r="S288" s="35"/>
      <c r="T288" s="35"/>
      <c r="U288" s="35"/>
      <c r="V288" s="35"/>
      <c r="W288" s="35"/>
      <c r="X288" s="34"/>
      <c r="Y288" s="35"/>
      <c r="Z288" s="35"/>
      <c r="AA288" s="35"/>
      <c r="AB288" s="35"/>
      <c r="AC288" s="35"/>
      <c r="AD288" s="35"/>
      <c r="AE288" s="35"/>
      <c r="AF288" s="35"/>
      <c r="AG288" s="35"/>
      <c r="AH288" s="35"/>
      <c r="AI288" s="35"/>
      <c r="AJ288" s="35"/>
      <c r="AK288" s="35"/>
      <c r="AL288" s="34"/>
      <c r="AM288" s="34"/>
      <c r="AN288" s="104"/>
      <c r="AO288" s="104"/>
      <c r="AP288" s="104"/>
    </row>
    <row r="289">
      <c r="A289" s="34"/>
      <c r="B289" s="34"/>
      <c r="C289" s="34"/>
      <c r="D289" s="34"/>
      <c r="E289" s="35"/>
      <c r="F289" s="35"/>
      <c r="G289" s="35"/>
      <c r="H289" s="35"/>
      <c r="I289" s="35"/>
      <c r="J289" s="35"/>
      <c r="K289" s="35"/>
      <c r="L289" s="35"/>
      <c r="M289" s="35"/>
      <c r="N289" s="35"/>
      <c r="O289" s="35"/>
      <c r="P289" s="35"/>
      <c r="Q289" s="35"/>
      <c r="R289" s="35"/>
      <c r="S289" s="35"/>
      <c r="T289" s="35"/>
      <c r="U289" s="35"/>
      <c r="V289" s="35"/>
      <c r="W289" s="35"/>
      <c r="X289" s="34"/>
      <c r="Y289" s="35"/>
      <c r="Z289" s="35"/>
      <c r="AA289" s="35"/>
      <c r="AB289" s="35"/>
      <c r="AC289" s="35"/>
      <c r="AD289" s="35"/>
      <c r="AE289" s="35"/>
      <c r="AF289" s="35"/>
      <c r="AG289" s="35"/>
      <c r="AH289" s="35"/>
      <c r="AI289" s="35"/>
      <c r="AJ289" s="35"/>
      <c r="AK289" s="35"/>
      <c r="AL289" s="34"/>
      <c r="AM289" s="34"/>
      <c r="AN289" s="104"/>
      <c r="AO289" s="104"/>
      <c r="AP289" s="104"/>
    </row>
    <row r="290">
      <c r="A290" s="34"/>
      <c r="B290" s="34"/>
      <c r="C290" s="34"/>
      <c r="D290" s="34"/>
      <c r="E290" s="35"/>
      <c r="F290" s="35"/>
      <c r="G290" s="35"/>
      <c r="H290" s="35"/>
      <c r="I290" s="35"/>
      <c r="J290" s="35"/>
      <c r="K290" s="35"/>
      <c r="L290" s="35"/>
      <c r="M290" s="35"/>
      <c r="N290" s="35"/>
      <c r="O290" s="35"/>
      <c r="P290" s="35"/>
      <c r="Q290" s="35"/>
      <c r="R290" s="35"/>
      <c r="S290" s="35"/>
      <c r="T290" s="35"/>
      <c r="U290" s="35"/>
      <c r="V290" s="35"/>
      <c r="W290" s="35"/>
      <c r="X290" s="34"/>
      <c r="Y290" s="35"/>
      <c r="Z290" s="35"/>
      <c r="AA290" s="35"/>
      <c r="AB290" s="35"/>
      <c r="AC290" s="35"/>
      <c r="AD290" s="35"/>
      <c r="AE290" s="35"/>
      <c r="AF290" s="35"/>
      <c r="AG290" s="35"/>
      <c r="AH290" s="35"/>
      <c r="AI290" s="35"/>
      <c r="AJ290" s="35"/>
      <c r="AK290" s="35"/>
      <c r="AL290" s="34"/>
      <c r="AM290" s="34"/>
      <c r="AN290" s="104"/>
      <c r="AO290" s="104"/>
      <c r="AP290" s="104"/>
    </row>
    <row r="291">
      <c r="A291" s="34"/>
      <c r="B291" s="34"/>
      <c r="C291" s="34"/>
      <c r="D291" s="34"/>
      <c r="E291" s="35"/>
      <c r="F291" s="35"/>
      <c r="G291" s="35"/>
      <c r="H291" s="35"/>
      <c r="I291" s="35"/>
      <c r="J291" s="35"/>
      <c r="K291" s="35"/>
      <c r="L291" s="35"/>
      <c r="M291" s="35"/>
      <c r="N291" s="35"/>
      <c r="O291" s="35"/>
      <c r="P291" s="35"/>
      <c r="Q291" s="35"/>
      <c r="R291" s="35"/>
      <c r="S291" s="35"/>
      <c r="T291" s="35"/>
      <c r="U291" s="35"/>
      <c r="V291" s="35"/>
      <c r="W291" s="35"/>
      <c r="X291" s="34"/>
      <c r="Y291" s="35"/>
      <c r="Z291" s="35"/>
      <c r="AA291" s="35"/>
      <c r="AB291" s="35"/>
      <c r="AC291" s="35"/>
      <c r="AD291" s="35"/>
      <c r="AE291" s="35"/>
      <c r="AF291" s="35"/>
      <c r="AG291" s="35"/>
      <c r="AH291" s="35"/>
      <c r="AI291" s="35"/>
      <c r="AJ291" s="35"/>
      <c r="AK291" s="35"/>
      <c r="AL291" s="34"/>
      <c r="AM291" s="34"/>
      <c r="AN291" s="104"/>
      <c r="AO291" s="104"/>
      <c r="AP291" s="104"/>
    </row>
    <row r="292">
      <c r="A292" s="34"/>
      <c r="B292" s="34"/>
      <c r="C292" s="34"/>
      <c r="D292" s="34"/>
      <c r="E292" s="35"/>
      <c r="F292" s="35"/>
      <c r="G292" s="35"/>
      <c r="H292" s="35"/>
      <c r="I292" s="35"/>
      <c r="J292" s="35"/>
      <c r="K292" s="35"/>
      <c r="L292" s="35"/>
      <c r="M292" s="35"/>
      <c r="N292" s="35"/>
      <c r="O292" s="35"/>
      <c r="P292" s="35"/>
      <c r="Q292" s="35"/>
      <c r="R292" s="35"/>
      <c r="S292" s="35"/>
      <c r="T292" s="35"/>
      <c r="U292" s="35"/>
      <c r="V292" s="35"/>
      <c r="W292" s="35"/>
      <c r="X292" s="34"/>
      <c r="Y292" s="35"/>
      <c r="Z292" s="35"/>
      <c r="AA292" s="35"/>
      <c r="AB292" s="35"/>
      <c r="AC292" s="35"/>
      <c r="AD292" s="35"/>
      <c r="AE292" s="35"/>
      <c r="AF292" s="35"/>
      <c r="AG292" s="35"/>
      <c r="AH292" s="35"/>
      <c r="AI292" s="35"/>
      <c r="AJ292" s="35"/>
      <c r="AK292" s="35"/>
      <c r="AL292" s="34"/>
      <c r="AM292" s="34"/>
      <c r="AN292" s="104"/>
      <c r="AO292" s="104"/>
      <c r="AP292" s="104"/>
    </row>
    <row r="293">
      <c r="A293" s="34"/>
      <c r="B293" s="34"/>
      <c r="C293" s="34"/>
      <c r="D293" s="34"/>
      <c r="E293" s="35"/>
      <c r="F293" s="35"/>
      <c r="G293" s="35"/>
      <c r="H293" s="35"/>
      <c r="I293" s="35"/>
      <c r="J293" s="35"/>
      <c r="K293" s="35"/>
      <c r="L293" s="35"/>
      <c r="M293" s="35"/>
      <c r="N293" s="35"/>
      <c r="O293" s="35"/>
      <c r="P293" s="35"/>
      <c r="Q293" s="35"/>
      <c r="R293" s="35"/>
      <c r="S293" s="35"/>
      <c r="T293" s="35"/>
      <c r="U293" s="35"/>
      <c r="V293" s="35"/>
      <c r="W293" s="35"/>
      <c r="X293" s="34"/>
      <c r="Y293" s="35"/>
      <c r="Z293" s="35"/>
      <c r="AA293" s="35"/>
      <c r="AB293" s="35"/>
      <c r="AC293" s="35"/>
      <c r="AD293" s="35"/>
      <c r="AE293" s="35"/>
      <c r="AF293" s="35"/>
      <c r="AG293" s="35"/>
      <c r="AH293" s="35"/>
      <c r="AI293" s="35"/>
      <c r="AJ293" s="35"/>
      <c r="AK293" s="35"/>
      <c r="AL293" s="34"/>
      <c r="AM293" s="34"/>
      <c r="AN293" s="104"/>
      <c r="AO293" s="104"/>
      <c r="AP293" s="104"/>
    </row>
    <row r="294">
      <c r="A294" s="34"/>
      <c r="B294" s="34"/>
      <c r="C294" s="34"/>
      <c r="D294" s="34"/>
      <c r="E294" s="35"/>
      <c r="F294" s="35"/>
      <c r="G294" s="35"/>
      <c r="H294" s="35"/>
      <c r="I294" s="35"/>
      <c r="J294" s="35"/>
      <c r="K294" s="35"/>
      <c r="L294" s="35"/>
      <c r="M294" s="35"/>
      <c r="N294" s="35"/>
      <c r="O294" s="35"/>
      <c r="P294" s="35"/>
      <c r="Q294" s="35"/>
      <c r="R294" s="35"/>
      <c r="S294" s="35"/>
      <c r="T294" s="35"/>
      <c r="U294" s="35"/>
      <c r="V294" s="35"/>
      <c r="W294" s="35"/>
      <c r="X294" s="34"/>
      <c r="Y294" s="35"/>
      <c r="Z294" s="35"/>
      <c r="AA294" s="35"/>
      <c r="AB294" s="35"/>
      <c r="AC294" s="35"/>
      <c r="AD294" s="35"/>
      <c r="AE294" s="35"/>
      <c r="AF294" s="35"/>
      <c r="AG294" s="35"/>
      <c r="AH294" s="35"/>
      <c r="AI294" s="35"/>
      <c r="AJ294" s="35"/>
      <c r="AK294" s="35"/>
      <c r="AL294" s="34"/>
      <c r="AM294" s="34"/>
      <c r="AN294" s="104"/>
      <c r="AO294" s="104"/>
      <c r="AP294" s="104"/>
    </row>
    <row r="295">
      <c r="A295" s="34"/>
      <c r="B295" s="34"/>
      <c r="C295" s="34"/>
      <c r="D295" s="34"/>
      <c r="E295" s="35"/>
      <c r="F295" s="35"/>
      <c r="G295" s="35"/>
      <c r="H295" s="35"/>
      <c r="I295" s="35"/>
      <c r="J295" s="35"/>
      <c r="K295" s="35"/>
      <c r="L295" s="35"/>
      <c r="M295" s="35"/>
      <c r="N295" s="35"/>
      <c r="O295" s="35"/>
      <c r="P295" s="35"/>
      <c r="Q295" s="35"/>
      <c r="R295" s="35"/>
      <c r="S295" s="35"/>
      <c r="T295" s="35"/>
      <c r="U295" s="35"/>
      <c r="V295" s="35"/>
      <c r="W295" s="35"/>
      <c r="X295" s="34"/>
      <c r="Y295" s="35"/>
      <c r="Z295" s="35"/>
      <c r="AA295" s="35"/>
      <c r="AB295" s="35"/>
      <c r="AC295" s="35"/>
      <c r="AD295" s="35"/>
      <c r="AE295" s="35"/>
      <c r="AF295" s="35"/>
      <c r="AG295" s="35"/>
      <c r="AH295" s="35"/>
      <c r="AI295" s="35"/>
      <c r="AJ295" s="35"/>
      <c r="AK295" s="35"/>
      <c r="AL295" s="34"/>
      <c r="AM295" s="34"/>
      <c r="AN295" s="104"/>
      <c r="AO295" s="104"/>
      <c r="AP295" s="104"/>
    </row>
    <row r="296">
      <c r="A296" s="34"/>
      <c r="B296" s="34"/>
      <c r="C296" s="34"/>
      <c r="D296" s="34"/>
      <c r="E296" s="35"/>
      <c r="F296" s="35"/>
      <c r="G296" s="35"/>
      <c r="H296" s="35"/>
      <c r="I296" s="35"/>
      <c r="J296" s="35"/>
      <c r="K296" s="35"/>
      <c r="L296" s="35"/>
      <c r="M296" s="35"/>
      <c r="N296" s="35"/>
      <c r="O296" s="35"/>
      <c r="P296" s="35"/>
      <c r="Q296" s="35"/>
      <c r="R296" s="35"/>
      <c r="S296" s="35"/>
      <c r="T296" s="35"/>
      <c r="U296" s="35"/>
      <c r="V296" s="35"/>
      <c r="W296" s="35"/>
      <c r="X296" s="34"/>
      <c r="Y296" s="35"/>
      <c r="Z296" s="35"/>
      <c r="AA296" s="35"/>
      <c r="AB296" s="35"/>
      <c r="AC296" s="35"/>
      <c r="AD296" s="35"/>
      <c r="AE296" s="35"/>
      <c r="AF296" s="35"/>
      <c r="AG296" s="35"/>
      <c r="AH296" s="35"/>
      <c r="AI296" s="35"/>
      <c r="AJ296" s="35"/>
      <c r="AK296" s="35"/>
      <c r="AL296" s="34"/>
      <c r="AM296" s="34"/>
      <c r="AN296" s="104"/>
      <c r="AO296" s="104"/>
      <c r="AP296" s="104"/>
    </row>
    <row r="297">
      <c r="A297" s="34"/>
      <c r="B297" s="34"/>
      <c r="C297" s="34"/>
      <c r="D297" s="34"/>
      <c r="E297" s="35"/>
      <c r="F297" s="35"/>
      <c r="G297" s="35"/>
      <c r="H297" s="35"/>
      <c r="I297" s="35"/>
      <c r="J297" s="35"/>
      <c r="K297" s="35"/>
      <c r="L297" s="35"/>
      <c r="M297" s="35"/>
      <c r="N297" s="35"/>
      <c r="O297" s="35"/>
      <c r="P297" s="35"/>
      <c r="Q297" s="35"/>
      <c r="R297" s="35"/>
      <c r="S297" s="35"/>
      <c r="T297" s="35"/>
      <c r="U297" s="35"/>
      <c r="V297" s="35"/>
      <c r="W297" s="35"/>
      <c r="X297" s="34"/>
      <c r="Y297" s="35"/>
      <c r="Z297" s="35"/>
      <c r="AA297" s="35"/>
      <c r="AB297" s="35"/>
      <c r="AC297" s="35"/>
      <c r="AD297" s="35"/>
      <c r="AE297" s="35"/>
      <c r="AF297" s="35"/>
      <c r="AG297" s="35"/>
      <c r="AH297" s="35"/>
      <c r="AI297" s="35"/>
      <c r="AJ297" s="35"/>
      <c r="AK297" s="35"/>
      <c r="AL297" s="34"/>
      <c r="AM297" s="34"/>
      <c r="AN297" s="104"/>
      <c r="AO297" s="104"/>
      <c r="AP297" s="104"/>
    </row>
    <row r="298">
      <c r="A298" s="34"/>
      <c r="B298" s="34"/>
      <c r="C298" s="34"/>
      <c r="D298" s="34"/>
      <c r="E298" s="35"/>
      <c r="F298" s="35"/>
      <c r="G298" s="35"/>
      <c r="H298" s="35"/>
      <c r="I298" s="35"/>
      <c r="J298" s="35"/>
      <c r="K298" s="35"/>
      <c r="L298" s="35"/>
      <c r="M298" s="35"/>
      <c r="N298" s="35"/>
      <c r="O298" s="35"/>
      <c r="P298" s="35"/>
      <c r="Q298" s="35"/>
      <c r="R298" s="35"/>
      <c r="S298" s="35"/>
      <c r="T298" s="35"/>
      <c r="U298" s="35"/>
      <c r="V298" s="35"/>
      <c r="W298" s="35"/>
      <c r="X298" s="34"/>
      <c r="Y298" s="35"/>
      <c r="Z298" s="35"/>
      <c r="AA298" s="35"/>
      <c r="AB298" s="35"/>
      <c r="AC298" s="35"/>
      <c r="AD298" s="35"/>
      <c r="AE298" s="35"/>
      <c r="AF298" s="35"/>
      <c r="AG298" s="35"/>
      <c r="AH298" s="35"/>
      <c r="AI298" s="35"/>
      <c r="AJ298" s="35"/>
      <c r="AK298" s="35"/>
      <c r="AL298" s="34"/>
      <c r="AM298" s="34"/>
      <c r="AN298" s="104"/>
      <c r="AO298" s="104"/>
      <c r="AP298" s="104"/>
    </row>
    <row r="299">
      <c r="A299" s="34"/>
      <c r="B299" s="34"/>
      <c r="C299" s="34"/>
      <c r="D299" s="34"/>
      <c r="E299" s="35"/>
      <c r="F299" s="35"/>
      <c r="G299" s="35"/>
      <c r="H299" s="35"/>
      <c r="I299" s="35"/>
      <c r="J299" s="35"/>
      <c r="K299" s="35"/>
      <c r="L299" s="35"/>
      <c r="M299" s="35"/>
      <c r="N299" s="35"/>
      <c r="O299" s="35"/>
      <c r="P299" s="35"/>
      <c r="Q299" s="35"/>
      <c r="R299" s="35"/>
      <c r="S299" s="35"/>
      <c r="T299" s="35"/>
      <c r="U299" s="35"/>
      <c r="V299" s="35"/>
      <c r="W299" s="35"/>
      <c r="X299" s="34"/>
      <c r="Y299" s="35"/>
      <c r="Z299" s="35"/>
      <c r="AA299" s="35"/>
      <c r="AB299" s="35"/>
      <c r="AC299" s="35"/>
      <c r="AD299" s="35"/>
      <c r="AE299" s="35"/>
      <c r="AF299" s="35"/>
      <c r="AG299" s="35"/>
      <c r="AH299" s="35"/>
      <c r="AI299" s="35"/>
      <c r="AJ299" s="35"/>
      <c r="AK299" s="35"/>
      <c r="AL299" s="34"/>
      <c r="AM299" s="34"/>
      <c r="AN299" s="104"/>
      <c r="AO299" s="104"/>
      <c r="AP299" s="104"/>
    </row>
    <row r="300">
      <c r="A300" s="34"/>
      <c r="B300" s="34"/>
      <c r="C300" s="34"/>
      <c r="D300" s="34"/>
      <c r="E300" s="35"/>
      <c r="F300" s="35"/>
      <c r="G300" s="35"/>
      <c r="H300" s="35"/>
      <c r="I300" s="35"/>
      <c r="J300" s="35"/>
      <c r="K300" s="35"/>
      <c r="L300" s="35"/>
      <c r="M300" s="35"/>
      <c r="N300" s="35"/>
      <c r="O300" s="35"/>
      <c r="P300" s="35"/>
      <c r="Q300" s="35"/>
      <c r="R300" s="35"/>
      <c r="S300" s="35"/>
      <c r="T300" s="35"/>
      <c r="U300" s="35"/>
      <c r="V300" s="35"/>
      <c r="W300" s="35"/>
      <c r="X300" s="34"/>
      <c r="Y300" s="35"/>
      <c r="Z300" s="35"/>
      <c r="AA300" s="35"/>
      <c r="AB300" s="35"/>
      <c r="AC300" s="35"/>
      <c r="AD300" s="35"/>
      <c r="AE300" s="35"/>
      <c r="AF300" s="35"/>
      <c r="AG300" s="35"/>
      <c r="AH300" s="35"/>
      <c r="AI300" s="35"/>
      <c r="AJ300" s="35"/>
      <c r="AK300" s="35"/>
      <c r="AL300" s="34"/>
      <c r="AM300" s="34"/>
      <c r="AN300" s="104"/>
      <c r="AO300" s="104"/>
      <c r="AP300" s="104"/>
    </row>
    <row r="301">
      <c r="A301" s="34"/>
      <c r="B301" s="34"/>
      <c r="C301" s="34"/>
      <c r="D301" s="34"/>
      <c r="E301" s="35"/>
      <c r="F301" s="35"/>
      <c r="G301" s="35"/>
      <c r="H301" s="35"/>
      <c r="I301" s="35"/>
      <c r="J301" s="35"/>
      <c r="K301" s="35"/>
      <c r="L301" s="35"/>
      <c r="M301" s="35"/>
      <c r="N301" s="35"/>
      <c r="O301" s="35"/>
      <c r="P301" s="35"/>
      <c r="Q301" s="35"/>
      <c r="R301" s="35"/>
      <c r="S301" s="35"/>
      <c r="T301" s="35"/>
      <c r="U301" s="35"/>
      <c r="V301" s="35"/>
      <c r="W301" s="35"/>
      <c r="X301" s="34"/>
      <c r="Y301" s="35"/>
      <c r="Z301" s="35"/>
      <c r="AA301" s="35"/>
      <c r="AB301" s="35"/>
      <c r="AC301" s="35"/>
      <c r="AD301" s="35"/>
      <c r="AE301" s="35"/>
      <c r="AF301" s="35"/>
      <c r="AG301" s="35"/>
      <c r="AH301" s="35"/>
      <c r="AI301" s="35"/>
      <c r="AJ301" s="35"/>
      <c r="AK301" s="35"/>
      <c r="AL301" s="34"/>
      <c r="AM301" s="34"/>
      <c r="AN301" s="104"/>
      <c r="AO301" s="104"/>
      <c r="AP301" s="104"/>
    </row>
    <row r="302">
      <c r="A302" s="34"/>
      <c r="B302" s="34"/>
      <c r="C302" s="34"/>
      <c r="D302" s="34"/>
      <c r="E302" s="35"/>
      <c r="F302" s="35"/>
      <c r="G302" s="35"/>
      <c r="H302" s="35"/>
      <c r="I302" s="35"/>
      <c r="J302" s="35"/>
      <c r="K302" s="35"/>
      <c r="L302" s="35"/>
      <c r="M302" s="35"/>
      <c r="N302" s="35"/>
      <c r="O302" s="35"/>
      <c r="P302" s="35"/>
      <c r="Q302" s="35"/>
      <c r="R302" s="35"/>
      <c r="S302" s="35"/>
      <c r="T302" s="35"/>
      <c r="U302" s="35"/>
      <c r="V302" s="35"/>
      <c r="W302" s="35"/>
      <c r="X302" s="34"/>
      <c r="Y302" s="35"/>
      <c r="Z302" s="35"/>
      <c r="AA302" s="35"/>
      <c r="AB302" s="35"/>
      <c r="AC302" s="35"/>
      <c r="AD302" s="35"/>
      <c r="AE302" s="35"/>
      <c r="AF302" s="35"/>
      <c r="AG302" s="35"/>
      <c r="AH302" s="35"/>
      <c r="AI302" s="35"/>
      <c r="AJ302" s="35"/>
      <c r="AK302" s="35"/>
      <c r="AL302" s="34"/>
      <c r="AM302" s="34"/>
      <c r="AN302" s="104"/>
      <c r="AO302" s="104"/>
      <c r="AP302" s="104"/>
    </row>
    <row r="303">
      <c r="A303" s="34"/>
      <c r="B303" s="34"/>
      <c r="C303" s="34"/>
      <c r="D303" s="34"/>
      <c r="E303" s="35"/>
      <c r="F303" s="35"/>
      <c r="G303" s="35"/>
      <c r="H303" s="35"/>
      <c r="I303" s="35"/>
      <c r="J303" s="35"/>
      <c r="K303" s="35"/>
      <c r="L303" s="35"/>
      <c r="M303" s="35"/>
      <c r="N303" s="35"/>
      <c r="O303" s="35"/>
      <c r="P303" s="35"/>
      <c r="Q303" s="35"/>
      <c r="R303" s="35"/>
      <c r="S303" s="35"/>
      <c r="T303" s="35"/>
      <c r="U303" s="35"/>
      <c r="V303" s="35"/>
      <c r="W303" s="35"/>
      <c r="X303" s="34"/>
      <c r="Y303" s="35"/>
      <c r="Z303" s="35"/>
      <c r="AA303" s="35"/>
      <c r="AB303" s="35"/>
      <c r="AC303" s="35"/>
      <c r="AD303" s="35"/>
      <c r="AE303" s="35"/>
      <c r="AF303" s="35"/>
      <c r="AG303" s="35"/>
      <c r="AH303" s="35"/>
      <c r="AI303" s="35"/>
      <c r="AJ303" s="35"/>
      <c r="AK303" s="35"/>
      <c r="AL303" s="34"/>
      <c r="AM303" s="34"/>
      <c r="AN303" s="104"/>
      <c r="AO303" s="104"/>
      <c r="AP303" s="104"/>
    </row>
    <row r="304">
      <c r="A304" s="34"/>
      <c r="B304" s="34"/>
      <c r="C304" s="34"/>
      <c r="D304" s="34"/>
      <c r="E304" s="35"/>
      <c r="F304" s="35"/>
      <c r="G304" s="35"/>
      <c r="H304" s="35"/>
      <c r="I304" s="35"/>
      <c r="J304" s="35"/>
      <c r="K304" s="35"/>
      <c r="L304" s="35"/>
      <c r="M304" s="35"/>
      <c r="N304" s="35"/>
      <c r="O304" s="35"/>
      <c r="P304" s="35"/>
      <c r="Q304" s="35"/>
      <c r="R304" s="35"/>
      <c r="S304" s="35"/>
      <c r="T304" s="35"/>
      <c r="U304" s="35"/>
      <c r="V304" s="35"/>
      <c r="W304" s="35"/>
      <c r="X304" s="34"/>
      <c r="Y304" s="35"/>
      <c r="Z304" s="35"/>
      <c r="AA304" s="35"/>
      <c r="AB304" s="35"/>
      <c r="AC304" s="35"/>
      <c r="AD304" s="35"/>
      <c r="AE304" s="35"/>
      <c r="AF304" s="35"/>
      <c r="AG304" s="35"/>
      <c r="AH304" s="35"/>
      <c r="AI304" s="35"/>
      <c r="AJ304" s="35"/>
      <c r="AK304" s="35"/>
      <c r="AL304" s="34"/>
      <c r="AM304" s="34"/>
      <c r="AN304" s="104"/>
      <c r="AO304" s="104"/>
      <c r="AP304" s="104"/>
    </row>
    <row r="305">
      <c r="A305" s="34"/>
      <c r="B305" s="34"/>
      <c r="C305" s="34"/>
      <c r="D305" s="34"/>
      <c r="E305" s="35"/>
      <c r="F305" s="35"/>
      <c r="G305" s="35"/>
      <c r="H305" s="35"/>
      <c r="I305" s="35"/>
      <c r="J305" s="35"/>
      <c r="K305" s="35"/>
      <c r="L305" s="35"/>
      <c r="M305" s="35"/>
      <c r="N305" s="35"/>
      <c r="O305" s="35"/>
      <c r="P305" s="35"/>
      <c r="Q305" s="35"/>
      <c r="R305" s="35"/>
      <c r="S305" s="35"/>
      <c r="T305" s="35"/>
      <c r="U305" s="35"/>
      <c r="V305" s="35"/>
      <c r="W305" s="35"/>
      <c r="X305" s="34"/>
      <c r="Y305" s="35"/>
      <c r="Z305" s="35"/>
      <c r="AA305" s="35"/>
      <c r="AB305" s="35"/>
      <c r="AC305" s="35"/>
      <c r="AD305" s="35"/>
      <c r="AE305" s="35"/>
      <c r="AF305" s="35"/>
      <c r="AG305" s="35"/>
      <c r="AH305" s="35"/>
      <c r="AI305" s="35"/>
      <c r="AJ305" s="35"/>
      <c r="AK305" s="35"/>
      <c r="AL305" s="34"/>
      <c r="AM305" s="34"/>
      <c r="AN305" s="104"/>
      <c r="AO305" s="104"/>
      <c r="AP305" s="104"/>
    </row>
    <row r="306">
      <c r="A306" s="34"/>
      <c r="B306" s="34"/>
      <c r="C306" s="34"/>
      <c r="D306" s="34"/>
      <c r="E306" s="35"/>
      <c r="F306" s="35"/>
      <c r="G306" s="35"/>
      <c r="H306" s="35"/>
      <c r="I306" s="35"/>
      <c r="J306" s="35"/>
      <c r="K306" s="35"/>
      <c r="L306" s="35"/>
      <c r="M306" s="35"/>
      <c r="N306" s="35"/>
      <c r="O306" s="35"/>
      <c r="P306" s="35"/>
      <c r="Q306" s="35"/>
      <c r="R306" s="35"/>
      <c r="S306" s="35"/>
      <c r="T306" s="35"/>
      <c r="U306" s="35"/>
      <c r="V306" s="35"/>
      <c r="W306" s="35"/>
      <c r="X306" s="34"/>
      <c r="Y306" s="35"/>
      <c r="Z306" s="35"/>
      <c r="AA306" s="35"/>
      <c r="AB306" s="35"/>
      <c r="AC306" s="35"/>
      <c r="AD306" s="35"/>
      <c r="AE306" s="35"/>
      <c r="AF306" s="35"/>
      <c r="AG306" s="35"/>
      <c r="AH306" s="35"/>
      <c r="AI306" s="35"/>
      <c r="AJ306" s="35"/>
      <c r="AK306" s="35"/>
      <c r="AL306" s="34"/>
      <c r="AM306" s="34"/>
      <c r="AN306" s="104"/>
      <c r="AO306" s="104"/>
      <c r="AP306" s="104"/>
    </row>
    <row r="307">
      <c r="A307" s="34"/>
      <c r="B307" s="34"/>
      <c r="C307" s="34"/>
      <c r="D307" s="34"/>
      <c r="E307" s="35"/>
      <c r="F307" s="35"/>
      <c r="G307" s="35"/>
      <c r="H307" s="35"/>
      <c r="I307" s="35"/>
      <c r="J307" s="35"/>
      <c r="K307" s="35"/>
      <c r="L307" s="35"/>
      <c r="M307" s="35"/>
      <c r="N307" s="35"/>
      <c r="O307" s="35"/>
      <c r="P307" s="35"/>
      <c r="Q307" s="35"/>
      <c r="R307" s="35"/>
      <c r="S307" s="35"/>
      <c r="T307" s="35"/>
      <c r="U307" s="35"/>
      <c r="V307" s="35"/>
      <c r="W307" s="35"/>
      <c r="X307" s="34"/>
      <c r="Y307" s="35"/>
      <c r="Z307" s="35"/>
      <c r="AA307" s="35"/>
      <c r="AB307" s="35"/>
      <c r="AC307" s="35"/>
      <c r="AD307" s="35"/>
      <c r="AE307" s="35"/>
      <c r="AF307" s="35"/>
      <c r="AG307" s="35"/>
      <c r="AH307" s="35"/>
      <c r="AI307" s="35"/>
      <c r="AJ307" s="35"/>
      <c r="AK307" s="35"/>
      <c r="AL307" s="34"/>
      <c r="AM307" s="34"/>
      <c r="AN307" s="104"/>
      <c r="AO307" s="104"/>
      <c r="AP307" s="104"/>
    </row>
    <row r="308">
      <c r="A308" s="34"/>
      <c r="B308" s="34"/>
      <c r="C308" s="34"/>
      <c r="D308" s="34"/>
      <c r="E308" s="35"/>
      <c r="F308" s="35"/>
      <c r="G308" s="35"/>
      <c r="H308" s="35"/>
      <c r="I308" s="35"/>
      <c r="J308" s="35"/>
      <c r="K308" s="35"/>
      <c r="L308" s="35"/>
      <c r="M308" s="35"/>
      <c r="N308" s="35"/>
      <c r="O308" s="35"/>
      <c r="P308" s="35"/>
      <c r="Q308" s="35"/>
      <c r="R308" s="35"/>
      <c r="S308" s="35"/>
      <c r="T308" s="35"/>
      <c r="U308" s="35"/>
      <c r="V308" s="35"/>
      <c r="W308" s="35"/>
      <c r="X308" s="34"/>
      <c r="Y308" s="35"/>
      <c r="Z308" s="35"/>
      <c r="AA308" s="35"/>
      <c r="AB308" s="35"/>
      <c r="AC308" s="35"/>
      <c r="AD308" s="35"/>
      <c r="AE308" s="35"/>
      <c r="AF308" s="35"/>
      <c r="AG308" s="35"/>
      <c r="AH308" s="35"/>
      <c r="AI308" s="35"/>
      <c r="AJ308" s="35"/>
      <c r="AK308" s="35"/>
      <c r="AL308" s="34"/>
      <c r="AM308" s="34"/>
      <c r="AN308" s="104"/>
      <c r="AO308" s="104"/>
      <c r="AP308" s="104"/>
    </row>
    <row r="309">
      <c r="A309" s="34"/>
      <c r="B309" s="34"/>
      <c r="C309" s="34"/>
      <c r="D309" s="34"/>
      <c r="E309" s="35"/>
      <c r="F309" s="35"/>
      <c r="G309" s="35"/>
      <c r="H309" s="35"/>
      <c r="I309" s="35"/>
      <c r="J309" s="35"/>
      <c r="K309" s="35"/>
      <c r="L309" s="35"/>
      <c r="M309" s="35"/>
      <c r="N309" s="35"/>
      <c r="O309" s="35"/>
      <c r="P309" s="35"/>
      <c r="Q309" s="35"/>
      <c r="R309" s="35"/>
      <c r="S309" s="35"/>
      <c r="T309" s="35"/>
      <c r="U309" s="35"/>
      <c r="V309" s="35"/>
      <c r="W309" s="35"/>
      <c r="X309" s="34"/>
      <c r="Y309" s="35"/>
      <c r="Z309" s="35"/>
      <c r="AA309" s="35"/>
      <c r="AB309" s="35"/>
      <c r="AC309" s="35"/>
      <c r="AD309" s="35"/>
      <c r="AE309" s="35"/>
      <c r="AF309" s="35"/>
      <c r="AG309" s="35"/>
      <c r="AH309" s="35"/>
      <c r="AI309" s="35"/>
      <c r="AJ309" s="35"/>
      <c r="AK309" s="35"/>
      <c r="AL309" s="34"/>
      <c r="AM309" s="34"/>
      <c r="AN309" s="104"/>
      <c r="AO309" s="104"/>
      <c r="AP309" s="104"/>
    </row>
    <row r="310">
      <c r="A310" s="34"/>
      <c r="B310" s="34"/>
      <c r="C310" s="34"/>
      <c r="D310" s="34"/>
      <c r="E310" s="35"/>
      <c r="F310" s="35"/>
      <c r="G310" s="35"/>
      <c r="H310" s="35"/>
      <c r="I310" s="35"/>
      <c r="J310" s="35"/>
      <c r="K310" s="35"/>
      <c r="L310" s="35"/>
      <c r="M310" s="35"/>
      <c r="N310" s="35"/>
      <c r="O310" s="35"/>
      <c r="P310" s="35"/>
      <c r="Q310" s="35"/>
      <c r="R310" s="35"/>
      <c r="S310" s="35"/>
      <c r="T310" s="35"/>
      <c r="U310" s="35"/>
      <c r="V310" s="35"/>
      <c r="W310" s="35"/>
      <c r="X310" s="34"/>
      <c r="Y310" s="35"/>
      <c r="Z310" s="35"/>
      <c r="AA310" s="35"/>
      <c r="AB310" s="35"/>
      <c r="AC310" s="35"/>
      <c r="AD310" s="35"/>
      <c r="AE310" s="35"/>
      <c r="AF310" s="35"/>
      <c r="AG310" s="35"/>
      <c r="AH310" s="35"/>
      <c r="AI310" s="35"/>
      <c r="AJ310" s="35"/>
      <c r="AK310" s="35"/>
      <c r="AL310" s="34"/>
      <c r="AM310" s="34"/>
      <c r="AN310" s="104"/>
      <c r="AO310" s="104"/>
      <c r="AP310" s="104"/>
    </row>
    <row r="311">
      <c r="A311" s="34"/>
      <c r="B311" s="34"/>
      <c r="C311" s="34"/>
      <c r="D311" s="34"/>
      <c r="E311" s="35"/>
      <c r="F311" s="35"/>
      <c r="G311" s="35"/>
      <c r="H311" s="35"/>
      <c r="I311" s="35"/>
      <c r="J311" s="35"/>
      <c r="K311" s="35"/>
      <c r="L311" s="35"/>
      <c r="M311" s="35"/>
      <c r="N311" s="35"/>
      <c r="O311" s="35"/>
      <c r="P311" s="35"/>
      <c r="Q311" s="35"/>
      <c r="R311" s="35"/>
      <c r="S311" s="35"/>
      <c r="T311" s="35"/>
      <c r="U311" s="35"/>
      <c r="V311" s="35"/>
      <c r="W311" s="35"/>
      <c r="X311" s="34"/>
      <c r="Y311" s="35"/>
      <c r="Z311" s="35"/>
      <c r="AA311" s="35"/>
      <c r="AB311" s="35"/>
      <c r="AC311" s="35"/>
      <c r="AD311" s="35"/>
      <c r="AE311" s="35"/>
      <c r="AF311" s="35"/>
      <c r="AG311" s="35"/>
      <c r="AH311" s="35"/>
      <c r="AI311" s="35"/>
      <c r="AJ311" s="35"/>
      <c r="AK311" s="35"/>
      <c r="AL311" s="34"/>
      <c r="AM311" s="34"/>
      <c r="AN311" s="104"/>
      <c r="AO311" s="104"/>
      <c r="AP311" s="104"/>
    </row>
    <row r="312">
      <c r="A312" s="34"/>
      <c r="B312" s="34"/>
      <c r="C312" s="34"/>
      <c r="D312" s="34"/>
      <c r="E312" s="35"/>
      <c r="F312" s="35"/>
      <c r="G312" s="35"/>
      <c r="H312" s="35"/>
      <c r="I312" s="35"/>
      <c r="J312" s="35"/>
      <c r="K312" s="35"/>
      <c r="L312" s="35"/>
      <c r="M312" s="35"/>
      <c r="N312" s="35"/>
      <c r="O312" s="35"/>
      <c r="P312" s="35"/>
      <c r="Q312" s="35"/>
      <c r="R312" s="35"/>
      <c r="S312" s="35"/>
      <c r="T312" s="35"/>
      <c r="U312" s="35"/>
      <c r="V312" s="35"/>
      <c r="W312" s="35"/>
      <c r="X312" s="34"/>
      <c r="Y312" s="35"/>
      <c r="Z312" s="35"/>
      <c r="AA312" s="35"/>
      <c r="AB312" s="35"/>
      <c r="AC312" s="35"/>
      <c r="AD312" s="35"/>
      <c r="AE312" s="35"/>
      <c r="AF312" s="35"/>
      <c r="AG312" s="35"/>
      <c r="AH312" s="35"/>
      <c r="AI312" s="35"/>
      <c r="AJ312" s="35"/>
      <c r="AK312" s="35"/>
      <c r="AL312" s="34"/>
      <c r="AM312" s="34"/>
      <c r="AN312" s="104"/>
      <c r="AO312" s="104"/>
      <c r="AP312" s="104"/>
    </row>
    <row r="313">
      <c r="A313" s="34"/>
      <c r="B313" s="34"/>
      <c r="C313" s="34"/>
      <c r="D313" s="34"/>
      <c r="E313" s="35"/>
      <c r="F313" s="35"/>
      <c r="G313" s="35"/>
      <c r="H313" s="35"/>
      <c r="I313" s="35"/>
      <c r="J313" s="35"/>
      <c r="K313" s="35"/>
      <c r="L313" s="35"/>
      <c r="M313" s="35"/>
      <c r="N313" s="35"/>
      <c r="O313" s="35"/>
      <c r="P313" s="35"/>
      <c r="Q313" s="35"/>
      <c r="R313" s="35"/>
      <c r="S313" s="35"/>
      <c r="T313" s="35"/>
      <c r="U313" s="35"/>
      <c r="V313" s="35"/>
      <c r="W313" s="35"/>
      <c r="X313" s="34"/>
      <c r="Y313" s="35"/>
      <c r="Z313" s="35"/>
      <c r="AA313" s="35"/>
      <c r="AB313" s="35"/>
      <c r="AC313" s="35"/>
      <c r="AD313" s="35"/>
      <c r="AE313" s="35"/>
      <c r="AF313" s="35"/>
      <c r="AG313" s="35"/>
      <c r="AH313" s="35"/>
      <c r="AI313" s="35"/>
      <c r="AJ313" s="35"/>
      <c r="AK313" s="35"/>
      <c r="AL313" s="34"/>
      <c r="AM313" s="34"/>
      <c r="AN313" s="104"/>
      <c r="AO313" s="104"/>
      <c r="AP313" s="104"/>
    </row>
    <row r="314">
      <c r="A314" s="34"/>
      <c r="B314" s="34"/>
      <c r="C314" s="34"/>
      <c r="D314" s="34"/>
      <c r="E314" s="35"/>
      <c r="F314" s="35"/>
      <c r="G314" s="35"/>
      <c r="H314" s="35"/>
      <c r="I314" s="35"/>
      <c r="J314" s="35"/>
      <c r="K314" s="35"/>
      <c r="L314" s="35"/>
      <c r="M314" s="35"/>
      <c r="N314" s="35"/>
      <c r="O314" s="35"/>
      <c r="P314" s="35"/>
      <c r="Q314" s="35"/>
      <c r="R314" s="35"/>
      <c r="S314" s="35"/>
      <c r="T314" s="35"/>
      <c r="U314" s="35"/>
      <c r="V314" s="35"/>
      <c r="W314" s="35"/>
      <c r="X314" s="34"/>
      <c r="Y314" s="35"/>
      <c r="Z314" s="35"/>
      <c r="AA314" s="35"/>
      <c r="AB314" s="35"/>
      <c r="AC314" s="35"/>
      <c r="AD314" s="35"/>
      <c r="AE314" s="35"/>
      <c r="AF314" s="35"/>
      <c r="AG314" s="35"/>
      <c r="AH314" s="35"/>
      <c r="AI314" s="35"/>
      <c r="AJ314" s="35"/>
      <c r="AK314" s="35"/>
      <c r="AL314" s="34"/>
      <c r="AM314" s="34"/>
      <c r="AN314" s="104"/>
      <c r="AO314" s="104"/>
      <c r="AP314" s="104"/>
    </row>
    <row r="315">
      <c r="A315" s="34"/>
      <c r="B315" s="34"/>
      <c r="C315" s="34"/>
      <c r="D315" s="34"/>
      <c r="E315" s="35"/>
      <c r="F315" s="35"/>
      <c r="G315" s="35"/>
      <c r="H315" s="35"/>
      <c r="I315" s="35"/>
      <c r="J315" s="35"/>
      <c r="K315" s="35"/>
      <c r="L315" s="35"/>
      <c r="M315" s="35"/>
      <c r="N315" s="35"/>
      <c r="O315" s="35"/>
      <c r="P315" s="35"/>
      <c r="Q315" s="35"/>
      <c r="R315" s="35"/>
      <c r="S315" s="35"/>
      <c r="T315" s="35"/>
      <c r="U315" s="35"/>
      <c r="V315" s="35"/>
      <c r="W315" s="35"/>
      <c r="X315" s="34"/>
      <c r="Y315" s="35"/>
      <c r="Z315" s="35"/>
      <c r="AA315" s="35"/>
      <c r="AB315" s="35"/>
      <c r="AC315" s="35"/>
      <c r="AD315" s="35"/>
      <c r="AE315" s="35"/>
      <c r="AF315" s="35"/>
      <c r="AG315" s="35"/>
      <c r="AH315" s="35"/>
      <c r="AI315" s="35"/>
      <c r="AJ315" s="35"/>
      <c r="AK315" s="35"/>
      <c r="AL315" s="34"/>
      <c r="AM315" s="34"/>
      <c r="AN315" s="104"/>
      <c r="AO315" s="104"/>
      <c r="AP315" s="104"/>
    </row>
    <row r="316">
      <c r="A316" s="34"/>
      <c r="B316" s="34"/>
      <c r="C316" s="34"/>
      <c r="D316" s="34"/>
      <c r="E316" s="35"/>
      <c r="F316" s="35"/>
      <c r="G316" s="35"/>
      <c r="H316" s="35"/>
      <c r="I316" s="35"/>
      <c r="J316" s="35"/>
      <c r="K316" s="35"/>
      <c r="L316" s="35"/>
      <c r="M316" s="35"/>
      <c r="N316" s="35"/>
      <c r="O316" s="35"/>
      <c r="P316" s="35"/>
      <c r="Q316" s="35"/>
      <c r="R316" s="35"/>
      <c r="S316" s="35"/>
      <c r="T316" s="35"/>
      <c r="U316" s="35"/>
      <c r="V316" s="35"/>
      <c r="W316" s="35"/>
      <c r="X316" s="34"/>
      <c r="Y316" s="35"/>
      <c r="Z316" s="35"/>
      <c r="AA316" s="35"/>
      <c r="AB316" s="35"/>
      <c r="AC316" s="35"/>
      <c r="AD316" s="35"/>
      <c r="AE316" s="35"/>
      <c r="AF316" s="35"/>
      <c r="AG316" s="35"/>
      <c r="AH316" s="35"/>
      <c r="AI316" s="35"/>
      <c r="AJ316" s="35"/>
      <c r="AK316" s="35"/>
      <c r="AL316" s="34"/>
      <c r="AM316" s="34"/>
      <c r="AN316" s="104"/>
      <c r="AO316" s="104"/>
      <c r="AP316" s="104"/>
    </row>
    <row r="317">
      <c r="A317" s="34"/>
      <c r="B317" s="34"/>
      <c r="C317" s="34"/>
      <c r="D317" s="34"/>
      <c r="E317" s="35"/>
      <c r="F317" s="35"/>
      <c r="G317" s="35"/>
      <c r="H317" s="35"/>
      <c r="I317" s="35"/>
      <c r="J317" s="35"/>
      <c r="K317" s="35"/>
      <c r="L317" s="35"/>
      <c r="M317" s="35"/>
      <c r="N317" s="35"/>
      <c r="O317" s="35"/>
      <c r="P317" s="35"/>
      <c r="Q317" s="35"/>
      <c r="R317" s="35"/>
      <c r="S317" s="35"/>
      <c r="T317" s="35"/>
      <c r="U317" s="35"/>
      <c r="V317" s="35"/>
      <c r="W317" s="35"/>
      <c r="X317" s="34"/>
      <c r="Y317" s="35"/>
      <c r="Z317" s="35"/>
      <c r="AA317" s="35"/>
      <c r="AB317" s="35"/>
      <c r="AC317" s="35"/>
      <c r="AD317" s="35"/>
      <c r="AE317" s="35"/>
      <c r="AF317" s="35"/>
      <c r="AG317" s="35"/>
      <c r="AH317" s="35"/>
      <c r="AI317" s="35"/>
      <c r="AJ317" s="35"/>
      <c r="AK317" s="35"/>
      <c r="AL317" s="34"/>
      <c r="AM317" s="34"/>
      <c r="AN317" s="104"/>
      <c r="AO317" s="104"/>
      <c r="AP317" s="104"/>
    </row>
    <row r="318">
      <c r="A318" s="34"/>
      <c r="B318" s="34"/>
      <c r="C318" s="34"/>
      <c r="D318" s="34"/>
      <c r="E318" s="35"/>
      <c r="F318" s="35"/>
      <c r="G318" s="35"/>
      <c r="H318" s="35"/>
      <c r="I318" s="35"/>
      <c r="J318" s="35"/>
      <c r="K318" s="35"/>
      <c r="L318" s="35"/>
      <c r="M318" s="35"/>
      <c r="N318" s="35"/>
      <c r="O318" s="35"/>
      <c r="P318" s="35"/>
      <c r="Q318" s="35"/>
      <c r="R318" s="35"/>
      <c r="S318" s="35"/>
      <c r="T318" s="35"/>
      <c r="U318" s="35"/>
      <c r="V318" s="35"/>
      <c r="W318" s="35"/>
      <c r="X318" s="34"/>
      <c r="Y318" s="35"/>
      <c r="Z318" s="35"/>
      <c r="AA318" s="35"/>
      <c r="AB318" s="35"/>
      <c r="AC318" s="35"/>
      <c r="AD318" s="35"/>
      <c r="AE318" s="35"/>
      <c r="AF318" s="35"/>
      <c r="AG318" s="35"/>
      <c r="AH318" s="35"/>
      <c r="AI318" s="35"/>
      <c r="AJ318" s="35"/>
      <c r="AK318" s="35"/>
      <c r="AL318" s="34"/>
      <c r="AM318" s="34"/>
      <c r="AN318" s="104"/>
      <c r="AO318" s="104"/>
      <c r="AP318" s="104"/>
    </row>
    <row r="319">
      <c r="A319" s="34"/>
      <c r="B319" s="34"/>
      <c r="C319" s="34"/>
      <c r="D319" s="34"/>
      <c r="E319" s="35"/>
      <c r="F319" s="35"/>
      <c r="G319" s="35"/>
      <c r="H319" s="35"/>
      <c r="I319" s="35"/>
      <c r="J319" s="35"/>
      <c r="K319" s="35"/>
      <c r="L319" s="35"/>
      <c r="M319" s="35"/>
      <c r="N319" s="35"/>
      <c r="O319" s="35"/>
      <c r="P319" s="35"/>
      <c r="Q319" s="35"/>
      <c r="R319" s="35"/>
      <c r="S319" s="35"/>
      <c r="T319" s="35"/>
      <c r="U319" s="35"/>
      <c r="V319" s="35"/>
      <c r="W319" s="35"/>
      <c r="X319" s="34"/>
      <c r="Y319" s="35"/>
      <c r="Z319" s="35"/>
      <c r="AA319" s="35"/>
      <c r="AB319" s="35"/>
      <c r="AC319" s="35"/>
      <c r="AD319" s="35"/>
      <c r="AE319" s="35"/>
      <c r="AF319" s="35"/>
      <c r="AG319" s="35"/>
      <c r="AH319" s="35"/>
      <c r="AI319" s="35"/>
      <c r="AJ319" s="35"/>
      <c r="AK319" s="35"/>
      <c r="AL319" s="34"/>
      <c r="AM319" s="34"/>
      <c r="AN319" s="104"/>
      <c r="AO319" s="104"/>
      <c r="AP319" s="104"/>
    </row>
    <row r="320">
      <c r="A320" s="34"/>
      <c r="B320" s="34"/>
      <c r="C320" s="34"/>
      <c r="D320" s="34"/>
      <c r="E320" s="35"/>
      <c r="F320" s="35"/>
      <c r="G320" s="35"/>
      <c r="H320" s="35"/>
      <c r="I320" s="35"/>
      <c r="J320" s="35"/>
      <c r="K320" s="35"/>
      <c r="L320" s="35"/>
      <c r="M320" s="35"/>
      <c r="N320" s="35"/>
      <c r="O320" s="35"/>
      <c r="P320" s="35"/>
      <c r="Q320" s="35"/>
      <c r="R320" s="35"/>
      <c r="S320" s="35"/>
      <c r="T320" s="35"/>
      <c r="U320" s="35"/>
      <c r="V320" s="35"/>
      <c r="W320" s="35"/>
      <c r="X320" s="34"/>
      <c r="Y320" s="35"/>
      <c r="Z320" s="35"/>
      <c r="AA320" s="35"/>
      <c r="AB320" s="35"/>
      <c r="AC320" s="35"/>
      <c r="AD320" s="35"/>
      <c r="AE320" s="35"/>
      <c r="AF320" s="35"/>
      <c r="AG320" s="35"/>
      <c r="AH320" s="35"/>
      <c r="AI320" s="35"/>
      <c r="AJ320" s="35"/>
      <c r="AK320" s="35"/>
      <c r="AL320" s="34"/>
      <c r="AM320" s="34"/>
      <c r="AN320" s="104"/>
      <c r="AO320" s="104"/>
      <c r="AP320" s="104"/>
    </row>
    <row r="321">
      <c r="A321" s="34"/>
      <c r="B321" s="34"/>
      <c r="C321" s="34"/>
      <c r="D321" s="34"/>
      <c r="E321" s="35"/>
      <c r="F321" s="35"/>
      <c r="G321" s="35"/>
      <c r="H321" s="35"/>
      <c r="I321" s="35"/>
      <c r="J321" s="35"/>
      <c r="K321" s="35"/>
      <c r="L321" s="35"/>
      <c r="M321" s="35"/>
      <c r="N321" s="35"/>
      <c r="O321" s="35"/>
      <c r="P321" s="35"/>
      <c r="Q321" s="35"/>
      <c r="R321" s="35"/>
      <c r="S321" s="35"/>
      <c r="T321" s="35"/>
      <c r="U321" s="35"/>
      <c r="V321" s="35"/>
      <c r="W321" s="35"/>
      <c r="X321" s="34"/>
      <c r="Y321" s="35"/>
      <c r="Z321" s="35"/>
      <c r="AA321" s="35"/>
      <c r="AB321" s="35"/>
      <c r="AC321" s="35"/>
      <c r="AD321" s="35"/>
      <c r="AE321" s="35"/>
      <c r="AF321" s="35"/>
      <c r="AG321" s="35"/>
      <c r="AH321" s="35"/>
      <c r="AI321" s="35"/>
      <c r="AJ321" s="35"/>
      <c r="AK321" s="35"/>
      <c r="AL321" s="34"/>
      <c r="AM321" s="34"/>
      <c r="AN321" s="104"/>
      <c r="AO321" s="104"/>
      <c r="AP321" s="104"/>
    </row>
    <row r="322">
      <c r="A322" s="132"/>
      <c r="B322" s="132"/>
      <c r="C322" s="132"/>
      <c r="D322" s="132"/>
      <c r="E322" s="133"/>
      <c r="F322" s="133"/>
      <c r="G322" s="133"/>
      <c r="H322" s="133"/>
      <c r="I322" s="133"/>
      <c r="J322" s="133"/>
      <c r="K322" s="133"/>
      <c r="L322" s="133"/>
      <c r="M322" s="133"/>
      <c r="N322" s="133"/>
      <c r="O322" s="133"/>
      <c r="P322" s="133"/>
      <c r="Q322" s="133"/>
      <c r="R322" s="133"/>
      <c r="S322" s="133"/>
      <c r="T322" s="133"/>
      <c r="U322" s="133"/>
      <c r="V322" s="133"/>
      <c r="W322" s="133"/>
      <c r="X322" s="160"/>
      <c r="Y322" s="133"/>
      <c r="Z322" s="133"/>
      <c r="AA322" s="133"/>
      <c r="AB322" s="133"/>
      <c r="AC322" s="133"/>
      <c r="AD322" s="133"/>
      <c r="AE322" s="133"/>
      <c r="AF322" s="133"/>
      <c r="AG322" s="133"/>
      <c r="AH322" s="133"/>
      <c r="AI322" s="133"/>
      <c r="AJ322" s="133"/>
      <c r="AK322" s="133"/>
      <c r="AL322" s="132"/>
      <c r="AM322" s="132"/>
      <c r="AN322" s="104"/>
      <c r="AO322" s="104"/>
      <c r="AP322" s="104"/>
    </row>
    <row r="323">
      <c r="A323" s="132"/>
      <c r="B323" s="132"/>
      <c r="C323" s="132"/>
      <c r="D323" s="132"/>
      <c r="E323" s="133"/>
      <c r="F323" s="133"/>
      <c r="G323" s="133"/>
      <c r="H323" s="133"/>
      <c r="I323" s="133"/>
      <c r="J323" s="133"/>
      <c r="K323" s="133"/>
      <c r="L323" s="133"/>
      <c r="M323" s="133"/>
      <c r="N323" s="133"/>
      <c r="O323" s="133"/>
      <c r="P323" s="133"/>
      <c r="Q323" s="133"/>
      <c r="R323" s="133"/>
      <c r="S323" s="133"/>
      <c r="T323" s="133"/>
      <c r="U323" s="133"/>
      <c r="V323" s="133"/>
      <c r="W323" s="133"/>
      <c r="X323" s="160"/>
      <c r="Y323" s="133"/>
      <c r="Z323" s="133"/>
      <c r="AA323" s="133"/>
      <c r="AB323" s="133"/>
      <c r="AC323" s="133"/>
      <c r="AD323" s="133"/>
      <c r="AE323" s="133"/>
      <c r="AF323" s="133"/>
      <c r="AG323" s="133"/>
      <c r="AH323" s="133"/>
      <c r="AI323" s="133"/>
      <c r="AJ323" s="133"/>
      <c r="AK323" s="133"/>
      <c r="AL323" s="132"/>
      <c r="AM323" s="132"/>
      <c r="AN323" s="104"/>
      <c r="AO323" s="104"/>
      <c r="AP323" s="104"/>
    </row>
    <row r="324">
      <c r="A324" s="132"/>
      <c r="B324" s="132"/>
      <c r="C324" s="132"/>
      <c r="D324" s="132"/>
      <c r="E324" s="133"/>
      <c r="F324" s="133"/>
      <c r="G324" s="133"/>
      <c r="H324" s="133"/>
      <c r="I324" s="133"/>
      <c r="J324" s="133"/>
      <c r="K324" s="133"/>
      <c r="L324" s="133"/>
      <c r="M324" s="133"/>
      <c r="N324" s="133"/>
      <c r="O324" s="133"/>
      <c r="P324" s="133"/>
      <c r="Q324" s="133"/>
      <c r="R324" s="133"/>
      <c r="S324" s="133"/>
      <c r="T324" s="133"/>
      <c r="U324" s="133"/>
      <c r="V324" s="133"/>
      <c r="W324" s="133"/>
      <c r="X324" s="160"/>
      <c r="Y324" s="133"/>
      <c r="Z324" s="133"/>
      <c r="AA324" s="133"/>
      <c r="AB324" s="133"/>
      <c r="AC324" s="133"/>
      <c r="AD324" s="133"/>
      <c r="AE324" s="133"/>
      <c r="AF324" s="133"/>
      <c r="AG324" s="133"/>
      <c r="AH324" s="133"/>
      <c r="AI324" s="133"/>
      <c r="AJ324" s="133"/>
      <c r="AK324" s="133"/>
      <c r="AL324" s="132"/>
      <c r="AM324" s="132"/>
      <c r="AN324" s="104"/>
      <c r="AO324" s="104"/>
      <c r="AP324" s="104"/>
    </row>
    <row r="325">
      <c r="A325" s="132"/>
      <c r="B325" s="132"/>
      <c r="C325" s="132"/>
      <c r="D325" s="132"/>
      <c r="E325" s="133"/>
      <c r="F325" s="133"/>
      <c r="G325" s="133"/>
      <c r="H325" s="133"/>
      <c r="I325" s="133"/>
      <c r="J325" s="133"/>
      <c r="K325" s="133"/>
      <c r="L325" s="133"/>
      <c r="M325" s="133"/>
      <c r="N325" s="133"/>
      <c r="O325" s="133"/>
      <c r="P325" s="133"/>
      <c r="Q325" s="133"/>
      <c r="R325" s="133"/>
      <c r="S325" s="133"/>
      <c r="T325" s="133"/>
      <c r="U325" s="133"/>
      <c r="V325" s="133"/>
      <c r="W325" s="133"/>
      <c r="X325" s="160"/>
      <c r="Y325" s="133"/>
      <c r="Z325" s="133"/>
      <c r="AA325" s="133"/>
      <c r="AB325" s="133"/>
      <c r="AC325" s="133"/>
      <c r="AD325" s="133"/>
      <c r="AE325" s="133"/>
      <c r="AF325" s="133"/>
      <c r="AG325" s="133"/>
      <c r="AH325" s="133"/>
      <c r="AI325" s="133"/>
      <c r="AJ325" s="133"/>
      <c r="AK325" s="133"/>
      <c r="AL325" s="132"/>
      <c r="AM325" s="132"/>
      <c r="AN325" s="104"/>
      <c r="AO325" s="104"/>
      <c r="AP325" s="104"/>
    </row>
    <row r="326">
      <c r="A326" s="132"/>
      <c r="B326" s="132"/>
      <c r="C326" s="132"/>
      <c r="D326" s="132"/>
      <c r="E326" s="133"/>
      <c r="F326" s="133"/>
      <c r="G326" s="133"/>
      <c r="H326" s="133"/>
      <c r="I326" s="133"/>
      <c r="J326" s="133"/>
      <c r="K326" s="133"/>
      <c r="L326" s="133"/>
      <c r="M326" s="133"/>
      <c r="N326" s="133"/>
      <c r="O326" s="133"/>
      <c r="P326" s="133"/>
      <c r="Q326" s="133"/>
      <c r="R326" s="133"/>
      <c r="S326" s="133"/>
      <c r="T326" s="133"/>
      <c r="U326" s="133"/>
      <c r="V326" s="133"/>
      <c r="W326" s="133"/>
      <c r="X326" s="160"/>
      <c r="Y326" s="133"/>
      <c r="Z326" s="133"/>
      <c r="AA326" s="133"/>
      <c r="AB326" s="133"/>
      <c r="AC326" s="133"/>
      <c r="AD326" s="133"/>
      <c r="AE326" s="133"/>
      <c r="AF326" s="133"/>
      <c r="AG326" s="133"/>
      <c r="AH326" s="133"/>
      <c r="AI326" s="133"/>
      <c r="AJ326" s="133"/>
      <c r="AK326" s="133"/>
      <c r="AL326" s="132"/>
      <c r="AM326" s="132"/>
      <c r="AN326" s="104"/>
      <c r="AO326" s="104"/>
      <c r="AP326" s="104"/>
    </row>
    <row r="327">
      <c r="A327" s="132"/>
      <c r="B327" s="132"/>
      <c r="C327" s="132"/>
      <c r="D327" s="132"/>
      <c r="E327" s="133"/>
      <c r="F327" s="133"/>
      <c r="G327" s="133"/>
      <c r="H327" s="133"/>
      <c r="I327" s="133"/>
      <c r="J327" s="133"/>
      <c r="K327" s="133"/>
      <c r="L327" s="133"/>
      <c r="M327" s="133"/>
      <c r="N327" s="133"/>
      <c r="O327" s="133"/>
      <c r="P327" s="133"/>
      <c r="Q327" s="133"/>
      <c r="R327" s="133"/>
      <c r="S327" s="133"/>
      <c r="T327" s="133"/>
      <c r="U327" s="133"/>
      <c r="V327" s="133"/>
      <c r="W327" s="133"/>
      <c r="X327" s="160"/>
      <c r="Y327" s="133"/>
      <c r="Z327" s="133"/>
      <c r="AA327" s="133"/>
      <c r="AB327" s="133"/>
      <c r="AC327" s="133"/>
      <c r="AD327" s="133"/>
      <c r="AE327" s="133"/>
      <c r="AF327" s="133"/>
      <c r="AG327" s="133"/>
      <c r="AH327" s="133"/>
      <c r="AI327" s="133"/>
      <c r="AJ327" s="133"/>
      <c r="AK327" s="133"/>
      <c r="AL327" s="132"/>
      <c r="AM327" s="132"/>
      <c r="AN327" s="104"/>
      <c r="AO327" s="104"/>
      <c r="AP327" s="104"/>
    </row>
    <row r="328">
      <c r="A328" s="132"/>
      <c r="B328" s="132"/>
      <c r="C328" s="132"/>
      <c r="D328" s="132"/>
      <c r="E328" s="133"/>
      <c r="F328" s="133"/>
      <c r="G328" s="133"/>
      <c r="H328" s="133"/>
      <c r="I328" s="133"/>
      <c r="J328" s="133"/>
      <c r="K328" s="133"/>
      <c r="L328" s="133"/>
      <c r="M328" s="133"/>
      <c r="N328" s="133"/>
      <c r="O328" s="133"/>
      <c r="P328" s="133"/>
      <c r="Q328" s="133"/>
      <c r="R328" s="133"/>
      <c r="S328" s="133"/>
      <c r="T328" s="133"/>
      <c r="U328" s="133"/>
      <c r="V328" s="133"/>
      <c r="W328" s="133"/>
      <c r="X328" s="160"/>
      <c r="Y328" s="133"/>
      <c r="Z328" s="133"/>
      <c r="AA328" s="133"/>
      <c r="AB328" s="133"/>
      <c r="AC328" s="133"/>
      <c r="AD328" s="133"/>
      <c r="AE328" s="133"/>
      <c r="AF328" s="133"/>
      <c r="AG328" s="133"/>
      <c r="AH328" s="133"/>
      <c r="AI328" s="133"/>
      <c r="AJ328" s="133"/>
      <c r="AK328" s="133"/>
      <c r="AL328" s="132"/>
      <c r="AM328" s="132"/>
      <c r="AN328" s="104"/>
      <c r="AO328" s="104"/>
      <c r="AP328" s="104"/>
    </row>
    <row r="329">
      <c r="A329" s="132"/>
      <c r="B329" s="132"/>
      <c r="C329" s="132"/>
      <c r="D329" s="132"/>
      <c r="E329" s="133"/>
      <c r="F329" s="133"/>
      <c r="G329" s="133"/>
      <c r="H329" s="133"/>
      <c r="I329" s="133"/>
      <c r="J329" s="133"/>
      <c r="K329" s="133"/>
      <c r="L329" s="133"/>
      <c r="M329" s="133"/>
      <c r="N329" s="133"/>
      <c r="O329" s="133"/>
      <c r="P329" s="133"/>
      <c r="Q329" s="133"/>
      <c r="R329" s="133"/>
      <c r="S329" s="133"/>
      <c r="T329" s="133"/>
      <c r="U329" s="133"/>
      <c r="V329" s="133"/>
      <c r="W329" s="133"/>
      <c r="X329" s="160"/>
      <c r="Y329" s="133"/>
      <c r="Z329" s="133"/>
      <c r="AA329" s="133"/>
      <c r="AB329" s="133"/>
      <c r="AC329" s="133"/>
      <c r="AD329" s="133"/>
      <c r="AE329" s="133"/>
      <c r="AF329" s="133"/>
      <c r="AG329" s="133"/>
      <c r="AH329" s="133"/>
      <c r="AI329" s="133"/>
      <c r="AJ329" s="133"/>
      <c r="AK329" s="133"/>
      <c r="AL329" s="132"/>
      <c r="AM329" s="132"/>
      <c r="AN329" s="104"/>
      <c r="AO329" s="104"/>
      <c r="AP329" s="104"/>
    </row>
    <row r="330">
      <c r="A330" s="132"/>
      <c r="B330" s="132"/>
      <c r="C330" s="132"/>
      <c r="D330" s="132"/>
      <c r="E330" s="133"/>
      <c r="F330" s="133"/>
      <c r="G330" s="133"/>
      <c r="H330" s="133"/>
      <c r="I330" s="133"/>
      <c r="J330" s="133"/>
      <c r="K330" s="133"/>
      <c r="L330" s="133"/>
      <c r="M330" s="133"/>
      <c r="N330" s="133"/>
      <c r="O330" s="133"/>
      <c r="P330" s="133"/>
      <c r="Q330" s="133"/>
      <c r="R330" s="133"/>
      <c r="S330" s="133"/>
      <c r="T330" s="133"/>
      <c r="U330" s="133"/>
      <c r="V330" s="133"/>
      <c r="W330" s="133"/>
      <c r="X330" s="160"/>
      <c r="Y330" s="133"/>
      <c r="Z330" s="133"/>
      <c r="AA330" s="133"/>
      <c r="AB330" s="133"/>
      <c r="AC330" s="133"/>
      <c r="AD330" s="133"/>
      <c r="AE330" s="133"/>
      <c r="AF330" s="133"/>
      <c r="AG330" s="133"/>
      <c r="AH330" s="133"/>
      <c r="AI330" s="133"/>
      <c r="AJ330" s="133"/>
      <c r="AK330" s="133"/>
      <c r="AL330" s="132"/>
      <c r="AM330" s="132"/>
      <c r="AN330" s="104"/>
      <c r="AO330" s="104"/>
      <c r="AP330" s="104"/>
    </row>
    <row r="331">
      <c r="A331" s="132"/>
      <c r="B331" s="132"/>
      <c r="C331" s="132"/>
      <c r="D331" s="132"/>
      <c r="E331" s="133"/>
      <c r="F331" s="133"/>
      <c r="G331" s="133"/>
      <c r="H331" s="133"/>
      <c r="I331" s="133"/>
      <c r="J331" s="133"/>
      <c r="K331" s="133"/>
      <c r="L331" s="133"/>
      <c r="M331" s="133"/>
      <c r="N331" s="133"/>
      <c r="O331" s="133"/>
      <c r="P331" s="133"/>
      <c r="Q331" s="133"/>
      <c r="R331" s="133"/>
      <c r="S331" s="133"/>
      <c r="T331" s="133"/>
      <c r="U331" s="133"/>
      <c r="V331" s="133"/>
      <c r="W331" s="133"/>
      <c r="X331" s="160"/>
      <c r="Y331" s="133"/>
      <c r="Z331" s="133"/>
      <c r="AA331" s="133"/>
      <c r="AB331" s="133"/>
      <c r="AC331" s="133"/>
      <c r="AD331" s="133"/>
      <c r="AE331" s="133"/>
      <c r="AF331" s="133"/>
      <c r="AG331" s="133"/>
      <c r="AH331" s="133"/>
      <c r="AI331" s="133"/>
      <c r="AJ331" s="133"/>
      <c r="AK331" s="133"/>
      <c r="AL331" s="132"/>
      <c r="AM331" s="132"/>
      <c r="AN331" s="104"/>
      <c r="AO331" s="104"/>
      <c r="AP331" s="104"/>
    </row>
    <row r="332">
      <c r="A332" s="132"/>
      <c r="B332" s="132"/>
      <c r="C332" s="132"/>
      <c r="D332" s="132"/>
      <c r="E332" s="133"/>
      <c r="F332" s="133"/>
      <c r="G332" s="133"/>
      <c r="H332" s="133"/>
      <c r="I332" s="133"/>
      <c r="J332" s="133"/>
      <c r="K332" s="133"/>
      <c r="L332" s="133"/>
      <c r="M332" s="133"/>
      <c r="N332" s="133"/>
      <c r="O332" s="133"/>
      <c r="P332" s="133"/>
      <c r="Q332" s="133"/>
      <c r="R332" s="133"/>
      <c r="S332" s="133"/>
      <c r="T332" s="133"/>
      <c r="U332" s="133"/>
      <c r="V332" s="133"/>
      <c r="W332" s="133"/>
      <c r="X332" s="160"/>
      <c r="Y332" s="133"/>
      <c r="Z332" s="133"/>
      <c r="AA332" s="133"/>
      <c r="AB332" s="133"/>
      <c r="AC332" s="133"/>
      <c r="AD332" s="133"/>
      <c r="AE332" s="133"/>
      <c r="AF332" s="133"/>
      <c r="AG332" s="133"/>
      <c r="AH332" s="133"/>
      <c r="AI332" s="133"/>
      <c r="AJ332" s="133"/>
      <c r="AK332" s="133"/>
      <c r="AL332" s="132"/>
      <c r="AM332" s="132"/>
      <c r="AN332" s="104"/>
      <c r="AO332" s="104"/>
      <c r="AP332" s="104"/>
    </row>
    <row r="333">
      <c r="A333" s="132"/>
      <c r="B333" s="132"/>
      <c r="C333" s="132"/>
      <c r="D333" s="132"/>
      <c r="E333" s="133"/>
      <c r="F333" s="133"/>
      <c r="G333" s="133"/>
      <c r="H333" s="133"/>
      <c r="I333" s="133"/>
      <c r="J333" s="133"/>
      <c r="K333" s="133"/>
      <c r="L333" s="133"/>
      <c r="M333" s="133"/>
      <c r="N333" s="133"/>
      <c r="O333" s="133"/>
      <c r="P333" s="133"/>
      <c r="Q333" s="133"/>
      <c r="R333" s="133"/>
      <c r="S333" s="133"/>
      <c r="T333" s="133"/>
      <c r="U333" s="133"/>
      <c r="V333" s="133"/>
      <c r="W333" s="133"/>
      <c r="X333" s="160"/>
      <c r="Y333" s="133"/>
      <c r="Z333" s="133"/>
      <c r="AA333" s="133"/>
      <c r="AB333" s="133"/>
      <c r="AC333" s="133"/>
      <c r="AD333" s="133"/>
      <c r="AE333" s="133"/>
      <c r="AF333" s="133"/>
      <c r="AG333" s="133"/>
      <c r="AH333" s="133"/>
      <c r="AI333" s="133"/>
      <c r="AJ333" s="133"/>
      <c r="AK333" s="133"/>
      <c r="AL333" s="132"/>
      <c r="AM333" s="132"/>
      <c r="AN333" s="104"/>
      <c r="AO333" s="104"/>
      <c r="AP333" s="104"/>
    </row>
    <row r="334">
      <c r="A334" s="132"/>
      <c r="B334" s="132"/>
      <c r="C334" s="132"/>
      <c r="D334" s="132"/>
      <c r="E334" s="133"/>
      <c r="F334" s="133"/>
      <c r="G334" s="133"/>
      <c r="H334" s="133"/>
      <c r="I334" s="133"/>
      <c r="J334" s="133"/>
      <c r="K334" s="133"/>
      <c r="L334" s="133"/>
      <c r="M334" s="133"/>
      <c r="N334" s="133"/>
      <c r="O334" s="133"/>
      <c r="P334" s="133"/>
      <c r="Q334" s="133"/>
      <c r="R334" s="133"/>
      <c r="S334" s="133"/>
      <c r="T334" s="133"/>
      <c r="U334" s="133"/>
      <c r="V334" s="133"/>
      <c r="W334" s="133"/>
      <c r="X334" s="160"/>
      <c r="Y334" s="133"/>
      <c r="Z334" s="133"/>
      <c r="AA334" s="133"/>
      <c r="AB334" s="133"/>
      <c r="AC334" s="133"/>
      <c r="AD334" s="133"/>
      <c r="AE334" s="133"/>
      <c r="AF334" s="133"/>
      <c r="AG334" s="133"/>
      <c r="AH334" s="133"/>
      <c r="AI334" s="133"/>
      <c r="AJ334" s="133"/>
      <c r="AK334" s="133"/>
      <c r="AL334" s="132"/>
      <c r="AM334" s="132"/>
      <c r="AN334" s="104"/>
      <c r="AO334" s="104"/>
      <c r="AP334" s="104"/>
    </row>
    <row r="335">
      <c r="A335" s="132"/>
      <c r="B335" s="132"/>
      <c r="C335" s="132"/>
      <c r="D335" s="132"/>
      <c r="E335" s="133"/>
      <c r="F335" s="133"/>
      <c r="G335" s="133"/>
      <c r="H335" s="133"/>
      <c r="I335" s="133"/>
      <c r="J335" s="133"/>
      <c r="K335" s="133"/>
      <c r="L335" s="133"/>
      <c r="M335" s="133"/>
      <c r="N335" s="133"/>
      <c r="O335" s="133"/>
      <c r="P335" s="133"/>
      <c r="Q335" s="133"/>
      <c r="R335" s="133"/>
      <c r="S335" s="133"/>
      <c r="T335" s="133"/>
      <c r="U335" s="133"/>
      <c r="V335" s="133"/>
      <c r="W335" s="133"/>
      <c r="X335" s="160"/>
      <c r="Y335" s="133"/>
      <c r="Z335" s="133"/>
      <c r="AA335" s="133"/>
      <c r="AB335" s="133"/>
      <c r="AC335" s="133"/>
      <c r="AD335" s="133"/>
      <c r="AE335" s="133"/>
      <c r="AF335" s="133"/>
      <c r="AG335" s="133"/>
      <c r="AH335" s="133"/>
      <c r="AI335" s="133"/>
      <c r="AJ335" s="133"/>
      <c r="AK335" s="133"/>
      <c r="AL335" s="132"/>
      <c r="AM335" s="132"/>
      <c r="AN335" s="104"/>
      <c r="AO335" s="104"/>
      <c r="AP335" s="104"/>
    </row>
    <row r="336">
      <c r="A336" s="132"/>
      <c r="B336" s="132"/>
      <c r="C336" s="132"/>
      <c r="D336" s="132"/>
      <c r="E336" s="133"/>
      <c r="F336" s="133"/>
      <c r="G336" s="133"/>
      <c r="H336" s="133"/>
      <c r="I336" s="133"/>
      <c r="J336" s="133"/>
      <c r="K336" s="133"/>
      <c r="L336" s="133"/>
      <c r="M336" s="133"/>
      <c r="N336" s="133"/>
      <c r="O336" s="133"/>
      <c r="P336" s="133"/>
      <c r="Q336" s="133"/>
      <c r="R336" s="133"/>
      <c r="S336" s="133"/>
      <c r="T336" s="133"/>
      <c r="U336" s="133"/>
      <c r="V336" s="133"/>
      <c r="W336" s="133"/>
      <c r="X336" s="160"/>
      <c r="Y336" s="133"/>
      <c r="Z336" s="133"/>
      <c r="AA336" s="133"/>
      <c r="AB336" s="133"/>
      <c r="AC336" s="133"/>
      <c r="AD336" s="133"/>
      <c r="AE336" s="133"/>
      <c r="AF336" s="133"/>
      <c r="AG336" s="133"/>
      <c r="AH336" s="133"/>
      <c r="AI336" s="133"/>
      <c r="AJ336" s="133"/>
      <c r="AK336" s="133"/>
      <c r="AL336" s="132"/>
      <c r="AM336" s="132"/>
      <c r="AN336" s="104"/>
      <c r="AO336" s="104"/>
      <c r="AP336" s="104"/>
    </row>
    <row r="337">
      <c r="A337" s="132"/>
      <c r="B337" s="132"/>
      <c r="C337" s="132"/>
      <c r="D337" s="132"/>
      <c r="E337" s="133"/>
      <c r="F337" s="133"/>
      <c r="G337" s="133"/>
      <c r="H337" s="133"/>
      <c r="I337" s="133"/>
      <c r="J337" s="133"/>
      <c r="K337" s="133"/>
      <c r="L337" s="133"/>
      <c r="M337" s="133"/>
      <c r="N337" s="133"/>
      <c r="O337" s="133"/>
      <c r="P337" s="133"/>
      <c r="Q337" s="133"/>
      <c r="R337" s="133"/>
      <c r="S337" s="133"/>
      <c r="T337" s="133"/>
      <c r="U337" s="133"/>
      <c r="V337" s="133"/>
      <c r="W337" s="133"/>
      <c r="X337" s="160"/>
      <c r="Y337" s="133"/>
      <c r="Z337" s="133"/>
      <c r="AA337" s="133"/>
      <c r="AB337" s="133"/>
      <c r="AC337" s="133"/>
      <c r="AD337" s="133"/>
      <c r="AE337" s="133"/>
      <c r="AF337" s="133"/>
      <c r="AG337" s="133"/>
      <c r="AH337" s="133"/>
      <c r="AI337" s="133"/>
      <c r="AJ337" s="133"/>
      <c r="AK337" s="133"/>
      <c r="AL337" s="132"/>
      <c r="AM337" s="132"/>
      <c r="AN337" s="104"/>
      <c r="AO337" s="104"/>
      <c r="AP337" s="104"/>
    </row>
    <row r="338">
      <c r="A338" s="132"/>
      <c r="B338" s="132"/>
      <c r="C338" s="132"/>
      <c r="D338" s="132"/>
      <c r="E338" s="133"/>
      <c r="F338" s="133"/>
      <c r="G338" s="133"/>
      <c r="H338" s="133"/>
      <c r="I338" s="133"/>
      <c r="J338" s="133"/>
      <c r="K338" s="133"/>
      <c r="L338" s="133"/>
      <c r="M338" s="133"/>
      <c r="N338" s="133"/>
      <c r="O338" s="133"/>
      <c r="P338" s="133"/>
      <c r="Q338" s="133"/>
      <c r="R338" s="133"/>
      <c r="S338" s="133"/>
      <c r="T338" s="133"/>
      <c r="U338" s="133"/>
      <c r="V338" s="133"/>
      <c r="W338" s="133"/>
      <c r="X338" s="160"/>
      <c r="Y338" s="133"/>
      <c r="Z338" s="133"/>
      <c r="AA338" s="133"/>
      <c r="AB338" s="133"/>
      <c r="AC338" s="133"/>
      <c r="AD338" s="133"/>
      <c r="AE338" s="133"/>
      <c r="AF338" s="133"/>
      <c r="AG338" s="133"/>
      <c r="AH338" s="133"/>
      <c r="AI338" s="133"/>
      <c r="AJ338" s="133"/>
      <c r="AK338" s="133"/>
      <c r="AL338" s="132"/>
      <c r="AM338" s="132"/>
      <c r="AN338" s="104"/>
      <c r="AO338" s="104"/>
      <c r="AP338" s="104"/>
    </row>
    <row r="339">
      <c r="A339" s="132"/>
      <c r="B339" s="132"/>
      <c r="C339" s="132"/>
      <c r="D339" s="132"/>
      <c r="E339" s="133"/>
      <c r="F339" s="133"/>
      <c r="G339" s="133"/>
      <c r="H339" s="133"/>
      <c r="I339" s="133"/>
      <c r="J339" s="133"/>
      <c r="K339" s="133"/>
      <c r="L339" s="133"/>
      <c r="M339" s="133"/>
      <c r="N339" s="133"/>
      <c r="O339" s="133"/>
      <c r="P339" s="133"/>
      <c r="Q339" s="133"/>
      <c r="R339" s="133"/>
      <c r="S339" s="133"/>
      <c r="T339" s="133"/>
      <c r="U339" s="133"/>
      <c r="V339" s="133"/>
      <c r="W339" s="133"/>
      <c r="X339" s="160"/>
      <c r="Y339" s="133"/>
      <c r="Z339" s="133"/>
      <c r="AA339" s="133"/>
      <c r="AB339" s="133"/>
      <c r="AC339" s="133"/>
      <c r="AD339" s="133"/>
      <c r="AE339" s="133"/>
      <c r="AF339" s="133"/>
      <c r="AG339" s="133"/>
      <c r="AH339" s="133"/>
      <c r="AI339" s="133"/>
      <c r="AJ339" s="133"/>
      <c r="AK339" s="133"/>
      <c r="AL339" s="132"/>
      <c r="AM339" s="132"/>
      <c r="AN339" s="104"/>
      <c r="AO339" s="104"/>
      <c r="AP339" s="104"/>
    </row>
    <row r="340">
      <c r="A340" s="132"/>
      <c r="B340" s="132"/>
      <c r="C340" s="132"/>
      <c r="D340" s="132"/>
      <c r="E340" s="133"/>
      <c r="F340" s="133"/>
      <c r="G340" s="133"/>
      <c r="H340" s="133"/>
      <c r="I340" s="133"/>
      <c r="J340" s="133"/>
      <c r="K340" s="133"/>
      <c r="L340" s="133"/>
      <c r="M340" s="133"/>
      <c r="N340" s="133"/>
      <c r="O340" s="133"/>
      <c r="P340" s="133"/>
      <c r="Q340" s="133"/>
      <c r="R340" s="133"/>
      <c r="S340" s="133"/>
      <c r="T340" s="133"/>
      <c r="U340" s="133"/>
      <c r="V340" s="133"/>
      <c r="W340" s="133"/>
      <c r="X340" s="160"/>
      <c r="Y340" s="133"/>
      <c r="Z340" s="133"/>
      <c r="AA340" s="133"/>
      <c r="AB340" s="133"/>
      <c r="AC340" s="133"/>
      <c r="AD340" s="133"/>
      <c r="AE340" s="133"/>
      <c r="AF340" s="133"/>
      <c r="AG340" s="133"/>
      <c r="AH340" s="133"/>
      <c r="AI340" s="133"/>
      <c r="AJ340" s="133"/>
      <c r="AK340" s="133"/>
      <c r="AL340" s="132"/>
      <c r="AM340" s="132"/>
      <c r="AN340" s="104"/>
      <c r="AO340" s="104"/>
      <c r="AP340" s="104"/>
    </row>
    <row r="341">
      <c r="A341" s="132"/>
      <c r="B341" s="132"/>
      <c r="C341" s="132"/>
      <c r="D341" s="132"/>
      <c r="E341" s="133"/>
      <c r="F341" s="133"/>
      <c r="G341" s="133"/>
      <c r="H341" s="133"/>
      <c r="I341" s="133"/>
      <c r="J341" s="133"/>
      <c r="K341" s="133"/>
      <c r="L341" s="133"/>
      <c r="M341" s="133"/>
      <c r="N341" s="133"/>
      <c r="O341" s="133"/>
      <c r="P341" s="133"/>
      <c r="Q341" s="133"/>
      <c r="R341" s="133"/>
      <c r="S341" s="133"/>
      <c r="T341" s="133"/>
      <c r="U341" s="133"/>
      <c r="V341" s="133"/>
      <c r="W341" s="133"/>
      <c r="X341" s="160"/>
      <c r="Y341" s="133"/>
      <c r="Z341" s="133"/>
      <c r="AA341" s="133"/>
      <c r="AB341" s="133"/>
      <c r="AC341" s="133"/>
      <c r="AD341" s="133"/>
      <c r="AE341" s="133"/>
      <c r="AF341" s="133"/>
      <c r="AG341" s="133"/>
      <c r="AH341" s="133"/>
      <c r="AI341" s="133"/>
      <c r="AJ341" s="133"/>
      <c r="AK341" s="133"/>
      <c r="AL341" s="132"/>
      <c r="AM341" s="132"/>
      <c r="AN341" s="104"/>
      <c r="AO341" s="104"/>
      <c r="AP341" s="104"/>
    </row>
    <row r="342">
      <c r="A342" s="132"/>
      <c r="B342" s="132"/>
      <c r="C342" s="132"/>
      <c r="D342" s="132"/>
      <c r="E342" s="133"/>
      <c r="F342" s="133"/>
      <c r="G342" s="133"/>
      <c r="H342" s="133"/>
      <c r="I342" s="133"/>
      <c r="J342" s="133"/>
      <c r="K342" s="133"/>
      <c r="L342" s="133"/>
      <c r="M342" s="133"/>
      <c r="N342" s="133"/>
      <c r="O342" s="133"/>
      <c r="P342" s="133"/>
      <c r="Q342" s="133"/>
      <c r="R342" s="133"/>
      <c r="S342" s="133"/>
      <c r="T342" s="133"/>
      <c r="U342" s="133"/>
      <c r="V342" s="133"/>
      <c r="W342" s="133"/>
      <c r="X342" s="160"/>
      <c r="Y342" s="133"/>
      <c r="Z342" s="133"/>
      <c r="AA342" s="133"/>
      <c r="AB342" s="133"/>
      <c r="AC342" s="133"/>
      <c r="AD342" s="133"/>
      <c r="AE342" s="133"/>
      <c r="AF342" s="133"/>
      <c r="AG342" s="133"/>
      <c r="AH342" s="133"/>
      <c r="AI342" s="133"/>
      <c r="AJ342" s="133"/>
      <c r="AK342" s="133"/>
      <c r="AL342" s="132"/>
      <c r="AM342" s="132"/>
      <c r="AN342" s="104"/>
      <c r="AO342" s="104"/>
      <c r="AP342" s="104"/>
    </row>
    <row r="343">
      <c r="A343" s="132"/>
      <c r="B343" s="132"/>
      <c r="C343" s="132"/>
      <c r="D343" s="132"/>
      <c r="E343" s="133"/>
      <c r="F343" s="133"/>
      <c r="G343" s="133"/>
      <c r="H343" s="133"/>
      <c r="I343" s="133"/>
      <c r="J343" s="133"/>
      <c r="K343" s="133"/>
      <c r="L343" s="133"/>
      <c r="M343" s="133"/>
      <c r="N343" s="133"/>
      <c r="O343" s="133"/>
      <c r="P343" s="133"/>
      <c r="Q343" s="133"/>
      <c r="R343" s="133"/>
      <c r="S343" s="133"/>
      <c r="T343" s="133"/>
      <c r="U343" s="133"/>
      <c r="V343" s="133"/>
      <c r="W343" s="133"/>
      <c r="X343" s="160"/>
      <c r="Y343" s="133"/>
      <c r="Z343" s="133"/>
      <c r="AA343" s="133"/>
      <c r="AB343" s="133"/>
      <c r="AC343" s="133"/>
      <c r="AD343" s="133"/>
      <c r="AE343" s="133"/>
      <c r="AF343" s="133"/>
      <c r="AG343" s="133"/>
      <c r="AH343" s="133"/>
      <c r="AI343" s="133"/>
      <c r="AJ343" s="133"/>
      <c r="AK343" s="133"/>
      <c r="AL343" s="132"/>
      <c r="AM343" s="132"/>
      <c r="AN343" s="104"/>
      <c r="AO343" s="104"/>
      <c r="AP343" s="104"/>
    </row>
    <row r="344">
      <c r="A344" s="132"/>
      <c r="B344" s="132"/>
      <c r="C344" s="132"/>
      <c r="D344" s="132"/>
      <c r="E344" s="133"/>
      <c r="F344" s="133"/>
      <c r="G344" s="133"/>
      <c r="H344" s="133"/>
      <c r="I344" s="133"/>
      <c r="J344" s="133"/>
      <c r="K344" s="133"/>
      <c r="L344" s="133"/>
      <c r="M344" s="133"/>
      <c r="N344" s="133"/>
      <c r="O344" s="133"/>
      <c r="P344" s="133"/>
      <c r="Q344" s="133"/>
      <c r="R344" s="133"/>
      <c r="S344" s="133"/>
      <c r="T344" s="133"/>
      <c r="U344" s="133"/>
      <c r="V344" s="133"/>
      <c r="W344" s="133"/>
      <c r="X344" s="160"/>
      <c r="Y344" s="133"/>
      <c r="Z344" s="133"/>
      <c r="AA344" s="133"/>
      <c r="AB344" s="133"/>
      <c r="AC344" s="133"/>
      <c r="AD344" s="133"/>
      <c r="AE344" s="133"/>
      <c r="AF344" s="133"/>
      <c r="AG344" s="133"/>
      <c r="AH344" s="133"/>
      <c r="AI344" s="133"/>
      <c r="AJ344" s="133"/>
      <c r="AK344" s="133"/>
      <c r="AL344" s="132"/>
      <c r="AM344" s="132"/>
      <c r="AN344" s="104"/>
      <c r="AO344" s="104"/>
      <c r="AP344" s="104"/>
    </row>
    <row r="345">
      <c r="A345" s="132"/>
      <c r="B345" s="132"/>
      <c r="C345" s="132"/>
      <c r="D345" s="132"/>
      <c r="E345" s="133"/>
      <c r="F345" s="133"/>
      <c r="G345" s="133"/>
      <c r="H345" s="133"/>
      <c r="I345" s="133"/>
      <c r="J345" s="133"/>
      <c r="K345" s="133"/>
      <c r="L345" s="133"/>
      <c r="M345" s="133"/>
      <c r="N345" s="133"/>
      <c r="O345" s="133"/>
      <c r="P345" s="133"/>
      <c r="Q345" s="133"/>
      <c r="R345" s="133"/>
      <c r="S345" s="133"/>
      <c r="T345" s="133"/>
      <c r="U345" s="133"/>
      <c r="V345" s="133"/>
      <c r="W345" s="133"/>
      <c r="X345" s="160"/>
      <c r="Y345" s="133"/>
      <c r="Z345" s="133"/>
      <c r="AA345" s="133"/>
      <c r="AB345" s="133"/>
      <c r="AC345" s="133"/>
      <c r="AD345" s="133"/>
      <c r="AE345" s="133"/>
      <c r="AF345" s="133"/>
      <c r="AG345" s="133"/>
      <c r="AH345" s="133"/>
      <c r="AI345" s="133"/>
      <c r="AJ345" s="133"/>
      <c r="AK345" s="133"/>
      <c r="AL345" s="132"/>
      <c r="AM345" s="132"/>
      <c r="AN345" s="104"/>
      <c r="AO345" s="104"/>
      <c r="AP345" s="104"/>
    </row>
    <row r="346">
      <c r="A346" s="132"/>
      <c r="B346" s="132"/>
      <c r="C346" s="132"/>
      <c r="D346" s="132"/>
      <c r="E346" s="133"/>
      <c r="F346" s="133"/>
      <c r="G346" s="133"/>
      <c r="H346" s="133"/>
      <c r="I346" s="133"/>
      <c r="J346" s="133"/>
      <c r="K346" s="133"/>
      <c r="L346" s="133"/>
      <c r="M346" s="133"/>
      <c r="N346" s="133"/>
      <c r="O346" s="133"/>
      <c r="P346" s="133"/>
      <c r="Q346" s="133"/>
      <c r="R346" s="133"/>
      <c r="S346" s="133"/>
      <c r="T346" s="133"/>
      <c r="U346" s="133"/>
      <c r="V346" s="133"/>
      <c r="W346" s="133"/>
      <c r="X346" s="160"/>
      <c r="Y346" s="133"/>
      <c r="Z346" s="133"/>
      <c r="AA346" s="133"/>
      <c r="AB346" s="133"/>
      <c r="AC346" s="133"/>
      <c r="AD346" s="133"/>
      <c r="AE346" s="133"/>
      <c r="AF346" s="133"/>
      <c r="AG346" s="133"/>
      <c r="AH346" s="133"/>
      <c r="AI346" s="133"/>
      <c r="AJ346" s="133"/>
      <c r="AK346" s="133"/>
      <c r="AL346" s="132"/>
      <c r="AM346" s="132"/>
      <c r="AN346" s="104"/>
      <c r="AO346" s="104"/>
      <c r="AP346" s="104"/>
    </row>
    <row r="347">
      <c r="A347" s="132"/>
      <c r="B347" s="132"/>
      <c r="C347" s="132"/>
      <c r="D347" s="132"/>
      <c r="E347" s="133"/>
      <c r="F347" s="133"/>
      <c r="G347" s="133"/>
      <c r="H347" s="133"/>
      <c r="I347" s="133"/>
      <c r="J347" s="133"/>
      <c r="K347" s="133"/>
      <c r="L347" s="133"/>
      <c r="M347" s="133"/>
      <c r="N347" s="133"/>
      <c r="O347" s="133"/>
      <c r="P347" s="133"/>
      <c r="Q347" s="133"/>
      <c r="R347" s="133"/>
      <c r="S347" s="133"/>
      <c r="T347" s="133"/>
      <c r="U347" s="133"/>
      <c r="V347" s="133"/>
      <c r="W347" s="133"/>
      <c r="X347" s="160"/>
      <c r="Y347" s="133"/>
      <c r="Z347" s="133"/>
      <c r="AA347" s="133"/>
      <c r="AB347" s="133"/>
      <c r="AC347" s="133"/>
      <c r="AD347" s="133"/>
      <c r="AE347" s="133"/>
      <c r="AF347" s="133"/>
      <c r="AG347" s="133"/>
      <c r="AH347" s="133"/>
      <c r="AI347" s="133"/>
      <c r="AJ347" s="133"/>
      <c r="AK347" s="133"/>
      <c r="AL347" s="132"/>
      <c r="AM347" s="132"/>
      <c r="AN347" s="104"/>
      <c r="AO347" s="104"/>
      <c r="AP347" s="104"/>
    </row>
    <row r="348">
      <c r="A348" s="132"/>
      <c r="B348" s="132"/>
      <c r="C348" s="132"/>
      <c r="D348" s="132"/>
      <c r="E348" s="133"/>
      <c r="F348" s="133"/>
      <c r="G348" s="133"/>
      <c r="H348" s="133"/>
      <c r="I348" s="133"/>
      <c r="J348" s="133"/>
      <c r="K348" s="133"/>
      <c r="L348" s="133"/>
      <c r="M348" s="133"/>
      <c r="N348" s="133"/>
      <c r="O348" s="133"/>
      <c r="P348" s="133"/>
      <c r="Q348" s="133"/>
      <c r="R348" s="133"/>
      <c r="S348" s="133"/>
      <c r="T348" s="133"/>
      <c r="U348" s="133"/>
      <c r="V348" s="133"/>
      <c r="W348" s="133"/>
      <c r="X348" s="160"/>
      <c r="Y348" s="133"/>
      <c r="Z348" s="133"/>
      <c r="AA348" s="133"/>
      <c r="AB348" s="133"/>
      <c r="AC348" s="133"/>
      <c r="AD348" s="133"/>
      <c r="AE348" s="133"/>
      <c r="AF348" s="133"/>
      <c r="AG348" s="133"/>
      <c r="AH348" s="133"/>
      <c r="AI348" s="133"/>
      <c r="AJ348" s="133"/>
      <c r="AK348" s="133"/>
      <c r="AL348" s="132"/>
      <c r="AM348" s="132"/>
      <c r="AN348" s="104"/>
      <c r="AO348" s="104"/>
      <c r="AP348" s="104"/>
    </row>
    <row r="349">
      <c r="A349" s="132"/>
      <c r="B349" s="132"/>
      <c r="C349" s="132"/>
      <c r="D349" s="132"/>
      <c r="E349" s="133"/>
      <c r="F349" s="133"/>
      <c r="G349" s="133"/>
      <c r="H349" s="133"/>
      <c r="I349" s="133"/>
      <c r="J349" s="133"/>
      <c r="K349" s="133"/>
      <c r="L349" s="133"/>
      <c r="M349" s="133"/>
      <c r="N349" s="133"/>
      <c r="O349" s="133"/>
      <c r="P349" s="133"/>
      <c r="Q349" s="133"/>
      <c r="R349" s="133"/>
      <c r="S349" s="133"/>
      <c r="T349" s="133"/>
      <c r="U349" s="133"/>
      <c r="V349" s="133"/>
      <c r="W349" s="133"/>
      <c r="X349" s="160"/>
      <c r="Y349" s="133"/>
      <c r="Z349" s="133"/>
      <c r="AA349" s="133"/>
      <c r="AB349" s="133"/>
      <c r="AC349" s="133"/>
      <c r="AD349" s="133"/>
      <c r="AE349" s="133"/>
      <c r="AF349" s="133"/>
      <c r="AG349" s="133"/>
      <c r="AH349" s="133"/>
      <c r="AI349" s="133"/>
      <c r="AJ349" s="133"/>
      <c r="AK349" s="133"/>
      <c r="AL349" s="132"/>
      <c r="AM349" s="132"/>
      <c r="AN349" s="104"/>
      <c r="AO349" s="104"/>
      <c r="AP349" s="104"/>
    </row>
    <row r="350">
      <c r="A350" s="132"/>
      <c r="B350" s="132"/>
      <c r="C350" s="132"/>
      <c r="D350" s="132"/>
      <c r="E350" s="133"/>
      <c r="F350" s="133"/>
      <c r="G350" s="133"/>
      <c r="H350" s="133"/>
      <c r="I350" s="133"/>
      <c r="J350" s="133"/>
      <c r="K350" s="133"/>
      <c r="L350" s="133"/>
      <c r="M350" s="133"/>
      <c r="N350" s="133"/>
      <c r="O350" s="133"/>
      <c r="P350" s="133"/>
      <c r="Q350" s="133"/>
      <c r="R350" s="133"/>
      <c r="S350" s="133"/>
      <c r="T350" s="133"/>
      <c r="U350" s="133"/>
      <c r="V350" s="133"/>
      <c r="W350" s="133"/>
      <c r="X350" s="160"/>
      <c r="Y350" s="133"/>
      <c r="Z350" s="133"/>
      <c r="AA350" s="133"/>
      <c r="AB350" s="133"/>
      <c r="AC350" s="133"/>
      <c r="AD350" s="133"/>
      <c r="AE350" s="133"/>
      <c r="AF350" s="133"/>
      <c r="AG350" s="133"/>
      <c r="AH350" s="133"/>
      <c r="AI350" s="133"/>
      <c r="AJ350" s="133"/>
      <c r="AK350" s="133"/>
      <c r="AL350" s="132"/>
      <c r="AM350" s="132"/>
      <c r="AN350" s="104"/>
      <c r="AO350" s="104"/>
      <c r="AP350" s="104"/>
    </row>
    <row r="351">
      <c r="A351" s="132"/>
      <c r="B351" s="132"/>
      <c r="C351" s="132"/>
      <c r="D351" s="132"/>
      <c r="E351" s="133"/>
      <c r="F351" s="133"/>
      <c r="G351" s="133"/>
      <c r="H351" s="133"/>
      <c r="I351" s="133"/>
      <c r="J351" s="133"/>
      <c r="K351" s="133"/>
      <c r="L351" s="133"/>
      <c r="M351" s="133"/>
      <c r="N351" s="133"/>
      <c r="O351" s="133"/>
      <c r="P351" s="133"/>
      <c r="Q351" s="133"/>
      <c r="R351" s="133"/>
      <c r="S351" s="133"/>
      <c r="T351" s="133"/>
      <c r="U351" s="133"/>
      <c r="V351" s="133"/>
      <c r="W351" s="133"/>
      <c r="X351" s="160"/>
      <c r="Y351" s="133"/>
      <c r="Z351" s="133"/>
      <c r="AA351" s="133"/>
      <c r="AB351" s="133"/>
      <c r="AC351" s="133"/>
      <c r="AD351" s="133"/>
      <c r="AE351" s="133"/>
      <c r="AF351" s="133"/>
      <c r="AG351" s="133"/>
      <c r="AH351" s="133"/>
      <c r="AI351" s="133"/>
      <c r="AJ351" s="133"/>
      <c r="AK351" s="133"/>
      <c r="AL351" s="132"/>
      <c r="AM351" s="132"/>
      <c r="AN351" s="104"/>
      <c r="AO351" s="104"/>
      <c r="AP351" s="104"/>
    </row>
    <row r="352">
      <c r="A352" s="132"/>
      <c r="B352" s="132"/>
      <c r="C352" s="132"/>
      <c r="D352" s="132"/>
      <c r="E352" s="133"/>
      <c r="F352" s="133"/>
      <c r="G352" s="133"/>
      <c r="H352" s="133"/>
      <c r="I352" s="133"/>
      <c r="J352" s="133"/>
      <c r="K352" s="133"/>
      <c r="L352" s="133"/>
      <c r="M352" s="133"/>
      <c r="N352" s="133"/>
      <c r="O352" s="133"/>
      <c r="P352" s="133"/>
      <c r="Q352" s="133"/>
      <c r="R352" s="133"/>
      <c r="S352" s="133"/>
      <c r="T352" s="133"/>
      <c r="U352" s="133"/>
      <c r="V352" s="133"/>
      <c r="W352" s="133"/>
      <c r="X352" s="160"/>
      <c r="Y352" s="133"/>
      <c r="Z352" s="133"/>
      <c r="AA352" s="133"/>
      <c r="AB352" s="133"/>
      <c r="AC352" s="133"/>
      <c r="AD352" s="133"/>
      <c r="AE352" s="133"/>
      <c r="AF352" s="133"/>
      <c r="AG352" s="133"/>
      <c r="AH352" s="133"/>
      <c r="AI352" s="133"/>
      <c r="AJ352" s="133"/>
      <c r="AK352" s="133"/>
      <c r="AL352" s="132"/>
      <c r="AM352" s="132"/>
      <c r="AN352" s="104"/>
      <c r="AO352" s="104"/>
      <c r="AP352" s="104"/>
    </row>
    <row r="353">
      <c r="A353" s="132"/>
      <c r="B353" s="132"/>
      <c r="C353" s="132"/>
      <c r="D353" s="132"/>
      <c r="E353" s="133"/>
      <c r="F353" s="133"/>
      <c r="G353" s="133"/>
      <c r="H353" s="133"/>
      <c r="I353" s="133"/>
      <c r="J353" s="133"/>
      <c r="K353" s="133"/>
      <c r="L353" s="133"/>
      <c r="M353" s="133"/>
      <c r="N353" s="133"/>
      <c r="O353" s="133"/>
      <c r="P353" s="133"/>
      <c r="Q353" s="133"/>
      <c r="R353" s="133"/>
      <c r="S353" s="133"/>
      <c r="T353" s="133"/>
      <c r="U353" s="133"/>
      <c r="V353" s="133"/>
      <c r="W353" s="133"/>
      <c r="X353" s="160"/>
      <c r="Y353" s="133"/>
      <c r="Z353" s="133"/>
      <c r="AA353" s="133"/>
      <c r="AB353" s="133"/>
      <c r="AC353" s="133"/>
      <c r="AD353" s="133"/>
      <c r="AE353" s="133"/>
      <c r="AF353" s="133"/>
      <c r="AG353" s="133"/>
      <c r="AH353" s="133"/>
      <c r="AI353" s="133"/>
      <c r="AJ353" s="133"/>
      <c r="AK353" s="133"/>
      <c r="AL353" s="132"/>
      <c r="AM353" s="132"/>
      <c r="AN353" s="104"/>
      <c r="AO353" s="104"/>
      <c r="AP353" s="104"/>
    </row>
    <row r="354">
      <c r="A354" s="132"/>
      <c r="B354" s="132"/>
      <c r="C354" s="132"/>
      <c r="D354" s="132"/>
      <c r="E354" s="133"/>
      <c r="F354" s="133"/>
      <c r="G354" s="133"/>
      <c r="H354" s="133"/>
      <c r="I354" s="133"/>
      <c r="J354" s="133"/>
      <c r="K354" s="133"/>
      <c r="L354" s="133"/>
      <c r="M354" s="133"/>
      <c r="N354" s="133"/>
      <c r="O354" s="133"/>
      <c r="P354" s="133"/>
      <c r="Q354" s="133"/>
      <c r="R354" s="133"/>
      <c r="S354" s="133"/>
      <c r="T354" s="133"/>
      <c r="U354" s="133"/>
      <c r="V354" s="133"/>
      <c r="W354" s="133"/>
      <c r="X354" s="160"/>
      <c r="Y354" s="133"/>
      <c r="Z354" s="133"/>
      <c r="AA354" s="133"/>
      <c r="AB354" s="133"/>
      <c r="AC354" s="133"/>
      <c r="AD354" s="133"/>
      <c r="AE354" s="133"/>
      <c r="AF354" s="133"/>
      <c r="AG354" s="133"/>
      <c r="AH354" s="133"/>
      <c r="AI354" s="133"/>
      <c r="AJ354" s="133"/>
      <c r="AK354" s="133"/>
      <c r="AL354" s="132"/>
      <c r="AM354" s="132"/>
      <c r="AN354" s="104"/>
      <c r="AO354" s="104"/>
      <c r="AP354" s="104"/>
    </row>
    <row r="355">
      <c r="A355" s="132"/>
      <c r="B355" s="132"/>
      <c r="C355" s="132"/>
      <c r="D355" s="132"/>
      <c r="E355" s="133"/>
      <c r="F355" s="133"/>
      <c r="G355" s="133"/>
      <c r="H355" s="133"/>
      <c r="I355" s="133"/>
      <c r="J355" s="133"/>
      <c r="K355" s="133"/>
      <c r="L355" s="133"/>
      <c r="M355" s="133"/>
      <c r="N355" s="133"/>
      <c r="O355" s="133"/>
      <c r="P355" s="133"/>
      <c r="Q355" s="133"/>
      <c r="R355" s="133"/>
      <c r="S355" s="133"/>
      <c r="T355" s="133"/>
      <c r="U355" s="133"/>
      <c r="V355" s="133"/>
      <c r="W355" s="133"/>
      <c r="X355" s="160"/>
      <c r="Y355" s="133"/>
      <c r="Z355" s="133"/>
      <c r="AA355" s="133"/>
      <c r="AB355" s="133"/>
      <c r="AC355" s="133"/>
      <c r="AD355" s="133"/>
      <c r="AE355" s="133"/>
      <c r="AF355" s="133"/>
      <c r="AG355" s="133"/>
      <c r="AH355" s="133"/>
      <c r="AI355" s="133"/>
      <c r="AJ355" s="133"/>
      <c r="AK355" s="133"/>
      <c r="AL355" s="132"/>
      <c r="AM355" s="132"/>
      <c r="AN355" s="104"/>
      <c r="AO355" s="104"/>
      <c r="AP355" s="104"/>
    </row>
    <row r="356">
      <c r="A356" s="132"/>
      <c r="B356" s="132"/>
      <c r="C356" s="132"/>
      <c r="D356" s="132"/>
      <c r="E356" s="133"/>
      <c r="F356" s="133"/>
      <c r="G356" s="133"/>
      <c r="H356" s="133"/>
      <c r="I356" s="133"/>
      <c r="J356" s="133"/>
      <c r="K356" s="133"/>
      <c r="L356" s="133"/>
      <c r="M356" s="133"/>
      <c r="N356" s="133"/>
      <c r="O356" s="133"/>
      <c r="P356" s="133"/>
      <c r="Q356" s="133"/>
      <c r="R356" s="133"/>
      <c r="S356" s="133"/>
      <c r="T356" s="133"/>
      <c r="U356" s="133"/>
      <c r="V356" s="133"/>
      <c r="W356" s="133"/>
      <c r="X356" s="160"/>
      <c r="Y356" s="133"/>
      <c r="Z356" s="133"/>
      <c r="AA356" s="133"/>
      <c r="AB356" s="133"/>
      <c r="AC356" s="133"/>
      <c r="AD356" s="133"/>
      <c r="AE356" s="133"/>
      <c r="AF356" s="133"/>
      <c r="AG356" s="133"/>
      <c r="AH356" s="133"/>
      <c r="AI356" s="133"/>
      <c r="AJ356" s="133"/>
      <c r="AK356" s="133"/>
      <c r="AL356" s="132"/>
      <c r="AM356" s="132"/>
      <c r="AN356" s="104"/>
      <c r="AO356" s="104"/>
      <c r="AP356" s="104"/>
    </row>
    <row r="357">
      <c r="A357" s="132"/>
      <c r="B357" s="132"/>
      <c r="C357" s="132"/>
      <c r="D357" s="132"/>
      <c r="E357" s="133"/>
      <c r="F357" s="133"/>
      <c r="G357" s="133"/>
      <c r="H357" s="133"/>
      <c r="I357" s="133"/>
      <c r="J357" s="133"/>
      <c r="K357" s="133"/>
      <c r="L357" s="133"/>
      <c r="M357" s="133"/>
      <c r="N357" s="133"/>
      <c r="O357" s="133"/>
      <c r="P357" s="133"/>
      <c r="Q357" s="133"/>
      <c r="R357" s="133"/>
      <c r="S357" s="133"/>
      <c r="T357" s="133"/>
      <c r="U357" s="133"/>
      <c r="V357" s="133"/>
      <c r="W357" s="133"/>
      <c r="X357" s="160"/>
      <c r="Y357" s="133"/>
      <c r="Z357" s="133"/>
      <c r="AA357" s="133"/>
      <c r="AB357" s="133"/>
      <c r="AC357" s="133"/>
      <c r="AD357" s="133"/>
      <c r="AE357" s="133"/>
      <c r="AF357" s="133"/>
      <c r="AG357" s="133"/>
      <c r="AH357" s="133"/>
      <c r="AI357" s="133"/>
      <c r="AJ357" s="133"/>
      <c r="AK357" s="133"/>
      <c r="AL357" s="132"/>
      <c r="AM357" s="132"/>
      <c r="AN357" s="104"/>
      <c r="AO357" s="104"/>
      <c r="AP357" s="104"/>
    </row>
    <row r="358">
      <c r="A358" s="132"/>
      <c r="B358" s="132"/>
      <c r="C358" s="132"/>
      <c r="D358" s="132"/>
      <c r="E358" s="133"/>
      <c r="F358" s="133"/>
      <c r="G358" s="133"/>
      <c r="H358" s="133"/>
      <c r="I358" s="133"/>
      <c r="J358" s="133"/>
      <c r="K358" s="133"/>
      <c r="L358" s="133"/>
      <c r="M358" s="133"/>
      <c r="N358" s="133"/>
      <c r="O358" s="133"/>
      <c r="P358" s="133"/>
      <c r="Q358" s="133"/>
      <c r="R358" s="133"/>
      <c r="S358" s="133"/>
      <c r="T358" s="133"/>
      <c r="U358" s="133"/>
      <c r="V358" s="133"/>
      <c r="W358" s="133"/>
      <c r="X358" s="160"/>
      <c r="Y358" s="133"/>
      <c r="Z358" s="133"/>
      <c r="AA358" s="133"/>
      <c r="AB358" s="133"/>
      <c r="AC358" s="133"/>
      <c r="AD358" s="133"/>
      <c r="AE358" s="133"/>
      <c r="AF358" s="133"/>
      <c r="AG358" s="133"/>
      <c r="AH358" s="133"/>
      <c r="AI358" s="133"/>
      <c r="AJ358" s="133"/>
      <c r="AK358" s="133"/>
      <c r="AL358" s="132"/>
      <c r="AM358" s="132"/>
      <c r="AN358" s="104"/>
      <c r="AO358" s="104"/>
      <c r="AP358" s="104"/>
    </row>
    <row r="359">
      <c r="A359" s="132"/>
      <c r="B359" s="132"/>
      <c r="C359" s="132"/>
      <c r="D359" s="132"/>
      <c r="E359" s="133"/>
      <c r="F359" s="133"/>
      <c r="G359" s="133"/>
      <c r="H359" s="133"/>
      <c r="I359" s="133"/>
      <c r="J359" s="133"/>
      <c r="K359" s="133"/>
      <c r="L359" s="133"/>
      <c r="M359" s="133"/>
      <c r="N359" s="133"/>
      <c r="O359" s="133"/>
      <c r="P359" s="133"/>
      <c r="Q359" s="133"/>
      <c r="R359" s="133"/>
      <c r="S359" s="133"/>
      <c r="T359" s="133"/>
      <c r="U359" s="133"/>
      <c r="V359" s="133"/>
      <c r="W359" s="133"/>
      <c r="X359" s="160"/>
      <c r="Y359" s="133"/>
      <c r="Z359" s="133"/>
      <c r="AA359" s="133"/>
      <c r="AB359" s="133"/>
      <c r="AC359" s="133"/>
      <c r="AD359" s="133"/>
      <c r="AE359" s="133"/>
      <c r="AF359" s="133"/>
      <c r="AG359" s="133"/>
      <c r="AH359" s="133"/>
      <c r="AI359" s="133"/>
      <c r="AJ359" s="133"/>
      <c r="AK359" s="133"/>
      <c r="AL359" s="132"/>
      <c r="AM359" s="132"/>
      <c r="AN359" s="104"/>
      <c r="AO359" s="104"/>
      <c r="AP359" s="104"/>
    </row>
    <row r="360">
      <c r="A360" s="132"/>
      <c r="B360" s="132"/>
      <c r="C360" s="132"/>
      <c r="D360" s="132"/>
      <c r="E360" s="133"/>
      <c r="F360" s="133"/>
      <c r="G360" s="133"/>
      <c r="H360" s="133"/>
      <c r="I360" s="133"/>
      <c r="J360" s="133"/>
      <c r="K360" s="133"/>
      <c r="L360" s="133"/>
      <c r="M360" s="133"/>
      <c r="N360" s="133"/>
      <c r="O360" s="133"/>
      <c r="P360" s="133"/>
      <c r="Q360" s="133"/>
      <c r="R360" s="133"/>
      <c r="S360" s="133"/>
      <c r="T360" s="133"/>
      <c r="U360" s="133"/>
      <c r="V360" s="133"/>
      <c r="W360" s="133"/>
      <c r="X360" s="160"/>
      <c r="Y360" s="133"/>
      <c r="Z360" s="133"/>
      <c r="AA360" s="133"/>
      <c r="AB360" s="133"/>
      <c r="AC360" s="133"/>
      <c r="AD360" s="133"/>
      <c r="AE360" s="133"/>
      <c r="AF360" s="133"/>
      <c r="AG360" s="133"/>
      <c r="AH360" s="133"/>
      <c r="AI360" s="133"/>
      <c r="AJ360" s="133"/>
      <c r="AK360" s="133"/>
      <c r="AL360" s="132"/>
      <c r="AM360" s="132"/>
      <c r="AN360" s="104"/>
      <c r="AO360" s="104"/>
      <c r="AP360" s="104"/>
    </row>
    <row r="361">
      <c r="A361" s="132"/>
      <c r="B361" s="132"/>
      <c r="C361" s="132"/>
      <c r="D361" s="132"/>
      <c r="E361" s="133"/>
      <c r="F361" s="133"/>
      <c r="G361" s="133"/>
      <c r="H361" s="133"/>
      <c r="I361" s="133"/>
      <c r="J361" s="133"/>
      <c r="K361" s="133"/>
      <c r="L361" s="133"/>
      <c r="M361" s="133"/>
      <c r="N361" s="133"/>
      <c r="O361" s="133"/>
      <c r="P361" s="133"/>
      <c r="Q361" s="133"/>
      <c r="R361" s="133"/>
      <c r="S361" s="133"/>
      <c r="T361" s="133"/>
      <c r="U361" s="133"/>
      <c r="V361" s="133"/>
      <c r="W361" s="133"/>
      <c r="X361" s="160"/>
      <c r="Y361" s="133"/>
      <c r="Z361" s="133"/>
      <c r="AA361" s="133"/>
      <c r="AB361" s="133"/>
      <c r="AC361" s="133"/>
      <c r="AD361" s="133"/>
      <c r="AE361" s="133"/>
      <c r="AF361" s="133"/>
      <c r="AG361" s="133"/>
      <c r="AH361" s="133"/>
      <c r="AI361" s="133"/>
      <c r="AJ361" s="133"/>
      <c r="AK361" s="133"/>
      <c r="AL361" s="132"/>
      <c r="AM361" s="132"/>
      <c r="AN361" s="104"/>
      <c r="AO361" s="104"/>
      <c r="AP361" s="104"/>
    </row>
    <row r="362">
      <c r="A362" s="132"/>
      <c r="B362" s="132"/>
      <c r="C362" s="132"/>
      <c r="D362" s="132"/>
      <c r="E362" s="133"/>
      <c r="F362" s="133"/>
      <c r="G362" s="133"/>
      <c r="H362" s="133"/>
      <c r="I362" s="133"/>
      <c r="J362" s="133"/>
      <c r="K362" s="133"/>
      <c r="L362" s="133"/>
      <c r="M362" s="133"/>
      <c r="N362" s="133"/>
      <c r="O362" s="133"/>
      <c r="P362" s="133"/>
      <c r="Q362" s="133"/>
      <c r="R362" s="133"/>
      <c r="S362" s="133"/>
      <c r="T362" s="133"/>
      <c r="U362" s="133"/>
      <c r="V362" s="133"/>
      <c r="W362" s="133"/>
      <c r="X362" s="160"/>
      <c r="Y362" s="133"/>
      <c r="Z362" s="133"/>
      <c r="AA362" s="133"/>
      <c r="AB362" s="133"/>
      <c r="AC362" s="133"/>
      <c r="AD362" s="133"/>
      <c r="AE362" s="133"/>
      <c r="AF362" s="133"/>
      <c r="AG362" s="133"/>
      <c r="AH362" s="133"/>
      <c r="AI362" s="133"/>
      <c r="AJ362" s="133"/>
      <c r="AK362" s="133"/>
      <c r="AL362" s="132"/>
      <c r="AM362" s="132"/>
      <c r="AN362" s="104"/>
      <c r="AO362" s="104"/>
      <c r="AP362" s="104"/>
    </row>
    <row r="363">
      <c r="A363" s="132"/>
      <c r="B363" s="132"/>
      <c r="C363" s="132"/>
      <c r="D363" s="132"/>
      <c r="E363" s="133"/>
      <c r="F363" s="133"/>
      <c r="G363" s="133"/>
      <c r="H363" s="133"/>
      <c r="I363" s="133"/>
      <c r="J363" s="133"/>
      <c r="K363" s="133"/>
      <c r="L363" s="133"/>
      <c r="M363" s="133"/>
      <c r="N363" s="133"/>
      <c r="O363" s="133"/>
      <c r="P363" s="133"/>
      <c r="Q363" s="133"/>
      <c r="R363" s="133"/>
      <c r="S363" s="133"/>
      <c r="T363" s="133"/>
      <c r="U363" s="133"/>
      <c r="V363" s="133"/>
      <c r="W363" s="133"/>
      <c r="X363" s="160"/>
      <c r="Y363" s="133"/>
      <c r="Z363" s="133"/>
      <c r="AA363" s="133"/>
      <c r="AB363" s="133"/>
      <c r="AC363" s="133"/>
      <c r="AD363" s="133"/>
      <c r="AE363" s="133"/>
      <c r="AF363" s="133"/>
      <c r="AG363" s="133"/>
      <c r="AH363" s="133"/>
      <c r="AI363" s="133"/>
      <c r="AJ363" s="133"/>
      <c r="AK363" s="133"/>
      <c r="AL363" s="132"/>
      <c r="AM363" s="132"/>
      <c r="AN363" s="104"/>
      <c r="AO363" s="104"/>
      <c r="AP363" s="104"/>
    </row>
    <row r="364">
      <c r="A364" s="132"/>
      <c r="B364" s="132"/>
      <c r="C364" s="132"/>
      <c r="D364" s="132"/>
      <c r="E364" s="133"/>
      <c r="F364" s="133"/>
      <c r="G364" s="133"/>
      <c r="H364" s="133"/>
      <c r="I364" s="133"/>
      <c r="J364" s="133"/>
      <c r="K364" s="133"/>
      <c r="L364" s="133"/>
      <c r="M364" s="133"/>
      <c r="N364" s="133"/>
      <c r="O364" s="133"/>
      <c r="P364" s="133"/>
      <c r="Q364" s="133"/>
      <c r="R364" s="133"/>
      <c r="S364" s="133"/>
      <c r="T364" s="133"/>
      <c r="U364" s="133"/>
      <c r="V364" s="133"/>
      <c r="W364" s="133"/>
      <c r="X364" s="160"/>
      <c r="Y364" s="133"/>
      <c r="Z364" s="133"/>
      <c r="AA364" s="133"/>
      <c r="AB364" s="133"/>
      <c r="AC364" s="133"/>
      <c r="AD364" s="133"/>
      <c r="AE364" s="133"/>
      <c r="AF364" s="133"/>
      <c r="AG364" s="133"/>
      <c r="AH364" s="133"/>
      <c r="AI364" s="133"/>
      <c r="AJ364" s="133"/>
      <c r="AK364" s="133"/>
      <c r="AL364" s="132"/>
      <c r="AM364" s="132"/>
      <c r="AN364" s="104"/>
      <c r="AO364" s="104"/>
      <c r="AP364" s="104"/>
    </row>
    <row r="365">
      <c r="A365" s="132"/>
      <c r="B365" s="132"/>
      <c r="C365" s="132"/>
      <c r="D365" s="132"/>
      <c r="E365" s="133"/>
      <c r="F365" s="133"/>
      <c r="G365" s="133"/>
      <c r="H365" s="133"/>
      <c r="I365" s="133"/>
      <c r="J365" s="133"/>
      <c r="K365" s="133"/>
      <c r="L365" s="133"/>
      <c r="M365" s="133"/>
      <c r="N365" s="133"/>
      <c r="O365" s="133"/>
      <c r="P365" s="133"/>
      <c r="Q365" s="133"/>
      <c r="R365" s="133"/>
      <c r="S365" s="133"/>
      <c r="T365" s="133"/>
      <c r="U365" s="133"/>
      <c r="V365" s="133"/>
      <c r="W365" s="133"/>
      <c r="X365" s="160"/>
      <c r="Y365" s="133"/>
      <c r="Z365" s="133"/>
      <c r="AA365" s="133"/>
      <c r="AB365" s="133"/>
      <c r="AC365" s="133"/>
      <c r="AD365" s="133"/>
      <c r="AE365" s="133"/>
      <c r="AF365" s="133"/>
      <c r="AG365" s="133"/>
      <c r="AH365" s="133"/>
      <c r="AI365" s="133"/>
      <c r="AJ365" s="133"/>
      <c r="AK365" s="133"/>
      <c r="AL365" s="132"/>
      <c r="AM365" s="132"/>
      <c r="AN365" s="104"/>
      <c r="AO365" s="104"/>
      <c r="AP365" s="104"/>
    </row>
    <row r="366">
      <c r="A366" s="132"/>
      <c r="B366" s="132"/>
      <c r="C366" s="132"/>
      <c r="D366" s="132"/>
      <c r="E366" s="133"/>
      <c r="F366" s="133"/>
      <c r="G366" s="133"/>
      <c r="H366" s="133"/>
      <c r="I366" s="133"/>
      <c r="J366" s="133"/>
      <c r="K366" s="133"/>
      <c r="L366" s="133"/>
      <c r="M366" s="133"/>
      <c r="N366" s="133"/>
      <c r="O366" s="133"/>
      <c r="P366" s="133"/>
      <c r="Q366" s="133"/>
      <c r="R366" s="133"/>
      <c r="S366" s="133"/>
      <c r="T366" s="133"/>
      <c r="U366" s="133"/>
      <c r="V366" s="133"/>
      <c r="W366" s="133"/>
      <c r="X366" s="160"/>
      <c r="Y366" s="133"/>
      <c r="Z366" s="133"/>
      <c r="AA366" s="133"/>
      <c r="AB366" s="133"/>
      <c r="AC366" s="133"/>
      <c r="AD366" s="133"/>
      <c r="AE366" s="133"/>
      <c r="AF366" s="133"/>
      <c r="AG366" s="133"/>
      <c r="AH366" s="133"/>
      <c r="AI366" s="133"/>
      <c r="AJ366" s="133"/>
      <c r="AK366" s="133"/>
      <c r="AL366" s="132"/>
      <c r="AM366" s="132"/>
      <c r="AN366" s="104"/>
      <c r="AO366" s="104"/>
      <c r="AP366" s="104"/>
    </row>
    <row r="367">
      <c r="A367" s="132"/>
      <c r="B367" s="132"/>
      <c r="C367" s="132"/>
      <c r="D367" s="132"/>
      <c r="E367" s="133"/>
      <c r="F367" s="133"/>
      <c r="G367" s="133"/>
      <c r="H367" s="133"/>
      <c r="I367" s="133"/>
      <c r="J367" s="133"/>
      <c r="K367" s="133"/>
      <c r="L367" s="133"/>
      <c r="M367" s="133"/>
      <c r="N367" s="133"/>
      <c r="O367" s="133"/>
      <c r="P367" s="133"/>
      <c r="Q367" s="133"/>
      <c r="R367" s="133"/>
      <c r="S367" s="133"/>
      <c r="T367" s="133"/>
      <c r="U367" s="133"/>
      <c r="V367" s="133"/>
      <c r="W367" s="133"/>
      <c r="X367" s="160"/>
      <c r="Y367" s="133"/>
      <c r="Z367" s="133"/>
      <c r="AA367" s="133"/>
      <c r="AB367" s="133"/>
      <c r="AC367" s="133"/>
      <c r="AD367" s="133"/>
      <c r="AE367" s="133"/>
      <c r="AF367" s="133"/>
      <c r="AG367" s="133"/>
      <c r="AH367" s="133"/>
      <c r="AI367" s="133"/>
      <c r="AJ367" s="133"/>
      <c r="AK367" s="133"/>
      <c r="AL367" s="132"/>
      <c r="AM367" s="132"/>
      <c r="AN367" s="104"/>
      <c r="AO367" s="104"/>
      <c r="AP367" s="104"/>
    </row>
    <row r="368">
      <c r="A368" s="132"/>
      <c r="B368" s="132"/>
      <c r="C368" s="132"/>
      <c r="D368" s="132"/>
      <c r="E368" s="133"/>
      <c r="F368" s="133"/>
      <c r="G368" s="133"/>
      <c r="H368" s="133"/>
      <c r="I368" s="133"/>
      <c r="J368" s="133"/>
      <c r="K368" s="133"/>
      <c r="L368" s="133"/>
      <c r="M368" s="133"/>
      <c r="N368" s="133"/>
      <c r="O368" s="133"/>
      <c r="P368" s="133"/>
      <c r="Q368" s="133"/>
      <c r="R368" s="133"/>
      <c r="S368" s="133"/>
      <c r="T368" s="133"/>
      <c r="U368" s="133"/>
      <c r="V368" s="133"/>
      <c r="W368" s="133"/>
      <c r="X368" s="160"/>
      <c r="Y368" s="133"/>
      <c r="Z368" s="133"/>
      <c r="AA368" s="133"/>
      <c r="AB368" s="133"/>
      <c r="AC368" s="133"/>
      <c r="AD368" s="133"/>
      <c r="AE368" s="133"/>
      <c r="AF368" s="133"/>
      <c r="AG368" s="133"/>
      <c r="AH368" s="133"/>
      <c r="AI368" s="133"/>
      <c r="AJ368" s="133"/>
      <c r="AK368" s="133"/>
      <c r="AL368" s="132"/>
      <c r="AM368" s="132"/>
      <c r="AN368" s="104"/>
      <c r="AO368" s="104"/>
      <c r="AP368" s="104"/>
    </row>
    <row r="369">
      <c r="A369" s="132"/>
      <c r="B369" s="132"/>
      <c r="C369" s="132"/>
      <c r="D369" s="132"/>
      <c r="E369" s="133"/>
      <c r="F369" s="133"/>
      <c r="G369" s="133"/>
      <c r="H369" s="133"/>
      <c r="I369" s="133"/>
      <c r="J369" s="133"/>
      <c r="K369" s="133"/>
      <c r="L369" s="133"/>
      <c r="M369" s="133"/>
      <c r="N369" s="133"/>
      <c r="O369" s="133"/>
      <c r="P369" s="133"/>
      <c r="Q369" s="133"/>
      <c r="R369" s="133"/>
      <c r="S369" s="133"/>
      <c r="T369" s="133"/>
      <c r="U369" s="133"/>
      <c r="V369" s="133"/>
      <c r="W369" s="133"/>
      <c r="X369" s="160"/>
      <c r="Y369" s="133"/>
      <c r="Z369" s="133"/>
      <c r="AA369" s="133"/>
      <c r="AB369" s="133"/>
      <c r="AC369" s="133"/>
      <c r="AD369" s="133"/>
      <c r="AE369" s="133"/>
      <c r="AF369" s="133"/>
      <c r="AG369" s="133"/>
      <c r="AH369" s="133"/>
      <c r="AI369" s="133"/>
      <c r="AJ369" s="133"/>
      <c r="AK369" s="133"/>
      <c r="AL369" s="132"/>
      <c r="AM369" s="132"/>
      <c r="AN369" s="104"/>
      <c r="AO369" s="104"/>
      <c r="AP369" s="104"/>
    </row>
    <row r="370">
      <c r="A370" s="132"/>
      <c r="B370" s="132"/>
      <c r="C370" s="132"/>
      <c r="D370" s="132"/>
      <c r="E370" s="133"/>
      <c r="F370" s="133"/>
      <c r="G370" s="133"/>
      <c r="H370" s="133"/>
      <c r="I370" s="133"/>
      <c r="J370" s="133"/>
      <c r="K370" s="133"/>
      <c r="L370" s="133"/>
      <c r="M370" s="133"/>
      <c r="N370" s="133"/>
      <c r="O370" s="133"/>
      <c r="P370" s="133"/>
      <c r="Q370" s="133"/>
      <c r="R370" s="133"/>
      <c r="S370" s="133"/>
      <c r="T370" s="133"/>
      <c r="U370" s="133"/>
      <c r="V370" s="133"/>
      <c r="W370" s="133"/>
      <c r="X370" s="160"/>
      <c r="Y370" s="133"/>
      <c r="Z370" s="133"/>
      <c r="AA370" s="133"/>
      <c r="AB370" s="133"/>
      <c r="AC370" s="133"/>
      <c r="AD370" s="133"/>
      <c r="AE370" s="133"/>
      <c r="AF370" s="133"/>
      <c r="AG370" s="133"/>
      <c r="AH370" s="133"/>
      <c r="AI370" s="133"/>
      <c r="AJ370" s="133"/>
      <c r="AK370" s="133"/>
      <c r="AL370" s="132"/>
      <c r="AM370" s="132"/>
      <c r="AN370" s="104"/>
      <c r="AO370" s="104"/>
      <c r="AP370" s="104"/>
    </row>
    <row r="371">
      <c r="A371" s="132"/>
      <c r="B371" s="132"/>
      <c r="C371" s="132"/>
      <c r="D371" s="132"/>
      <c r="E371" s="133"/>
      <c r="F371" s="133"/>
      <c r="G371" s="133"/>
      <c r="H371" s="133"/>
      <c r="I371" s="133"/>
      <c r="J371" s="133"/>
      <c r="K371" s="133"/>
      <c r="L371" s="133"/>
      <c r="M371" s="133"/>
      <c r="N371" s="133"/>
      <c r="O371" s="133"/>
      <c r="P371" s="133"/>
      <c r="Q371" s="133"/>
      <c r="R371" s="133"/>
      <c r="S371" s="133"/>
      <c r="T371" s="133"/>
      <c r="U371" s="133"/>
      <c r="V371" s="133"/>
      <c r="W371" s="133"/>
      <c r="X371" s="160"/>
      <c r="Y371" s="133"/>
      <c r="Z371" s="133"/>
      <c r="AA371" s="133"/>
      <c r="AB371" s="133"/>
      <c r="AC371" s="133"/>
      <c r="AD371" s="133"/>
      <c r="AE371" s="133"/>
      <c r="AF371" s="133"/>
      <c r="AG371" s="133"/>
      <c r="AH371" s="133"/>
      <c r="AI371" s="133"/>
      <c r="AJ371" s="133"/>
      <c r="AK371" s="133"/>
      <c r="AL371" s="132"/>
      <c r="AM371" s="132"/>
      <c r="AN371" s="104"/>
      <c r="AO371" s="104"/>
      <c r="AP371" s="104"/>
    </row>
    <row r="372">
      <c r="A372" s="132"/>
      <c r="B372" s="132"/>
      <c r="C372" s="132"/>
      <c r="D372" s="132"/>
      <c r="E372" s="133"/>
      <c r="F372" s="133"/>
      <c r="G372" s="133"/>
      <c r="H372" s="133"/>
      <c r="I372" s="133"/>
      <c r="J372" s="133"/>
      <c r="K372" s="133"/>
      <c r="L372" s="133"/>
      <c r="M372" s="133"/>
      <c r="N372" s="133"/>
      <c r="O372" s="133"/>
      <c r="P372" s="133"/>
      <c r="Q372" s="133"/>
      <c r="R372" s="133"/>
      <c r="S372" s="133"/>
      <c r="T372" s="133"/>
      <c r="U372" s="133"/>
      <c r="V372" s="133"/>
      <c r="W372" s="133"/>
      <c r="X372" s="160"/>
      <c r="Y372" s="133"/>
      <c r="Z372" s="133"/>
      <c r="AA372" s="133"/>
      <c r="AB372" s="133"/>
      <c r="AC372" s="133"/>
      <c r="AD372" s="133"/>
      <c r="AE372" s="133"/>
      <c r="AF372" s="133"/>
      <c r="AG372" s="133"/>
      <c r="AH372" s="133"/>
      <c r="AI372" s="133"/>
      <c r="AJ372" s="133"/>
      <c r="AK372" s="133"/>
      <c r="AL372" s="132"/>
      <c r="AM372" s="132"/>
      <c r="AN372" s="104"/>
      <c r="AO372" s="104"/>
      <c r="AP372" s="104"/>
    </row>
    <row r="373">
      <c r="A373" s="132"/>
      <c r="B373" s="132"/>
      <c r="C373" s="132"/>
      <c r="D373" s="132"/>
      <c r="E373" s="133"/>
      <c r="F373" s="133"/>
      <c r="G373" s="133"/>
      <c r="H373" s="133"/>
      <c r="I373" s="133"/>
      <c r="J373" s="133"/>
      <c r="K373" s="133"/>
      <c r="L373" s="133"/>
      <c r="M373" s="133"/>
      <c r="N373" s="133"/>
      <c r="O373" s="133"/>
      <c r="P373" s="133"/>
      <c r="Q373" s="133"/>
      <c r="R373" s="133"/>
      <c r="S373" s="133"/>
      <c r="T373" s="133"/>
      <c r="U373" s="133"/>
      <c r="V373" s="133"/>
      <c r="W373" s="133"/>
      <c r="X373" s="160"/>
      <c r="Y373" s="133"/>
      <c r="Z373" s="133"/>
      <c r="AA373" s="133"/>
      <c r="AB373" s="133"/>
      <c r="AC373" s="133"/>
      <c r="AD373" s="133"/>
      <c r="AE373" s="133"/>
      <c r="AF373" s="133"/>
      <c r="AG373" s="133"/>
      <c r="AH373" s="133"/>
      <c r="AI373" s="133"/>
      <c r="AJ373" s="133"/>
      <c r="AK373" s="133"/>
      <c r="AL373" s="132"/>
      <c r="AM373" s="132"/>
      <c r="AN373" s="104"/>
      <c r="AO373" s="104"/>
      <c r="AP373" s="104"/>
    </row>
    <row r="374">
      <c r="A374" s="132"/>
      <c r="B374" s="132"/>
      <c r="C374" s="132"/>
      <c r="D374" s="132"/>
      <c r="E374" s="133"/>
      <c r="F374" s="133"/>
      <c r="G374" s="133"/>
      <c r="H374" s="133"/>
      <c r="I374" s="133"/>
      <c r="J374" s="133"/>
      <c r="K374" s="133"/>
      <c r="L374" s="133"/>
      <c r="M374" s="133"/>
      <c r="N374" s="133"/>
      <c r="O374" s="133"/>
      <c r="P374" s="133"/>
      <c r="Q374" s="133"/>
      <c r="R374" s="133"/>
      <c r="S374" s="133"/>
      <c r="T374" s="133"/>
      <c r="U374" s="133"/>
      <c r="V374" s="133"/>
      <c r="W374" s="133"/>
      <c r="X374" s="160"/>
      <c r="Y374" s="133"/>
      <c r="Z374" s="133"/>
      <c r="AA374" s="133"/>
      <c r="AB374" s="133"/>
      <c r="AC374" s="133"/>
      <c r="AD374" s="133"/>
      <c r="AE374" s="133"/>
      <c r="AF374" s="133"/>
      <c r="AG374" s="133"/>
      <c r="AH374" s="133"/>
      <c r="AI374" s="133"/>
      <c r="AJ374" s="133"/>
      <c r="AK374" s="133"/>
      <c r="AL374" s="132"/>
      <c r="AM374" s="132"/>
      <c r="AN374" s="104"/>
      <c r="AO374" s="104"/>
      <c r="AP374" s="104"/>
    </row>
    <row r="375">
      <c r="A375" s="132"/>
      <c r="B375" s="132"/>
      <c r="C375" s="132"/>
      <c r="D375" s="132"/>
      <c r="E375" s="133"/>
      <c r="F375" s="133"/>
      <c r="G375" s="133"/>
      <c r="H375" s="133"/>
      <c r="I375" s="133"/>
      <c r="J375" s="133"/>
      <c r="K375" s="133"/>
      <c r="L375" s="133"/>
      <c r="M375" s="133"/>
      <c r="N375" s="133"/>
      <c r="O375" s="133"/>
      <c r="P375" s="133"/>
      <c r="Q375" s="133"/>
      <c r="R375" s="133"/>
      <c r="S375" s="133"/>
      <c r="T375" s="133"/>
      <c r="U375" s="133"/>
      <c r="V375" s="133"/>
      <c r="W375" s="133"/>
      <c r="X375" s="160"/>
      <c r="Y375" s="133"/>
      <c r="Z375" s="133"/>
      <c r="AA375" s="133"/>
      <c r="AB375" s="133"/>
      <c r="AC375" s="133"/>
      <c r="AD375" s="133"/>
      <c r="AE375" s="133"/>
      <c r="AF375" s="133"/>
      <c r="AG375" s="133"/>
      <c r="AH375" s="133"/>
      <c r="AI375" s="133"/>
      <c r="AJ375" s="133"/>
      <c r="AK375" s="133"/>
      <c r="AL375" s="132"/>
      <c r="AM375" s="132"/>
      <c r="AN375" s="104"/>
      <c r="AO375" s="104"/>
      <c r="AP375" s="104"/>
    </row>
    <row r="376">
      <c r="A376" s="132"/>
      <c r="B376" s="132"/>
      <c r="C376" s="132"/>
      <c r="D376" s="132"/>
      <c r="E376" s="133"/>
      <c r="F376" s="133"/>
      <c r="G376" s="133"/>
      <c r="H376" s="133"/>
      <c r="I376" s="133"/>
      <c r="J376" s="133"/>
      <c r="K376" s="133"/>
      <c r="L376" s="133"/>
      <c r="M376" s="133"/>
      <c r="N376" s="133"/>
      <c r="O376" s="133"/>
      <c r="P376" s="133"/>
      <c r="Q376" s="133"/>
      <c r="R376" s="133"/>
      <c r="S376" s="133"/>
      <c r="T376" s="133"/>
      <c r="U376" s="133"/>
      <c r="V376" s="133"/>
      <c r="W376" s="133"/>
      <c r="X376" s="160"/>
      <c r="Y376" s="133"/>
      <c r="Z376" s="133"/>
      <c r="AA376" s="133"/>
      <c r="AB376" s="133"/>
      <c r="AC376" s="133"/>
      <c r="AD376" s="133"/>
      <c r="AE376" s="133"/>
      <c r="AF376" s="133"/>
      <c r="AG376" s="133"/>
      <c r="AH376" s="133"/>
      <c r="AI376" s="133"/>
      <c r="AJ376" s="133"/>
      <c r="AK376" s="133"/>
      <c r="AL376" s="132"/>
      <c r="AM376" s="132"/>
      <c r="AN376" s="104"/>
      <c r="AO376" s="104"/>
      <c r="AP376" s="104"/>
    </row>
    <row r="377">
      <c r="A377" s="132"/>
      <c r="B377" s="132"/>
      <c r="C377" s="132"/>
      <c r="D377" s="132"/>
      <c r="E377" s="133"/>
      <c r="F377" s="133"/>
      <c r="G377" s="133"/>
      <c r="H377" s="133"/>
      <c r="I377" s="133"/>
      <c r="J377" s="133"/>
      <c r="K377" s="133"/>
      <c r="L377" s="133"/>
      <c r="M377" s="133"/>
      <c r="N377" s="133"/>
      <c r="O377" s="133"/>
      <c r="P377" s="133"/>
      <c r="Q377" s="133"/>
      <c r="R377" s="133"/>
      <c r="S377" s="133"/>
      <c r="T377" s="133"/>
      <c r="U377" s="133"/>
      <c r="V377" s="133"/>
      <c r="W377" s="133"/>
      <c r="X377" s="160"/>
      <c r="Y377" s="133"/>
      <c r="Z377" s="133"/>
      <c r="AA377" s="133"/>
      <c r="AB377" s="133"/>
      <c r="AC377" s="133"/>
      <c r="AD377" s="133"/>
      <c r="AE377" s="133"/>
      <c r="AF377" s="133"/>
      <c r="AG377" s="133"/>
      <c r="AH377" s="133"/>
      <c r="AI377" s="133"/>
      <c r="AJ377" s="133"/>
      <c r="AK377" s="133"/>
      <c r="AL377" s="132"/>
      <c r="AM377" s="132"/>
      <c r="AN377" s="104"/>
      <c r="AO377" s="104"/>
      <c r="AP377" s="104"/>
    </row>
    <row r="378">
      <c r="A378" s="132"/>
      <c r="B378" s="132"/>
      <c r="C378" s="132"/>
      <c r="D378" s="132"/>
      <c r="E378" s="133"/>
      <c r="F378" s="133"/>
      <c r="G378" s="133"/>
      <c r="H378" s="133"/>
      <c r="I378" s="133"/>
      <c r="J378" s="133"/>
      <c r="K378" s="133"/>
      <c r="L378" s="133"/>
      <c r="M378" s="133"/>
      <c r="N378" s="133"/>
      <c r="O378" s="133"/>
      <c r="P378" s="133"/>
      <c r="Q378" s="133"/>
      <c r="R378" s="133"/>
      <c r="S378" s="133"/>
      <c r="T378" s="133"/>
      <c r="U378" s="133"/>
      <c r="V378" s="133"/>
      <c r="W378" s="133"/>
      <c r="X378" s="160"/>
      <c r="Y378" s="133"/>
      <c r="Z378" s="133"/>
      <c r="AA378" s="133"/>
      <c r="AB378" s="133"/>
      <c r="AC378" s="133"/>
      <c r="AD378" s="133"/>
      <c r="AE378" s="133"/>
      <c r="AF378" s="133"/>
      <c r="AG378" s="133"/>
      <c r="AH378" s="133"/>
      <c r="AI378" s="133"/>
      <c r="AJ378" s="133"/>
      <c r="AK378" s="133"/>
      <c r="AL378" s="132"/>
      <c r="AM378" s="132"/>
      <c r="AN378" s="104"/>
      <c r="AO378" s="104"/>
      <c r="AP378" s="104"/>
    </row>
    <row r="379">
      <c r="A379" s="132"/>
      <c r="B379" s="132"/>
      <c r="C379" s="132"/>
      <c r="D379" s="132"/>
      <c r="E379" s="133"/>
      <c r="F379" s="133"/>
      <c r="G379" s="133"/>
      <c r="H379" s="133"/>
      <c r="I379" s="133"/>
      <c r="J379" s="133"/>
      <c r="K379" s="133"/>
      <c r="L379" s="133"/>
      <c r="M379" s="133"/>
      <c r="N379" s="133"/>
      <c r="O379" s="133"/>
      <c r="P379" s="133"/>
      <c r="Q379" s="133"/>
      <c r="R379" s="133"/>
      <c r="S379" s="133"/>
      <c r="T379" s="133"/>
      <c r="U379" s="133"/>
      <c r="V379" s="133"/>
      <c r="W379" s="133"/>
      <c r="X379" s="160"/>
      <c r="Y379" s="133"/>
      <c r="Z379" s="133"/>
      <c r="AA379" s="133"/>
      <c r="AB379" s="133"/>
      <c r="AC379" s="133"/>
      <c r="AD379" s="133"/>
      <c r="AE379" s="133"/>
      <c r="AF379" s="133"/>
      <c r="AG379" s="133"/>
      <c r="AH379" s="133"/>
      <c r="AI379" s="133"/>
      <c r="AJ379" s="133"/>
      <c r="AK379" s="133"/>
      <c r="AL379" s="132"/>
      <c r="AM379" s="132"/>
      <c r="AN379" s="104"/>
      <c r="AO379" s="104"/>
      <c r="AP379" s="104"/>
    </row>
    <row r="380">
      <c r="A380" s="132"/>
      <c r="B380" s="132"/>
      <c r="C380" s="132"/>
      <c r="D380" s="132"/>
      <c r="E380" s="133"/>
      <c r="F380" s="133"/>
      <c r="G380" s="133"/>
      <c r="H380" s="133"/>
      <c r="I380" s="133"/>
      <c r="J380" s="133"/>
      <c r="K380" s="133"/>
      <c r="L380" s="133"/>
      <c r="M380" s="133"/>
      <c r="N380" s="133"/>
      <c r="O380" s="133"/>
      <c r="P380" s="133"/>
      <c r="Q380" s="133"/>
      <c r="R380" s="133"/>
      <c r="S380" s="133"/>
      <c r="T380" s="133"/>
      <c r="U380" s="133"/>
      <c r="V380" s="133"/>
      <c r="W380" s="133"/>
      <c r="X380" s="160"/>
      <c r="Y380" s="133"/>
      <c r="Z380" s="133"/>
      <c r="AA380" s="133"/>
      <c r="AB380" s="133"/>
      <c r="AC380" s="133"/>
      <c r="AD380" s="133"/>
      <c r="AE380" s="133"/>
      <c r="AF380" s="133"/>
      <c r="AG380" s="133"/>
      <c r="AH380" s="133"/>
      <c r="AI380" s="133"/>
      <c r="AJ380" s="133"/>
      <c r="AK380" s="133"/>
      <c r="AL380" s="132"/>
      <c r="AM380" s="132"/>
      <c r="AN380" s="104"/>
      <c r="AO380" s="104"/>
      <c r="AP380" s="104"/>
    </row>
    <row r="381">
      <c r="A381" s="132"/>
      <c r="B381" s="132"/>
      <c r="C381" s="132"/>
      <c r="D381" s="132"/>
      <c r="E381" s="133"/>
      <c r="F381" s="133"/>
      <c r="G381" s="133"/>
      <c r="H381" s="133"/>
      <c r="I381" s="133"/>
      <c r="J381" s="133"/>
      <c r="K381" s="133"/>
      <c r="L381" s="133"/>
      <c r="M381" s="133"/>
      <c r="N381" s="133"/>
      <c r="O381" s="133"/>
      <c r="P381" s="133"/>
      <c r="Q381" s="133"/>
      <c r="R381" s="133"/>
      <c r="S381" s="133"/>
      <c r="T381" s="133"/>
      <c r="U381" s="133"/>
      <c r="V381" s="133"/>
      <c r="W381" s="133"/>
      <c r="X381" s="160"/>
      <c r="Y381" s="133"/>
      <c r="Z381" s="133"/>
      <c r="AA381" s="133"/>
      <c r="AB381" s="133"/>
      <c r="AC381" s="133"/>
      <c r="AD381" s="133"/>
      <c r="AE381" s="133"/>
      <c r="AF381" s="133"/>
      <c r="AG381" s="133"/>
      <c r="AH381" s="133"/>
      <c r="AI381" s="133"/>
      <c r="AJ381" s="133"/>
      <c r="AK381" s="133"/>
      <c r="AL381" s="132"/>
      <c r="AM381" s="132"/>
      <c r="AN381" s="104"/>
      <c r="AO381" s="104"/>
      <c r="AP381" s="104"/>
    </row>
    <row r="382">
      <c r="A382" s="132"/>
      <c r="B382" s="132"/>
      <c r="C382" s="132"/>
      <c r="D382" s="132"/>
      <c r="E382" s="133"/>
      <c r="F382" s="133"/>
      <c r="G382" s="133"/>
      <c r="H382" s="133"/>
      <c r="I382" s="133"/>
      <c r="J382" s="133"/>
      <c r="K382" s="133"/>
      <c r="L382" s="133"/>
      <c r="M382" s="133"/>
      <c r="N382" s="133"/>
      <c r="O382" s="133"/>
      <c r="P382" s="133"/>
      <c r="Q382" s="133"/>
      <c r="R382" s="133"/>
      <c r="S382" s="133"/>
      <c r="T382" s="133"/>
      <c r="U382" s="133"/>
      <c r="V382" s="133"/>
      <c r="W382" s="133"/>
      <c r="X382" s="160"/>
      <c r="Y382" s="133"/>
      <c r="Z382" s="133"/>
      <c r="AA382" s="133"/>
      <c r="AB382" s="133"/>
      <c r="AC382" s="133"/>
      <c r="AD382" s="133"/>
      <c r="AE382" s="133"/>
      <c r="AF382" s="133"/>
      <c r="AG382" s="133"/>
      <c r="AH382" s="133"/>
      <c r="AI382" s="133"/>
      <c r="AJ382" s="133"/>
      <c r="AK382" s="133"/>
      <c r="AL382" s="132"/>
      <c r="AM382" s="132"/>
      <c r="AN382" s="104"/>
      <c r="AO382" s="104"/>
      <c r="AP382" s="104"/>
    </row>
    <row r="383">
      <c r="A383" s="132"/>
      <c r="B383" s="132"/>
      <c r="C383" s="132"/>
      <c r="D383" s="132"/>
      <c r="E383" s="133"/>
      <c r="F383" s="133"/>
      <c r="G383" s="133"/>
      <c r="H383" s="133"/>
      <c r="I383" s="133"/>
      <c r="J383" s="133"/>
      <c r="K383" s="133"/>
      <c r="L383" s="133"/>
      <c r="M383" s="133"/>
      <c r="N383" s="133"/>
      <c r="O383" s="133"/>
      <c r="P383" s="133"/>
      <c r="Q383" s="133"/>
      <c r="R383" s="133"/>
      <c r="S383" s="133"/>
      <c r="T383" s="133"/>
      <c r="U383" s="133"/>
      <c r="V383" s="133"/>
      <c r="W383" s="133"/>
      <c r="X383" s="160"/>
      <c r="Y383" s="133"/>
      <c r="Z383" s="133"/>
      <c r="AA383" s="133"/>
      <c r="AB383" s="133"/>
      <c r="AC383" s="133"/>
      <c r="AD383" s="133"/>
      <c r="AE383" s="133"/>
      <c r="AF383" s="133"/>
      <c r="AG383" s="133"/>
      <c r="AH383" s="133"/>
      <c r="AI383" s="133"/>
      <c r="AJ383" s="133"/>
      <c r="AK383" s="133"/>
      <c r="AL383" s="132"/>
      <c r="AM383" s="132"/>
      <c r="AN383" s="104"/>
      <c r="AO383" s="104"/>
      <c r="AP383" s="104"/>
    </row>
    <row r="384">
      <c r="A384" s="132"/>
      <c r="B384" s="132"/>
      <c r="C384" s="132"/>
      <c r="D384" s="132"/>
      <c r="E384" s="133"/>
      <c r="F384" s="133"/>
      <c r="G384" s="133"/>
      <c r="H384" s="133"/>
      <c r="I384" s="133"/>
      <c r="J384" s="133"/>
      <c r="K384" s="133"/>
      <c r="L384" s="133"/>
      <c r="M384" s="133"/>
      <c r="N384" s="133"/>
      <c r="O384" s="133"/>
      <c r="P384" s="133"/>
      <c r="Q384" s="133"/>
      <c r="R384" s="133"/>
      <c r="S384" s="133"/>
      <c r="T384" s="133"/>
      <c r="U384" s="133"/>
      <c r="V384" s="133"/>
      <c r="W384" s="133"/>
      <c r="X384" s="160"/>
      <c r="Y384" s="133"/>
      <c r="Z384" s="133"/>
      <c r="AA384" s="133"/>
      <c r="AB384" s="133"/>
      <c r="AC384" s="133"/>
      <c r="AD384" s="133"/>
      <c r="AE384" s="133"/>
      <c r="AF384" s="133"/>
      <c r="AG384" s="133"/>
      <c r="AH384" s="133"/>
      <c r="AI384" s="133"/>
      <c r="AJ384" s="133"/>
      <c r="AK384" s="133"/>
      <c r="AL384" s="132"/>
      <c r="AM384" s="132"/>
      <c r="AN384" s="104"/>
      <c r="AO384" s="104"/>
      <c r="AP384" s="104"/>
    </row>
    <row r="385">
      <c r="A385" s="132"/>
      <c r="B385" s="132"/>
      <c r="C385" s="132"/>
      <c r="D385" s="132"/>
      <c r="E385" s="133"/>
      <c r="F385" s="133"/>
      <c r="G385" s="133"/>
      <c r="H385" s="133"/>
      <c r="I385" s="133"/>
      <c r="J385" s="133"/>
      <c r="K385" s="133"/>
      <c r="L385" s="133"/>
      <c r="M385" s="133"/>
      <c r="N385" s="133"/>
      <c r="O385" s="133"/>
      <c r="P385" s="133"/>
      <c r="Q385" s="133"/>
      <c r="R385" s="133"/>
      <c r="S385" s="133"/>
      <c r="T385" s="133"/>
      <c r="U385" s="133"/>
      <c r="V385" s="133"/>
      <c r="W385" s="133"/>
      <c r="X385" s="160"/>
      <c r="Y385" s="133"/>
      <c r="Z385" s="133"/>
      <c r="AA385" s="133"/>
      <c r="AB385" s="133"/>
      <c r="AC385" s="133"/>
      <c r="AD385" s="133"/>
      <c r="AE385" s="133"/>
      <c r="AF385" s="133"/>
      <c r="AG385" s="133"/>
      <c r="AH385" s="133"/>
      <c r="AI385" s="133"/>
      <c r="AJ385" s="133"/>
      <c r="AK385" s="133"/>
      <c r="AL385" s="132"/>
      <c r="AM385" s="132"/>
      <c r="AN385" s="104"/>
      <c r="AO385" s="104"/>
      <c r="AP385" s="104"/>
    </row>
    <row r="386">
      <c r="A386" s="132"/>
      <c r="B386" s="132"/>
      <c r="C386" s="132"/>
      <c r="D386" s="132"/>
      <c r="E386" s="133"/>
      <c r="F386" s="133"/>
      <c r="G386" s="133"/>
      <c r="H386" s="133"/>
      <c r="I386" s="133"/>
      <c r="J386" s="133"/>
      <c r="K386" s="133"/>
      <c r="L386" s="133"/>
      <c r="M386" s="133"/>
      <c r="N386" s="133"/>
      <c r="O386" s="133"/>
      <c r="P386" s="133"/>
      <c r="Q386" s="133"/>
      <c r="R386" s="133"/>
      <c r="S386" s="133"/>
      <c r="T386" s="133"/>
      <c r="U386" s="133"/>
      <c r="V386" s="133"/>
      <c r="W386" s="133"/>
      <c r="X386" s="160"/>
      <c r="Y386" s="133"/>
      <c r="Z386" s="133"/>
      <c r="AA386" s="133"/>
      <c r="AB386" s="133"/>
      <c r="AC386" s="133"/>
      <c r="AD386" s="133"/>
      <c r="AE386" s="133"/>
      <c r="AF386" s="133"/>
      <c r="AG386" s="133"/>
      <c r="AH386" s="133"/>
      <c r="AI386" s="133"/>
      <c r="AJ386" s="133"/>
      <c r="AK386" s="133"/>
      <c r="AL386" s="132"/>
      <c r="AM386" s="132"/>
      <c r="AN386" s="104"/>
      <c r="AO386" s="104"/>
      <c r="AP386" s="104"/>
    </row>
    <row r="387">
      <c r="A387" s="132"/>
      <c r="B387" s="132"/>
      <c r="C387" s="132"/>
      <c r="D387" s="132"/>
      <c r="E387" s="133"/>
      <c r="F387" s="133"/>
      <c r="G387" s="133"/>
      <c r="H387" s="133"/>
      <c r="I387" s="133"/>
      <c r="J387" s="133"/>
      <c r="K387" s="133"/>
      <c r="L387" s="133"/>
      <c r="M387" s="133"/>
      <c r="N387" s="133"/>
      <c r="O387" s="133"/>
      <c r="P387" s="133"/>
      <c r="Q387" s="133"/>
      <c r="R387" s="133"/>
      <c r="S387" s="133"/>
      <c r="T387" s="133"/>
      <c r="U387" s="133"/>
      <c r="V387" s="133"/>
      <c r="W387" s="133"/>
      <c r="X387" s="160"/>
      <c r="Y387" s="133"/>
      <c r="Z387" s="133"/>
      <c r="AA387" s="133"/>
      <c r="AB387" s="133"/>
      <c r="AC387" s="133"/>
      <c r="AD387" s="133"/>
      <c r="AE387" s="133"/>
      <c r="AF387" s="133"/>
      <c r="AG387" s="133"/>
      <c r="AH387" s="133"/>
      <c r="AI387" s="133"/>
      <c r="AJ387" s="133"/>
      <c r="AK387" s="133"/>
      <c r="AL387" s="132"/>
      <c r="AM387" s="132"/>
      <c r="AN387" s="104"/>
      <c r="AO387" s="104"/>
      <c r="AP387" s="104"/>
    </row>
    <row r="388">
      <c r="A388" s="132"/>
      <c r="B388" s="132"/>
      <c r="C388" s="132"/>
      <c r="D388" s="132"/>
      <c r="E388" s="133"/>
      <c r="F388" s="133"/>
      <c r="G388" s="133"/>
      <c r="H388" s="133"/>
      <c r="I388" s="133"/>
      <c r="J388" s="133"/>
      <c r="K388" s="133"/>
      <c r="L388" s="133"/>
      <c r="M388" s="133"/>
      <c r="N388" s="133"/>
      <c r="O388" s="133"/>
      <c r="P388" s="133"/>
      <c r="Q388" s="133"/>
      <c r="R388" s="133"/>
      <c r="S388" s="133"/>
      <c r="T388" s="133"/>
      <c r="U388" s="133"/>
      <c r="V388" s="133"/>
      <c r="W388" s="133"/>
      <c r="X388" s="160"/>
      <c r="Y388" s="133"/>
      <c r="Z388" s="133"/>
      <c r="AA388" s="133"/>
      <c r="AB388" s="133"/>
      <c r="AC388" s="133"/>
      <c r="AD388" s="133"/>
      <c r="AE388" s="133"/>
      <c r="AF388" s="133"/>
      <c r="AG388" s="133"/>
      <c r="AH388" s="133"/>
      <c r="AI388" s="133"/>
      <c r="AJ388" s="133"/>
      <c r="AK388" s="133"/>
      <c r="AL388" s="132"/>
      <c r="AM388" s="132"/>
      <c r="AN388" s="104"/>
      <c r="AO388" s="104"/>
      <c r="AP388" s="104"/>
    </row>
    <row r="389">
      <c r="A389" s="132"/>
      <c r="B389" s="132"/>
      <c r="C389" s="132"/>
      <c r="D389" s="132"/>
      <c r="E389" s="133"/>
      <c r="F389" s="133"/>
      <c r="G389" s="133"/>
      <c r="H389" s="133"/>
      <c r="I389" s="133"/>
      <c r="J389" s="133"/>
      <c r="K389" s="133"/>
      <c r="L389" s="133"/>
      <c r="M389" s="133"/>
      <c r="N389" s="133"/>
      <c r="O389" s="133"/>
      <c r="P389" s="133"/>
      <c r="Q389" s="133"/>
      <c r="R389" s="133"/>
      <c r="S389" s="133"/>
      <c r="T389" s="133"/>
      <c r="U389" s="133"/>
      <c r="V389" s="133"/>
      <c r="W389" s="133"/>
      <c r="X389" s="160"/>
      <c r="Y389" s="133"/>
      <c r="Z389" s="133"/>
      <c r="AA389" s="133"/>
      <c r="AB389" s="133"/>
      <c r="AC389" s="133"/>
      <c r="AD389" s="133"/>
      <c r="AE389" s="133"/>
      <c r="AF389" s="133"/>
      <c r="AG389" s="133"/>
      <c r="AH389" s="133"/>
      <c r="AI389" s="133"/>
      <c r="AJ389" s="133"/>
      <c r="AK389" s="133"/>
      <c r="AL389" s="132"/>
      <c r="AM389" s="132"/>
      <c r="AN389" s="104"/>
      <c r="AO389" s="104"/>
      <c r="AP389" s="104"/>
    </row>
    <row r="390">
      <c r="A390" s="132"/>
      <c r="B390" s="132"/>
      <c r="C390" s="132"/>
      <c r="D390" s="132"/>
      <c r="E390" s="133"/>
      <c r="F390" s="133"/>
      <c r="G390" s="133"/>
      <c r="H390" s="133"/>
      <c r="I390" s="133"/>
      <c r="J390" s="133"/>
      <c r="K390" s="133"/>
      <c r="L390" s="133"/>
      <c r="M390" s="133"/>
      <c r="N390" s="133"/>
      <c r="O390" s="133"/>
      <c r="P390" s="133"/>
      <c r="Q390" s="133"/>
      <c r="R390" s="133"/>
      <c r="S390" s="133"/>
      <c r="T390" s="133"/>
      <c r="U390" s="133"/>
      <c r="V390" s="133"/>
      <c r="W390" s="133"/>
      <c r="X390" s="160"/>
      <c r="Y390" s="133"/>
      <c r="Z390" s="133"/>
      <c r="AA390" s="133"/>
      <c r="AB390" s="133"/>
      <c r="AC390" s="133"/>
      <c r="AD390" s="133"/>
      <c r="AE390" s="133"/>
      <c r="AF390" s="133"/>
      <c r="AG390" s="133"/>
      <c r="AH390" s="133"/>
      <c r="AI390" s="133"/>
      <c r="AJ390" s="133"/>
      <c r="AK390" s="133"/>
      <c r="AL390" s="132"/>
      <c r="AM390" s="132"/>
      <c r="AN390" s="104"/>
      <c r="AO390" s="104"/>
      <c r="AP390" s="104"/>
    </row>
    <row r="391">
      <c r="A391" s="132"/>
      <c r="B391" s="132"/>
      <c r="C391" s="132"/>
      <c r="D391" s="132"/>
      <c r="E391" s="133"/>
      <c r="F391" s="133"/>
      <c r="G391" s="133"/>
      <c r="H391" s="133"/>
      <c r="I391" s="133"/>
      <c r="J391" s="133"/>
      <c r="K391" s="133"/>
      <c r="L391" s="133"/>
      <c r="M391" s="133"/>
      <c r="N391" s="133"/>
      <c r="O391" s="133"/>
      <c r="P391" s="133"/>
      <c r="Q391" s="133"/>
      <c r="R391" s="133"/>
      <c r="S391" s="133"/>
      <c r="T391" s="133"/>
      <c r="U391" s="133"/>
      <c r="V391" s="133"/>
      <c r="W391" s="133"/>
      <c r="X391" s="160"/>
      <c r="Y391" s="133"/>
      <c r="Z391" s="133"/>
      <c r="AA391" s="133"/>
      <c r="AB391" s="133"/>
      <c r="AC391" s="133"/>
      <c r="AD391" s="133"/>
      <c r="AE391" s="133"/>
      <c r="AF391" s="133"/>
      <c r="AG391" s="133"/>
      <c r="AH391" s="133"/>
      <c r="AI391" s="133"/>
      <c r="AJ391" s="133"/>
      <c r="AK391" s="133"/>
      <c r="AL391" s="132"/>
      <c r="AM391" s="132"/>
      <c r="AN391" s="104"/>
      <c r="AO391" s="104"/>
      <c r="AP391" s="104"/>
    </row>
    <row r="392">
      <c r="A392" s="132"/>
      <c r="B392" s="132"/>
      <c r="C392" s="132"/>
      <c r="D392" s="132"/>
      <c r="E392" s="133"/>
      <c r="F392" s="133"/>
      <c r="G392" s="133"/>
      <c r="H392" s="133"/>
      <c r="I392" s="133"/>
      <c r="J392" s="133"/>
      <c r="K392" s="133"/>
      <c r="L392" s="133"/>
      <c r="M392" s="133"/>
      <c r="N392" s="133"/>
      <c r="O392" s="133"/>
      <c r="P392" s="133"/>
      <c r="Q392" s="133"/>
      <c r="R392" s="133"/>
      <c r="S392" s="133"/>
      <c r="T392" s="133"/>
      <c r="U392" s="133"/>
      <c r="V392" s="133"/>
      <c r="W392" s="133"/>
      <c r="X392" s="160"/>
      <c r="Y392" s="133"/>
      <c r="Z392" s="133"/>
      <c r="AA392" s="133"/>
      <c r="AB392" s="133"/>
      <c r="AC392" s="133"/>
      <c r="AD392" s="133"/>
      <c r="AE392" s="133"/>
      <c r="AF392" s="133"/>
      <c r="AG392" s="133"/>
      <c r="AH392" s="133"/>
      <c r="AI392" s="133"/>
      <c r="AJ392" s="133"/>
      <c r="AK392" s="133"/>
      <c r="AL392" s="132"/>
      <c r="AM392" s="132"/>
      <c r="AN392" s="104"/>
      <c r="AO392" s="104"/>
      <c r="AP392" s="104"/>
    </row>
    <row r="393">
      <c r="A393" s="132"/>
      <c r="B393" s="132"/>
      <c r="C393" s="132"/>
      <c r="D393" s="132"/>
      <c r="E393" s="133"/>
      <c r="F393" s="133"/>
      <c r="G393" s="133"/>
      <c r="H393" s="133"/>
      <c r="I393" s="133"/>
      <c r="J393" s="133"/>
      <c r="K393" s="133"/>
      <c r="L393" s="133"/>
      <c r="M393" s="133"/>
      <c r="N393" s="133"/>
      <c r="O393" s="133"/>
      <c r="P393" s="133"/>
      <c r="Q393" s="133"/>
      <c r="R393" s="133"/>
      <c r="S393" s="133"/>
      <c r="T393" s="133"/>
      <c r="U393" s="133"/>
      <c r="V393" s="133"/>
      <c r="W393" s="133"/>
      <c r="X393" s="160"/>
      <c r="Y393" s="133"/>
      <c r="Z393" s="133"/>
      <c r="AA393" s="133"/>
      <c r="AB393" s="133"/>
      <c r="AC393" s="133"/>
      <c r="AD393" s="133"/>
      <c r="AE393" s="133"/>
      <c r="AF393" s="133"/>
      <c r="AG393" s="133"/>
      <c r="AH393" s="133"/>
      <c r="AI393" s="133"/>
      <c r="AJ393" s="133"/>
      <c r="AK393" s="133"/>
      <c r="AL393" s="132"/>
      <c r="AM393" s="132"/>
      <c r="AN393" s="104"/>
      <c r="AO393" s="104"/>
      <c r="AP393" s="104"/>
    </row>
    <row r="394">
      <c r="A394" s="132"/>
      <c r="B394" s="132"/>
      <c r="C394" s="132"/>
      <c r="D394" s="132"/>
      <c r="E394" s="133"/>
      <c r="F394" s="133"/>
      <c r="G394" s="133"/>
      <c r="H394" s="133"/>
      <c r="I394" s="133"/>
      <c r="J394" s="133"/>
      <c r="K394" s="133"/>
      <c r="L394" s="133"/>
      <c r="M394" s="133"/>
      <c r="N394" s="133"/>
      <c r="O394" s="133"/>
      <c r="P394" s="133"/>
      <c r="Q394" s="133"/>
      <c r="R394" s="133"/>
      <c r="S394" s="133"/>
      <c r="T394" s="133"/>
      <c r="U394" s="133"/>
      <c r="V394" s="133"/>
      <c r="W394" s="133"/>
      <c r="X394" s="160"/>
      <c r="Y394" s="133"/>
      <c r="Z394" s="133"/>
      <c r="AA394" s="133"/>
      <c r="AB394" s="133"/>
      <c r="AC394" s="133"/>
      <c r="AD394" s="133"/>
      <c r="AE394" s="133"/>
      <c r="AF394" s="133"/>
      <c r="AG394" s="133"/>
      <c r="AH394" s="133"/>
      <c r="AI394" s="133"/>
      <c r="AJ394" s="133"/>
      <c r="AK394" s="133"/>
      <c r="AL394" s="132"/>
      <c r="AM394" s="132"/>
      <c r="AN394" s="104"/>
      <c r="AO394" s="104"/>
      <c r="AP394" s="104"/>
    </row>
    <row r="395">
      <c r="A395" s="132"/>
      <c r="B395" s="132"/>
      <c r="C395" s="132"/>
      <c r="D395" s="132"/>
      <c r="E395" s="133"/>
      <c r="F395" s="133"/>
      <c r="G395" s="133"/>
      <c r="H395" s="133"/>
      <c r="I395" s="133"/>
      <c r="J395" s="133"/>
      <c r="K395" s="133"/>
      <c r="L395" s="133"/>
      <c r="M395" s="133"/>
      <c r="N395" s="133"/>
      <c r="O395" s="133"/>
      <c r="P395" s="133"/>
      <c r="Q395" s="133"/>
      <c r="R395" s="133"/>
      <c r="S395" s="133"/>
      <c r="T395" s="133"/>
      <c r="U395" s="133"/>
      <c r="V395" s="133"/>
      <c r="W395" s="133"/>
      <c r="X395" s="160"/>
      <c r="Y395" s="133"/>
      <c r="Z395" s="133"/>
      <c r="AA395" s="133"/>
      <c r="AB395" s="133"/>
      <c r="AC395" s="133"/>
      <c r="AD395" s="133"/>
      <c r="AE395" s="133"/>
      <c r="AF395" s="133"/>
      <c r="AG395" s="133"/>
      <c r="AH395" s="133"/>
      <c r="AI395" s="133"/>
      <c r="AJ395" s="133"/>
      <c r="AK395" s="133"/>
      <c r="AL395" s="132"/>
      <c r="AM395" s="132"/>
      <c r="AN395" s="104"/>
      <c r="AO395" s="104"/>
      <c r="AP395" s="104"/>
    </row>
    <row r="396">
      <c r="A396" s="132"/>
      <c r="B396" s="132"/>
      <c r="C396" s="132"/>
      <c r="D396" s="132"/>
      <c r="E396" s="133"/>
      <c r="F396" s="133"/>
      <c r="G396" s="133"/>
      <c r="H396" s="133"/>
      <c r="I396" s="133"/>
      <c r="J396" s="133"/>
      <c r="K396" s="133"/>
      <c r="L396" s="133"/>
      <c r="M396" s="133"/>
      <c r="N396" s="133"/>
      <c r="O396" s="133"/>
      <c r="P396" s="133"/>
      <c r="Q396" s="133"/>
      <c r="R396" s="133"/>
      <c r="S396" s="133"/>
      <c r="T396" s="133"/>
      <c r="U396" s="133"/>
      <c r="V396" s="133"/>
      <c r="W396" s="133"/>
      <c r="X396" s="160"/>
      <c r="Y396" s="133"/>
      <c r="Z396" s="133"/>
      <c r="AA396" s="133"/>
      <c r="AB396" s="133"/>
      <c r="AC396" s="133"/>
      <c r="AD396" s="133"/>
      <c r="AE396" s="133"/>
      <c r="AF396" s="133"/>
      <c r="AG396" s="133"/>
      <c r="AH396" s="133"/>
      <c r="AI396" s="133"/>
      <c r="AJ396" s="133"/>
      <c r="AK396" s="133"/>
      <c r="AL396" s="132"/>
      <c r="AM396" s="132"/>
      <c r="AN396" s="104"/>
      <c r="AO396" s="104"/>
      <c r="AP396" s="104"/>
    </row>
    <row r="397">
      <c r="A397" s="132"/>
      <c r="B397" s="132"/>
      <c r="C397" s="132"/>
      <c r="D397" s="132"/>
      <c r="E397" s="133"/>
      <c r="F397" s="133"/>
      <c r="G397" s="133"/>
      <c r="H397" s="133"/>
      <c r="I397" s="133"/>
      <c r="J397" s="133"/>
      <c r="K397" s="133"/>
      <c r="L397" s="133"/>
      <c r="M397" s="133"/>
      <c r="N397" s="133"/>
      <c r="O397" s="133"/>
      <c r="P397" s="133"/>
      <c r="Q397" s="133"/>
      <c r="R397" s="133"/>
      <c r="S397" s="133"/>
      <c r="T397" s="133"/>
      <c r="U397" s="133"/>
      <c r="V397" s="133"/>
      <c r="W397" s="133"/>
      <c r="X397" s="160"/>
      <c r="Y397" s="133"/>
      <c r="Z397" s="133"/>
      <c r="AA397" s="133"/>
      <c r="AB397" s="133"/>
      <c r="AC397" s="133"/>
      <c r="AD397" s="133"/>
      <c r="AE397" s="133"/>
      <c r="AF397" s="133"/>
      <c r="AG397" s="133"/>
      <c r="AH397" s="133"/>
      <c r="AI397" s="133"/>
      <c r="AJ397" s="133"/>
      <c r="AK397" s="133"/>
      <c r="AL397" s="132"/>
      <c r="AM397" s="132"/>
      <c r="AN397" s="104"/>
      <c r="AO397" s="104"/>
      <c r="AP397" s="104"/>
    </row>
    <row r="398">
      <c r="A398" s="132"/>
      <c r="B398" s="132"/>
      <c r="C398" s="132"/>
      <c r="D398" s="132"/>
      <c r="E398" s="133"/>
      <c r="F398" s="133"/>
      <c r="G398" s="133"/>
      <c r="H398" s="133"/>
      <c r="I398" s="133"/>
      <c r="J398" s="133"/>
      <c r="K398" s="133"/>
      <c r="L398" s="133"/>
      <c r="M398" s="133"/>
      <c r="N398" s="133"/>
      <c r="O398" s="133"/>
      <c r="P398" s="133"/>
      <c r="Q398" s="133"/>
      <c r="R398" s="133"/>
      <c r="S398" s="133"/>
      <c r="T398" s="133"/>
      <c r="U398" s="133"/>
      <c r="V398" s="133"/>
      <c r="W398" s="133"/>
      <c r="X398" s="160"/>
      <c r="Y398" s="133"/>
      <c r="Z398" s="133"/>
      <c r="AA398" s="133"/>
      <c r="AB398" s="133"/>
      <c r="AC398" s="133"/>
      <c r="AD398" s="133"/>
      <c r="AE398" s="133"/>
      <c r="AF398" s="133"/>
      <c r="AG398" s="133"/>
      <c r="AH398" s="133"/>
      <c r="AI398" s="133"/>
      <c r="AJ398" s="133"/>
      <c r="AK398" s="133"/>
      <c r="AL398" s="132"/>
      <c r="AM398" s="132"/>
      <c r="AN398" s="104"/>
      <c r="AO398" s="104"/>
      <c r="AP398" s="104"/>
    </row>
    <row r="399">
      <c r="A399" s="132"/>
      <c r="B399" s="132"/>
      <c r="C399" s="132"/>
      <c r="D399" s="132"/>
      <c r="E399" s="133"/>
      <c r="F399" s="133"/>
      <c r="G399" s="133"/>
      <c r="H399" s="133"/>
      <c r="I399" s="133"/>
      <c r="J399" s="133"/>
      <c r="K399" s="133"/>
      <c r="L399" s="133"/>
      <c r="M399" s="133"/>
      <c r="N399" s="133"/>
      <c r="O399" s="133"/>
      <c r="P399" s="133"/>
      <c r="Q399" s="133"/>
      <c r="R399" s="133"/>
      <c r="S399" s="133"/>
      <c r="T399" s="133"/>
      <c r="U399" s="133"/>
      <c r="V399" s="133"/>
      <c r="W399" s="133"/>
      <c r="X399" s="160"/>
      <c r="Y399" s="133"/>
      <c r="Z399" s="133"/>
      <c r="AA399" s="133"/>
      <c r="AB399" s="133"/>
      <c r="AC399" s="133"/>
      <c r="AD399" s="133"/>
      <c r="AE399" s="133"/>
      <c r="AF399" s="133"/>
      <c r="AG399" s="133"/>
      <c r="AH399" s="133"/>
      <c r="AI399" s="133"/>
      <c r="AJ399" s="133"/>
      <c r="AK399" s="133"/>
      <c r="AL399" s="132"/>
      <c r="AM399" s="132"/>
      <c r="AN399" s="104"/>
      <c r="AO399" s="104"/>
      <c r="AP399" s="104"/>
    </row>
    <row r="400">
      <c r="A400" s="132"/>
      <c r="B400" s="132"/>
      <c r="C400" s="132"/>
      <c r="D400" s="132"/>
      <c r="E400" s="133"/>
      <c r="F400" s="133"/>
      <c r="G400" s="133"/>
      <c r="H400" s="133"/>
      <c r="I400" s="133"/>
      <c r="J400" s="133"/>
      <c r="K400" s="133"/>
      <c r="L400" s="133"/>
      <c r="M400" s="133"/>
      <c r="N400" s="133"/>
      <c r="O400" s="133"/>
      <c r="P400" s="133"/>
      <c r="Q400" s="133"/>
      <c r="R400" s="133"/>
      <c r="S400" s="133"/>
      <c r="T400" s="133"/>
      <c r="U400" s="133"/>
      <c r="V400" s="133"/>
      <c r="W400" s="133"/>
      <c r="X400" s="160"/>
      <c r="Y400" s="133"/>
      <c r="Z400" s="133"/>
      <c r="AA400" s="133"/>
      <c r="AB400" s="133"/>
      <c r="AC400" s="133"/>
      <c r="AD400" s="133"/>
      <c r="AE400" s="133"/>
      <c r="AF400" s="133"/>
      <c r="AG400" s="133"/>
      <c r="AH400" s="133"/>
      <c r="AI400" s="133"/>
      <c r="AJ400" s="133"/>
      <c r="AK400" s="133"/>
      <c r="AL400" s="132"/>
      <c r="AM400" s="132"/>
      <c r="AN400" s="104"/>
      <c r="AO400" s="104"/>
      <c r="AP400" s="104"/>
    </row>
    <row r="401">
      <c r="A401" s="132"/>
      <c r="B401" s="132"/>
      <c r="C401" s="132"/>
      <c r="D401" s="132"/>
      <c r="E401" s="133"/>
      <c r="F401" s="133"/>
      <c r="G401" s="133"/>
      <c r="H401" s="133"/>
      <c r="I401" s="133"/>
      <c r="J401" s="133"/>
      <c r="K401" s="133"/>
      <c r="L401" s="133"/>
      <c r="M401" s="133"/>
      <c r="N401" s="133"/>
      <c r="O401" s="133"/>
      <c r="P401" s="133"/>
      <c r="Q401" s="133"/>
      <c r="R401" s="133"/>
      <c r="S401" s="133"/>
      <c r="T401" s="133"/>
      <c r="U401" s="133"/>
      <c r="V401" s="133"/>
      <c r="W401" s="133"/>
      <c r="X401" s="160"/>
      <c r="Y401" s="133"/>
      <c r="Z401" s="133"/>
      <c r="AA401" s="133"/>
      <c r="AB401" s="133"/>
      <c r="AC401" s="133"/>
      <c r="AD401" s="133"/>
      <c r="AE401" s="133"/>
      <c r="AF401" s="133"/>
      <c r="AG401" s="133"/>
      <c r="AH401" s="133"/>
      <c r="AI401" s="133"/>
      <c r="AJ401" s="133"/>
      <c r="AK401" s="133"/>
      <c r="AL401" s="132"/>
      <c r="AM401" s="132"/>
      <c r="AN401" s="104"/>
      <c r="AO401" s="104"/>
      <c r="AP401" s="104"/>
    </row>
    <row r="402">
      <c r="A402" s="132"/>
      <c r="B402" s="132"/>
      <c r="C402" s="132"/>
      <c r="D402" s="132"/>
      <c r="E402" s="133"/>
      <c r="F402" s="133"/>
      <c r="G402" s="133"/>
      <c r="H402" s="133"/>
      <c r="I402" s="133"/>
      <c r="J402" s="133"/>
      <c r="K402" s="133"/>
      <c r="L402" s="133"/>
      <c r="M402" s="133"/>
      <c r="N402" s="133"/>
      <c r="O402" s="133"/>
      <c r="P402" s="133"/>
      <c r="Q402" s="133"/>
      <c r="R402" s="133"/>
      <c r="S402" s="133"/>
      <c r="T402" s="133"/>
      <c r="U402" s="133"/>
      <c r="V402" s="133"/>
      <c r="W402" s="133"/>
      <c r="X402" s="160"/>
      <c r="Y402" s="133"/>
      <c r="Z402" s="133"/>
      <c r="AA402" s="133"/>
      <c r="AB402" s="133"/>
      <c r="AC402" s="133"/>
      <c r="AD402" s="133"/>
      <c r="AE402" s="133"/>
      <c r="AF402" s="133"/>
      <c r="AG402" s="133"/>
      <c r="AH402" s="133"/>
      <c r="AI402" s="133"/>
      <c r="AJ402" s="133"/>
      <c r="AK402" s="133"/>
      <c r="AL402" s="132"/>
      <c r="AM402" s="132"/>
      <c r="AN402" s="104"/>
      <c r="AO402" s="104"/>
      <c r="AP402" s="104"/>
    </row>
    <row r="403">
      <c r="A403" s="132"/>
      <c r="B403" s="132"/>
      <c r="C403" s="132"/>
      <c r="D403" s="132"/>
      <c r="E403" s="133"/>
      <c r="F403" s="133"/>
      <c r="G403" s="133"/>
      <c r="H403" s="133"/>
      <c r="I403" s="133"/>
      <c r="J403" s="133"/>
      <c r="K403" s="133"/>
      <c r="L403" s="133"/>
      <c r="M403" s="133"/>
      <c r="N403" s="133"/>
      <c r="O403" s="133"/>
      <c r="P403" s="133"/>
      <c r="Q403" s="133"/>
      <c r="R403" s="133"/>
      <c r="S403" s="133"/>
      <c r="T403" s="133"/>
      <c r="U403" s="133"/>
      <c r="V403" s="133"/>
      <c r="W403" s="133"/>
      <c r="X403" s="160"/>
      <c r="Y403" s="133"/>
      <c r="Z403" s="133"/>
      <c r="AA403" s="133"/>
      <c r="AB403" s="133"/>
      <c r="AC403" s="133"/>
      <c r="AD403" s="133"/>
      <c r="AE403" s="133"/>
      <c r="AF403" s="133"/>
      <c r="AG403" s="133"/>
      <c r="AH403" s="133"/>
      <c r="AI403" s="133"/>
      <c r="AJ403" s="133"/>
      <c r="AK403" s="133"/>
      <c r="AL403" s="132"/>
      <c r="AM403" s="132"/>
      <c r="AN403" s="104"/>
      <c r="AO403" s="104"/>
      <c r="AP403" s="104"/>
    </row>
    <row r="404">
      <c r="A404" s="132"/>
      <c r="B404" s="132"/>
      <c r="C404" s="132"/>
      <c r="D404" s="132"/>
      <c r="E404" s="133"/>
      <c r="F404" s="133"/>
      <c r="G404" s="133"/>
      <c r="H404" s="133"/>
      <c r="I404" s="133"/>
      <c r="J404" s="133"/>
      <c r="K404" s="133"/>
      <c r="L404" s="133"/>
      <c r="M404" s="133"/>
      <c r="N404" s="133"/>
      <c r="O404" s="133"/>
      <c r="P404" s="133"/>
      <c r="Q404" s="133"/>
      <c r="R404" s="133"/>
      <c r="S404" s="133"/>
      <c r="T404" s="133"/>
      <c r="U404" s="133"/>
      <c r="V404" s="133"/>
      <c r="W404" s="133"/>
      <c r="X404" s="160"/>
      <c r="Y404" s="133"/>
      <c r="Z404" s="133"/>
      <c r="AA404" s="133"/>
      <c r="AB404" s="133"/>
      <c r="AC404" s="133"/>
      <c r="AD404" s="133"/>
      <c r="AE404" s="133"/>
      <c r="AF404" s="133"/>
      <c r="AG404" s="133"/>
      <c r="AH404" s="133"/>
      <c r="AI404" s="133"/>
      <c r="AJ404" s="133"/>
      <c r="AK404" s="133"/>
      <c r="AL404" s="132"/>
      <c r="AM404" s="132"/>
      <c r="AN404" s="104"/>
      <c r="AO404" s="104"/>
      <c r="AP404" s="104"/>
    </row>
    <row r="405">
      <c r="A405" s="132"/>
      <c r="B405" s="132"/>
      <c r="C405" s="132"/>
      <c r="D405" s="132"/>
      <c r="E405" s="133"/>
      <c r="F405" s="133"/>
      <c r="G405" s="133"/>
      <c r="H405" s="133"/>
      <c r="I405" s="133"/>
      <c r="J405" s="133"/>
      <c r="K405" s="133"/>
      <c r="L405" s="133"/>
      <c r="M405" s="133"/>
      <c r="N405" s="133"/>
      <c r="O405" s="133"/>
      <c r="P405" s="133"/>
      <c r="Q405" s="133"/>
      <c r="R405" s="133"/>
      <c r="S405" s="133"/>
      <c r="T405" s="133"/>
      <c r="U405" s="133"/>
      <c r="V405" s="133"/>
      <c r="W405" s="133"/>
      <c r="X405" s="160"/>
      <c r="Y405" s="133"/>
      <c r="Z405" s="133"/>
      <c r="AA405" s="133"/>
      <c r="AB405" s="133"/>
      <c r="AC405" s="133"/>
      <c r="AD405" s="133"/>
      <c r="AE405" s="133"/>
      <c r="AF405" s="133"/>
      <c r="AG405" s="133"/>
      <c r="AH405" s="133"/>
      <c r="AI405" s="133"/>
      <c r="AJ405" s="133"/>
      <c r="AK405" s="133"/>
      <c r="AL405" s="132"/>
      <c r="AM405" s="132"/>
      <c r="AN405" s="104"/>
      <c r="AO405" s="104"/>
      <c r="AP405" s="104"/>
    </row>
    <row r="406">
      <c r="A406" s="132"/>
      <c r="B406" s="132"/>
      <c r="C406" s="132"/>
      <c r="D406" s="132"/>
      <c r="E406" s="133"/>
      <c r="F406" s="133"/>
      <c r="G406" s="133"/>
      <c r="H406" s="133"/>
      <c r="I406" s="133"/>
      <c r="J406" s="133"/>
      <c r="K406" s="133"/>
      <c r="L406" s="133"/>
      <c r="M406" s="133"/>
      <c r="N406" s="133"/>
      <c r="O406" s="133"/>
      <c r="P406" s="133"/>
      <c r="Q406" s="133"/>
      <c r="R406" s="133"/>
      <c r="S406" s="133"/>
      <c r="T406" s="133"/>
      <c r="U406" s="133"/>
      <c r="V406" s="133"/>
      <c r="W406" s="133"/>
      <c r="X406" s="160"/>
      <c r="Y406" s="133"/>
      <c r="Z406" s="133"/>
      <c r="AA406" s="133"/>
      <c r="AB406" s="133"/>
      <c r="AC406" s="133"/>
      <c r="AD406" s="133"/>
      <c r="AE406" s="133"/>
      <c r="AF406" s="133"/>
      <c r="AG406" s="133"/>
      <c r="AH406" s="133"/>
      <c r="AI406" s="133"/>
      <c r="AJ406" s="133"/>
      <c r="AK406" s="133"/>
      <c r="AL406" s="132"/>
      <c r="AM406" s="132"/>
      <c r="AN406" s="104"/>
      <c r="AO406" s="104"/>
      <c r="AP406" s="104"/>
    </row>
    <row r="407">
      <c r="A407" s="132"/>
      <c r="B407" s="132"/>
      <c r="C407" s="132"/>
      <c r="D407" s="132"/>
      <c r="E407" s="133"/>
      <c r="F407" s="133"/>
      <c r="G407" s="133"/>
      <c r="H407" s="133"/>
      <c r="I407" s="133"/>
      <c r="J407" s="133"/>
      <c r="K407" s="133"/>
      <c r="L407" s="133"/>
      <c r="M407" s="133"/>
      <c r="N407" s="133"/>
      <c r="O407" s="133"/>
      <c r="P407" s="133"/>
      <c r="Q407" s="133"/>
      <c r="R407" s="133"/>
      <c r="S407" s="133"/>
      <c r="T407" s="133"/>
      <c r="U407" s="133"/>
      <c r="V407" s="133"/>
      <c r="W407" s="133"/>
      <c r="X407" s="160"/>
      <c r="Y407" s="133"/>
      <c r="Z407" s="133"/>
      <c r="AA407" s="133"/>
      <c r="AB407" s="133"/>
      <c r="AC407" s="133"/>
      <c r="AD407" s="133"/>
      <c r="AE407" s="133"/>
      <c r="AF407" s="133"/>
      <c r="AG407" s="133"/>
      <c r="AH407" s="133"/>
      <c r="AI407" s="133"/>
      <c r="AJ407" s="133"/>
      <c r="AK407" s="133"/>
      <c r="AL407" s="132"/>
      <c r="AM407" s="132"/>
      <c r="AN407" s="104"/>
      <c r="AO407" s="104"/>
      <c r="AP407" s="104"/>
    </row>
    <row r="408">
      <c r="A408" s="132"/>
      <c r="B408" s="132"/>
      <c r="C408" s="132"/>
      <c r="D408" s="132"/>
      <c r="E408" s="133"/>
      <c r="F408" s="133"/>
      <c r="G408" s="133"/>
      <c r="H408" s="133"/>
      <c r="I408" s="133"/>
      <c r="J408" s="133"/>
      <c r="K408" s="133"/>
      <c r="L408" s="133"/>
      <c r="M408" s="133"/>
      <c r="N408" s="133"/>
      <c r="O408" s="133"/>
      <c r="P408" s="133"/>
      <c r="Q408" s="133"/>
      <c r="R408" s="133"/>
      <c r="S408" s="133"/>
      <c r="T408" s="133"/>
      <c r="U408" s="133"/>
      <c r="V408" s="133"/>
      <c r="W408" s="133"/>
      <c r="X408" s="160"/>
      <c r="Y408" s="133"/>
      <c r="Z408" s="133"/>
      <c r="AA408" s="133"/>
      <c r="AB408" s="133"/>
      <c r="AC408" s="133"/>
      <c r="AD408" s="133"/>
      <c r="AE408" s="133"/>
      <c r="AF408" s="133"/>
      <c r="AG408" s="133"/>
      <c r="AH408" s="133"/>
      <c r="AI408" s="133"/>
      <c r="AJ408" s="133"/>
      <c r="AK408" s="133"/>
      <c r="AL408" s="132"/>
      <c r="AM408" s="132"/>
      <c r="AN408" s="104"/>
      <c r="AO408" s="104"/>
      <c r="AP408" s="104"/>
    </row>
    <row r="409">
      <c r="A409" s="132"/>
      <c r="B409" s="132"/>
      <c r="C409" s="132"/>
      <c r="D409" s="132"/>
      <c r="E409" s="133"/>
      <c r="F409" s="133"/>
      <c r="G409" s="133"/>
      <c r="H409" s="133"/>
      <c r="I409" s="133"/>
      <c r="J409" s="133"/>
      <c r="K409" s="133"/>
      <c r="L409" s="133"/>
      <c r="M409" s="133"/>
      <c r="N409" s="133"/>
      <c r="O409" s="133"/>
      <c r="P409" s="133"/>
      <c r="Q409" s="133"/>
      <c r="R409" s="133"/>
      <c r="S409" s="133"/>
      <c r="T409" s="133"/>
      <c r="U409" s="133"/>
      <c r="V409" s="133"/>
      <c r="W409" s="133"/>
      <c r="X409" s="160"/>
      <c r="Y409" s="133"/>
      <c r="Z409" s="133"/>
      <c r="AA409" s="133"/>
      <c r="AB409" s="133"/>
      <c r="AC409" s="133"/>
      <c r="AD409" s="133"/>
      <c r="AE409" s="133"/>
      <c r="AF409" s="133"/>
      <c r="AG409" s="133"/>
      <c r="AH409" s="133"/>
      <c r="AI409" s="133"/>
      <c r="AJ409" s="133"/>
      <c r="AK409" s="133"/>
      <c r="AL409" s="132"/>
      <c r="AM409" s="132"/>
      <c r="AN409" s="104"/>
      <c r="AO409" s="104"/>
      <c r="AP409" s="104"/>
    </row>
    <row r="410">
      <c r="A410" s="132"/>
      <c r="B410" s="132"/>
      <c r="C410" s="132"/>
      <c r="D410" s="132"/>
      <c r="E410" s="133"/>
      <c r="F410" s="133"/>
      <c r="G410" s="133"/>
      <c r="H410" s="133"/>
      <c r="I410" s="133"/>
      <c r="J410" s="133"/>
      <c r="K410" s="133"/>
      <c r="L410" s="133"/>
      <c r="M410" s="133"/>
      <c r="N410" s="133"/>
      <c r="O410" s="133"/>
      <c r="P410" s="133"/>
      <c r="Q410" s="133"/>
      <c r="R410" s="133"/>
      <c r="S410" s="133"/>
      <c r="T410" s="133"/>
      <c r="U410" s="133"/>
      <c r="V410" s="133"/>
      <c r="W410" s="133"/>
      <c r="X410" s="160"/>
      <c r="Y410" s="133"/>
      <c r="Z410" s="133"/>
      <c r="AA410" s="133"/>
      <c r="AB410" s="133"/>
      <c r="AC410" s="133"/>
      <c r="AD410" s="133"/>
      <c r="AE410" s="133"/>
      <c r="AF410" s="133"/>
      <c r="AG410" s="133"/>
      <c r="AH410" s="133"/>
      <c r="AI410" s="133"/>
      <c r="AJ410" s="133"/>
      <c r="AK410" s="133"/>
      <c r="AL410" s="132"/>
      <c r="AM410" s="132"/>
      <c r="AN410" s="104"/>
      <c r="AO410" s="104"/>
      <c r="AP410" s="104"/>
    </row>
    <row r="411">
      <c r="A411" s="132"/>
      <c r="B411" s="132"/>
      <c r="C411" s="132"/>
      <c r="D411" s="132"/>
      <c r="E411" s="133"/>
      <c r="F411" s="133"/>
      <c r="G411" s="133"/>
      <c r="H411" s="133"/>
      <c r="I411" s="133"/>
      <c r="J411" s="133"/>
      <c r="K411" s="133"/>
      <c r="L411" s="133"/>
      <c r="M411" s="133"/>
      <c r="N411" s="133"/>
      <c r="O411" s="133"/>
      <c r="P411" s="133"/>
      <c r="Q411" s="133"/>
      <c r="R411" s="133"/>
      <c r="S411" s="133"/>
      <c r="T411" s="133"/>
      <c r="U411" s="133"/>
      <c r="V411" s="133"/>
      <c r="W411" s="133"/>
      <c r="X411" s="160"/>
      <c r="Y411" s="133"/>
      <c r="Z411" s="133"/>
      <c r="AA411" s="133"/>
      <c r="AB411" s="133"/>
      <c r="AC411" s="133"/>
      <c r="AD411" s="133"/>
      <c r="AE411" s="133"/>
      <c r="AF411" s="133"/>
      <c r="AG411" s="133"/>
      <c r="AH411" s="133"/>
      <c r="AI411" s="133"/>
      <c r="AJ411" s="133"/>
      <c r="AK411" s="133"/>
      <c r="AL411" s="132"/>
      <c r="AM411" s="132"/>
      <c r="AN411" s="104"/>
      <c r="AO411" s="104"/>
      <c r="AP411" s="104"/>
    </row>
    <row r="412">
      <c r="A412" s="132"/>
      <c r="B412" s="132"/>
      <c r="C412" s="132"/>
      <c r="D412" s="132"/>
      <c r="E412" s="133"/>
      <c r="F412" s="133"/>
      <c r="G412" s="133"/>
      <c r="H412" s="133"/>
      <c r="I412" s="133"/>
      <c r="J412" s="133"/>
      <c r="K412" s="133"/>
      <c r="L412" s="133"/>
      <c r="M412" s="133"/>
      <c r="N412" s="133"/>
      <c r="O412" s="133"/>
      <c r="P412" s="133"/>
      <c r="Q412" s="133"/>
      <c r="R412" s="133"/>
      <c r="S412" s="133"/>
      <c r="T412" s="133"/>
      <c r="U412" s="133"/>
      <c r="V412" s="133"/>
      <c r="W412" s="133"/>
      <c r="X412" s="160"/>
      <c r="Y412" s="133"/>
      <c r="Z412" s="133"/>
      <c r="AA412" s="133"/>
      <c r="AB412" s="133"/>
      <c r="AC412" s="133"/>
      <c r="AD412" s="133"/>
      <c r="AE412" s="133"/>
      <c r="AF412" s="133"/>
      <c r="AG412" s="133"/>
      <c r="AH412" s="133"/>
      <c r="AI412" s="133"/>
      <c r="AJ412" s="133"/>
      <c r="AK412" s="133"/>
      <c r="AL412" s="132"/>
      <c r="AM412" s="132"/>
      <c r="AN412" s="104"/>
      <c r="AO412" s="104"/>
      <c r="AP412" s="104"/>
    </row>
    <row r="413">
      <c r="A413" s="132"/>
      <c r="B413" s="132"/>
      <c r="C413" s="132"/>
      <c r="D413" s="132"/>
      <c r="E413" s="133"/>
      <c r="F413" s="133"/>
      <c r="G413" s="133"/>
      <c r="H413" s="133"/>
      <c r="I413" s="133"/>
      <c r="J413" s="133"/>
      <c r="K413" s="133"/>
      <c r="L413" s="133"/>
      <c r="M413" s="133"/>
      <c r="N413" s="133"/>
      <c r="O413" s="133"/>
      <c r="P413" s="133"/>
      <c r="Q413" s="133"/>
      <c r="R413" s="133"/>
      <c r="S413" s="133"/>
      <c r="T413" s="133"/>
      <c r="U413" s="133"/>
      <c r="V413" s="133"/>
      <c r="W413" s="133"/>
      <c r="X413" s="160"/>
      <c r="Y413" s="133"/>
      <c r="Z413" s="133"/>
      <c r="AA413" s="133"/>
      <c r="AB413" s="133"/>
      <c r="AC413" s="133"/>
      <c r="AD413" s="133"/>
      <c r="AE413" s="133"/>
      <c r="AF413" s="133"/>
      <c r="AG413" s="133"/>
      <c r="AH413" s="133"/>
      <c r="AI413" s="133"/>
      <c r="AJ413" s="133"/>
      <c r="AK413" s="133"/>
      <c r="AL413" s="132"/>
      <c r="AM413" s="132"/>
      <c r="AN413" s="104"/>
      <c r="AO413" s="104"/>
      <c r="AP413" s="104"/>
    </row>
    <row r="414">
      <c r="A414" s="132"/>
      <c r="B414" s="132"/>
      <c r="C414" s="132"/>
      <c r="D414" s="132"/>
      <c r="E414" s="133"/>
      <c r="F414" s="133"/>
      <c r="G414" s="133"/>
      <c r="H414" s="133"/>
      <c r="I414" s="133"/>
      <c r="J414" s="133"/>
      <c r="K414" s="133"/>
      <c r="L414" s="133"/>
      <c r="M414" s="133"/>
      <c r="N414" s="133"/>
      <c r="O414" s="133"/>
      <c r="P414" s="133"/>
      <c r="Q414" s="133"/>
      <c r="R414" s="133"/>
      <c r="S414" s="133"/>
      <c r="T414" s="133"/>
      <c r="U414" s="133"/>
      <c r="V414" s="133"/>
      <c r="W414" s="133"/>
      <c r="X414" s="160"/>
      <c r="Y414" s="133"/>
      <c r="Z414" s="133"/>
      <c r="AA414" s="133"/>
      <c r="AB414" s="133"/>
      <c r="AC414" s="133"/>
      <c r="AD414" s="133"/>
      <c r="AE414" s="133"/>
      <c r="AF414" s="133"/>
      <c r="AG414" s="133"/>
      <c r="AH414" s="133"/>
      <c r="AI414" s="133"/>
      <c r="AJ414" s="133"/>
      <c r="AK414" s="133"/>
      <c r="AL414" s="132"/>
      <c r="AM414" s="132"/>
      <c r="AN414" s="104"/>
      <c r="AO414" s="104"/>
      <c r="AP414" s="104"/>
    </row>
    <row r="415">
      <c r="A415" s="132"/>
      <c r="B415" s="132"/>
      <c r="C415" s="132"/>
      <c r="D415" s="132"/>
      <c r="E415" s="133"/>
      <c r="F415" s="133"/>
      <c r="G415" s="133"/>
      <c r="H415" s="133"/>
      <c r="I415" s="133"/>
      <c r="J415" s="133"/>
      <c r="K415" s="133"/>
      <c r="L415" s="133"/>
      <c r="M415" s="133"/>
      <c r="N415" s="133"/>
      <c r="O415" s="133"/>
      <c r="P415" s="133"/>
      <c r="Q415" s="133"/>
      <c r="R415" s="133"/>
      <c r="S415" s="133"/>
      <c r="T415" s="133"/>
      <c r="U415" s="133"/>
      <c r="V415" s="133"/>
      <c r="W415" s="133"/>
      <c r="X415" s="160"/>
      <c r="Y415" s="133"/>
      <c r="Z415" s="133"/>
      <c r="AA415" s="133"/>
      <c r="AB415" s="133"/>
      <c r="AC415" s="133"/>
      <c r="AD415" s="133"/>
      <c r="AE415" s="133"/>
      <c r="AF415" s="133"/>
      <c r="AG415" s="133"/>
      <c r="AH415" s="133"/>
      <c r="AI415" s="133"/>
      <c r="AJ415" s="133"/>
      <c r="AK415" s="133"/>
      <c r="AL415" s="132"/>
      <c r="AM415" s="132"/>
      <c r="AN415" s="104"/>
      <c r="AO415" s="104"/>
      <c r="AP415" s="104"/>
    </row>
    <row r="416">
      <c r="A416" s="132"/>
      <c r="B416" s="132"/>
      <c r="C416" s="132"/>
      <c r="D416" s="132"/>
      <c r="E416" s="133"/>
      <c r="F416" s="133"/>
      <c r="G416" s="133"/>
      <c r="H416" s="133"/>
      <c r="I416" s="133"/>
      <c r="J416" s="133"/>
      <c r="K416" s="133"/>
      <c r="L416" s="133"/>
      <c r="M416" s="133"/>
      <c r="N416" s="133"/>
      <c r="O416" s="133"/>
      <c r="P416" s="133"/>
      <c r="Q416" s="133"/>
      <c r="R416" s="133"/>
      <c r="S416" s="133"/>
      <c r="T416" s="133"/>
      <c r="U416" s="133"/>
      <c r="V416" s="133"/>
      <c r="W416" s="133"/>
      <c r="X416" s="160"/>
      <c r="Y416" s="133"/>
      <c r="Z416" s="133"/>
      <c r="AA416" s="133"/>
      <c r="AB416" s="133"/>
      <c r="AC416" s="133"/>
      <c r="AD416" s="133"/>
      <c r="AE416" s="133"/>
      <c r="AF416" s="133"/>
      <c r="AG416" s="133"/>
      <c r="AH416" s="133"/>
      <c r="AI416" s="133"/>
      <c r="AJ416" s="133"/>
      <c r="AK416" s="133"/>
      <c r="AL416" s="132"/>
      <c r="AM416" s="132"/>
      <c r="AN416" s="104"/>
      <c r="AO416" s="104"/>
      <c r="AP416" s="104"/>
    </row>
    <row r="417">
      <c r="A417" s="132"/>
      <c r="B417" s="132"/>
      <c r="C417" s="132"/>
      <c r="D417" s="132"/>
      <c r="E417" s="133"/>
      <c r="F417" s="133"/>
      <c r="G417" s="133"/>
      <c r="H417" s="133"/>
      <c r="I417" s="133"/>
      <c r="J417" s="133"/>
      <c r="K417" s="133"/>
      <c r="L417" s="133"/>
      <c r="M417" s="133"/>
      <c r="N417" s="133"/>
      <c r="O417" s="133"/>
      <c r="P417" s="133"/>
      <c r="Q417" s="133"/>
      <c r="R417" s="133"/>
      <c r="S417" s="133"/>
      <c r="T417" s="133"/>
      <c r="U417" s="133"/>
      <c r="V417" s="133"/>
      <c r="W417" s="133"/>
      <c r="X417" s="160"/>
      <c r="Y417" s="133"/>
      <c r="Z417" s="133"/>
      <c r="AA417" s="133"/>
      <c r="AB417" s="133"/>
      <c r="AC417" s="133"/>
      <c r="AD417" s="133"/>
      <c r="AE417" s="133"/>
      <c r="AF417" s="133"/>
      <c r="AG417" s="133"/>
      <c r="AH417" s="133"/>
      <c r="AI417" s="133"/>
      <c r="AJ417" s="133"/>
      <c r="AK417" s="133"/>
      <c r="AL417" s="132"/>
      <c r="AM417" s="132"/>
      <c r="AN417" s="104"/>
      <c r="AO417" s="104"/>
      <c r="AP417" s="104"/>
    </row>
    <row r="418">
      <c r="A418" s="132"/>
      <c r="B418" s="132"/>
      <c r="C418" s="132"/>
      <c r="D418" s="132"/>
      <c r="E418" s="133"/>
      <c r="F418" s="133"/>
      <c r="G418" s="133"/>
      <c r="H418" s="133"/>
      <c r="I418" s="133"/>
      <c r="J418" s="133"/>
      <c r="K418" s="133"/>
      <c r="L418" s="133"/>
      <c r="M418" s="133"/>
      <c r="N418" s="133"/>
      <c r="O418" s="133"/>
      <c r="P418" s="133"/>
      <c r="Q418" s="133"/>
      <c r="R418" s="133"/>
      <c r="S418" s="133"/>
      <c r="T418" s="133"/>
      <c r="U418" s="133"/>
      <c r="V418" s="133"/>
      <c r="W418" s="133"/>
      <c r="X418" s="160"/>
      <c r="Y418" s="133"/>
      <c r="Z418" s="133"/>
      <c r="AA418" s="133"/>
      <c r="AB418" s="133"/>
      <c r="AC418" s="133"/>
      <c r="AD418" s="133"/>
      <c r="AE418" s="133"/>
      <c r="AF418" s="133"/>
      <c r="AG418" s="133"/>
      <c r="AH418" s="133"/>
      <c r="AI418" s="133"/>
      <c r="AJ418" s="133"/>
      <c r="AK418" s="133"/>
      <c r="AL418" s="132"/>
      <c r="AM418" s="132"/>
      <c r="AN418" s="104"/>
      <c r="AO418" s="104"/>
      <c r="AP418" s="104"/>
    </row>
    <row r="419">
      <c r="A419" s="132"/>
      <c r="B419" s="132"/>
      <c r="C419" s="132"/>
      <c r="D419" s="132"/>
      <c r="E419" s="133"/>
      <c r="F419" s="133"/>
      <c r="G419" s="133"/>
      <c r="H419" s="133"/>
      <c r="I419" s="133"/>
      <c r="J419" s="133"/>
      <c r="K419" s="133"/>
      <c r="L419" s="133"/>
      <c r="M419" s="133"/>
      <c r="N419" s="133"/>
      <c r="O419" s="133"/>
      <c r="P419" s="133"/>
      <c r="Q419" s="133"/>
      <c r="R419" s="133"/>
      <c r="S419" s="133"/>
      <c r="T419" s="133"/>
      <c r="U419" s="133"/>
      <c r="V419" s="133"/>
      <c r="W419" s="133"/>
      <c r="X419" s="160"/>
      <c r="Y419" s="133"/>
      <c r="Z419" s="133"/>
      <c r="AA419" s="133"/>
      <c r="AB419" s="133"/>
      <c r="AC419" s="133"/>
      <c r="AD419" s="133"/>
      <c r="AE419" s="133"/>
      <c r="AF419" s="133"/>
      <c r="AG419" s="133"/>
      <c r="AH419" s="133"/>
      <c r="AI419" s="133"/>
      <c r="AJ419" s="133"/>
      <c r="AK419" s="133"/>
      <c r="AL419" s="132"/>
      <c r="AM419" s="132"/>
      <c r="AN419" s="104"/>
      <c r="AO419" s="104"/>
      <c r="AP419" s="104"/>
    </row>
    <row r="420">
      <c r="A420" s="132"/>
      <c r="B420" s="132"/>
      <c r="C420" s="132"/>
      <c r="D420" s="132"/>
      <c r="E420" s="133"/>
      <c r="F420" s="133"/>
      <c r="G420" s="133"/>
      <c r="H420" s="133"/>
      <c r="I420" s="133"/>
      <c r="J420" s="133"/>
      <c r="K420" s="133"/>
      <c r="L420" s="133"/>
      <c r="M420" s="133"/>
      <c r="N420" s="133"/>
      <c r="O420" s="133"/>
      <c r="P420" s="133"/>
      <c r="Q420" s="133"/>
      <c r="R420" s="133"/>
      <c r="S420" s="133"/>
      <c r="T420" s="133"/>
      <c r="U420" s="133"/>
      <c r="V420" s="133"/>
      <c r="W420" s="133"/>
      <c r="X420" s="160"/>
      <c r="Y420" s="133"/>
      <c r="Z420" s="133"/>
      <c r="AA420" s="133"/>
      <c r="AB420" s="133"/>
      <c r="AC420" s="133"/>
      <c r="AD420" s="133"/>
      <c r="AE420" s="133"/>
      <c r="AF420" s="133"/>
      <c r="AG420" s="133"/>
      <c r="AH420" s="133"/>
      <c r="AI420" s="133"/>
      <c r="AJ420" s="133"/>
      <c r="AK420" s="133"/>
      <c r="AL420" s="132"/>
      <c r="AM420" s="132"/>
      <c r="AN420" s="104"/>
      <c r="AO420" s="104"/>
      <c r="AP420" s="104"/>
    </row>
    <row r="421">
      <c r="A421" s="132"/>
      <c r="B421" s="132"/>
      <c r="C421" s="132"/>
      <c r="D421" s="132"/>
      <c r="E421" s="133"/>
      <c r="F421" s="133"/>
      <c r="G421" s="133"/>
      <c r="H421" s="133"/>
      <c r="I421" s="133"/>
      <c r="J421" s="133"/>
      <c r="K421" s="133"/>
      <c r="L421" s="133"/>
      <c r="M421" s="133"/>
      <c r="N421" s="133"/>
      <c r="O421" s="133"/>
      <c r="P421" s="133"/>
      <c r="Q421" s="133"/>
      <c r="R421" s="133"/>
      <c r="S421" s="133"/>
      <c r="T421" s="133"/>
      <c r="U421" s="133"/>
      <c r="V421" s="133"/>
      <c r="W421" s="133"/>
      <c r="X421" s="160"/>
      <c r="Y421" s="133"/>
      <c r="Z421" s="133"/>
      <c r="AA421" s="133"/>
      <c r="AB421" s="133"/>
      <c r="AC421" s="133"/>
      <c r="AD421" s="133"/>
      <c r="AE421" s="133"/>
      <c r="AF421" s="133"/>
      <c r="AG421" s="133"/>
      <c r="AH421" s="133"/>
      <c r="AI421" s="133"/>
      <c r="AJ421" s="133"/>
      <c r="AK421" s="133"/>
      <c r="AL421" s="132"/>
      <c r="AM421" s="132"/>
      <c r="AN421" s="104"/>
      <c r="AO421" s="104"/>
      <c r="AP421" s="104"/>
    </row>
    <row r="422">
      <c r="A422" s="132"/>
      <c r="B422" s="132"/>
      <c r="C422" s="132"/>
      <c r="D422" s="132"/>
      <c r="E422" s="133"/>
      <c r="F422" s="133"/>
      <c r="G422" s="133"/>
      <c r="H422" s="133"/>
      <c r="I422" s="133"/>
      <c r="J422" s="133"/>
      <c r="K422" s="133"/>
      <c r="L422" s="133"/>
      <c r="M422" s="133"/>
      <c r="N422" s="133"/>
      <c r="O422" s="133"/>
      <c r="P422" s="133"/>
      <c r="Q422" s="133"/>
      <c r="R422" s="133"/>
      <c r="S422" s="133"/>
      <c r="T422" s="133"/>
      <c r="U422" s="133"/>
      <c r="V422" s="133"/>
      <c r="W422" s="133"/>
      <c r="X422" s="160"/>
      <c r="Y422" s="133"/>
      <c r="Z422" s="133"/>
      <c r="AA422" s="133"/>
      <c r="AB422" s="133"/>
      <c r="AC422" s="133"/>
      <c r="AD422" s="133"/>
      <c r="AE422" s="133"/>
      <c r="AF422" s="133"/>
      <c r="AG422" s="133"/>
      <c r="AH422" s="133"/>
      <c r="AI422" s="133"/>
      <c r="AJ422" s="133"/>
      <c r="AK422" s="133"/>
      <c r="AL422" s="132"/>
      <c r="AM422" s="132"/>
      <c r="AN422" s="104"/>
      <c r="AO422" s="104"/>
      <c r="AP422" s="104"/>
    </row>
    <row r="423">
      <c r="A423" s="132"/>
      <c r="B423" s="132"/>
      <c r="C423" s="132"/>
      <c r="D423" s="132"/>
      <c r="E423" s="133"/>
      <c r="F423" s="133"/>
      <c r="G423" s="133"/>
      <c r="H423" s="133"/>
      <c r="I423" s="133"/>
      <c r="J423" s="133"/>
      <c r="K423" s="133"/>
      <c r="L423" s="133"/>
      <c r="M423" s="133"/>
      <c r="N423" s="133"/>
      <c r="O423" s="133"/>
      <c r="P423" s="133"/>
      <c r="Q423" s="133"/>
      <c r="R423" s="133"/>
      <c r="S423" s="133"/>
      <c r="T423" s="133"/>
      <c r="U423" s="133"/>
      <c r="V423" s="133"/>
      <c r="W423" s="133"/>
      <c r="X423" s="160"/>
      <c r="Y423" s="133"/>
      <c r="Z423" s="133"/>
      <c r="AA423" s="133"/>
      <c r="AB423" s="133"/>
      <c r="AC423" s="133"/>
      <c r="AD423" s="133"/>
      <c r="AE423" s="133"/>
      <c r="AF423" s="133"/>
      <c r="AG423" s="133"/>
      <c r="AH423" s="133"/>
      <c r="AI423" s="133"/>
      <c r="AJ423" s="133"/>
      <c r="AK423" s="133"/>
      <c r="AL423" s="132"/>
      <c r="AM423" s="132"/>
      <c r="AN423" s="104"/>
      <c r="AO423" s="104"/>
      <c r="AP423" s="104"/>
    </row>
    <row r="424">
      <c r="A424" s="132"/>
      <c r="B424" s="132"/>
      <c r="C424" s="132"/>
      <c r="D424" s="132"/>
      <c r="E424" s="133"/>
      <c r="F424" s="133"/>
      <c r="G424" s="133"/>
      <c r="H424" s="133"/>
      <c r="I424" s="133"/>
      <c r="J424" s="133"/>
      <c r="K424" s="133"/>
      <c r="L424" s="133"/>
      <c r="M424" s="133"/>
      <c r="N424" s="133"/>
      <c r="O424" s="133"/>
      <c r="P424" s="133"/>
      <c r="Q424" s="133"/>
      <c r="R424" s="133"/>
      <c r="S424" s="133"/>
      <c r="T424" s="133"/>
      <c r="U424" s="133"/>
      <c r="V424" s="133"/>
      <c r="W424" s="133"/>
      <c r="X424" s="160"/>
      <c r="Y424" s="133"/>
      <c r="Z424" s="133"/>
      <c r="AA424" s="133"/>
      <c r="AB424" s="133"/>
      <c r="AC424" s="133"/>
      <c r="AD424" s="133"/>
      <c r="AE424" s="133"/>
      <c r="AF424" s="133"/>
      <c r="AG424" s="133"/>
      <c r="AH424" s="133"/>
      <c r="AI424" s="133"/>
      <c r="AJ424" s="133"/>
      <c r="AK424" s="133"/>
      <c r="AL424" s="132"/>
      <c r="AM424" s="132"/>
      <c r="AN424" s="104"/>
      <c r="AO424" s="104"/>
      <c r="AP424" s="104"/>
    </row>
    <row r="425">
      <c r="A425" s="132"/>
      <c r="B425" s="132"/>
      <c r="C425" s="132"/>
      <c r="D425" s="132"/>
      <c r="E425" s="133"/>
      <c r="F425" s="133"/>
      <c r="G425" s="133"/>
      <c r="H425" s="133"/>
      <c r="I425" s="133"/>
      <c r="J425" s="133"/>
      <c r="K425" s="133"/>
      <c r="L425" s="133"/>
      <c r="M425" s="133"/>
      <c r="N425" s="133"/>
      <c r="O425" s="133"/>
      <c r="P425" s="133"/>
      <c r="Q425" s="133"/>
      <c r="R425" s="133"/>
      <c r="S425" s="133"/>
      <c r="T425" s="133"/>
      <c r="U425" s="133"/>
      <c r="V425" s="133"/>
      <c r="W425" s="133"/>
      <c r="X425" s="160"/>
      <c r="Y425" s="133"/>
      <c r="Z425" s="133"/>
      <c r="AA425" s="133"/>
      <c r="AB425" s="133"/>
      <c r="AC425" s="133"/>
      <c r="AD425" s="133"/>
      <c r="AE425" s="133"/>
      <c r="AF425" s="133"/>
      <c r="AG425" s="133"/>
      <c r="AH425" s="133"/>
      <c r="AI425" s="133"/>
      <c r="AJ425" s="133"/>
      <c r="AK425" s="133"/>
      <c r="AL425" s="132"/>
      <c r="AM425" s="132"/>
      <c r="AN425" s="104"/>
      <c r="AO425" s="104"/>
      <c r="AP425" s="104"/>
    </row>
    <row r="426">
      <c r="A426" s="132"/>
      <c r="B426" s="132"/>
      <c r="C426" s="132"/>
      <c r="D426" s="132"/>
      <c r="E426" s="133"/>
      <c r="F426" s="133"/>
      <c r="G426" s="133"/>
      <c r="H426" s="133"/>
      <c r="I426" s="133"/>
      <c r="J426" s="133"/>
      <c r="K426" s="133"/>
      <c r="L426" s="133"/>
      <c r="M426" s="133"/>
      <c r="N426" s="133"/>
      <c r="O426" s="133"/>
      <c r="P426" s="133"/>
      <c r="Q426" s="133"/>
      <c r="R426" s="133"/>
      <c r="S426" s="133"/>
      <c r="T426" s="133"/>
      <c r="U426" s="133"/>
      <c r="V426" s="133"/>
      <c r="W426" s="133"/>
      <c r="X426" s="160"/>
      <c r="Y426" s="133"/>
      <c r="Z426" s="133"/>
      <c r="AA426" s="133"/>
      <c r="AB426" s="133"/>
      <c r="AC426" s="133"/>
      <c r="AD426" s="133"/>
      <c r="AE426" s="133"/>
      <c r="AF426" s="133"/>
      <c r="AG426" s="133"/>
      <c r="AH426" s="133"/>
      <c r="AI426" s="133"/>
      <c r="AJ426" s="133"/>
      <c r="AK426" s="133"/>
      <c r="AL426" s="132"/>
      <c r="AM426" s="132"/>
      <c r="AN426" s="104"/>
      <c r="AO426" s="104"/>
      <c r="AP426" s="104"/>
    </row>
    <row r="427">
      <c r="A427" s="132"/>
      <c r="B427" s="132"/>
      <c r="C427" s="132"/>
      <c r="D427" s="132"/>
      <c r="E427" s="133"/>
      <c r="F427" s="133"/>
      <c r="G427" s="133"/>
      <c r="H427" s="133"/>
      <c r="I427" s="133"/>
      <c r="J427" s="133"/>
      <c r="K427" s="133"/>
      <c r="L427" s="133"/>
      <c r="M427" s="133"/>
      <c r="N427" s="133"/>
      <c r="O427" s="133"/>
      <c r="P427" s="133"/>
      <c r="Q427" s="133"/>
      <c r="R427" s="133"/>
      <c r="S427" s="133"/>
      <c r="T427" s="133"/>
      <c r="U427" s="133"/>
      <c r="V427" s="133"/>
      <c r="W427" s="133"/>
      <c r="X427" s="160"/>
      <c r="Y427" s="133"/>
      <c r="Z427" s="133"/>
      <c r="AA427" s="133"/>
      <c r="AB427" s="133"/>
      <c r="AC427" s="133"/>
      <c r="AD427" s="133"/>
      <c r="AE427" s="133"/>
      <c r="AF427" s="133"/>
      <c r="AG427" s="133"/>
      <c r="AH427" s="133"/>
      <c r="AI427" s="133"/>
      <c r="AJ427" s="133"/>
      <c r="AK427" s="133"/>
      <c r="AL427" s="132"/>
      <c r="AM427" s="132"/>
      <c r="AN427" s="104"/>
      <c r="AO427" s="104"/>
      <c r="AP427" s="104"/>
    </row>
    <row r="428">
      <c r="A428" s="132"/>
      <c r="B428" s="132"/>
      <c r="C428" s="132"/>
      <c r="D428" s="132"/>
      <c r="E428" s="133"/>
      <c r="F428" s="133"/>
      <c r="G428" s="133"/>
      <c r="H428" s="133"/>
      <c r="I428" s="133"/>
      <c r="J428" s="133"/>
      <c r="K428" s="133"/>
      <c r="L428" s="133"/>
      <c r="M428" s="133"/>
      <c r="N428" s="133"/>
      <c r="O428" s="133"/>
      <c r="P428" s="133"/>
      <c r="Q428" s="133"/>
      <c r="R428" s="133"/>
      <c r="S428" s="133"/>
      <c r="T428" s="133"/>
      <c r="U428" s="133"/>
      <c r="V428" s="133"/>
      <c r="W428" s="133"/>
      <c r="X428" s="160"/>
      <c r="Y428" s="133"/>
      <c r="Z428" s="133"/>
      <c r="AA428" s="133"/>
      <c r="AB428" s="133"/>
      <c r="AC428" s="133"/>
      <c r="AD428" s="133"/>
      <c r="AE428" s="133"/>
      <c r="AF428" s="133"/>
      <c r="AG428" s="133"/>
      <c r="AH428" s="133"/>
      <c r="AI428" s="133"/>
      <c r="AJ428" s="133"/>
      <c r="AK428" s="133"/>
      <c r="AL428" s="132"/>
      <c r="AM428" s="132"/>
      <c r="AN428" s="104"/>
      <c r="AO428" s="104"/>
      <c r="AP428" s="104"/>
    </row>
    <row r="429">
      <c r="A429" s="132"/>
      <c r="B429" s="132"/>
      <c r="C429" s="132"/>
      <c r="D429" s="132"/>
      <c r="E429" s="133"/>
      <c r="F429" s="133"/>
      <c r="G429" s="133"/>
      <c r="H429" s="133"/>
      <c r="I429" s="133"/>
      <c r="J429" s="133"/>
      <c r="K429" s="133"/>
      <c r="L429" s="133"/>
      <c r="M429" s="133"/>
      <c r="N429" s="133"/>
      <c r="O429" s="133"/>
      <c r="P429" s="133"/>
      <c r="Q429" s="133"/>
      <c r="R429" s="133"/>
      <c r="S429" s="133"/>
      <c r="T429" s="133"/>
      <c r="U429" s="133"/>
      <c r="V429" s="133"/>
      <c r="W429" s="133"/>
      <c r="X429" s="160"/>
      <c r="Y429" s="133"/>
      <c r="Z429" s="133"/>
      <c r="AA429" s="133"/>
      <c r="AB429" s="133"/>
      <c r="AC429" s="133"/>
      <c r="AD429" s="133"/>
      <c r="AE429" s="133"/>
      <c r="AF429" s="133"/>
      <c r="AG429" s="133"/>
      <c r="AH429" s="133"/>
      <c r="AI429" s="133"/>
      <c r="AJ429" s="133"/>
      <c r="AK429" s="133"/>
      <c r="AL429" s="132"/>
      <c r="AM429" s="132"/>
      <c r="AN429" s="104"/>
      <c r="AO429" s="104"/>
      <c r="AP429" s="104"/>
    </row>
    <row r="430">
      <c r="A430" s="132"/>
      <c r="B430" s="132"/>
      <c r="C430" s="132"/>
      <c r="D430" s="132"/>
      <c r="E430" s="133"/>
      <c r="F430" s="133"/>
      <c r="G430" s="133"/>
      <c r="H430" s="133"/>
      <c r="I430" s="133"/>
      <c r="J430" s="133"/>
      <c r="K430" s="133"/>
      <c r="L430" s="133"/>
      <c r="M430" s="133"/>
      <c r="N430" s="133"/>
      <c r="O430" s="133"/>
      <c r="P430" s="133"/>
      <c r="Q430" s="133"/>
      <c r="R430" s="133"/>
      <c r="S430" s="133"/>
      <c r="T430" s="133"/>
      <c r="U430" s="133"/>
      <c r="V430" s="133"/>
      <c r="W430" s="133"/>
      <c r="X430" s="160"/>
      <c r="Y430" s="133"/>
      <c r="Z430" s="133"/>
      <c r="AA430" s="133"/>
      <c r="AB430" s="133"/>
      <c r="AC430" s="133"/>
      <c r="AD430" s="133"/>
      <c r="AE430" s="133"/>
      <c r="AF430" s="133"/>
      <c r="AG430" s="133"/>
      <c r="AH430" s="133"/>
      <c r="AI430" s="133"/>
      <c r="AJ430" s="133"/>
      <c r="AK430" s="133"/>
      <c r="AL430" s="132"/>
      <c r="AM430" s="132"/>
      <c r="AN430" s="104"/>
      <c r="AO430" s="104"/>
      <c r="AP430" s="104"/>
    </row>
    <row r="431">
      <c r="A431" s="132"/>
      <c r="B431" s="132"/>
      <c r="C431" s="132"/>
      <c r="D431" s="132"/>
      <c r="E431" s="133"/>
      <c r="F431" s="133"/>
      <c r="G431" s="133"/>
      <c r="H431" s="133"/>
      <c r="I431" s="133"/>
      <c r="J431" s="133"/>
      <c r="K431" s="133"/>
      <c r="L431" s="133"/>
      <c r="M431" s="133"/>
      <c r="N431" s="133"/>
      <c r="O431" s="133"/>
      <c r="P431" s="133"/>
      <c r="Q431" s="133"/>
      <c r="R431" s="133"/>
      <c r="S431" s="133"/>
      <c r="T431" s="133"/>
      <c r="U431" s="133"/>
      <c r="V431" s="133"/>
      <c r="W431" s="133"/>
      <c r="X431" s="160"/>
      <c r="Y431" s="133"/>
      <c r="Z431" s="133"/>
      <c r="AA431" s="133"/>
      <c r="AB431" s="133"/>
      <c r="AC431" s="133"/>
      <c r="AD431" s="133"/>
      <c r="AE431" s="133"/>
      <c r="AF431" s="133"/>
      <c r="AG431" s="133"/>
      <c r="AH431" s="133"/>
      <c r="AI431" s="133"/>
      <c r="AJ431" s="133"/>
      <c r="AK431" s="133"/>
      <c r="AL431" s="132"/>
      <c r="AM431" s="132"/>
      <c r="AN431" s="104"/>
      <c r="AO431" s="104"/>
      <c r="AP431" s="104"/>
    </row>
    <row r="432">
      <c r="A432" s="132"/>
      <c r="B432" s="132"/>
      <c r="C432" s="132"/>
      <c r="D432" s="132"/>
      <c r="E432" s="133"/>
      <c r="F432" s="133"/>
      <c r="G432" s="133"/>
      <c r="H432" s="133"/>
      <c r="I432" s="133"/>
      <c r="J432" s="133"/>
      <c r="K432" s="133"/>
      <c r="L432" s="133"/>
      <c r="M432" s="133"/>
      <c r="N432" s="133"/>
      <c r="O432" s="133"/>
      <c r="P432" s="133"/>
      <c r="Q432" s="133"/>
      <c r="R432" s="133"/>
      <c r="S432" s="133"/>
      <c r="T432" s="133"/>
      <c r="U432" s="133"/>
      <c r="V432" s="133"/>
      <c r="W432" s="133"/>
      <c r="X432" s="160"/>
      <c r="Y432" s="133"/>
      <c r="Z432" s="133"/>
      <c r="AA432" s="133"/>
      <c r="AB432" s="133"/>
      <c r="AC432" s="133"/>
      <c r="AD432" s="133"/>
      <c r="AE432" s="133"/>
      <c r="AF432" s="133"/>
      <c r="AG432" s="133"/>
      <c r="AH432" s="133"/>
      <c r="AI432" s="133"/>
      <c r="AJ432" s="133"/>
      <c r="AK432" s="133"/>
      <c r="AL432" s="132"/>
      <c r="AM432" s="132"/>
      <c r="AN432" s="104"/>
      <c r="AO432" s="104"/>
      <c r="AP432" s="104"/>
    </row>
    <row r="433">
      <c r="A433" s="132"/>
      <c r="B433" s="132"/>
      <c r="C433" s="132"/>
      <c r="D433" s="132"/>
      <c r="E433" s="133"/>
      <c r="F433" s="133"/>
      <c r="G433" s="133"/>
      <c r="H433" s="133"/>
      <c r="I433" s="133"/>
      <c r="J433" s="133"/>
      <c r="K433" s="133"/>
      <c r="L433" s="133"/>
      <c r="M433" s="133"/>
      <c r="N433" s="133"/>
      <c r="O433" s="133"/>
      <c r="P433" s="133"/>
      <c r="Q433" s="133"/>
      <c r="R433" s="133"/>
      <c r="S433" s="133"/>
      <c r="T433" s="133"/>
      <c r="U433" s="133"/>
      <c r="V433" s="133"/>
      <c r="W433" s="133"/>
      <c r="X433" s="160"/>
      <c r="Y433" s="133"/>
      <c r="Z433" s="133"/>
      <c r="AA433" s="133"/>
      <c r="AB433" s="133"/>
      <c r="AC433" s="133"/>
      <c r="AD433" s="133"/>
      <c r="AE433" s="133"/>
      <c r="AF433" s="133"/>
      <c r="AG433" s="133"/>
      <c r="AH433" s="133"/>
      <c r="AI433" s="133"/>
      <c r="AJ433" s="133"/>
      <c r="AK433" s="133"/>
      <c r="AL433" s="132"/>
      <c r="AM433" s="132"/>
      <c r="AN433" s="104"/>
      <c r="AO433" s="104"/>
      <c r="AP433" s="104"/>
    </row>
    <row r="434">
      <c r="A434" s="132"/>
      <c r="B434" s="132"/>
      <c r="C434" s="132"/>
      <c r="D434" s="132"/>
      <c r="E434" s="133"/>
      <c r="F434" s="133"/>
      <c r="G434" s="133"/>
      <c r="H434" s="133"/>
      <c r="I434" s="133"/>
      <c r="J434" s="133"/>
      <c r="K434" s="133"/>
      <c r="L434" s="133"/>
      <c r="M434" s="133"/>
      <c r="N434" s="133"/>
      <c r="O434" s="133"/>
      <c r="P434" s="133"/>
      <c r="Q434" s="133"/>
      <c r="R434" s="133"/>
      <c r="S434" s="133"/>
      <c r="T434" s="133"/>
      <c r="U434" s="133"/>
      <c r="V434" s="133"/>
      <c r="W434" s="133"/>
      <c r="X434" s="160"/>
      <c r="Y434" s="133"/>
      <c r="Z434" s="133"/>
      <c r="AA434" s="133"/>
      <c r="AB434" s="133"/>
      <c r="AC434" s="133"/>
      <c r="AD434" s="133"/>
      <c r="AE434" s="133"/>
      <c r="AF434" s="133"/>
      <c r="AG434" s="133"/>
      <c r="AH434" s="133"/>
      <c r="AI434" s="133"/>
      <c r="AJ434" s="133"/>
      <c r="AK434" s="133"/>
      <c r="AL434" s="132"/>
      <c r="AM434" s="132"/>
      <c r="AN434" s="104"/>
      <c r="AO434" s="104"/>
      <c r="AP434" s="104"/>
    </row>
    <row r="435">
      <c r="A435" s="132"/>
      <c r="B435" s="132"/>
      <c r="C435" s="132"/>
      <c r="D435" s="132"/>
      <c r="E435" s="133"/>
      <c r="F435" s="133"/>
      <c r="G435" s="133"/>
      <c r="H435" s="133"/>
      <c r="I435" s="133"/>
      <c r="J435" s="133"/>
      <c r="K435" s="133"/>
      <c r="L435" s="133"/>
      <c r="M435" s="133"/>
      <c r="N435" s="133"/>
      <c r="O435" s="133"/>
      <c r="P435" s="133"/>
      <c r="Q435" s="133"/>
      <c r="R435" s="133"/>
      <c r="S435" s="133"/>
      <c r="T435" s="133"/>
      <c r="U435" s="133"/>
      <c r="V435" s="133"/>
      <c r="W435" s="133"/>
      <c r="X435" s="160"/>
      <c r="Y435" s="133"/>
      <c r="Z435" s="133"/>
      <c r="AA435" s="133"/>
      <c r="AB435" s="133"/>
      <c r="AC435" s="133"/>
      <c r="AD435" s="133"/>
      <c r="AE435" s="133"/>
      <c r="AF435" s="133"/>
      <c r="AG435" s="133"/>
      <c r="AH435" s="133"/>
      <c r="AI435" s="133"/>
      <c r="AJ435" s="133"/>
      <c r="AK435" s="133"/>
      <c r="AL435" s="132"/>
      <c r="AM435" s="132"/>
      <c r="AN435" s="104"/>
      <c r="AO435" s="104"/>
      <c r="AP435" s="104"/>
    </row>
    <row r="436">
      <c r="A436" s="132"/>
      <c r="B436" s="132"/>
      <c r="C436" s="132"/>
      <c r="D436" s="132"/>
      <c r="E436" s="133"/>
      <c r="F436" s="133"/>
      <c r="G436" s="133"/>
      <c r="H436" s="133"/>
      <c r="I436" s="133"/>
      <c r="J436" s="133"/>
      <c r="K436" s="133"/>
      <c r="L436" s="133"/>
      <c r="M436" s="133"/>
      <c r="N436" s="133"/>
      <c r="O436" s="133"/>
      <c r="P436" s="133"/>
      <c r="Q436" s="133"/>
      <c r="R436" s="133"/>
      <c r="S436" s="133"/>
      <c r="T436" s="133"/>
      <c r="U436" s="133"/>
      <c r="V436" s="133"/>
      <c r="W436" s="133"/>
      <c r="X436" s="160"/>
      <c r="Y436" s="133"/>
      <c r="Z436" s="133"/>
      <c r="AA436" s="133"/>
      <c r="AB436" s="133"/>
      <c r="AC436" s="133"/>
      <c r="AD436" s="133"/>
      <c r="AE436" s="133"/>
      <c r="AF436" s="133"/>
      <c r="AG436" s="133"/>
      <c r="AH436" s="133"/>
      <c r="AI436" s="133"/>
      <c r="AJ436" s="133"/>
      <c r="AK436" s="133"/>
      <c r="AL436" s="132"/>
      <c r="AM436" s="132"/>
      <c r="AN436" s="104"/>
      <c r="AO436" s="104"/>
      <c r="AP436" s="104"/>
    </row>
    <row r="437">
      <c r="A437" s="132"/>
      <c r="B437" s="132"/>
      <c r="C437" s="132"/>
      <c r="D437" s="132"/>
      <c r="E437" s="133"/>
      <c r="F437" s="133"/>
      <c r="G437" s="133"/>
      <c r="H437" s="133"/>
      <c r="I437" s="133"/>
      <c r="J437" s="133"/>
      <c r="K437" s="133"/>
      <c r="L437" s="133"/>
      <c r="M437" s="133"/>
      <c r="N437" s="133"/>
      <c r="O437" s="133"/>
      <c r="P437" s="133"/>
      <c r="Q437" s="133"/>
      <c r="R437" s="133"/>
      <c r="S437" s="133"/>
      <c r="T437" s="133"/>
      <c r="U437" s="133"/>
      <c r="V437" s="133"/>
      <c r="W437" s="133"/>
      <c r="X437" s="160"/>
      <c r="Y437" s="133"/>
      <c r="Z437" s="133"/>
      <c r="AA437" s="133"/>
      <c r="AB437" s="133"/>
      <c r="AC437" s="133"/>
      <c r="AD437" s="133"/>
      <c r="AE437" s="133"/>
      <c r="AF437" s="133"/>
      <c r="AG437" s="133"/>
      <c r="AH437" s="133"/>
      <c r="AI437" s="133"/>
      <c r="AJ437" s="133"/>
      <c r="AK437" s="133"/>
      <c r="AL437" s="132"/>
      <c r="AM437" s="132"/>
      <c r="AN437" s="104"/>
      <c r="AO437" s="104"/>
      <c r="AP437" s="104"/>
    </row>
    <row r="438">
      <c r="A438" s="132"/>
      <c r="B438" s="132"/>
      <c r="C438" s="132"/>
      <c r="D438" s="132"/>
      <c r="E438" s="133"/>
      <c r="F438" s="133"/>
      <c r="G438" s="133"/>
      <c r="H438" s="133"/>
      <c r="I438" s="133"/>
      <c r="J438" s="133"/>
      <c r="K438" s="133"/>
      <c r="L438" s="133"/>
      <c r="M438" s="133"/>
      <c r="N438" s="133"/>
      <c r="O438" s="133"/>
      <c r="P438" s="133"/>
      <c r="Q438" s="133"/>
      <c r="R438" s="133"/>
      <c r="S438" s="133"/>
      <c r="T438" s="133"/>
      <c r="U438" s="133"/>
      <c r="V438" s="133"/>
      <c r="W438" s="133"/>
      <c r="X438" s="160"/>
      <c r="Y438" s="133"/>
      <c r="Z438" s="133"/>
      <c r="AA438" s="133"/>
      <c r="AB438" s="133"/>
      <c r="AC438" s="133"/>
      <c r="AD438" s="133"/>
      <c r="AE438" s="133"/>
      <c r="AF438" s="133"/>
      <c r="AG438" s="133"/>
      <c r="AH438" s="133"/>
      <c r="AI438" s="133"/>
      <c r="AJ438" s="133"/>
      <c r="AK438" s="133"/>
      <c r="AL438" s="132"/>
      <c r="AM438" s="132"/>
      <c r="AN438" s="104"/>
      <c r="AO438" s="104"/>
      <c r="AP438" s="104"/>
    </row>
    <row r="439">
      <c r="A439" s="132"/>
      <c r="B439" s="132"/>
      <c r="C439" s="132"/>
      <c r="D439" s="132"/>
      <c r="E439" s="133"/>
      <c r="F439" s="133"/>
      <c r="G439" s="133"/>
      <c r="H439" s="133"/>
      <c r="I439" s="133"/>
      <c r="J439" s="133"/>
      <c r="K439" s="133"/>
      <c r="L439" s="133"/>
      <c r="M439" s="133"/>
      <c r="N439" s="133"/>
      <c r="O439" s="133"/>
      <c r="P439" s="133"/>
      <c r="Q439" s="133"/>
      <c r="R439" s="133"/>
      <c r="S439" s="133"/>
      <c r="T439" s="133"/>
      <c r="U439" s="133"/>
      <c r="V439" s="133"/>
      <c r="W439" s="133"/>
      <c r="X439" s="160"/>
      <c r="Y439" s="133"/>
      <c r="Z439" s="133"/>
      <c r="AA439" s="133"/>
      <c r="AB439" s="133"/>
      <c r="AC439" s="133"/>
      <c r="AD439" s="133"/>
      <c r="AE439" s="133"/>
      <c r="AF439" s="133"/>
      <c r="AG439" s="133"/>
      <c r="AH439" s="133"/>
      <c r="AI439" s="133"/>
      <c r="AJ439" s="133"/>
      <c r="AK439" s="133"/>
      <c r="AL439" s="132"/>
      <c r="AM439" s="132"/>
      <c r="AN439" s="104"/>
      <c r="AO439" s="104"/>
      <c r="AP439" s="104"/>
    </row>
    <row r="440">
      <c r="A440" s="132"/>
      <c r="B440" s="132"/>
      <c r="C440" s="132"/>
      <c r="D440" s="132"/>
      <c r="E440" s="133"/>
      <c r="F440" s="133"/>
      <c r="G440" s="133"/>
      <c r="H440" s="133"/>
      <c r="I440" s="133"/>
      <c r="J440" s="133"/>
      <c r="K440" s="133"/>
      <c r="L440" s="133"/>
      <c r="M440" s="133"/>
      <c r="N440" s="133"/>
      <c r="O440" s="133"/>
      <c r="P440" s="133"/>
      <c r="Q440" s="133"/>
      <c r="R440" s="133"/>
      <c r="S440" s="133"/>
      <c r="T440" s="133"/>
      <c r="U440" s="133"/>
      <c r="V440" s="133"/>
      <c r="W440" s="133"/>
      <c r="X440" s="160"/>
      <c r="Y440" s="133"/>
      <c r="Z440" s="133"/>
      <c r="AA440" s="133"/>
      <c r="AB440" s="133"/>
      <c r="AC440" s="133"/>
      <c r="AD440" s="133"/>
      <c r="AE440" s="133"/>
      <c r="AF440" s="133"/>
      <c r="AG440" s="133"/>
      <c r="AH440" s="133"/>
      <c r="AI440" s="133"/>
      <c r="AJ440" s="133"/>
      <c r="AK440" s="133"/>
      <c r="AL440" s="132"/>
      <c r="AM440" s="132"/>
      <c r="AN440" s="104"/>
      <c r="AO440" s="104"/>
      <c r="AP440" s="104"/>
    </row>
    <row r="441">
      <c r="A441" s="132"/>
      <c r="B441" s="132"/>
      <c r="C441" s="132"/>
      <c r="D441" s="132"/>
      <c r="E441" s="133"/>
      <c r="F441" s="133"/>
      <c r="G441" s="133"/>
      <c r="H441" s="133"/>
      <c r="I441" s="133"/>
      <c r="J441" s="133"/>
      <c r="K441" s="133"/>
      <c r="L441" s="133"/>
      <c r="M441" s="133"/>
      <c r="N441" s="133"/>
      <c r="O441" s="133"/>
      <c r="P441" s="133"/>
      <c r="Q441" s="133"/>
      <c r="R441" s="133"/>
      <c r="S441" s="133"/>
      <c r="T441" s="133"/>
      <c r="U441" s="133"/>
      <c r="V441" s="133"/>
      <c r="W441" s="133"/>
      <c r="X441" s="160"/>
      <c r="Y441" s="133"/>
      <c r="Z441" s="133"/>
      <c r="AA441" s="133"/>
      <c r="AB441" s="133"/>
      <c r="AC441" s="133"/>
      <c r="AD441" s="133"/>
      <c r="AE441" s="133"/>
      <c r="AF441" s="133"/>
      <c r="AG441" s="133"/>
      <c r="AH441" s="133"/>
      <c r="AI441" s="133"/>
      <c r="AJ441" s="133"/>
      <c r="AK441" s="133"/>
      <c r="AL441" s="132"/>
      <c r="AM441" s="132"/>
      <c r="AN441" s="104"/>
      <c r="AO441" s="104"/>
      <c r="AP441" s="104"/>
    </row>
    <row r="442">
      <c r="A442" s="132"/>
      <c r="B442" s="132"/>
      <c r="C442" s="132"/>
      <c r="D442" s="132"/>
      <c r="E442" s="133"/>
      <c r="F442" s="133"/>
      <c r="G442" s="133"/>
      <c r="H442" s="133"/>
      <c r="I442" s="133"/>
      <c r="J442" s="133"/>
      <c r="K442" s="133"/>
      <c r="L442" s="133"/>
      <c r="M442" s="133"/>
      <c r="N442" s="133"/>
      <c r="O442" s="133"/>
      <c r="P442" s="133"/>
      <c r="Q442" s="133"/>
      <c r="R442" s="133"/>
      <c r="S442" s="133"/>
      <c r="T442" s="133"/>
      <c r="U442" s="133"/>
      <c r="V442" s="133"/>
      <c r="W442" s="133"/>
      <c r="X442" s="160"/>
      <c r="Y442" s="133"/>
      <c r="Z442" s="133"/>
      <c r="AA442" s="133"/>
      <c r="AB442" s="133"/>
      <c r="AC442" s="133"/>
      <c r="AD442" s="133"/>
      <c r="AE442" s="133"/>
      <c r="AF442" s="133"/>
      <c r="AG442" s="133"/>
      <c r="AH442" s="133"/>
      <c r="AI442" s="133"/>
      <c r="AJ442" s="133"/>
      <c r="AK442" s="133"/>
      <c r="AL442" s="132"/>
      <c r="AM442" s="132"/>
      <c r="AN442" s="104"/>
      <c r="AO442" s="104"/>
      <c r="AP442" s="104"/>
    </row>
    <row r="443">
      <c r="A443" s="132"/>
      <c r="B443" s="132"/>
      <c r="C443" s="132"/>
      <c r="D443" s="132"/>
      <c r="E443" s="133"/>
      <c r="F443" s="133"/>
      <c r="G443" s="133"/>
      <c r="H443" s="133"/>
      <c r="I443" s="133"/>
      <c r="J443" s="133"/>
      <c r="K443" s="133"/>
      <c r="L443" s="133"/>
      <c r="M443" s="133"/>
      <c r="N443" s="133"/>
      <c r="O443" s="133"/>
      <c r="P443" s="133"/>
      <c r="Q443" s="133"/>
      <c r="R443" s="133"/>
      <c r="S443" s="133"/>
      <c r="T443" s="133"/>
      <c r="U443" s="133"/>
      <c r="V443" s="133"/>
      <c r="W443" s="133"/>
      <c r="X443" s="160"/>
      <c r="Y443" s="133"/>
      <c r="Z443" s="133"/>
      <c r="AA443" s="133"/>
      <c r="AB443" s="133"/>
      <c r="AC443" s="133"/>
      <c r="AD443" s="133"/>
      <c r="AE443" s="133"/>
      <c r="AF443" s="133"/>
      <c r="AG443" s="133"/>
      <c r="AH443" s="133"/>
      <c r="AI443" s="133"/>
      <c r="AJ443" s="133"/>
      <c r="AK443" s="133"/>
      <c r="AL443" s="132"/>
      <c r="AM443" s="132"/>
      <c r="AN443" s="104"/>
      <c r="AO443" s="104"/>
      <c r="AP443" s="104"/>
    </row>
    <row r="444">
      <c r="A444" s="132"/>
      <c r="B444" s="132"/>
      <c r="C444" s="132"/>
      <c r="D444" s="132"/>
      <c r="E444" s="133"/>
      <c r="F444" s="133"/>
      <c r="G444" s="133"/>
      <c r="H444" s="133"/>
      <c r="I444" s="133"/>
      <c r="J444" s="133"/>
      <c r="K444" s="133"/>
      <c r="L444" s="133"/>
      <c r="M444" s="133"/>
      <c r="N444" s="133"/>
      <c r="O444" s="133"/>
      <c r="P444" s="133"/>
      <c r="Q444" s="133"/>
      <c r="R444" s="133"/>
      <c r="S444" s="133"/>
      <c r="T444" s="133"/>
      <c r="U444" s="133"/>
      <c r="V444" s="133"/>
      <c r="W444" s="133"/>
      <c r="X444" s="160"/>
      <c r="Y444" s="133"/>
      <c r="Z444" s="133"/>
      <c r="AA444" s="133"/>
      <c r="AB444" s="133"/>
      <c r="AC444" s="133"/>
      <c r="AD444" s="133"/>
      <c r="AE444" s="133"/>
      <c r="AF444" s="133"/>
      <c r="AG444" s="133"/>
      <c r="AH444" s="133"/>
      <c r="AI444" s="133"/>
      <c r="AJ444" s="133"/>
      <c r="AK444" s="133"/>
      <c r="AL444" s="132"/>
      <c r="AM444" s="132"/>
      <c r="AN444" s="104"/>
      <c r="AO444" s="104"/>
      <c r="AP444" s="104"/>
    </row>
    <row r="445">
      <c r="A445" s="132"/>
      <c r="B445" s="132"/>
      <c r="C445" s="132"/>
      <c r="D445" s="132"/>
      <c r="E445" s="133"/>
      <c r="F445" s="133"/>
      <c r="G445" s="133"/>
      <c r="H445" s="133"/>
      <c r="I445" s="133"/>
      <c r="J445" s="133"/>
      <c r="K445" s="133"/>
      <c r="L445" s="133"/>
      <c r="M445" s="133"/>
      <c r="N445" s="133"/>
      <c r="O445" s="133"/>
      <c r="P445" s="133"/>
      <c r="Q445" s="133"/>
      <c r="R445" s="133"/>
      <c r="S445" s="133"/>
      <c r="T445" s="133"/>
      <c r="U445" s="133"/>
      <c r="V445" s="133"/>
      <c r="W445" s="133"/>
      <c r="X445" s="160"/>
      <c r="Y445" s="133"/>
      <c r="Z445" s="133"/>
      <c r="AA445" s="133"/>
      <c r="AB445" s="133"/>
      <c r="AC445" s="133"/>
      <c r="AD445" s="133"/>
      <c r="AE445" s="133"/>
      <c r="AF445" s="133"/>
      <c r="AG445" s="133"/>
      <c r="AH445" s="133"/>
      <c r="AI445" s="133"/>
      <c r="AJ445" s="133"/>
      <c r="AK445" s="133"/>
      <c r="AL445" s="132"/>
      <c r="AM445" s="132"/>
      <c r="AN445" s="104"/>
      <c r="AO445" s="104"/>
      <c r="AP445" s="104"/>
    </row>
    <row r="446">
      <c r="A446" s="132"/>
      <c r="B446" s="132"/>
      <c r="C446" s="132"/>
      <c r="D446" s="132"/>
      <c r="E446" s="133"/>
      <c r="F446" s="133"/>
      <c r="G446" s="133"/>
      <c r="H446" s="133"/>
      <c r="I446" s="133"/>
      <c r="J446" s="133"/>
      <c r="K446" s="133"/>
      <c r="L446" s="133"/>
      <c r="M446" s="133"/>
      <c r="N446" s="133"/>
      <c r="O446" s="133"/>
      <c r="P446" s="133"/>
      <c r="Q446" s="133"/>
      <c r="R446" s="133"/>
      <c r="S446" s="133"/>
      <c r="T446" s="133"/>
      <c r="U446" s="133"/>
      <c r="V446" s="133"/>
      <c r="W446" s="133"/>
      <c r="X446" s="160"/>
      <c r="Y446" s="133"/>
      <c r="Z446" s="133"/>
      <c r="AA446" s="133"/>
      <c r="AB446" s="133"/>
      <c r="AC446" s="133"/>
      <c r="AD446" s="133"/>
      <c r="AE446" s="133"/>
      <c r="AF446" s="133"/>
      <c r="AG446" s="133"/>
      <c r="AH446" s="133"/>
      <c r="AI446" s="133"/>
      <c r="AJ446" s="133"/>
      <c r="AK446" s="133"/>
      <c r="AL446" s="132"/>
      <c r="AM446" s="132"/>
      <c r="AN446" s="104"/>
      <c r="AO446" s="104"/>
      <c r="AP446" s="104"/>
    </row>
    <row r="447">
      <c r="A447" s="132"/>
      <c r="B447" s="132"/>
      <c r="C447" s="132"/>
      <c r="D447" s="132"/>
      <c r="E447" s="133"/>
      <c r="F447" s="133"/>
      <c r="G447" s="133"/>
      <c r="H447" s="133"/>
      <c r="I447" s="133"/>
      <c r="J447" s="133"/>
      <c r="K447" s="133"/>
      <c r="L447" s="133"/>
      <c r="M447" s="133"/>
      <c r="N447" s="133"/>
      <c r="O447" s="133"/>
      <c r="P447" s="133"/>
      <c r="Q447" s="133"/>
      <c r="R447" s="133"/>
      <c r="S447" s="133"/>
      <c r="T447" s="133"/>
      <c r="U447" s="133"/>
      <c r="V447" s="133"/>
      <c r="W447" s="133"/>
      <c r="X447" s="160"/>
      <c r="Y447" s="133"/>
      <c r="Z447" s="133"/>
      <c r="AA447" s="133"/>
      <c r="AB447" s="133"/>
      <c r="AC447" s="133"/>
      <c r="AD447" s="133"/>
      <c r="AE447" s="133"/>
      <c r="AF447" s="133"/>
      <c r="AG447" s="133"/>
      <c r="AH447" s="133"/>
      <c r="AI447" s="133"/>
      <c r="AJ447" s="133"/>
      <c r="AK447" s="133"/>
      <c r="AL447" s="132"/>
      <c r="AM447" s="132"/>
      <c r="AN447" s="104"/>
      <c r="AO447" s="104"/>
      <c r="AP447" s="104"/>
    </row>
    <row r="448">
      <c r="A448" s="132"/>
      <c r="B448" s="132"/>
      <c r="C448" s="132"/>
      <c r="D448" s="132"/>
      <c r="E448" s="133"/>
      <c r="F448" s="133"/>
      <c r="G448" s="133"/>
      <c r="H448" s="133"/>
      <c r="I448" s="133"/>
      <c r="J448" s="133"/>
      <c r="K448" s="133"/>
      <c r="L448" s="133"/>
      <c r="M448" s="133"/>
      <c r="N448" s="133"/>
      <c r="O448" s="133"/>
      <c r="P448" s="133"/>
      <c r="Q448" s="133"/>
      <c r="R448" s="133"/>
      <c r="S448" s="133"/>
      <c r="T448" s="133"/>
      <c r="U448" s="133"/>
      <c r="V448" s="133"/>
      <c r="W448" s="133"/>
      <c r="X448" s="160"/>
      <c r="Y448" s="133"/>
      <c r="Z448" s="133"/>
      <c r="AA448" s="133"/>
      <c r="AB448" s="133"/>
      <c r="AC448" s="133"/>
      <c r="AD448" s="133"/>
      <c r="AE448" s="133"/>
      <c r="AF448" s="133"/>
      <c r="AG448" s="133"/>
      <c r="AH448" s="133"/>
      <c r="AI448" s="133"/>
      <c r="AJ448" s="133"/>
      <c r="AK448" s="133"/>
      <c r="AL448" s="132"/>
      <c r="AM448" s="132"/>
      <c r="AN448" s="104"/>
      <c r="AO448" s="104"/>
      <c r="AP448" s="104"/>
    </row>
    <row r="449">
      <c r="A449" s="132"/>
      <c r="B449" s="132"/>
      <c r="C449" s="132"/>
      <c r="D449" s="132"/>
      <c r="E449" s="133"/>
      <c r="F449" s="133"/>
      <c r="G449" s="133"/>
      <c r="H449" s="133"/>
      <c r="I449" s="133"/>
      <c r="J449" s="133"/>
      <c r="K449" s="133"/>
      <c r="L449" s="133"/>
      <c r="M449" s="133"/>
      <c r="N449" s="133"/>
      <c r="O449" s="133"/>
      <c r="P449" s="133"/>
      <c r="Q449" s="133"/>
      <c r="R449" s="133"/>
      <c r="S449" s="133"/>
      <c r="T449" s="133"/>
      <c r="U449" s="133"/>
      <c r="V449" s="133"/>
      <c r="W449" s="133"/>
      <c r="X449" s="160"/>
      <c r="Y449" s="133"/>
      <c r="Z449" s="133"/>
      <c r="AA449" s="133"/>
      <c r="AB449" s="133"/>
      <c r="AC449" s="133"/>
      <c r="AD449" s="133"/>
      <c r="AE449" s="133"/>
      <c r="AF449" s="133"/>
      <c r="AG449" s="133"/>
      <c r="AH449" s="133"/>
      <c r="AI449" s="133"/>
      <c r="AJ449" s="133"/>
      <c r="AK449" s="133"/>
      <c r="AL449" s="132"/>
      <c r="AM449" s="132"/>
      <c r="AN449" s="104"/>
      <c r="AO449" s="104"/>
      <c r="AP449" s="104"/>
    </row>
    <row r="450">
      <c r="A450" s="132"/>
      <c r="B450" s="132"/>
      <c r="C450" s="132"/>
      <c r="D450" s="132"/>
      <c r="E450" s="133"/>
      <c r="F450" s="133"/>
      <c r="G450" s="133"/>
      <c r="H450" s="133"/>
      <c r="I450" s="133"/>
      <c r="J450" s="133"/>
      <c r="K450" s="133"/>
      <c r="L450" s="133"/>
      <c r="M450" s="133"/>
      <c r="N450" s="133"/>
      <c r="O450" s="133"/>
      <c r="P450" s="133"/>
      <c r="Q450" s="133"/>
      <c r="R450" s="133"/>
      <c r="S450" s="133"/>
      <c r="T450" s="133"/>
      <c r="U450" s="133"/>
      <c r="V450" s="133"/>
      <c r="W450" s="133"/>
      <c r="X450" s="160"/>
      <c r="Y450" s="133"/>
      <c r="Z450" s="133"/>
      <c r="AA450" s="133"/>
      <c r="AB450" s="133"/>
      <c r="AC450" s="133"/>
      <c r="AD450" s="133"/>
      <c r="AE450" s="133"/>
      <c r="AF450" s="133"/>
      <c r="AG450" s="133"/>
      <c r="AH450" s="133"/>
      <c r="AI450" s="133"/>
      <c r="AJ450" s="133"/>
      <c r="AK450" s="133"/>
      <c r="AL450" s="132"/>
      <c r="AM450" s="132"/>
      <c r="AN450" s="104"/>
      <c r="AO450" s="104"/>
      <c r="AP450" s="104"/>
    </row>
    <row r="451">
      <c r="A451" s="132"/>
      <c r="B451" s="132"/>
      <c r="C451" s="132"/>
      <c r="D451" s="132"/>
      <c r="E451" s="133"/>
      <c r="F451" s="133"/>
      <c r="G451" s="133"/>
      <c r="H451" s="133"/>
      <c r="I451" s="133"/>
      <c r="J451" s="133"/>
      <c r="K451" s="133"/>
      <c r="L451" s="133"/>
      <c r="M451" s="133"/>
      <c r="N451" s="133"/>
      <c r="O451" s="133"/>
      <c r="P451" s="133"/>
      <c r="Q451" s="133"/>
      <c r="R451" s="133"/>
      <c r="S451" s="133"/>
      <c r="T451" s="133"/>
      <c r="U451" s="133"/>
      <c r="V451" s="133"/>
      <c r="W451" s="133"/>
      <c r="X451" s="160"/>
      <c r="Y451" s="133"/>
      <c r="Z451" s="133"/>
      <c r="AA451" s="133"/>
      <c r="AB451" s="133"/>
      <c r="AC451" s="133"/>
      <c r="AD451" s="133"/>
      <c r="AE451" s="133"/>
      <c r="AF451" s="133"/>
      <c r="AG451" s="133"/>
      <c r="AH451" s="133"/>
      <c r="AI451" s="133"/>
      <c r="AJ451" s="133"/>
      <c r="AK451" s="133"/>
      <c r="AL451" s="132"/>
      <c r="AM451" s="132"/>
      <c r="AN451" s="104"/>
      <c r="AO451" s="104"/>
      <c r="AP451" s="104"/>
    </row>
    <row r="452">
      <c r="A452" s="132"/>
      <c r="B452" s="132"/>
      <c r="C452" s="132"/>
      <c r="D452" s="132"/>
      <c r="E452" s="133"/>
      <c r="F452" s="133"/>
      <c r="G452" s="133"/>
      <c r="H452" s="133"/>
      <c r="I452" s="133"/>
      <c r="J452" s="133"/>
      <c r="K452" s="133"/>
      <c r="L452" s="133"/>
      <c r="M452" s="133"/>
      <c r="N452" s="133"/>
      <c r="O452" s="133"/>
      <c r="P452" s="133"/>
      <c r="Q452" s="133"/>
      <c r="R452" s="133"/>
      <c r="S452" s="133"/>
      <c r="T452" s="133"/>
      <c r="U452" s="133"/>
      <c r="V452" s="133"/>
      <c r="W452" s="133"/>
      <c r="X452" s="160"/>
      <c r="Y452" s="133"/>
      <c r="Z452" s="133"/>
      <c r="AA452" s="133"/>
      <c r="AB452" s="133"/>
      <c r="AC452" s="133"/>
      <c r="AD452" s="133"/>
      <c r="AE452" s="133"/>
      <c r="AF452" s="133"/>
      <c r="AG452" s="133"/>
      <c r="AH452" s="133"/>
      <c r="AI452" s="133"/>
      <c r="AJ452" s="133"/>
      <c r="AK452" s="133"/>
      <c r="AL452" s="132"/>
      <c r="AM452" s="132"/>
      <c r="AN452" s="104"/>
      <c r="AO452" s="104"/>
      <c r="AP452" s="104"/>
    </row>
    <row r="453">
      <c r="A453" s="132"/>
      <c r="B453" s="132"/>
      <c r="C453" s="132"/>
      <c r="D453" s="132"/>
      <c r="E453" s="133"/>
      <c r="F453" s="133"/>
      <c r="G453" s="133"/>
      <c r="H453" s="133"/>
      <c r="I453" s="133"/>
      <c r="J453" s="133"/>
      <c r="K453" s="133"/>
      <c r="L453" s="133"/>
      <c r="M453" s="133"/>
      <c r="N453" s="133"/>
      <c r="O453" s="133"/>
      <c r="P453" s="133"/>
      <c r="Q453" s="133"/>
      <c r="R453" s="133"/>
      <c r="S453" s="133"/>
      <c r="T453" s="133"/>
      <c r="U453" s="133"/>
      <c r="V453" s="133"/>
      <c r="W453" s="133"/>
      <c r="X453" s="160"/>
      <c r="Y453" s="133"/>
      <c r="Z453" s="133"/>
      <c r="AA453" s="133"/>
      <c r="AB453" s="133"/>
      <c r="AC453" s="133"/>
      <c r="AD453" s="133"/>
      <c r="AE453" s="133"/>
      <c r="AF453" s="133"/>
      <c r="AG453" s="133"/>
      <c r="AH453" s="133"/>
      <c r="AI453" s="133"/>
      <c r="AJ453" s="133"/>
      <c r="AK453" s="133"/>
      <c r="AL453" s="132"/>
      <c r="AM453" s="132"/>
      <c r="AN453" s="104"/>
      <c r="AO453" s="104"/>
      <c r="AP453" s="104"/>
    </row>
    <row r="454">
      <c r="A454" s="132"/>
      <c r="B454" s="132"/>
      <c r="C454" s="132"/>
      <c r="D454" s="132"/>
      <c r="E454" s="133"/>
      <c r="F454" s="133"/>
      <c r="G454" s="133"/>
      <c r="H454" s="133"/>
      <c r="I454" s="133"/>
      <c r="J454" s="133"/>
      <c r="K454" s="133"/>
      <c r="L454" s="133"/>
      <c r="M454" s="133"/>
      <c r="N454" s="133"/>
      <c r="O454" s="133"/>
      <c r="P454" s="133"/>
      <c r="Q454" s="133"/>
      <c r="R454" s="133"/>
      <c r="S454" s="133"/>
      <c r="T454" s="133"/>
      <c r="U454" s="133"/>
      <c r="V454" s="133"/>
      <c r="W454" s="133"/>
      <c r="X454" s="160"/>
      <c r="Y454" s="133"/>
      <c r="Z454" s="133"/>
      <c r="AA454" s="133"/>
      <c r="AB454" s="133"/>
      <c r="AC454" s="133"/>
      <c r="AD454" s="133"/>
      <c r="AE454" s="133"/>
      <c r="AF454" s="133"/>
      <c r="AG454" s="133"/>
      <c r="AH454" s="133"/>
      <c r="AI454" s="133"/>
      <c r="AJ454" s="133"/>
      <c r="AK454" s="133"/>
      <c r="AL454" s="132"/>
      <c r="AM454" s="132"/>
      <c r="AN454" s="104"/>
      <c r="AO454" s="104"/>
      <c r="AP454" s="104"/>
    </row>
    <row r="455">
      <c r="A455" s="132"/>
      <c r="B455" s="132"/>
      <c r="C455" s="132"/>
      <c r="D455" s="132"/>
      <c r="E455" s="133"/>
      <c r="F455" s="133"/>
      <c r="G455" s="133"/>
      <c r="H455" s="133"/>
      <c r="I455" s="133"/>
      <c r="J455" s="133"/>
      <c r="K455" s="133"/>
      <c r="L455" s="133"/>
      <c r="M455" s="133"/>
      <c r="N455" s="133"/>
      <c r="O455" s="133"/>
      <c r="P455" s="133"/>
      <c r="Q455" s="133"/>
      <c r="R455" s="133"/>
      <c r="S455" s="133"/>
      <c r="T455" s="133"/>
      <c r="U455" s="133"/>
      <c r="V455" s="133"/>
      <c r="W455" s="133"/>
      <c r="X455" s="160"/>
      <c r="Y455" s="133"/>
      <c r="Z455" s="133"/>
      <c r="AA455" s="133"/>
      <c r="AB455" s="133"/>
      <c r="AC455" s="133"/>
      <c r="AD455" s="133"/>
      <c r="AE455" s="133"/>
      <c r="AF455" s="133"/>
      <c r="AG455" s="133"/>
      <c r="AH455" s="133"/>
      <c r="AI455" s="133"/>
      <c r="AJ455" s="133"/>
      <c r="AK455" s="133"/>
      <c r="AL455" s="132"/>
      <c r="AM455" s="132"/>
      <c r="AN455" s="104"/>
      <c r="AO455" s="104"/>
      <c r="AP455" s="104"/>
    </row>
    <row r="456">
      <c r="A456" s="132"/>
      <c r="B456" s="132"/>
      <c r="C456" s="132"/>
      <c r="D456" s="132"/>
      <c r="E456" s="133"/>
      <c r="F456" s="133"/>
      <c r="G456" s="133"/>
      <c r="H456" s="133"/>
      <c r="I456" s="133"/>
      <c r="J456" s="133"/>
      <c r="K456" s="133"/>
      <c r="L456" s="133"/>
      <c r="M456" s="133"/>
      <c r="N456" s="133"/>
      <c r="O456" s="133"/>
      <c r="P456" s="133"/>
      <c r="Q456" s="133"/>
      <c r="R456" s="133"/>
      <c r="S456" s="133"/>
      <c r="T456" s="133"/>
      <c r="U456" s="133"/>
      <c r="V456" s="133"/>
      <c r="W456" s="133"/>
      <c r="X456" s="160"/>
      <c r="Y456" s="133"/>
      <c r="Z456" s="133"/>
      <c r="AA456" s="133"/>
      <c r="AB456" s="133"/>
      <c r="AC456" s="133"/>
      <c r="AD456" s="133"/>
      <c r="AE456" s="133"/>
      <c r="AF456" s="133"/>
      <c r="AG456" s="133"/>
      <c r="AH456" s="133"/>
      <c r="AI456" s="133"/>
      <c r="AJ456" s="133"/>
      <c r="AK456" s="133"/>
      <c r="AL456" s="132"/>
      <c r="AM456" s="132"/>
      <c r="AN456" s="104"/>
      <c r="AO456" s="104"/>
      <c r="AP456" s="104"/>
    </row>
    <row r="457">
      <c r="A457" s="132"/>
      <c r="B457" s="132"/>
      <c r="C457" s="132"/>
      <c r="D457" s="132"/>
      <c r="E457" s="133"/>
      <c r="F457" s="133"/>
      <c r="G457" s="133"/>
      <c r="H457" s="133"/>
      <c r="I457" s="133"/>
      <c r="J457" s="133"/>
      <c r="K457" s="133"/>
      <c r="L457" s="133"/>
      <c r="M457" s="133"/>
      <c r="N457" s="133"/>
      <c r="O457" s="133"/>
      <c r="P457" s="133"/>
      <c r="Q457" s="133"/>
      <c r="R457" s="133"/>
      <c r="S457" s="133"/>
      <c r="T457" s="133"/>
      <c r="U457" s="133"/>
      <c r="V457" s="133"/>
      <c r="W457" s="133"/>
      <c r="X457" s="160"/>
      <c r="Y457" s="133"/>
      <c r="Z457" s="133"/>
      <c r="AA457" s="133"/>
      <c r="AB457" s="133"/>
      <c r="AC457" s="133"/>
      <c r="AD457" s="133"/>
      <c r="AE457" s="133"/>
      <c r="AF457" s="133"/>
      <c r="AG457" s="133"/>
      <c r="AH457" s="133"/>
      <c r="AI457" s="133"/>
      <c r="AJ457" s="133"/>
      <c r="AK457" s="133"/>
      <c r="AL457" s="132"/>
      <c r="AM457" s="132"/>
      <c r="AN457" s="104"/>
      <c r="AO457" s="104"/>
      <c r="AP457" s="104"/>
    </row>
    <row r="458">
      <c r="A458" s="132"/>
      <c r="B458" s="132"/>
      <c r="C458" s="132"/>
      <c r="D458" s="132"/>
      <c r="E458" s="133"/>
      <c r="F458" s="133"/>
      <c r="G458" s="133"/>
      <c r="H458" s="133"/>
      <c r="I458" s="133"/>
      <c r="J458" s="133"/>
      <c r="K458" s="133"/>
      <c r="L458" s="133"/>
      <c r="M458" s="133"/>
      <c r="N458" s="133"/>
      <c r="O458" s="133"/>
      <c r="P458" s="133"/>
      <c r="Q458" s="133"/>
      <c r="R458" s="133"/>
      <c r="S458" s="133"/>
      <c r="T458" s="133"/>
      <c r="U458" s="133"/>
      <c r="V458" s="133"/>
      <c r="W458" s="133"/>
      <c r="X458" s="160"/>
      <c r="Y458" s="133"/>
      <c r="Z458" s="133"/>
      <c r="AA458" s="133"/>
      <c r="AB458" s="133"/>
      <c r="AC458" s="133"/>
      <c r="AD458" s="133"/>
      <c r="AE458" s="133"/>
      <c r="AF458" s="133"/>
      <c r="AG458" s="133"/>
      <c r="AH458" s="133"/>
      <c r="AI458" s="133"/>
      <c r="AJ458" s="133"/>
      <c r="AK458" s="133"/>
      <c r="AL458" s="132"/>
      <c r="AM458" s="132"/>
      <c r="AN458" s="104"/>
      <c r="AO458" s="104"/>
      <c r="AP458" s="104"/>
    </row>
    <row r="459">
      <c r="A459" s="132"/>
      <c r="B459" s="132"/>
      <c r="C459" s="132"/>
      <c r="D459" s="132"/>
      <c r="E459" s="133"/>
      <c r="F459" s="133"/>
      <c r="G459" s="133"/>
      <c r="H459" s="133"/>
      <c r="I459" s="133"/>
      <c r="J459" s="133"/>
      <c r="K459" s="133"/>
      <c r="L459" s="133"/>
      <c r="M459" s="133"/>
      <c r="N459" s="133"/>
      <c r="O459" s="133"/>
      <c r="P459" s="133"/>
      <c r="Q459" s="133"/>
      <c r="R459" s="133"/>
      <c r="S459" s="133"/>
      <c r="T459" s="133"/>
      <c r="U459" s="133"/>
      <c r="V459" s="133"/>
      <c r="W459" s="133"/>
      <c r="X459" s="160"/>
      <c r="Y459" s="133"/>
      <c r="Z459" s="133"/>
      <c r="AA459" s="133"/>
      <c r="AB459" s="133"/>
      <c r="AC459" s="133"/>
      <c r="AD459" s="133"/>
      <c r="AE459" s="133"/>
      <c r="AF459" s="133"/>
      <c r="AG459" s="133"/>
      <c r="AH459" s="133"/>
      <c r="AI459" s="133"/>
      <c r="AJ459" s="133"/>
      <c r="AK459" s="133"/>
      <c r="AL459" s="132"/>
      <c r="AM459" s="132"/>
      <c r="AN459" s="104"/>
      <c r="AO459" s="104"/>
      <c r="AP459" s="104"/>
    </row>
    <row r="460">
      <c r="A460" s="132"/>
      <c r="B460" s="132"/>
      <c r="C460" s="132"/>
      <c r="D460" s="132"/>
      <c r="E460" s="133"/>
      <c r="F460" s="133"/>
      <c r="G460" s="133"/>
      <c r="H460" s="133"/>
      <c r="I460" s="133"/>
      <c r="J460" s="133"/>
      <c r="K460" s="133"/>
      <c r="L460" s="133"/>
      <c r="M460" s="133"/>
      <c r="N460" s="133"/>
      <c r="O460" s="133"/>
      <c r="P460" s="133"/>
      <c r="Q460" s="133"/>
      <c r="R460" s="133"/>
      <c r="S460" s="133"/>
      <c r="T460" s="133"/>
      <c r="U460" s="133"/>
      <c r="V460" s="133"/>
      <c r="W460" s="133"/>
      <c r="X460" s="160"/>
      <c r="Y460" s="133"/>
      <c r="Z460" s="133"/>
      <c r="AA460" s="133"/>
      <c r="AB460" s="133"/>
      <c r="AC460" s="133"/>
      <c r="AD460" s="133"/>
      <c r="AE460" s="133"/>
      <c r="AF460" s="133"/>
      <c r="AG460" s="133"/>
      <c r="AH460" s="133"/>
      <c r="AI460" s="133"/>
      <c r="AJ460" s="133"/>
      <c r="AK460" s="133"/>
      <c r="AL460" s="132"/>
      <c r="AM460" s="132"/>
      <c r="AN460" s="104"/>
      <c r="AO460" s="104"/>
      <c r="AP460" s="104"/>
    </row>
    <row r="461">
      <c r="A461" s="132"/>
      <c r="B461" s="132"/>
      <c r="C461" s="132"/>
      <c r="D461" s="132"/>
      <c r="E461" s="133"/>
      <c r="F461" s="133"/>
      <c r="G461" s="133"/>
      <c r="H461" s="133"/>
      <c r="I461" s="133"/>
      <c r="J461" s="133"/>
      <c r="K461" s="133"/>
      <c r="L461" s="133"/>
      <c r="M461" s="133"/>
      <c r="N461" s="133"/>
      <c r="O461" s="133"/>
      <c r="P461" s="133"/>
      <c r="Q461" s="133"/>
      <c r="R461" s="133"/>
      <c r="S461" s="133"/>
      <c r="T461" s="133"/>
      <c r="U461" s="133"/>
      <c r="V461" s="133"/>
      <c r="W461" s="133"/>
      <c r="X461" s="160"/>
      <c r="Y461" s="133"/>
      <c r="Z461" s="133"/>
      <c r="AA461" s="133"/>
      <c r="AB461" s="133"/>
      <c r="AC461" s="133"/>
      <c r="AD461" s="133"/>
      <c r="AE461" s="133"/>
      <c r="AF461" s="133"/>
      <c r="AG461" s="133"/>
      <c r="AH461" s="133"/>
      <c r="AI461" s="133"/>
      <c r="AJ461" s="133"/>
      <c r="AK461" s="133"/>
      <c r="AL461" s="132"/>
      <c r="AM461" s="132"/>
      <c r="AN461" s="104"/>
      <c r="AO461" s="104"/>
      <c r="AP461" s="104"/>
    </row>
    <row r="462">
      <c r="A462" s="132"/>
      <c r="B462" s="132"/>
      <c r="C462" s="132"/>
      <c r="D462" s="132"/>
      <c r="E462" s="133"/>
      <c r="F462" s="133"/>
      <c r="G462" s="133"/>
      <c r="H462" s="133"/>
      <c r="I462" s="133"/>
      <c r="J462" s="133"/>
      <c r="K462" s="133"/>
      <c r="L462" s="133"/>
      <c r="M462" s="133"/>
      <c r="N462" s="133"/>
      <c r="O462" s="133"/>
      <c r="P462" s="133"/>
      <c r="Q462" s="133"/>
      <c r="R462" s="133"/>
      <c r="S462" s="133"/>
      <c r="T462" s="133"/>
      <c r="U462" s="133"/>
      <c r="V462" s="133"/>
      <c r="W462" s="133"/>
      <c r="X462" s="160"/>
      <c r="Y462" s="133"/>
      <c r="Z462" s="133"/>
      <c r="AA462" s="133"/>
      <c r="AB462" s="133"/>
      <c r="AC462" s="133"/>
      <c r="AD462" s="133"/>
      <c r="AE462" s="133"/>
      <c r="AF462" s="133"/>
      <c r="AG462" s="133"/>
      <c r="AH462" s="133"/>
      <c r="AI462" s="133"/>
      <c r="AJ462" s="133"/>
      <c r="AK462" s="133"/>
      <c r="AL462" s="132"/>
      <c r="AM462" s="132"/>
      <c r="AN462" s="104"/>
      <c r="AO462" s="104"/>
      <c r="AP462" s="104"/>
    </row>
    <row r="463">
      <c r="A463" s="132"/>
      <c r="B463" s="132"/>
      <c r="C463" s="132"/>
      <c r="D463" s="132"/>
      <c r="E463" s="133"/>
      <c r="F463" s="133"/>
      <c r="G463" s="133"/>
      <c r="H463" s="133"/>
      <c r="I463" s="133"/>
      <c r="J463" s="133"/>
      <c r="K463" s="133"/>
      <c r="L463" s="133"/>
      <c r="M463" s="133"/>
      <c r="N463" s="133"/>
      <c r="O463" s="133"/>
      <c r="P463" s="133"/>
      <c r="Q463" s="133"/>
      <c r="R463" s="133"/>
      <c r="S463" s="133"/>
      <c r="T463" s="133"/>
      <c r="U463" s="133"/>
      <c r="V463" s="133"/>
      <c r="W463" s="133"/>
      <c r="X463" s="160"/>
      <c r="Y463" s="133"/>
      <c r="Z463" s="133"/>
      <c r="AA463" s="133"/>
      <c r="AB463" s="133"/>
      <c r="AC463" s="133"/>
      <c r="AD463" s="133"/>
      <c r="AE463" s="133"/>
      <c r="AF463" s="133"/>
      <c r="AG463" s="133"/>
      <c r="AH463" s="133"/>
      <c r="AI463" s="133"/>
      <c r="AJ463" s="133"/>
      <c r="AK463" s="133"/>
      <c r="AL463" s="132"/>
      <c r="AM463" s="132"/>
      <c r="AN463" s="104"/>
      <c r="AO463" s="104"/>
      <c r="AP463" s="104"/>
    </row>
    <row r="464">
      <c r="A464" s="132"/>
      <c r="B464" s="132"/>
      <c r="C464" s="132"/>
      <c r="D464" s="132"/>
      <c r="E464" s="133"/>
      <c r="F464" s="133"/>
      <c r="G464" s="133"/>
      <c r="H464" s="133"/>
      <c r="I464" s="133"/>
      <c r="J464" s="133"/>
      <c r="K464" s="133"/>
      <c r="L464" s="133"/>
      <c r="M464" s="133"/>
      <c r="N464" s="133"/>
      <c r="O464" s="133"/>
      <c r="P464" s="133"/>
      <c r="Q464" s="133"/>
      <c r="R464" s="133"/>
      <c r="S464" s="133"/>
      <c r="T464" s="133"/>
      <c r="U464" s="133"/>
      <c r="V464" s="133"/>
      <c r="W464" s="133"/>
      <c r="X464" s="160"/>
      <c r="Y464" s="133"/>
      <c r="Z464" s="133"/>
      <c r="AA464" s="133"/>
      <c r="AB464" s="133"/>
      <c r="AC464" s="133"/>
      <c r="AD464" s="133"/>
      <c r="AE464" s="133"/>
      <c r="AF464" s="133"/>
      <c r="AG464" s="133"/>
      <c r="AH464" s="133"/>
      <c r="AI464" s="133"/>
      <c r="AJ464" s="133"/>
      <c r="AK464" s="133"/>
      <c r="AL464" s="132"/>
      <c r="AM464" s="132"/>
      <c r="AN464" s="104"/>
      <c r="AO464" s="104"/>
      <c r="AP464" s="104"/>
    </row>
    <row r="465">
      <c r="A465" s="132"/>
      <c r="B465" s="132"/>
      <c r="C465" s="132"/>
      <c r="D465" s="132"/>
      <c r="E465" s="133"/>
      <c r="F465" s="133"/>
      <c r="G465" s="133"/>
      <c r="H465" s="133"/>
      <c r="I465" s="133"/>
      <c r="J465" s="133"/>
      <c r="K465" s="133"/>
      <c r="L465" s="133"/>
      <c r="M465" s="133"/>
      <c r="N465" s="133"/>
      <c r="O465" s="133"/>
      <c r="P465" s="133"/>
      <c r="Q465" s="133"/>
      <c r="R465" s="133"/>
      <c r="S465" s="133"/>
      <c r="T465" s="133"/>
      <c r="U465" s="133"/>
      <c r="V465" s="133"/>
      <c r="W465" s="133"/>
      <c r="X465" s="160"/>
      <c r="Y465" s="133"/>
      <c r="Z465" s="133"/>
      <c r="AA465" s="133"/>
      <c r="AB465" s="133"/>
      <c r="AC465" s="133"/>
      <c r="AD465" s="133"/>
      <c r="AE465" s="133"/>
      <c r="AF465" s="133"/>
      <c r="AG465" s="133"/>
      <c r="AH465" s="133"/>
      <c r="AI465" s="133"/>
      <c r="AJ465" s="133"/>
      <c r="AK465" s="133"/>
      <c r="AL465" s="132"/>
      <c r="AM465" s="132"/>
      <c r="AN465" s="104"/>
      <c r="AO465" s="104"/>
      <c r="AP465" s="104"/>
    </row>
    <row r="466">
      <c r="A466" s="132"/>
      <c r="B466" s="132"/>
      <c r="C466" s="132"/>
      <c r="D466" s="132"/>
      <c r="E466" s="133"/>
      <c r="F466" s="133"/>
      <c r="G466" s="133"/>
      <c r="H466" s="133"/>
      <c r="I466" s="133"/>
      <c r="J466" s="133"/>
      <c r="K466" s="133"/>
      <c r="L466" s="133"/>
      <c r="M466" s="133"/>
      <c r="N466" s="133"/>
      <c r="O466" s="133"/>
      <c r="P466" s="133"/>
      <c r="Q466" s="133"/>
      <c r="R466" s="133"/>
      <c r="S466" s="133"/>
      <c r="T466" s="133"/>
      <c r="U466" s="133"/>
      <c r="V466" s="133"/>
      <c r="W466" s="133"/>
      <c r="X466" s="160"/>
      <c r="Y466" s="133"/>
      <c r="Z466" s="133"/>
      <c r="AA466" s="133"/>
      <c r="AB466" s="133"/>
      <c r="AC466" s="133"/>
      <c r="AD466" s="133"/>
      <c r="AE466" s="133"/>
      <c r="AF466" s="133"/>
      <c r="AG466" s="133"/>
      <c r="AH466" s="133"/>
      <c r="AI466" s="133"/>
      <c r="AJ466" s="133"/>
      <c r="AK466" s="133"/>
      <c r="AL466" s="132"/>
      <c r="AM466" s="132"/>
      <c r="AN466" s="104"/>
      <c r="AO466" s="104"/>
      <c r="AP466" s="104"/>
    </row>
    <row r="467">
      <c r="A467" s="132"/>
      <c r="B467" s="132"/>
      <c r="C467" s="132"/>
      <c r="D467" s="132"/>
      <c r="E467" s="133"/>
      <c r="F467" s="133"/>
      <c r="G467" s="133"/>
      <c r="H467" s="133"/>
      <c r="I467" s="133"/>
      <c r="J467" s="133"/>
      <c r="K467" s="133"/>
      <c r="L467" s="133"/>
      <c r="M467" s="133"/>
      <c r="N467" s="133"/>
      <c r="O467" s="133"/>
      <c r="P467" s="133"/>
      <c r="Q467" s="133"/>
      <c r="R467" s="133"/>
      <c r="S467" s="133"/>
      <c r="T467" s="133"/>
      <c r="U467" s="133"/>
      <c r="V467" s="133"/>
      <c r="W467" s="133"/>
      <c r="X467" s="160"/>
      <c r="Y467" s="133"/>
      <c r="Z467" s="133"/>
      <c r="AA467" s="133"/>
      <c r="AB467" s="133"/>
      <c r="AC467" s="133"/>
      <c r="AD467" s="133"/>
      <c r="AE467" s="133"/>
      <c r="AF467" s="133"/>
      <c r="AG467" s="133"/>
      <c r="AH467" s="133"/>
      <c r="AI467" s="133"/>
      <c r="AJ467" s="133"/>
      <c r="AK467" s="133"/>
      <c r="AL467" s="132"/>
      <c r="AM467" s="132"/>
      <c r="AN467" s="104"/>
      <c r="AO467" s="104"/>
      <c r="AP467" s="104"/>
    </row>
    <row r="468">
      <c r="A468" s="132"/>
      <c r="B468" s="132"/>
      <c r="C468" s="132"/>
      <c r="D468" s="132"/>
      <c r="E468" s="133"/>
      <c r="F468" s="133"/>
      <c r="G468" s="133"/>
      <c r="H468" s="133"/>
      <c r="I468" s="133"/>
      <c r="J468" s="133"/>
      <c r="K468" s="133"/>
      <c r="L468" s="133"/>
      <c r="M468" s="133"/>
      <c r="N468" s="133"/>
      <c r="O468" s="133"/>
      <c r="P468" s="133"/>
      <c r="Q468" s="133"/>
      <c r="R468" s="133"/>
      <c r="S468" s="133"/>
      <c r="T468" s="133"/>
      <c r="U468" s="133"/>
      <c r="V468" s="133"/>
      <c r="W468" s="133"/>
      <c r="X468" s="160"/>
      <c r="Y468" s="133"/>
      <c r="Z468" s="133"/>
      <c r="AA468" s="133"/>
      <c r="AB468" s="133"/>
      <c r="AC468" s="133"/>
      <c r="AD468" s="133"/>
      <c r="AE468" s="133"/>
      <c r="AF468" s="133"/>
      <c r="AG468" s="133"/>
      <c r="AH468" s="133"/>
      <c r="AI468" s="133"/>
      <c r="AJ468" s="133"/>
      <c r="AK468" s="133"/>
      <c r="AL468" s="132"/>
      <c r="AM468" s="132"/>
      <c r="AN468" s="104"/>
      <c r="AO468" s="104"/>
      <c r="AP468" s="104"/>
    </row>
    <row r="469">
      <c r="A469" s="132"/>
      <c r="B469" s="132"/>
      <c r="C469" s="132"/>
      <c r="D469" s="132"/>
      <c r="E469" s="133"/>
      <c r="F469" s="133"/>
      <c r="G469" s="133"/>
      <c r="H469" s="133"/>
      <c r="I469" s="133"/>
      <c r="J469" s="133"/>
      <c r="K469" s="133"/>
      <c r="L469" s="133"/>
      <c r="M469" s="133"/>
      <c r="N469" s="133"/>
      <c r="O469" s="133"/>
      <c r="P469" s="133"/>
      <c r="Q469" s="133"/>
      <c r="R469" s="133"/>
      <c r="S469" s="133"/>
      <c r="T469" s="133"/>
      <c r="U469" s="133"/>
      <c r="V469" s="133"/>
      <c r="W469" s="133"/>
      <c r="X469" s="160"/>
      <c r="Y469" s="133"/>
      <c r="Z469" s="133"/>
      <c r="AA469" s="133"/>
      <c r="AB469" s="133"/>
      <c r="AC469" s="133"/>
      <c r="AD469" s="133"/>
      <c r="AE469" s="133"/>
      <c r="AF469" s="133"/>
      <c r="AG469" s="133"/>
      <c r="AH469" s="133"/>
      <c r="AI469" s="133"/>
      <c r="AJ469" s="133"/>
      <c r="AK469" s="133"/>
      <c r="AL469" s="132"/>
      <c r="AM469" s="132"/>
      <c r="AN469" s="104"/>
      <c r="AO469" s="104"/>
      <c r="AP469" s="104"/>
    </row>
    <row r="470">
      <c r="A470" s="132"/>
      <c r="B470" s="132"/>
      <c r="C470" s="132"/>
      <c r="D470" s="132"/>
      <c r="E470" s="133"/>
      <c r="F470" s="133"/>
      <c r="G470" s="133"/>
      <c r="H470" s="133"/>
      <c r="I470" s="133"/>
      <c r="J470" s="133"/>
      <c r="K470" s="133"/>
      <c r="L470" s="133"/>
      <c r="M470" s="133"/>
      <c r="N470" s="133"/>
      <c r="O470" s="133"/>
      <c r="P470" s="133"/>
      <c r="Q470" s="133"/>
      <c r="R470" s="133"/>
      <c r="S470" s="133"/>
      <c r="T470" s="133"/>
      <c r="U470" s="133"/>
      <c r="V470" s="133"/>
      <c r="W470" s="133"/>
      <c r="X470" s="160"/>
      <c r="Y470" s="133"/>
      <c r="Z470" s="133"/>
      <c r="AA470" s="133"/>
      <c r="AB470" s="133"/>
      <c r="AC470" s="133"/>
      <c r="AD470" s="133"/>
      <c r="AE470" s="133"/>
      <c r="AF470" s="133"/>
      <c r="AG470" s="133"/>
      <c r="AH470" s="133"/>
      <c r="AI470" s="133"/>
      <c r="AJ470" s="133"/>
      <c r="AK470" s="133"/>
      <c r="AL470" s="132"/>
      <c r="AM470" s="132"/>
      <c r="AN470" s="104"/>
      <c r="AO470" s="104"/>
      <c r="AP470" s="104"/>
    </row>
    <row r="471">
      <c r="A471" s="132"/>
      <c r="B471" s="132"/>
      <c r="C471" s="132"/>
      <c r="D471" s="132"/>
      <c r="E471" s="133"/>
      <c r="F471" s="133"/>
      <c r="G471" s="133"/>
      <c r="H471" s="133"/>
      <c r="I471" s="133"/>
      <c r="J471" s="133"/>
      <c r="K471" s="133"/>
      <c r="L471" s="133"/>
      <c r="M471" s="133"/>
      <c r="N471" s="133"/>
      <c r="O471" s="133"/>
      <c r="P471" s="133"/>
      <c r="Q471" s="133"/>
      <c r="R471" s="133"/>
      <c r="S471" s="133"/>
      <c r="T471" s="133"/>
      <c r="U471" s="133"/>
      <c r="V471" s="133"/>
      <c r="W471" s="133"/>
      <c r="X471" s="160"/>
      <c r="Y471" s="133"/>
      <c r="Z471" s="133"/>
      <c r="AA471" s="133"/>
      <c r="AB471" s="133"/>
      <c r="AC471" s="133"/>
      <c r="AD471" s="133"/>
      <c r="AE471" s="133"/>
      <c r="AF471" s="133"/>
      <c r="AG471" s="133"/>
      <c r="AH471" s="133"/>
      <c r="AI471" s="133"/>
      <c r="AJ471" s="133"/>
      <c r="AK471" s="133"/>
      <c r="AL471" s="132"/>
      <c r="AM471" s="132"/>
      <c r="AN471" s="104"/>
      <c r="AO471" s="104"/>
      <c r="AP471" s="104"/>
    </row>
    <row r="472">
      <c r="A472" s="132"/>
      <c r="B472" s="132"/>
      <c r="C472" s="132"/>
      <c r="D472" s="132"/>
      <c r="E472" s="133"/>
      <c r="F472" s="133"/>
      <c r="G472" s="133"/>
      <c r="H472" s="133"/>
      <c r="I472" s="133"/>
      <c r="J472" s="133"/>
      <c r="K472" s="133"/>
      <c r="L472" s="133"/>
      <c r="M472" s="133"/>
      <c r="N472" s="133"/>
      <c r="O472" s="133"/>
      <c r="P472" s="133"/>
      <c r="Q472" s="133"/>
      <c r="R472" s="133"/>
      <c r="S472" s="133"/>
      <c r="T472" s="133"/>
      <c r="U472" s="133"/>
      <c r="V472" s="133"/>
      <c r="W472" s="133"/>
      <c r="X472" s="160"/>
      <c r="Y472" s="133"/>
      <c r="Z472" s="133"/>
      <c r="AA472" s="133"/>
      <c r="AB472" s="133"/>
      <c r="AC472" s="133"/>
      <c r="AD472" s="133"/>
      <c r="AE472" s="133"/>
      <c r="AF472" s="133"/>
      <c r="AG472" s="133"/>
      <c r="AH472" s="133"/>
      <c r="AI472" s="133"/>
      <c r="AJ472" s="133"/>
      <c r="AK472" s="133"/>
      <c r="AL472" s="132"/>
      <c r="AM472" s="132"/>
      <c r="AN472" s="104"/>
      <c r="AO472" s="104"/>
      <c r="AP472" s="104"/>
    </row>
    <row r="473">
      <c r="A473" s="132"/>
      <c r="B473" s="132"/>
      <c r="C473" s="132"/>
      <c r="D473" s="132"/>
      <c r="E473" s="133"/>
      <c r="F473" s="133"/>
      <c r="G473" s="133"/>
      <c r="H473" s="133"/>
      <c r="I473" s="133"/>
      <c r="J473" s="133"/>
      <c r="K473" s="133"/>
      <c r="L473" s="133"/>
      <c r="M473" s="133"/>
      <c r="N473" s="133"/>
      <c r="O473" s="133"/>
      <c r="P473" s="133"/>
      <c r="Q473" s="133"/>
      <c r="R473" s="133"/>
      <c r="S473" s="133"/>
      <c r="T473" s="133"/>
      <c r="U473" s="133"/>
      <c r="V473" s="133"/>
      <c r="W473" s="133"/>
      <c r="X473" s="160"/>
      <c r="Y473" s="133"/>
      <c r="Z473" s="133"/>
      <c r="AA473" s="133"/>
      <c r="AB473" s="133"/>
      <c r="AC473" s="133"/>
      <c r="AD473" s="133"/>
      <c r="AE473" s="133"/>
      <c r="AF473" s="133"/>
      <c r="AG473" s="133"/>
      <c r="AH473" s="133"/>
      <c r="AI473" s="133"/>
      <c r="AJ473" s="133"/>
      <c r="AK473" s="133"/>
      <c r="AL473" s="132"/>
      <c r="AM473" s="132"/>
      <c r="AN473" s="104"/>
      <c r="AO473" s="104"/>
      <c r="AP473" s="104"/>
    </row>
    <row r="474">
      <c r="A474" s="132"/>
      <c r="B474" s="132"/>
      <c r="C474" s="132"/>
      <c r="D474" s="132"/>
      <c r="E474" s="133"/>
      <c r="F474" s="133"/>
      <c r="G474" s="133"/>
      <c r="H474" s="133"/>
      <c r="I474" s="133"/>
      <c r="J474" s="133"/>
      <c r="K474" s="133"/>
      <c r="L474" s="133"/>
      <c r="M474" s="133"/>
      <c r="N474" s="133"/>
      <c r="O474" s="133"/>
      <c r="P474" s="133"/>
      <c r="Q474" s="133"/>
      <c r="R474" s="133"/>
      <c r="S474" s="133"/>
      <c r="T474" s="133"/>
      <c r="U474" s="133"/>
      <c r="V474" s="133"/>
      <c r="W474" s="133"/>
      <c r="X474" s="160"/>
      <c r="Y474" s="133"/>
      <c r="Z474" s="133"/>
      <c r="AA474" s="133"/>
      <c r="AB474" s="133"/>
      <c r="AC474" s="133"/>
      <c r="AD474" s="133"/>
      <c r="AE474" s="133"/>
      <c r="AF474" s="133"/>
      <c r="AG474" s="133"/>
      <c r="AH474" s="133"/>
      <c r="AI474" s="133"/>
      <c r="AJ474" s="133"/>
      <c r="AK474" s="133"/>
      <c r="AL474" s="132"/>
      <c r="AM474" s="132"/>
      <c r="AN474" s="104"/>
      <c r="AO474" s="104"/>
      <c r="AP474" s="104"/>
    </row>
    <row r="475">
      <c r="A475" s="132"/>
      <c r="B475" s="132"/>
      <c r="C475" s="132"/>
      <c r="D475" s="132"/>
      <c r="E475" s="133"/>
      <c r="F475" s="133"/>
      <c r="G475" s="133"/>
      <c r="H475" s="133"/>
      <c r="I475" s="133"/>
      <c r="J475" s="133"/>
      <c r="K475" s="133"/>
      <c r="L475" s="133"/>
      <c r="M475" s="133"/>
      <c r="N475" s="133"/>
      <c r="O475" s="133"/>
      <c r="P475" s="133"/>
      <c r="Q475" s="133"/>
      <c r="R475" s="133"/>
      <c r="S475" s="133"/>
      <c r="T475" s="133"/>
      <c r="U475" s="133"/>
      <c r="V475" s="133"/>
      <c r="W475" s="133"/>
      <c r="X475" s="160"/>
      <c r="Y475" s="133"/>
      <c r="Z475" s="133"/>
      <c r="AA475" s="133"/>
      <c r="AB475" s="133"/>
      <c r="AC475" s="133"/>
      <c r="AD475" s="133"/>
      <c r="AE475" s="133"/>
      <c r="AF475" s="133"/>
      <c r="AG475" s="133"/>
      <c r="AH475" s="133"/>
      <c r="AI475" s="133"/>
      <c r="AJ475" s="133"/>
      <c r="AK475" s="133"/>
      <c r="AL475" s="132"/>
      <c r="AM475" s="132"/>
      <c r="AN475" s="104"/>
      <c r="AO475" s="104"/>
      <c r="AP475" s="104"/>
    </row>
    <row r="476">
      <c r="A476" s="132"/>
      <c r="B476" s="132"/>
      <c r="C476" s="132"/>
      <c r="D476" s="132"/>
      <c r="E476" s="133"/>
      <c r="F476" s="133"/>
      <c r="G476" s="133"/>
      <c r="H476" s="133"/>
      <c r="I476" s="133"/>
      <c r="J476" s="133"/>
      <c r="K476" s="133"/>
      <c r="L476" s="133"/>
      <c r="M476" s="133"/>
      <c r="N476" s="133"/>
      <c r="O476" s="133"/>
      <c r="P476" s="133"/>
      <c r="Q476" s="133"/>
      <c r="R476" s="133"/>
      <c r="S476" s="133"/>
      <c r="T476" s="133"/>
      <c r="U476" s="133"/>
      <c r="V476" s="133"/>
      <c r="W476" s="133"/>
      <c r="X476" s="160"/>
      <c r="Y476" s="133"/>
      <c r="Z476" s="133"/>
      <c r="AA476" s="133"/>
      <c r="AB476" s="133"/>
      <c r="AC476" s="133"/>
      <c r="AD476" s="133"/>
      <c r="AE476" s="133"/>
      <c r="AF476" s="133"/>
      <c r="AG476" s="133"/>
      <c r="AH476" s="133"/>
      <c r="AI476" s="133"/>
      <c r="AJ476" s="133"/>
      <c r="AK476" s="133"/>
      <c r="AL476" s="132"/>
      <c r="AM476" s="132"/>
      <c r="AN476" s="104"/>
      <c r="AO476" s="104"/>
      <c r="AP476" s="104"/>
    </row>
    <row r="477">
      <c r="A477" s="132"/>
      <c r="B477" s="132"/>
      <c r="C477" s="132"/>
      <c r="D477" s="132"/>
      <c r="E477" s="133"/>
      <c r="F477" s="133"/>
      <c r="G477" s="133"/>
      <c r="H477" s="133"/>
      <c r="I477" s="133"/>
      <c r="J477" s="133"/>
      <c r="K477" s="133"/>
      <c r="L477" s="133"/>
      <c r="M477" s="133"/>
      <c r="N477" s="133"/>
      <c r="O477" s="133"/>
      <c r="P477" s="133"/>
      <c r="Q477" s="133"/>
      <c r="R477" s="133"/>
      <c r="S477" s="133"/>
      <c r="T477" s="133"/>
      <c r="U477" s="133"/>
      <c r="V477" s="133"/>
      <c r="W477" s="133"/>
      <c r="X477" s="160"/>
      <c r="Y477" s="133"/>
      <c r="Z477" s="133"/>
      <c r="AA477" s="133"/>
      <c r="AB477" s="133"/>
      <c r="AC477" s="133"/>
      <c r="AD477" s="133"/>
      <c r="AE477" s="133"/>
      <c r="AF477" s="133"/>
      <c r="AG477" s="133"/>
      <c r="AH477" s="133"/>
      <c r="AI477" s="133"/>
      <c r="AJ477" s="133"/>
      <c r="AK477" s="133"/>
      <c r="AL477" s="132"/>
      <c r="AM477" s="132"/>
      <c r="AN477" s="104"/>
      <c r="AO477" s="104"/>
      <c r="AP477" s="104"/>
    </row>
    <row r="478">
      <c r="A478" s="132"/>
      <c r="B478" s="132"/>
      <c r="C478" s="132"/>
      <c r="D478" s="132"/>
      <c r="E478" s="133"/>
      <c r="F478" s="133"/>
      <c r="G478" s="133"/>
      <c r="H478" s="133"/>
      <c r="I478" s="133"/>
      <c r="J478" s="133"/>
      <c r="K478" s="133"/>
      <c r="L478" s="133"/>
      <c r="M478" s="133"/>
      <c r="N478" s="133"/>
      <c r="O478" s="133"/>
      <c r="P478" s="133"/>
      <c r="Q478" s="133"/>
      <c r="R478" s="133"/>
      <c r="S478" s="133"/>
      <c r="T478" s="133"/>
      <c r="U478" s="133"/>
      <c r="V478" s="133"/>
      <c r="W478" s="133"/>
      <c r="X478" s="160"/>
      <c r="Y478" s="133"/>
      <c r="Z478" s="133"/>
      <c r="AA478" s="133"/>
      <c r="AB478" s="133"/>
      <c r="AC478" s="133"/>
      <c r="AD478" s="133"/>
      <c r="AE478" s="133"/>
      <c r="AF478" s="133"/>
      <c r="AG478" s="133"/>
      <c r="AH478" s="133"/>
      <c r="AI478" s="133"/>
      <c r="AJ478" s="133"/>
      <c r="AK478" s="133"/>
      <c r="AL478" s="132"/>
      <c r="AM478" s="132"/>
      <c r="AN478" s="104"/>
      <c r="AO478" s="104"/>
      <c r="AP478" s="104"/>
    </row>
    <row r="479">
      <c r="A479" s="132"/>
      <c r="B479" s="132"/>
      <c r="C479" s="132"/>
      <c r="D479" s="132"/>
      <c r="E479" s="133"/>
      <c r="F479" s="133"/>
      <c r="G479" s="133"/>
      <c r="H479" s="133"/>
      <c r="I479" s="133"/>
      <c r="J479" s="133"/>
      <c r="K479" s="133"/>
      <c r="L479" s="133"/>
      <c r="M479" s="133"/>
      <c r="N479" s="133"/>
      <c r="O479" s="133"/>
      <c r="P479" s="133"/>
      <c r="Q479" s="133"/>
      <c r="R479" s="133"/>
      <c r="S479" s="133"/>
      <c r="T479" s="133"/>
      <c r="U479" s="133"/>
      <c r="V479" s="133"/>
      <c r="W479" s="133"/>
      <c r="X479" s="160"/>
      <c r="Y479" s="133"/>
      <c r="Z479" s="133"/>
      <c r="AA479" s="133"/>
      <c r="AB479" s="133"/>
      <c r="AC479" s="133"/>
      <c r="AD479" s="133"/>
      <c r="AE479" s="133"/>
      <c r="AF479" s="133"/>
      <c r="AG479" s="133"/>
      <c r="AH479" s="133"/>
      <c r="AI479" s="133"/>
      <c r="AJ479" s="133"/>
      <c r="AK479" s="133"/>
      <c r="AL479" s="132"/>
      <c r="AM479" s="132"/>
      <c r="AN479" s="104"/>
      <c r="AO479" s="104"/>
      <c r="AP479" s="104"/>
    </row>
    <row r="480">
      <c r="A480" s="132"/>
      <c r="B480" s="132"/>
      <c r="C480" s="132"/>
      <c r="D480" s="132"/>
      <c r="E480" s="133"/>
      <c r="F480" s="133"/>
      <c r="G480" s="133"/>
      <c r="H480" s="133"/>
      <c r="I480" s="133"/>
      <c r="J480" s="133"/>
      <c r="K480" s="133"/>
      <c r="L480" s="133"/>
      <c r="M480" s="133"/>
      <c r="N480" s="133"/>
      <c r="O480" s="133"/>
      <c r="P480" s="133"/>
      <c r="Q480" s="133"/>
      <c r="R480" s="133"/>
      <c r="S480" s="133"/>
      <c r="T480" s="133"/>
      <c r="U480" s="133"/>
      <c r="V480" s="133"/>
      <c r="W480" s="133"/>
      <c r="X480" s="160"/>
      <c r="Y480" s="133"/>
      <c r="Z480" s="133"/>
      <c r="AA480" s="133"/>
      <c r="AB480" s="133"/>
      <c r="AC480" s="133"/>
      <c r="AD480" s="133"/>
      <c r="AE480" s="133"/>
      <c r="AF480" s="133"/>
      <c r="AG480" s="133"/>
      <c r="AH480" s="133"/>
      <c r="AI480" s="133"/>
      <c r="AJ480" s="133"/>
      <c r="AK480" s="133"/>
      <c r="AL480" s="132"/>
      <c r="AM480" s="132"/>
      <c r="AN480" s="104"/>
      <c r="AO480" s="104"/>
      <c r="AP480" s="104"/>
    </row>
    <row r="481">
      <c r="A481" s="132"/>
      <c r="B481" s="132"/>
      <c r="C481" s="132"/>
      <c r="D481" s="132"/>
      <c r="E481" s="133"/>
      <c r="F481" s="133"/>
      <c r="G481" s="133"/>
      <c r="H481" s="133"/>
      <c r="I481" s="133"/>
      <c r="J481" s="133"/>
      <c r="K481" s="133"/>
      <c r="L481" s="133"/>
      <c r="M481" s="133"/>
      <c r="N481" s="133"/>
      <c r="O481" s="133"/>
      <c r="P481" s="133"/>
      <c r="Q481" s="133"/>
      <c r="R481" s="133"/>
      <c r="S481" s="133"/>
      <c r="T481" s="133"/>
      <c r="U481" s="133"/>
      <c r="V481" s="133"/>
      <c r="W481" s="133"/>
      <c r="X481" s="160"/>
      <c r="Y481" s="133"/>
      <c r="Z481" s="133"/>
      <c r="AA481" s="133"/>
      <c r="AB481" s="133"/>
      <c r="AC481" s="133"/>
      <c r="AD481" s="133"/>
      <c r="AE481" s="133"/>
      <c r="AF481" s="133"/>
      <c r="AG481" s="133"/>
      <c r="AH481" s="133"/>
      <c r="AI481" s="133"/>
      <c r="AJ481" s="133"/>
      <c r="AK481" s="133"/>
      <c r="AL481" s="132"/>
      <c r="AM481" s="132"/>
      <c r="AN481" s="104"/>
      <c r="AO481" s="104"/>
      <c r="AP481" s="104"/>
    </row>
    <row r="482">
      <c r="A482" s="132"/>
      <c r="B482" s="132"/>
      <c r="C482" s="132"/>
      <c r="D482" s="132"/>
      <c r="E482" s="133"/>
      <c r="F482" s="133"/>
      <c r="G482" s="133"/>
      <c r="H482" s="133"/>
      <c r="I482" s="133"/>
      <c r="J482" s="133"/>
      <c r="K482" s="133"/>
      <c r="L482" s="133"/>
      <c r="M482" s="133"/>
      <c r="N482" s="133"/>
      <c r="O482" s="133"/>
      <c r="P482" s="133"/>
      <c r="Q482" s="133"/>
      <c r="R482" s="133"/>
      <c r="S482" s="133"/>
      <c r="T482" s="133"/>
      <c r="U482" s="133"/>
      <c r="V482" s="133"/>
      <c r="W482" s="133"/>
      <c r="X482" s="160"/>
      <c r="Y482" s="133"/>
      <c r="Z482" s="133"/>
      <c r="AA482" s="133"/>
      <c r="AB482" s="133"/>
      <c r="AC482" s="133"/>
      <c r="AD482" s="133"/>
      <c r="AE482" s="133"/>
      <c r="AF482" s="133"/>
      <c r="AG482" s="133"/>
      <c r="AH482" s="133"/>
      <c r="AI482" s="133"/>
      <c r="AJ482" s="133"/>
      <c r="AK482" s="133"/>
      <c r="AL482" s="132"/>
      <c r="AM482" s="132"/>
      <c r="AN482" s="104"/>
      <c r="AO482" s="104"/>
      <c r="AP482" s="104"/>
    </row>
    <row r="483">
      <c r="A483" s="132"/>
      <c r="B483" s="132"/>
      <c r="C483" s="132"/>
      <c r="D483" s="132"/>
      <c r="E483" s="133"/>
      <c r="F483" s="133"/>
      <c r="G483" s="133"/>
      <c r="H483" s="133"/>
      <c r="I483" s="133"/>
      <c r="J483" s="133"/>
      <c r="K483" s="133"/>
      <c r="L483" s="133"/>
      <c r="M483" s="133"/>
      <c r="N483" s="133"/>
      <c r="O483" s="133"/>
      <c r="P483" s="133"/>
      <c r="Q483" s="133"/>
      <c r="R483" s="133"/>
      <c r="S483" s="133"/>
      <c r="T483" s="133"/>
      <c r="U483" s="133"/>
      <c r="V483" s="133"/>
      <c r="W483" s="133"/>
      <c r="X483" s="160"/>
      <c r="Y483" s="133"/>
      <c r="Z483" s="133"/>
      <c r="AA483" s="133"/>
      <c r="AB483" s="133"/>
      <c r="AC483" s="133"/>
      <c r="AD483" s="133"/>
      <c r="AE483" s="133"/>
      <c r="AF483" s="133"/>
      <c r="AG483" s="133"/>
      <c r="AH483" s="133"/>
      <c r="AI483" s="133"/>
      <c r="AJ483" s="133"/>
      <c r="AK483" s="133"/>
      <c r="AL483" s="132"/>
      <c r="AM483" s="132"/>
      <c r="AN483" s="104"/>
      <c r="AO483" s="104"/>
      <c r="AP483" s="104"/>
    </row>
    <row r="484">
      <c r="A484" s="132"/>
      <c r="B484" s="132"/>
      <c r="C484" s="132"/>
      <c r="D484" s="132"/>
      <c r="E484" s="133"/>
      <c r="F484" s="133"/>
      <c r="G484" s="133"/>
      <c r="H484" s="133"/>
      <c r="I484" s="133"/>
      <c r="J484" s="133"/>
      <c r="K484" s="133"/>
      <c r="L484" s="133"/>
      <c r="M484" s="133"/>
      <c r="N484" s="133"/>
      <c r="O484" s="133"/>
      <c r="P484" s="133"/>
      <c r="Q484" s="133"/>
      <c r="R484" s="133"/>
      <c r="S484" s="133"/>
      <c r="T484" s="133"/>
      <c r="U484" s="133"/>
      <c r="V484" s="133"/>
      <c r="W484" s="133"/>
      <c r="X484" s="160"/>
      <c r="Y484" s="133"/>
      <c r="Z484" s="133"/>
      <c r="AA484" s="133"/>
      <c r="AB484" s="133"/>
      <c r="AC484" s="133"/>
      <c r="AD484" s="133"/>
      <c r="AE484" s="133"/>
      <c r="AF484" s="133"/>
      <c r="AG484" s="133"/>
      <c r="AH484" s="133"/>
      <c r="AI484" s="133"/>
      <c r="AJ484" s="133"/>
      <c r="AK484" s="133"/>
      <c r="AL484" s="132"/>
      <c r="AM484" s="132"/>
      <c r="AN484" s="104"/>
      <c r="AO484" s="104"/>
      <c r="AP484" s="104"/>
    </row>
    <row r="485">
      <c r="A485" s="132"/>
      <c r="B485" s="132"/>
      <c r="C485" s="132"/>
      <c r="D485" s="132"/>
      <c r="E485" s="133"/>
      <c r="F485" s="133"/>
      <c r="G485" s="133"/>
      <c r="H485" s="133"/>
      <c r="I485" s="133"/>
      <c r="J485" s="133"/>
      <c r="K485" s="133"/>
      <c r="L485" s="133"/>
      <c r="M485" s="133"/>
      <c r="N485" s="133"/>
      <c r="O485" s="133"/>
      <c r="P485" s="133"/>
      <c r="Q485" s="133"/>
      <c r="R485" s="133"/>
      <c r="S485" s="133"/>
      <c r="T485" s="133"/>
      <c r="U485" s="133"/>
      <c r="V485" s="133"/>
      <c r="W485" s="133"/>
      <c r="X485" s="160"/>
      <c r="Y485" s="133"/>
      <c r="Z485" s="133"/>
      <c r="AA485" s="133"/>
      <c r="AB485" s="133"/>
      <c r="AC485" s="133"/>
      <c r="AD485" s="133"/>
      <c r="AE485" s="133"/>
      <c r="AF485" s="133"/>
      <c r="AG485" s="133"/>
      <c r="AH485" s="133"/>
      <c r="AI485" s="133"/>
      <c r="AJ485" s="133"/>
      <c r="AK485" s="133"/>
      <c r="AL485" s="132"/>
      <c r="AM485" s="132"/>
      <c r="AN485" s="104"/>
      <c r="AO485" s="104"/>
      <c r="AP485" s="104"/>
    </row>
    <row r="486">
      <c r="A486" s="132"/>
      <c r="B486" s="132"/>
      <c r="C486" s="132"/>
      <c r="D486" s="132"/>
      <c r="E486" s="133"/>
      <c r="F486" s="133"/>
      <c r="G486" s="133"/>
      <c r="H486" s="133"/>
      <c r="I486" s="133"/>
      <c r="J486" s="133"/>
      <c r="K486" s="133"/>
      <c r="L486" s="133"/>
      <c r="M486" s="133"/>
      <c r="N486" s="133"/>
      <c r="O486" s="133"/>
      <c r="P486" s="133"/>
      <c r="Q486" s="133"/>
      <c r="R486" s="133"/>
      <c r="S486" s="133"/>
      <c r="T486" s="133"/>
      <c r="U486" s="133"/>
      <c r="V486" s="133"/>
      <c r="W486" s="133"/>
      <c r="X486" s="160"/>
      <c r="Y486" s="133"/>
      <c r="Z486" s="133"/>
      <c r="AA486" s="133"/>
      <c r="AB486" s="133"/>
      <c r="AC486" s="133"/>
      <c r="AD486" s="133"/>
      <c r="AE486" s="133"/>
      <c r="AF486" s="133"/>
      <c r="AG486" s="133"/>
      <c r="AH486" s="133"/>
      <c r="AI486" s="133"/>
      <c r="AJ486" s="133"/>
      <c r="AK486" s="133"/>
      <c r="AL486" s="132"/>
      <c r="AM486" s="132"/>
      <c r="AN486" s="104"/>
      <c r="AO486" s="104"/>
      <c r="AP486" s="104"/>
    </row>
    <row r="487">
      <c r="A487" s="132"/>
      <c r="B487" s="132"/>
      <c r="C487" s="132"/>
      <c r="D487" s="132"/>
      <c r="E487" s="133"/>
      <c r="F487" s="133"/>
      <c r="G487" s="133"/>
      <c r="H487" s="133"/>
      <c r="I487" s="133"/>
      <c r="J487" s="133"/>
      <c r="K487" s="133"/>
      <c r="L487" s="133"/>
      <c r="M487" s="133"/>
      <c r="N487" s="133"/>
      <c r="O487" s="133"/>
      <c r="P487" s="133"/>
      <c r="Q487" s="133"/>
      <c r="R487" s="133"/>
      <c r="S487" s="133"/>
      <c r="T487" s="133"/>
      <c r="U487" s="133"/>
      <c r="V487" s="133"/>
      <c r="W487" s="133"/>
      <c r="X487" s="160"/>
      <c r="Y487" s="133"/>
      <c r="Z487" s="133"/>
      <c r="AA487" s="133"/>
      <c r="AB487" s="133"/>
      <c r="AC487" s="133"/>
      <c r="AD487" s="133"/>
      <c r="AE487" s="133"/>
      <c r="AF487" s="133"/>
      <c r="AG487" s="133"/>
      <c r="AH487" s="133"/>
      <c r="AI487" s="133"/>
      <c r="AJ487" s="133"/>
      <c r="AK487" s="133"/>
      <c r="AL487" s="132"/>
      <c r="AM487" s="132"/>
      <c r="AN487" s="104"/>
      <c r="AO487" s="104"/>
      <c r="AP487" s="104"/>
    </row>
    <row r="488">
      <c r="A488" s="132"/>
      <c r="B488" s="132"/>
      <c r="C488" s="132"/>
      <c r="D488" s="132"/>
      <c r="E488" s="133"/>
      <c r="F488" s="133"/>
      <c r="G488" s="133"/>
      <c r="H488" s="133"/>
      <c r="I488" s="133"/>
      <c r="J488" s="133"/>
      <c r="K488" s="133"/>
      <c r="L488" s="133"/>
      <c r="M488" s="133"/>
      <c r="N488" s="133"/>
      <c r="O488" s="133"/>
      <c r="P488" s="133"/>
      <c r="Q488" s="133"/>
      <c r="R488" s="133"/>
      <c r="S488" s="133"/>
      <c r="T488" s="133"/>
      <c r="U488" s="133"/>
      <c r="V488" s="133"/>
      <c r="W488" s="133"/>
      <c r="X488" s="160"/>
      <c r="Y488" s="133"/>
      <c r="Z488" s="133"/>
      <c r="AA488" s="133"/>
      <c r="AB488" s="133"/>
      <c r="AC488" s="133"/>
      <c r="AD488" s="133"/>
      <c r="AE488" s="133"/>
      <c r="AF488" s="133"/>
      <c r="AG488" s="133"/>
      <c r="AH488" s="133"/>
      <c r="AI488" s="133"/>
      <c r="AJ488" s="133"/>
      <c r="AK488" s="133"/>
      <c r="AL488" s="132"/>
      <c r="AM488" s="132"/>
      <c r="AN488" s="104"/>
      <c r="AO488" s="104"/>
      <c r="AP488" s="104"/>
    </row>
    <row r="489">
      <c r="A489" s="132"/>
      <c r="B489" s="132"/>
      <c r="C489" s="132"/>
      <c r="D489" s="132"/>
      <c r="E489" s="133"/>
      <c r="F489" s="133"/>
      <c r="G489" s="133"/>
      <c r="H489" s="133"/>
      <c r="I489" s="133"/>
      <c r="J489" s="133"/>
      <c r="K489" s="133"/>
      <c r="L489" s="133"/>
      <c r="M489" s="133"/>
      <c r="N489" s="133"/>
      <c r="O489" s="133"/>
      <c r="P489" s="133"/>
      <c r="Q489" s="133"/>
      <c r="R489" s="133"/>
      <c r="S489" s="133"/>
      <c r="T489" s="133"/>
      <c r="U489" s="133"/>
      <c r="V489" s="133"/>
      <c r="W489" s="133"/>
      <c r="X489" s="160"/>
      <c r="Y489" s="133"/>
      <c r="Z489" s="133"/>
      <c r="AA489" s="133"/>
      <c r="AB489" s="133"/>
      <c r="AC489" s="133"/>
      <c r="AD489" s="133"/>
      <c r="AE489" s="133"/>
      <c r="AF489" s="133"/>
      <c r="AG489" s="133"/>
      <c r="AH489" s="133"/>
      <c r="AI489" s="133"/>
      <c r="AJ489" s="133"/>
      <c r="AK489" s="133"/>
      <c r="AL489" s="132"/>
      <c r="AM489" s="132"/>
      <c r="AN489" s="104"/>
      <c r="AO489" s="104"/>
      <c r="AP489" s="104"/>
    </row>
    <row r="490">
      <c r="A490" s="132"/>
      <c r="B490" s="132"/>
      <c r="C490" s="132"/>
      <c r="D490" s="132"/>
      <c r="E490" s="133"/>
      <c r="F490" s="133"/>
      <c r="G490" s="133"/>
      <c r="H490" s="133"/>
      <c r="I490" s="133"/>
      <c r="J490" s="133"/>
      <c r="K490" s="133"/>
      <c r="L490" s="133"/>
      <c r="M490" s="133"/>
      <c r="N490" s="133"/>
      <c r="O490" s="133"/>
      <c r="P490" s="133"/>
      <c r="Q490" s="133"/>
      <c r="R490" s="133"/>
      <c r="S490" s="133"/>
      <c r="T490" s="133"/>
      <c r="U490" s="133"/>
      <c r="V490" s="133"/>
      <c r="W490" s="133"/>
      <c r="X490" s="160"/>
      <c r="Y490" s="133"/>
      <c r="Z490" s="133"/>
      <c r="AA490" s="133"/>
      <c r="AB490" s="133"/>
      <c r="AC490" s="133"/>
      <c r="AD490" s="133"/>
      <c r="AE490" s="133"/>
      <c r="AF490" s="133"/>
      <c r="AG490" s="133"/>
      <c r="AH490" s="133"/>
      <c r="AI490" s="133"/>
      <c r="AJ490" s="133"/>
      <c r="AK490" s="133"/>
      <c r="AL490" s="132"/>
      <c r="AM490" s="132"/>
      <c r="AN490" s="104"/>
      <c r="AO490" s="104"/>
      <c r="AP490" s="104"/>
    </row>
    <row r="491">
      <c r="A491" s="132"/>
      <c r="B491" s="132"/>
      <c r="C491" s="132"/>
      <c r="D491" s="132"/>
      <c r="E491" s="133"/>
      <c r="F491" s="133"/>
      <c r="G491" s="133"/>
      <c r="H491" s="133"/>
      <c r="I491" s="133"/>
      <c r="J491" s="133"/>
      <c r="K491" s="133"/>
      <c r="L491" s="133"/>
      <c r="M491" s="133"/>
      <c r="N491" s="133"/>
      <c r="O491" s="133"/>
      <c r="P491" s="133"/>
      <c r="Q491" s="133"/>
      <c r="R491" s="133"/>
      <c r="S491" s="133"/>
      <c r="T491" s="133"/>
      <c r="U491" s="133"/>
      <c r="V491" s="133"/>
      <c r="W491" s="133"/>
      <c r="X491" s="160"/>
      <c r="Y491" s="133"/>
      <c r="Z491" s="133"/>
      <c r="AA491" s="133"/>
      <c r="AB491" s="133"/>
      <c r="AC491" s="133"/>
      <c r="AD491" s="133"/>
      <c r="AE491" s="133"/>
      <c r="AF491" s="133"/>
      <c r="AG491" s="133"/>
      <c r="AH491" s="133"/>
      <c r="AI491" s="133"/>
      <c r="AJ491" s="133"/>
      <c r="AK491" s="133"/>
      <c r="AL491" s="132"/>
      <c r="AM491" s="132"/>
      <c r="AN491" s="104"/>
      <c r="AO491" s="104"/>
      <c r="AP491" s="104"/>
    </row>
    <row r="492">
      <c r="A492" s="132"/>
      <c r="B492" s="132"/>
      <c r="C492" s="132"/>
      <c r="D492" s="132"/>
      <c r="E492" s="133"/>
      <c r="F492" s="133"/>
      <c r="G492" s="133"/>
      <c r="H492" s="133"/>
      <c r="I492" s="133"/>
      <c r="J492" s="133"/>
      <c r="K492" s="133"/>
      <c r="L492" s="133"/>
      <c r="M492" s="133"/>
      <c r="N492" s="133"/>
      <c r="O492" s="133"/>
      <c r="P492" s="133"/>
      <c r="Q492" s="133"/>
      <c r="R492" s="133"/>
      <c r="S492" s="133"/>
      <c r="T492" s="133"/>
      <c r="U492" s="133"/>
      <c r="V492" s="133"/>
      <c r="W492" s="133"/>
      <c r="X492" s="160"/>
      <c r="Y492" s="133"/>
      <c r="Z492" s="133"/>
      <c r="AA492" s="133"/>
      <c r="AB492" s="133"/>
      <c r="AC492" s="133"/>
      <c r="AD492" s="133"/>
      <c r="AE492" s="133"/>
      <c r="AF492" s="133"/>
      <c r="AG492" s="133"/>
      <c r="AH492" s="133"/>
      <c r="AI492" s="133"/>
      <c r="AJ492" s="133"/>
      <c r="AK492" s="133"/>
      <c r="AL492" s="132"/>
      <c r="AM492" s="132"/>
      <c r="AN492" s="104"/>
      <c r="AO492" s="104"/>
      <c r="AP492" s="104"/>
    </row>
    <row r="493">
      <c r="A493" s="132"/>
      <c r="B493" s="132"/>
      <c r="C493" s="132"/>
      <c r="D493" s="132"/>
      <c r="E493" s="133"/>
      <c r="F493" s="133"/>
      <c r="G493" s="133"/>
      <c r="H493" s="133"/>
      <c r="I493" s="133"/>
      <c r="J493" s="133"/>
      <c r="K493" s="133"/>
      <c r="L493" s="133"/>
      <c r="M493" s="133"/>
      <c r="N493" s="133"/>
      <c r="O493" s="133"/>
      <c r="P493" s="133"/>
      <c r="Q493" s="133"/>
      <c r="R493" s="133"/>
      <c r="S493" s="133"/>
      <c r="T493" s="133"/>
      <c r="U493" s="133"/>
      <c r="V493" s="133"/>
      <c r="W493" s="133"/>
      <c r="X493" s="160"/>
      <c r="Y493" s="133"/>
      <c r="Z493" s="133"/>
      <c r="AA493" s="133"/>
      <c r="AB493" s="133"/>
      <c r="AC493" s="133"/>
      <c r="AD493" s="133"/>
      <c r="AE493" s="133"/>
      <c r="AF493" s="133"/>
      <c r="AG493" s="133"/>
      <c r="AH493" s="133"/>
      <c r="AI493" s="133"/>
      <c r="AJ493" s="133"/>
      <c r="AK493" s="133"/>
      <c r="AL493" s="132"/>
      <c r="AM493" s="132"/>
      <c r="AN493" s="104"/>
      <c r="AO493" s="104"/>
      <c r="AP493" s="104"/>
    </row>
    <row r="494">
      <c r="A494" s="132"/>
      <c r="B494" s="132"/>
      <c r="C494" s="132"/>
      <c r="D494" s="132"/>
      <c r="E494" s="133"/>
      <c r="F494" s="133"/>
      <c r="G494" s="133"/>
      <c r="H494" s="133"/>
      <c r="I494" s="133"/>
      <c r="J494" s="133"/>
      <c r="K494" s="133"/>
      <c r="L494" s="133"/>
      <c r="M494" s="133"/>
      <c r="N494" s="133"/>
      <c r="O494" s="133"/>
      <c r="P494" s="133"/>
      <c r="Q494" s="133"/>
      <c r="R494" s="133"/>
      <c r="S494" s="133"/>
      <c r="T494" s="133"/>
      <c r="U494" s="133"/>
      <c r="V494" s="133"/>
      <c r="W494" s="133"/>
      <c r="X494" s="160"/>
      <c r="Y494" s="133"/>
      <c r="Z494" s="133"/>
      <c r="AA494" s="133"/>
      <c r="AB494" s="133"/>
      <c r="AC494" s="133"/>
      <c r="AD494" s="133"/>
      <c r="AE494" s="133"/>
      <c r="AF494" s="133"/>
      <c r="AG494" s="133"/>
      <c r="AH494" s="133"/>
      <c r="AI494" s="133"/>
      <c r="AJ494" s="133"/>
      <c r="AK494" s="133"/>
      <c r="AL494" s="132"/>
      <c r="AM494" s="132"/>
      <c r="AN494" s="104"/>
      <c r="AO494" s="104"/>
      <c r="AP494" s="104"/>
    </row>
    <row r="495">
      <c r="A495" s="132"/>
      <c r="B495" s="132"/>
      <c r="C495" s="132"/>
      <c r="D495" s="132"/>
      <c r="E495" s="133"/>
      <c r="F495" s="133"/>
      <c r="G495" s="133"/>
      <c r="H495" s="133"/>
      <c r="I495" s="133"/>
      <c r="J495" s="133"/>
      <c r="K495" s="133"/>
      <c r="L495" s="133"/>
      <c r="M495" s="133"/>
      <c r="N495" s="133"/>
      <c r="O495" s="133"/>
      <c r="P495" s="133"/>
      <c r="Q495" s="133"/>
      <c r="R495" s="133"/>
      <c r="S495" s="133"/>
      <c r="T495" s="133"/>
      <c r="U495" s="133"/>
      <c r="V495" s="133"/>
      <c r="W495" s="133"/>
      <c r="X495" s="160"/>
      <c r="Y495" s="133"/>
      <c r="Z495" s="133"/>
      <c r="AA495" s="133"/>
      <c r="AB495" s="133"/>
      <c r="AC495" s="133"/>
      <c r="AD495" s="133"/>
      <c r="AE495" s="133"/>
      <c r="AF495" s="133"/>
      <c r="AG495" s="133"/>
      <c r="AH495" s="133"/>
      <c r="AI495" s="133"/>
      <c r="AJ495" s="133"/>
      <c r="AK495" s="133"/>
      <c r="AL495" s="132"/>
      <c r="AM495" s="132"/>
      <c r="AN495" s="104"/>
      <c r="AO495" s="104"/>
      <c r="AP495" s="104"/>
    </row>
    <row r="496">
      <c r="A496" s="132"/>
      <c r="B496" s="132"/>
      <c r="C496" s="132"/>
      <c r="D496" s="132"/>
      <c r="E496" s="133"/>
      <c r="F496" s="133"/>
      <c r="G496" s="133"/>
      <c r="H496" s="133"/>
      <c r="I496" s="133"/>
      <c r="J496" s="133"/>
      <c r="K496" s="133"/>
      <c r="L496" s="133"/>
      <c r="M496" s="133"/>
      <c r="N496" s="133"/>
      <c r="O496" s="133"/>
      <c r="P496" s="133"/>
      <c r="Q496" s="133"/>
      <c r="R496" s="133"/>
      <c r="S496" s="133"/>
      <c r="T496" s="133"/>
      <c r="U496" s="133"/>
      <c r="V496" s="133"/>
      <c r="W496" s="133"/>
      <c r="X496" s="160"/>
      <c r="Y496" s="133"/>
      <c r="Z496" s="133"/>
      <c r="AA496" s="133"/>
      <c r="AB496" s="133"/>
      <c r="AC496" s="133"/>
      <c r="AD496" s="133"/>
      <c r="AE496" s="133"/>
      <c r="AF496" s="133"/>
      <c r="AG496" s="133"/>
      <c r="AH496" s="133"/>
      <c r="AI496" s="133"/>
      <c r="AJ496" s="133"/>
      <c r="AK496" s="133"/>
      <c r="AL496" s="132"/>
      <c r="AM496" s="132"/>
      <c r="AN496" s="104"/>
      <c r="AO496" s="104"/>
      <c r="AP496" s="104"/>
    </row>
    <row r="497">
      <c r="A497" s="132"/>
      <c r="B497" s="132"/>
      <c r="C497" s="132"/>
      <c r="D497" s="132"/>
      <c r="E497" s="133"/>
      <c r="F497" s="133"/>
      <c r="G497" s="133"/>
      <c r="H497" s="133"/>
      <c r="I497" s="133"/>
      <c r="J497" s="133"/>
      <c r="K497" s="133"/>
      <c r="L497" s="133"/>
      <c r="M497" s="133"/>
      <c r="N497" s="133"/>
      <c r="O497" s="133"/>
      <c r="P497" s="133"/>
      <c r="Q497" s="133"/>
      <c r="R497" s="133"/>
      <c r="S497" s="133"/>
      <c r="T497" s="133"/>
      <c r="U497" s="133"/>
      <c r="V497" s="133"/>
      <c r="W497" s="133"/>
      <c r="X497" s="160"/>
      <c r="Y497" s="133"/>
      <c r="Z497" s="133"/>
      <c r="AA497" s="133"/>
      <c r="AB497" s="133"/>
      <c r="AC497" s="133"/>
      <c r="AD497" s="133"/>
      <c r="AE497" s="133"/>
      <c r="AF497" s="133"/>
      <c r="AG497" s="133"/>
      <c r="AH497" s="133"/>
      <c r="AI497" s="133"/>
      <c r="AJ497" s="133"/>
      <c r="AK497" s="133"/>
      <c r="AL497" s="132"/>
      <c r="AM497" s="132"/>
      <c r="AN497" s="104"/>
      <c r="AO497" s="104"/>
      <c r="AP497" s="104"/>
    </row>
    <row r="498">
      <c r="A498" s="132"/>
      <c r="B498" s="132"/>
      <c r="C498" s="132"/>
      <c r="D498" s="132"/>
      <c r="E498" s="133"/>
      <c r="F498" s="133"/>
      <c r="G498" s="133"/>
      <c r="H498" s="133"/>
      <c r="I498" s="133"/>
      <c r="J498" s="133"/>
      <c r="K498" s="133"/>
      <c r="L498" s="133"/>
      <c r="M498" s="133"/>
      <c r="N498" s="133"/>
      <c r="O498" s="133"/>
      <c r="P498" s="133"/>
      <c r="Q498" s="133"/>
      <c r="R498" s="133"/>
      <c r="S498" s="133"/>
      <c r="T498" s="133"/>
      <c r="U498" s="133"/>
      <c r="V498" s="133"/>
      <c r="W498" s="133"/>
      <c r="X498" s="160"/>
      <c r="Y498" s="133"/>
      <c r="Z498" s="133"/>
      <c r="AA498" s="133"/>
      <c r="AB498" s="133"/>
      <c r="AC498" s="133"/>
      <c r="AD498" s="133"/>
      <c r="AE498" s="133"/>
      <c r="AF498" s="133"/>
      <c r="AG498" s="133"/>
      <c r="AH498" s="133"/>
      <c r="AI498" s="133"/>
      <c r="AJ498" s="133"/>
      <c r="AK498" s="133"/>
      <c r="AL498" s="132"/>
      <c r="AM498" s="132"/>
      <c r="AN498" s="104"/>
      <c r="AO498" s="104"/>
      <c r="AP498" s="104"/>
    </row>
    <row r="499">
      <c r="A499" s="132"/>
      <c r="B499" s="132"/>
      <c r="C499" s="132"/>
      <c r="D499" s="132"/>
      <c r="E499" s="133"/>
      <c r="F499" s="133"/>
      <c r="G499" s="133"/>
      <c r="H499" s="133"/>
      <c r="I499" s="133"/>
      <c r="J499" s="133"/>
      <c r="K499" s="133"/>
      <c r="L499" s="133"/>
      <c r="M499" s="133"/>
      <c r="N499" s="133"/>
      <c r="O499" s="133"/>
      <c r="P499" s="133"/>
      <c r="Q499" s="133"/>
      <c r="R499" s="133"/>
      <c r="S499" s="133"/>
      <c r="T499" s="133"/>
      <c r="U499" s="133"/>
      <c r="V499" s="133"/>
      <c r="W499" s="133"/>
      <c r="X499" s="160"/>
      <c r="Y499" s="133"/>
      <c r="Z499" s="133"/>
      <c r="AA499" s="133"/>
      <c r="AB499" s="133"/>
      <c r="AC499" s="133"/>
      <c r="AD499" s="133"/>
      <c r="AE499" s="133"/>
      <c r="AF499" s="133"/>
      <c r="AG499" s="133"/>
      <c r="AH499" s="133"/>
      <c r="AI499" s="133"/>
      <c r="AJ499" s="133"/>
      <c r="AK499" s="133"/>
      <c r="AL499" s="132"/>
      <c r="AM499" s="132"/>
      <c r="AN499" s="104"/>
      <c r="AO499" s="104"/>
      <c r="AP499" s="104"/>
    </row>
    <row r="500">
      <c r="A500" s="132"/>
      <c r="B500" s="132"/>
      <c r="C500" s="132"/>
      <c r="D500" s="132"/>
      <c r="E500" s="133"/>
      <c r="F500" s="133"/>
      <c r="G500" s="133"/>
      <c r="H500" s="133"/>
      <c r="I500" s="133"/>
      <c r="J500" s="133"/>
      <c r="K500" s="133"/>
      <c r="L500" s="133"/>
      <c r="M500" s="133"/>
      <c r="N500" s="133"/>
      <c r="O500" s="133"/>
      <c r="P500" s="133"/>
      <c r="Q500" s="133"/>
      <c r="R500" s="133"/>
      <c r="S500" s="133"/>
      <c r="T500" s="133"/>
      <c r="U500" s="133"/>
      <c r="V500" s="133"/>
      <c r="W500" s="133"/>
      <c r="X500" s="160"/>
      <c r="Y500" s="133"/>
      <c r="Z500" s="133"/>
      <c r="AA500" s="133"/>
      <c r="AB500" s="133"/>
      <c r="AC500" s="133"/>
      <c r="AD500" s="133"/>
      <c r="AE500" s="133"/>
      <c r="AF500" s="133"/>
      <c r="AG500" s="133"/>
      <c r="AH500" s="133"/>
      <c r="AI500" s="133"/>
      <c r="AJ500" s="133"/>
      <c r="AK500" s="133"/>
      <c r="AL500" s="132"/>
      <c r="AM500" s="132"/>
      <c r="AN500" s="104"/>
      <c r="AO500" s="104"/>
      <c r="AP500" s="104"/>
    </row>
    <row r="501">
      <c r="A501" s="132"/>
      <c r="B501" s="132"/>
      <c r="C501" s="132"/>
      <c r="D501" s="132"/>
      <c r="E501" s="133"/>
      <c r="F501" s="133"/>
      <c r="G501" s="133"/>
      <c r="H501" s="133"/>
      <c r="I501" s="133"/>
      <c r="J501" s="133"/>
      <c r="K501" s="133"/>
      <c r="L501" s="133"/>
      <c r="M501" s="133"/>
      <c r="N501" s="133"/>
      <c r="O501" s="133"/>
      <c r="P501" s="133"/>
      <c r="Q501" s="133"/>
      <c r="R501" s="133"/>
      <c r="S501" s="133"/>
      <c r="T501" s="133"/>
      <c r="U501" s="133"/>
      <c r="V501" s="133"/>
      <c r="W501" s="133"/>
      <c r="X501" s="160"/>
      <c r="Y501" s="133"/>
      <c r="Z501" s="133"/>
      <c r="AA501" s="133"/>
      <c r="AB501" s="133"/>
      <c r="AC501" s="133"/>
      <c r="AD501" s="133"/>
      <c r="AE501" s="133"/>
      <c r="AF501" s="133"/>
      <c r="AG501" s="133"/>
      <c r="AH501" s="133"/>
      <c r="AI501" s="133"/>
      <c r="AJ501" s="133"/>
      <c r="AK501" s="133"/>
      <c r="AL501" s="132"/>
      <c r="AM501" s="132"/>
      <c r="AN501" s="104"/>
      <c r="AO501" s="104"/>
      <c r="AP501" s="104"/>
    </row>
    <row r="502">
      <c r="A502" s="132"/>
      <c r="B502" s="132"/>
      <c r="C502" s="132"/>
      <c r="D502" s="132"/>
      <c r="E502" s="133"/>
      <c r="F502" s="133"/>
      <c r="G502" s="133"/>
      <c r="H502" s="133"/>
      <c r="I502" s="133"/>
      <c r="J502" s="133"/>
      <c r="K502" s="133"/>
      <c r="L502" s="133"/>
      <c r="M502" s="133"/>
      <c r="N502" s="133"/>
      <c r="O502" s="133"/>
      <c r="P502" s="133"/>
      <c r="Q502" s="133"/>
      <c r="R502" s="133"/>
      <c r="S502" s="133"/>
      <c r="T502" s="133"/>
      <c r="U502" s="133"/>
      <c r="V502" s="133"/>
      <c r="W502" s="133"/>
      <c r="X502" s="160"/>
      <c r="Y502" s="133"/>
      <c r="Z502" s="133"/>
      <c r="AA502" s="133"/>
      <c r="AB502" s="133"/>
      <c r="AC502" s="133"/>
      <c r="AD502" s="133"/>
      <c r="AE502" s="133"/>
      <c r="AF502" s="133"/>
      <c r="AG502" s="133"/>
      <c r="AH502" s="133"/>
      <c r="AI502" s="133"/>
      <c r="AJ502" s="133"/>
      <c r="AK502" s="133"/>
      <c r="AL502" s="132"/>
      <c r="AM502" s="132"/>
      <c r="AN502" s="104"/>
      <c r="AO502" s="104"/>
      <c r="AP502" s="104"/>
    </row>
    <row r="503">
      <c r="A503" s="132"/>
      <c r="B503" s="132"/>
      <c r="C503" s="132"/>
      <c r="D503" s="132"/>
      <c r="E503" s="133"/>
      <c r="F503" s="133"/>
      <c r="G503" s="133"/>
      <c r="H503" s="133"/>
      <c r="I503" s="133"/>
      <c r="J503" s="133"/>
      <c r="K503" s="133"/>
      <c r="L503" s="133"/>
      <c r="M503" s="133"/>
      <c r="N503" s="133"/>
      <c r="O503" s="133"/>
      <c r="P503" s="133"/>
      <c r="Q503" s="133"/>
      <c r="R503" s="133"/>
      <c r="S503" s="133"/>
      <c r="T503" s="133"/>
      <c r="U503" s="133"/>
      <c r="V503" s="133"/>
      <c r="W503" s="133"/>
      <c r="X503" s="160"/>
      <c r="Y503" s="133"/>
      <c r="Z503" s="133"/>
      <c r="AA503" s="133"/>
      <c r="AB503" s="133"/>
      <c r="AC503" s="133"/>
      <c r="AD503" s="133"/>
      <c r="AE503" s="133"/>
      <c r="AF503" s="133"/>
      <c r="AG503" s="133"/>
      <c r="AH503" s="133"/>
      <c r="AI503" s="133"/>
      <c r="AJ503" s="133"/>
      <c r="AK503" s="133"/>
      <c r="AL503" s="132"/>
      <c r="AM503" s="132"/>
      <c r="AN503" s="104"/>
      <c r="AO503" s="104"/>
      <c r="AP503" s="104"/>
    </row>
    <row r="504">
      <c r="A504" s="132"/>
      <c r="B504" s="132"/>
      <c r="C504" s="132"/>
      <c r="D504" s="132"/>
      <c r="E504" s="133"/>
      <c r="F504" s="133"/>
      <c r="G504" s="133"/>
      <c r="H504" s="133"/>
      <c r="I504" s="133"/>
      <c r="J504" s="133"/>
      <c r="K504" s="133"/>
      <c r="L504" s="133"/>
      <c r="M504" s="133"/>
      <c r="N504" s="133"/>
      <c r="O504" s="133"/>
      <c r="P504" s="133"/>
      <c r="Q504" s="133"/>
      <c r="R504" s="133"/>
      <c r="S504" s="133"/>
      <c r="T504" s="133"/>
      <c r="U504" s="133"/>
      <c r="V504" s="133"/>
      <c r="W504" s="133"/>
      <c r="X504" s="160"/>
      <c r="Y504" s="133"/>
      <c r="Z504" s="133"/>
      <c r="AA504" s="133"/>
      <c r="AB504" s="133"/>
      <c r="AC504" s="133"/>
      <c r="AD504" s="133"/>
      <c r="AE504" s="133"/>
      <c r="AF504" s="133"/>
      <c r="AG504" s="133"/>
      <c r="AH504" s="133"/>
      <c r="AI504" s="133"/>
      <c r="AJ504" s="133"/>
      <c r="AK504" s="133"/>
      <c r="AL504" s="132"/>
      <c r="AM504" s="132"/>
      <c r="AN504" s="104"/>
      <c r="AO504" s="104"/>
      <c r="AP504" s="104"/>
    </row>
    <row r="505">
      <c r="A505" s="132"/>
      <c r="B505" s="132"/>
      <c r="C505" s="132"/>
      <c r="D505" s="132"/>
      <c r="E505" s="133"/>
      <c r="F505" s="133"/>
      <c r="G505" s="133"/>
      <c r="H505" s="133"/>
      <c r="I505" s="133"/>
      <c r="J505" s="133"/>
      <c r="K505" s="133"/>
      <c r="L505" s="133"/>
      <c r="M505" s="133"/>
      <c r="N505" s="133"/>
      <c r="O505" s="133"/>
      <c r="P505" s="133"/>
      <c r="Q505" s="133"/>
      <c r="R505" s="133"/>
      <c r="S505" s="133"/>
      <c r="T505" s="133"/>
      <c r="U505" s="133"/>
      <c r="V505" s="133"/>
      <c r="W505" s="133"/>
      <c r="X505" s="160"/>
      <c r="Y505" s="133"/>
      <c r="Z505" s="133"/>
      <c r="AA505" s="133"/>
      <c r="AB505" s="133"/>
      <c r="AC505" s="133"/>
      <c r="AD505" s="133"/>
      <c r="AE505" s="133"/>
      <c r="AF505" s="133"/>
      <c r="AG505" s="133"/>
      <c r="AH505" s="133"/>
      <c r="AI505" s="133"/>
      <c r="AJ505" s="133"/>
      <c r="AK505" s="133"/>
      <c r="AL505" s="132"/>
      <c r="AM505" s="132"/>
      <c r="AN505" s="104"/>
      <c r="AO505" s="104"/>
      <c r="AP505" s="104"/>
    </row>
    <row r="506">
      <c r="A506" s="132"/>
      <c r="B506" s="132"/>
      <c r="C506" s="132"/>
      <c r="D506" s="132"/>
      <c r="E506" s="133"/>
      <c r="F506" s="133"/>
      <c r="G506" s="133"/>
      <c r="H506" s="133"/>
      <c r="I506" s="133"/>
      <c r="J506" s="133"/>
      <c r="K506" s="133"/>
      <c r="L506" s="133"/>
      <c r="M506" s="133"/>
      <c r="N506" s="133"/>
      <c r="O506" s="133"/>
      <c r="P506" s="133"/>
      <c r="Q506" s="133"/>
      <c r="R506" s="133"/>
      <c r="S506" s="133"/>
      <c r="T506" s="133"/>
      <c r="U506" s="133"/>
      <c r="V506" s="133"/>
      <c r="W506" s="133"/>
      <c r="X506" s="160"/>
      <c r="Y506" s="133"/>
      <c r="Z506" s="133"/>
      <c r="AA506" s="133"/>
      <c r="AB506" s="133"/>
      <c r="AC506" s="133"/>
      <c r="AD506" s="133"/>
      <c r="AE506" s="133"/>
      <c r="AF506" s="133"/>
      <c r="AG506" s="133"/>
      <c r="AH506" s="133"/>
      <c r="AI506" s="133"/>
      <c r="AJ506" s="133"/>
      <c r="AK506" s="133"/>
      <c r="AL506" s="132"/>
      <c r="AM506" s="132"/>
      <c r="AN506" s="104"/>
      <c r="AO506" s="104"/>
      <c r="AP506" s="104"/>
    </row>
    <row r="507">
      <c r="A507" s="132"/>
      <c r="B507" s="132"/>
      <c r="C507" s="132"/>
      <c r="D507" s="132"/>
      <c r="E507" s="133"/>
      <c r="F507" s="133"/>
      <c r="G507" s="133"/>
      <c r="H507" s="133"/>
      <c r="I507" s="133"/>
      <c r="J507" s="133"/>
      <c r="K507" s="133"/>
      <c r="L507" s="133"/>
      <c r="M507" s="133"/>
      <c r="N507" s="133"/>
      <c r="O507" s="133"/>
      <c r="P507" s="133"/>
      <c r="Q507" s="133"/>
      <c r="R507" s="133"/>
      <c r="S507" s="133"/>
      <c r="T507" s="133"/>
      <c r="U507" s="133"/>
      <c r="V507" s="133"/>
      <c r="W507" s="133"/>
      <c r="X507" s="160"/>
      <c r="Y507" s="133"/>
      <c r="Z507" s="133"/>
      <c r="AA507" s="133"/>
      <c r="AB507" s="133"/>
      <c r="AC507" s="133"/>
      <c r="AD507" s="133"/>
      <c r="AE507" s="133"/>
      <c r="AF507" s="133"/>
      <c r="AG507" s="133"/>
      <c r="AH507" s="133"/>
      <c r="AI507" s="133"/>
      <c r="AJ507" s="133"/>
      <c r="AK507" s="133"/>
      <c r="AL507" s="132"/>
      <c r="AM507" s="132"/>
      <c r="AN507" s="104"/>
      <c r="AO507" s="104"/>
      <c r="AP507" s="104"/>
    </row>
    <row r="508">
      <c r="A508" s="132"/>
      <c r="B508" s="132"/>
      <c r="C508" s="132"/>
      <c r="D508" s="132"/>
      <c r="E508" s="133"/>
      <c r="F508" s="133"/>
      <c r="G508" s="133"/>
      <c r="H508" s="133"/>
      <c r="I508" s="133"/>
      <c r="J508" s="133"/>
      <c r="K508" s="133"/>
      <c r="L508" s="133"/>
      <c r="M508" s="133"/>
      <c r="N508" s="133"/>
      <c r="O508" s="133"/>
      <c r="P508" s="133"/>
      <c r="Q508" s="133"/>
      <c r="R508" s="133"/>
      <c r="S508" s="133"/>
      <c r="T508" s="133"/>
      <c r="U508" s="133"/>
      <c r="V508" s="133"/>
      <c r="W508" s="133"/>
      <c r="X508" s="160"/>
      <c r="Y508" s="133"/>
      <c r="Z508" s="133"/>
      <c r="AA508" s="133"/>
      <c r="AB508" s="133"/>
      <c r="AC508" s="133"/>
      <c r="AD508" s="133"/>
      <c r="AE508" s="133"/>
      <c r="AF508" s="133"/>
      <c r="AG508" s="133"/>
      <c r="AH508" s="133"/>
      <c r="AI508" s="133"/>
      <c r="AJ508" s="133"/>
      <c r="AK508" s="133"/>
      <c r="AL508" s="132"/>
      <c r="AM508" s="132"/>
      <c r="AN508" s="104"/>
      <c r="AO508" s="104"/>
      <c r="AP508" s="104"/>
    </row>
    <row r="509">
      <c r="A509" s="132"/>
      <c r="B509" s="132"/>
      <c r="C509" s="132"/>
      <c r="D509" s="132"/>
      <c r="E509" s="133"/>
      <c r="F509" s="133"/>
      <c r="G509" s="133"/>
      <c r="H509" s="133"/>
      <c r="I509" s="133"/>
      <c r="J509" s="133"/>
      <c r="K509" s="133"/>
      <c r="L509" s="133"/>
      <c r="M509" s="133"/>
      <c r="N509" s="133"/>
      <c r="O509" s="133"/>
      <c r="P509" s="133"/>
      <c r="Q509" s="133"/>
      <c r="R509" s="133"/>
      <c r="S509" s="133"/>
      <c r="T509" s="133"/>
      <c r="U509" s="133"/>
      <c r="V509" s="133"/>
      <c r="W509" s="133"/>
      <c r="X509" s="160"/>
      <c r="Y509" s="133"/>
      <c r="Z509" s="133"/>
      <c r="AA509" s="133"/>
      <c r="AB509" s="133"/>
      <c r="AC509" s="133"/>
      <c r="AD509" s="133"/>
      <c r="AE509" s="133"/>
      <c r="AF509" s="133"/>
      <c r="AG509" s="133"/>
      <c r="AH509" s="133"/>
      <c r="AI509" s="133"/>
      <c r="AJ509" s="133"/>
      <c r="AK509" s="133"/>
      <c r="AL509" s="132"/>
      <c r="AM509" s="132"/>
      <c r="AN509" s="104"/>
      <c r="AO509" s="104"/>
      <c r="AP509" s="104"/>
    </row>
    <row r="510">
      <c r="A510" s="132"/>
      <c r="B510" s="132"/>
      <c r="C510" s="132"/>
      <c r="D510" s="132"/>
      <c r="E510" s="133"/>
      <c r="F510" s="133"/>
      <c r="G510" s="133"/>
      <c r="H510" s="133"/>
      <c r="I510" s="133"/>
      <c r="J510" s="133"/>
      <c r="K510" s="133"/>
      <c r="L510" s="133"/>
      <c r="M510" s="133"/>
      <c r="N510" s="133"/>
      <c r="O510" s="133"/>
      <c r="P510" s="133"/>
      <c r="Q510" s="133"/>
      <c r="R510" s="133"/>
      <c r="S510" s="133"/>
      <c r="T510" s="133"/>
      <c r="U510" s="133"/>
      <c r="V510" s="133"/>
      <c r="W510" s="133"/>
      <c r="X510" s="160"/>
      <c r="Y510" s="133"/>
      <c r="Z510" s="133"/>
      <c r="AA510" s="133"/>
      <c r="AB510" s="133"/>
      <c r="AC510" s="133"/>
      <c r="AD510" s="133"/>
      <c r="AE510" s="133"/>
      <c r="AF510" s="133"/>
      <c r="AG510" s="133"/>
      <c r="AH510" s="133"/>
      <c r="AI510" s="133"/>
      <c r="AJ510" s="133"/>
      <c r="AK510" s="133"/>
      <c r="AL510" s="132"/>
      <c r="AM510" s="132"/>
      <c r="AN510" s="104"/>
      <c r="AO510" s="104"/>
      <c r="AP510" s="104"/>
    </row>
    <row r="511">
      <c r="A511" s="132"/>
      <c r="B511" s="132"/>
      <c r="C511" s="132"/>
      <c r="D511" s="132"/>
      <c r="E511" s="133"/>
      <c r="F511" s="133"/>
      <c r="G511" s="133"/>
      <c r="H511" s="133"/>
      <c r="I511" s="133"/>
      <c r="J511" s="133"/>
      <c r="K511" s="133"/>
      <c r="L511" s="133"/>
      <c r="M511" s="133"/>
      <c r="N511" s="133"/>
      <c r="O511" s="133"/>
      <c r="P511" s="133"/>
      <c r="Q511" s="133"/>
      <c r="R511" s="133"/>
      <c r="S511" s="133"/>
      <c r="T511" s="133"/>
      <c r="U511" s="133"/>
      <c r="V511" s="133"/>
      <c r="W511" s="133"/>
      <c r="X511" s="160"/>
      <c r="Y511" s="133"/>
      <c r="Z511" s="133"/>
      <c r="AA511" s="133"/>
      <c r="AB511" s="133"/>
      <c r="AC511" s="133"/>
      <c r="AD511" s="133"/>
      <c r="AE511" s="133"/>
      <c r="AF511" s="133"/>
      <c r="AG511" s="133"/>
      <c r="AH511" s="133"/>
      <c r="AI511" s="133"/>
      <c r="AJ511" s="133"/>
      <c r="AK511" s="133"/>
      <c r="AL511" s="132"/>
      <c r="AM511" s="132"/>
      <c r="AN511" s="104"/>
      <c r="AO511" s="104"/>
      <c r="AP511" s="104"/>
    </row>
    <row r="512">
      <c r="A512" s="132"/>
      <c r="B512" s="132"/>
      <c r="C512" s="132"/>
      <c r="D512" s="132"/>
      <c r="E512" s="133"/>
      <c r="F512" s="133"/>
      <c r="G512" s="133"/>
      <c r="H512" s="133"/>
      <c r="I512" s="133"/>
      <c r="J512" s="133"/>
      <c r="K512" s="133"/>
      <c r="L512" s="133"/>
      <c r="M512" s="133"/>
      <c r="N512" s="133"/>
      <c r="O512" s="133"/>
      <c r="P512" s="133"/>
      <c r="Q512" s="133"/>
      <c r="R512" s="133"/>
      <c r="S512" s="133"/>
      <c r="T512" s="133"/>
      <c r="U512" s="133"/>
      <c r="V512" s="133"/>
      <c r="W512" s="133"/>
      <c r="X512" s="160"/>
      <c r="Y512" s="133"/>
      <c r="Z512" s="133"/>
      <c r="AA512" s="133"/>
      <c r="AB512" s="133"/>
      <c r="AC512" s="133"/>
      <c r="AD512" s="133"/>
      <c r="AE512" s="133"/>
      <c r="AF512" s="133"/>
      <c r="AG512" s="133"/>
      <c r="AH512" s="133"/>
      <c r="AI512" s="133"/>
      <c r="AJ512" s="133"/>
      <c r="AK512" s="133"/>
      <c r="AL512" s="132"/>
      <c r="AM512" s="132"/>
      <c r="AN512" s="104"/>
      <c r="AO512" s="104"/>
      <c r="AP512" s="104"/>
    </row>
    <row r="513">
      <c r="A513" s="132"/>
      <c r="B513" s="132"/>
      <c r="C513" s="132"/>
      <c r="D513" s="132"/>
      <c r="E513" s="133"/>
      <c r="F513" s="133"/>
      <c r="G513" s="133"/>
      <c r="H513" s="133"/>
      <c r="I513" s="133"/>
      <c r="J513" s="133"/>
      <c r="K513" s="133"/>
      <c r="L513" s="133"/>
      <c r="M513" s="133"/>
      <c r="N513" s="133"/>
      <c r="O513" s="133"/>
      <c r="P513" s="133"/>
      <c r="Q513" s="133"/>
      <c r="R513" s="133"/>
      <c r="S513" s="133"/>
      <c r="T513" s="133"/>
      <c r="U513" s="133"/>
      <c r="V513" s="133"/>
      <c r="W513" s="133"/>
      <c r="X513" s="160"/>
      <c r="Y513" s="133"/>
      <c r="Z513" s="133"/>
      <c r="AA513" s="133"/>
      <c r="AB513" s="133"/>
      <c r="AC513" s="133"/>
      <c r="AD513" s="133"/>
      <c r="AE513" s="133"/>
      <c r="AF513" s="133"/>
      <c r="AG513" s="133"/>
      <c r="AH513" s="133"/>
      <c r="AI513" s="133"/>
      <c r="AJ513" s="133"/>
      <c r="AK513" s="133"/>
      <c r="AL513" s="132"/>
      <c r="AM513" s="132"/>
      <c r="AN513" s="104"/>
      <c r="AO513" s="104"/>
      <c r="AP513" s="104"/>
    </row>
    <row r="514">
      <c r="A514" s="132"/>
      <c r="B514" s="132"/>
      <c r="C514" s="132"/>
      <c r="D514" s="132"/>
      <c r="E514" s="133"/>
      <c r="F514" s="133"/>
      <c r="G514" s="133"/>
      <c r="H514" s="133"/>
      <c r="I514" s="133"/>
      <c r="J514" s="133"/>
      <c r="K514" s="133"/>
      <c r="L514" s="133"/>
      <c r="M514" s="133"/>
      <c r="N514" s="133"/>
      <c r="O514" s="133"/>
      <c r="P514" s="133"/>
      <c r="Q514" s="133"/>
      <c r="R514" s="133"/>
      <c r="S514" s="133"/>
      <c r="T514" s="133"/>
      <c r="U514" s="133"/>
      <c r="V514" s="133"/>
      <c r="W514" s="133"/>
      <c r="X514" s="160"/>
      <c r="Y514" s="133"/>
      <c r="Z514" s="133"/>
      <c r="AA514" s="133"/>
      <c r="AB514" s="133"/>
      <c r="AC514" s="133"/>
      <c r="AD514" s="133"/>
      <c r="AE514" s="133"/>
      <c r="AF514" s="133"/>
      <c r="AG514" s="133"/>
      <c r="AH514" s="133"/>
      <c r="AI514" s="133"/>
      <c r="AJ514" s="133"/>
      <c r="AK514" s="133"/>
      <c r="AL514" s="132"/>
      <c r="AM514" s="132"/>
      <c r="AN514" s="104"/>
      <c r="AO514" s="104"/>
      <c r="AP514" s="104"/>
    </row>
    <row r="515">
      <c r="A515" s="132"/>
      <c r="B515" s="132"/>
      <c r="C515" s="132"/>
      <c r="D515" s="132"/>
      <c r="E515" s="133"/>
      <c r="F515" s="133"/>
      <c r="G515" s="133"/>
      <c r="H515" s="133"/>
      <c r="I515" s="133"/>
      <c r="J515" s="133"/>
      <c r="K515" s="133"/>
      <c r="L515" s="133"/>
      <c r="M515" s="133"/>
      <c r="N515" s="133"/>
      <c r="O515" s="133"/>
      <c r="P515" s="133"/>
      <c r="Q515" s="133"/>
      <c r="R515" s="133"/>
      <c r="S515" s="133"/>
      <c r="T515" s="133"/>
      <c r="U515" s="133"/>
      <c r="V515" s="133"/>
      <c r="W515" s="133"/>
      <c r="X515" s="160"/>
      <c r="Y515" s="133"/>
      <c r="Z515" s="133"/>
      <c r="AA515" s="133"/>
      <c r="AB515" s="133"/>
      <c r="AC515" s="133"/>
      <c r="AD515" s="133"/>
      <c r="AE515" s="133"/>
      <c r="AF515" s="133"/>
      <c r="AG515" s="133"/>
      <c r="AH515" s="133"/>
      <c r="AI515" s="133"/>
      <c r="AJ515" s="133"/>
      <c r="AK515" s="133"/>
      <c r="AL515" s="132"/>
      <c r="AM515" s="132"/>
      <c r="AN515" s="104"/>
      <c r="AO515" s="104"/>
      <c r="AP515" s="104"/>
    </row>
    <row r="516">
      <c r="A516" s="132"/>
      <c r="B516" s="132"/>
      <c r="C516" s="132"/>
      <c r="D516" s="132"/>
      <c r="E516" s="133"/>
      <c r="F516" s="133"/>
      <c r="G516" s="133"/>
      <c r="H516" s="133"/>
      <c r="I516" s="133"/>
      <c r="J516" s="133"/>
      <c r="K516" s="133"/>
      <c r="L516" s="133"/>
      <c r="M516" s="133"/>
      <c r="N516" s="133"/>
      <c r="O516" s="133"/>
      <c r="P516" s="133"/>
      <c r="Q516" s="133"/>
      <c r="R516" s="133"/>
      <c r="S516" s="133"/>
      <c r="T516" s="133"/>
      <c r="U516" s="133"/>
      <c r="V516" s="133"/>
      <c r="W516" s="133"/>
      <c r="X516" s="160"/>
      <c r="Y516" s="133"/>
      <c r="Z516" s="133"/>
      <c r="AA516" s="133"/>
      <c r="AB516" s="133"/>
      <c r="AC516" s="133"/>
      <c r="AD516" s="133"/>
      <c r="AE516" s="133"/>
      <c r="AF516" s="133"/>
      <c r="AG516" s="133"/>
      <c r="AH516" s="133"/>
      <c r="AI516" s="133"/>
      <c r="AJ516" s="133"/>
      <c r="AK516" s="133"/>
      <c r="AL516" s="132"/>
      <c r="AM516" s="132"/>
      <c r="AN516" s="104"/>
      <c r="AO516" s="104"/>
      <c r="AP516" s="104"/>
    </row>
    <row r="517">
      <c r="A517" s="132"/>
      <c r="B517" s="132"/>
      <c r="C517" s="132"/>
      <c r="D517" s="132"/>
      <c r="E517" s="133"/>
      <c r="F517" s="133"/>
      <c r="G517" s="133"/>
      <c r="H517" s="133"/>
      <c r="I517" s="133"/>
      <c r="J517" s="133"/>
      <c r="K517" s="133"/>
      <c r="L517" s="133"/>
      <c r="M517" s="133"/>
      <c r="N517" s="133"/>
      <c r="O517" s="133"/>
      <c r="P517" s="133"/>
      <c r="Q517" s="133"/>
      <c r="R517" s="133"/>
      <c r="S517" s="133"/>
      <c r="T517" s="133"/>
      <c r="U517" s="133"/>
      <c r="V517" s="133"/>
      <c r="W517" s="133"/>
      <c r="X517" s="160"/>
      <c r="Y517" s="133"/>
      <c r="Z517" s="133"/>
      <c r="AA517" s="133"/>
      <c r="AB517" s="133"/>
      <c r="AC517" s="133"/>
      <c r="AD517" s="133"/>
      <c r="AE517" s="133"/>
      <c r="AF517" s="133"/>
      <c r="AG517" s="133"/>
      <c r="AH517" s="133"/>
      <c r="AI517" s="133"/>
      <c r="AJ517" s="133"/>
      <c r="AK517" s="133"/>
      <c r="AL517" s="132"/>
      <c r="AM517" s="132"/>
      <c r="AN517" s="104"/>
      <c r="AO517" s="104"/>
      <c r="AP517" s="104"/>
    </row>
    <row r="518">
      <c r="A518" s="132"/>
      <c r="B518" s="132"/>
      <c r="C518" s="132"/>
      <c r="D518" s="132"/>
      <c r="E518" s="133"/>
      <c r="F518" s="133"/>
      <c r="G518" s="133"/>
      <c r="H518" s="133"/>
      <c r="I518" s="133"/>
      <c r="J518" s="133"/>
      <c r="K518" s="133"/>
      <c r="L518" s="133"/>
      <c r="M518" s="133"/>
      <c r="N518" s="133"/>
      <c r="O518" s="133"/>
      <c r="P518" s="133"/>
      <c r="Q518" s="133"/>
      <c r="R518" s="133"/>
      <c r="S518" s="133"/>
      <c r="T518" s="133"/>
      <c r="U518" s="133"/>
      <c r="V518" s="133"/>
      <c r="W518" s="133"/>
      <c r="X518" s="160"/>
      <c r="Y518" s="133"/>
      <c r="Z518" s="133"/>
      <c r="AA518" s="133"/>
      <c r="AB518" s="133"/>
      <c r="AC518" s="133"/>
      <c r="AD518" s="133"/>
      <c r="AE518" s="133"/>
      <c r="AF518" s="133"/>
      <c r="AG518" s="133"/>
      <c r="AH518" s="133"/>
      <c r="AI518" s="133"/>
      <c r="AJ518" s="133"/>
      <c r="AK518" s="133"/>
      <c r="AL518" s="132"/>
      <c r="AM518" s="132"/>
      <c r="AN518" s="104"/>
      <c r="AO518" s="104"/>
      <c r="AP518" s="104"/>
    </row>
    <row r="519">
      <c r="A519" s="132"/>
      <c r="B519" s="132"/>
      <c r="C519" s="132"/>
      <c r="D519" s="132"/>
      <c r="E519" s="133"/>
      <c r="F519" s="133"/>
      <c r="G519" s="133"/>
      <c r="H519" s="133"/>
      <c r="I519" s="133"/>
      <c r="J519" s="133"/>
      <c r="K519" s="133"/>
      <c r="L519" s="133"/>
      <c r="M519" s="133"/>
      <c r="N519" s="133"/>
      <c r="O519" s="133"/>
      <c r="P519" s="133"/>
      <c r="Q519" s="133"/>
      <c r="R519" s="133"/>
      <c r="S519" s="133"/>
      <c r="T519" s="133"/>
      <c r="U519" s="133"/>
      <c r="V519" s="133"/>
      <c r="W519" s="133"/>
      <c r="X519" s="160"/>
      <c r="Y519" s="133"/>
      <c r="Z519" s="133"/>
      <c r="AA519" s="133"/>
      <c r="AB519" s="133"/>
      <c r="AC519" s="133"/>
      <c r="AD519" s="133"/>
      <c r="AE519" s="133"/>
      <c r="AF519" s="133"/>
      <c r="AG519" s="133"/>
      <c r="AH519" s="133"/>
      <c r="AI519" s="133"/>
      <c r="AJ519" s="133"/>
      <c r="AK519" s="133"/>
      <c r="AL519" s="132"/>
      <c r="AM519" s="132"/>
      <c r="AN519" s="104"/>
      <c r="AO519" s="104"/>
      <c r="AP519" s="104"/>
    </row>
    <row r="520">
      <c r="A520" s="132"/>
      <c r="B520" s="132"/>
      <c r="C520" s="132"/>
      <c r="D520" s="132"/>
      <c r="E520" s="133"/>
      <c r="F520" s="133"/>
      <c r="G520" s="133"/>
      <c r="H520" s="133"/>
      <c r="I520" s="133"/>
      <c r="J520" s="133"/>
      <c r="K520" s="133"/>
      <c r="L520" s="133"/>
      <c r="M520" s="133"/>
      <c r="N520" s="133"/>
      <c r="O520" s="133"/>
      <c r="P520" s="133"/>
      <c r="Q520" s="133"/>
      <c r="R520" s="133"/>
      <c r="S520" s="133"/>
      <c r="T520" s="133"/>
      <c r="U520" s="133"/>
      <c r="V520" s="133"/>
      <c r="W520" s="133"/>
      <c r="X520" s="160"/>
      <c r="Y520" s="133"/>
      <c r="Z520" s="133"/>
      <c r="AA520" s="133"/>
      <c r="AB520" s="133"/>
      <c r="AC520" s="133"/>
      <c r="AD520" s="133"/>
      <c r="AE520" s="133"/>
      <c r="AF520" s="133"/>
      <c r="AG520" s="133"/>
      <c r="AH520" s="133"/>
      <c r="AI520" s="133"/>
      <c r="AJ520" s="133"/>
      <c r="AK520" s="133"/>
      <c r="AL520" s="132"/>
      <c r="AM520" s="132"/>
      <c r="AN520" s="104"/>
      <c r="AO520" s="104"/>
      <c r="AP520" s="104"/>
    </row>
    <row r="521">
      <c r="A521" s="132"/>
      <c r="B521" s="132"/>
      <c r="C521" s="132"/>
      <c r="D521" s="132"/>
      <c r="E521" s="133"/>
      <c r="F521" s="133"/>
      <c r="G521" s="133"/>
      <c r="H521" s="133"/>
      <c r="I521" s="133"/>
      <c r="J521" s="133"/>
      <c r="K521" s="133"/>
      <c r="L521" s="133"/>
      <c r="M521" s="133"/>
      <c r="N521" s="133"/>
      <c r="O521" s="133"/>
      <c r="P521" s="133"/>
      <c r="Q521" s="133"/>
      <c r="R521" s="133"/>
      <c r="S521" s="133"/>
      <c r="T521" s="133"/>
      <c r="U521" s="133"/>
      <c r="V521" s="133"/>
      <c r="W521" s="133"/>
      <c r="X521" s="160"/>
      <c r="Y521" s="133"/>
      <c r="Z521" s="133"/>
      <c r="AA521" s="133"/>
      <c r="AB521" s="133"/>
      <c r="AC521" s="133"/>
      <c r="AD521" s="133"/>
      <c r="AE521" s="133"/>
      <c r="AF521" s="133"/>
      <c r="AG521" s="133"/>
      <c r="AH521" s="133"/>
      <c r="AI521" s="133"/>
      <c r="AJ521" s="133"/>
      <c r="AK521" s="133"/>
      <c r="AL521" s="132"/>
      <c r="AM521" s="132"/>
      <c r="AN521" s="104"/>
      <c r="AO521" s="104"/>
      <c r="AP521" s="104"/>
    </row>
    <row r="522">
      <c r="A522" s="132"/>
      <c r="B522" s="132"/>
      <c r="C522" s="132"/>
      <c r="D522" s="132"/>
      <c r="E522" s="133"/>
      <c r="F522" s="133"/>
      <c r="G522" s="133"/>
      <c r="H522" s="133"/>
      <c r="I522" s="133"/>
      <c r="J522" s="133"/>
      <c r="K522" s="133"/>
      <c r="L522" s="133"/>
      <c r="M522" s="133"/>
      <c r="N522" s="133"/>
      <c r="O522" s="133"/>
      <c r="P522" s="133"/>
      <c r="Q522" s="133"/>
      <c r="R522" s="133"/>
      <c r="S522" s="133"/>
      <c r="T522" s="133"/>
      <c r="U522" s="133"/>
      <c r="V522" s="133"/>
      <c r="W522" s="133"/>
      <c r="X522" s="160"/>
      <c r="Y522" s="133"/>
      <c r="Z522" s="133"/>
      <c r="AA522" s="133"/>
      <c r="AB522" s="133"/>
      <c r="AC522" s="133"/>
      <c r="AD522" s="133"/>
      <c r="AE522" s="133"/>
      <c r="AF522" s="133"/>
      <c r="AG522" s="133"/>
      <c r="AH522" s="133"/>
      <c r="AI522" s="133"/>
      <c r="AJ522" s="133"/>
      <c r="AK522" s="133"/>
      <c r="AL522" s="132"/>
      <c r="AM522" s="132"/>
      <c r="AN522" s="104"/>
      <c r="AO522" s="104"/>
      <c r="AP522" s="104"/>
    </row>
    <row r="523">
      <c r="A523" s="132"/>
      <c r="B523" s="132"/>
      <c r="C523" s="132"/>
      <c r="D523" s="132"/>
      <c r="E523" s="133"/>
      <c r="F523" s="133"/>
      <c r="G523" s="133"/>
      <c r="H523" s="133"/>
      <c r="I523" s="133"/>
      <c r="J523" s="133"/>
      <c r="K523" s="133"/>
      <c r="L523" s="133"/>
      <c r="M523" s="133"/>
      <c r="N523" s="133"/>
      <c r="O523" s="133"/>
      <c r="P523" s="133"/>
      <c r="Q523" s="133"/>
      <c r="R523" s="133"/>
      <c r="S523" s="133"/>
      <c r="T523" s="133"/>
      <c r="U523" s="133"/>
      <c r="V523" s="133"/>
      <c r="W523" s="133"/>
      <c r="X523" s="160"/>
      <c r="Y523" s="133"/>
      <c r="Z523" s="133"/>
      <c r="AA523" s="133"/>
      <c r="AB523" s="133"/>
      <c r="AC523" s="133"/>
      <c r="AD523" s="133"/>
      <c r="AE523" s="133"/>
      <c r="AF523" s="133"/>
      <c r="AG523" s="133"/>
      <c r="AH523" s="133"/>
      <c r="AI523" s="133"/>
      <c r="AJ523" s="133"/>
      <c r="AK523" s="133"/>
      <c r="AL523" s="132"/>
      <c r="AM523" s="132"/>
      <c r="AN523" s="104"/>
      <c r="AO523" s="104"/>
      <c r="AP523" s="104"/>
    </row>
    <row r="524">
      <c r="A524" s="132"/>
      <c r="B524" s="132"/>
      <c r="C524" s="132"/>
      <c r="D524" s="132"/>
      <c r="E524" s="133"/>
      <c r="F524" s="133"/>
      <c r="G524" s="133"/>
      <c r="H524" s="133"/>
      <c r="I524" s="133"/>
      <c r="J524" s="133"/>
      <c r="K524" s="133"/>
      <c r="L524" s="133"/>
      <c r="M524" s="133"/>
      <c r="N524" s="133"/>
      <c r="O524" s="133"/>
      <c r="P524" s="133"/>
      <c r="Q524" s="133"/>
      <c r="R524" s="133"/>
      <c r="S524" s="133"/>
      <c r="T524" s="133"/>
      <c r="U524" s="133"/>
      <c r="V524" s="133"/>
      <c r="W524" s="133"/>
      <c r="X524" s="160"/>
      <c r="Y524" s="133"/>
      <c r="Z524" s="133"/>
      <c r="AA524" s="133"/>
      <c r="AB524" s="133"/>
      <c r="AC524" s="133"/>
      <c r="AD524" s="133"/>
      <c r="AE524" s="133"/>
      <c r="AF524" s="133"/>
      <c r="AG524" s="133"/>
      <c r="AH524" s="133"/>
      <c r="AI524" s="133"/>
      <c r="AJ524" s="133"/>
      <c r="AK524" s="133"/>
      <c r="AL524" s="132"/>
      <c r="AM524" s="132"/>
      <c r="AN524" s="104"/>
      <c r="AO524" s="104"/>
      <c r="AP524" s="104"/>
    </row>
    <row r="525">
      <c r="A525" s="132"/>
      <c r="B525" s="132"/>
      <c r="C525" s="132"/>
      <c r="D525" s="132"/>
      <c r="E525" s="133"/>
      <c r="F525" s="133"/>
      <c r="G525" s="133"/>
      <c r="H525" s="133"/>
      <c r="I525" s="133"/>
      <c r="J525" s="133"/>
      <c r="K525" s="133"/>
      <c r="L525" s="133"/>
      <c r="M525" s="133"/>
      <c r="N525" s="133"/>
      <c r="O525" s="133"/>
      <c r="P525" s="133"/>
      <c r="Q525" s="133"/>
      <c r="R525" s="133"/>
      <c r="S525" s="133"/>
      <c r="T525" s="133"/>
      <c r="U525" s="133"/>
      <c r="V525" s="133"/>
      <c r="W525" s="133"/>
      <c r="X525" s="160"/>
      <c r="Y525" s="133"/>
      <c r="Z525" s="133"/>
      <c r="AA525" s="133"/>
      <c r="AB525" s="133"/>
      <c r="AC525" s="133"/>
      <c r="AD525" s="133"/>
      <c r="AE525" s="133"/>
      <c r="AF525" s="133"/>
      <c r="AG525" s="133"/>
      <c r="AH525" s="133"/>
      <c r="AI525" s="133"/>
      <c r="AJ525" s="133"/>
      <c r="AK525" s="133"/>
      <c r="AL525" s="132"/>
      <c r="AM525" s="132"/>
      <c r="AN525" s="104"/>
      <c r="AO525" s="104"/>
      <c r="AP525" s="104"/>
    </row>
    <row r="526">
      <c r="A526" s="132"/>
      <c r="B526" s="132"/>
      <c r="C526" s="132"/>
      <c r="D526" s="132"/>
      <c r="E526" s="133"/>
      <c r="F526" s="133"/>
      <c r="G526" s="133"/>
      <c r="H526" s="133"/>
      <c r="I526" s="133"/>
      <c r="J526" s="133"/>
      <c r="K526" s="133"/>
      <c r="L526" s="133"/>
      <c r="M526" s="133"/>
      <c r="N526" s="133"/>
      <c r="O526" s="133"/>
      <c r="P526" s="133"/>
      <c r="Q526" s="133"/>
      <c r="R526" s="133"/>
      <c r="S526" s="133"/>
      <c r="T526" s="133"/>
      <c r="U526" s="133"/>
      <c r="V526" s="133"/>
      <c r="W526" s="133"/>
      <c r="X526" s="160"/>
      <c r="Y526" s="133"/>
      <c r="Z526" s="133"/>
      <c r="AA526" s="133"/>
      <c r="AB526" s="133"/>
      <c r="AC526" s="133"/>
      <c r="AD526" s="133"/>
      <c r="AE526" s="133"/>
      <c r="AF526" s="133"/>
      <c r="AG526" s="133"/>
      <c r="AH526" s="133"/>
      <c r="AI526" s="133"/>
      <c r="AJ526" s="133"/>
      <c r="AK526" s="133"/>
      <c r="AL526" s="132"/>
      <c r="AM526" s="132"/>
      <c r="AN526" s="104"/>
      <c r="AO526" s="104"/>
      <c r="AP526" s="104"/>
    </row>
    <row r="527">
      <c r="A527" s="132"/>
      <c r="B527" s="132"/>
      <c r="C527" s="132"/>
      <c r="D527" s="132"/>
      <c r="E527" s="133"/>
      <c r="F527" s="133"/>
      <c r="G527" s="133"/>
      <c r="H527" s="133"/>
      <c r="I527" s="133"/>
      <c r="J527" s="133"/>
      <c r="K527" s="133"/>
      <c r="L527" s="133"/>
      <c r="M527" s="133"/>
      <c r="N527" s="133"/>
      <c r="O527" s="133"/>
      <c r="P527" s="133"/>
      <c r="Q527" s="133"/>
      <c r="R527" s="133"/>
      <c r="S527" s="133"/>
      <c r="T527" s="133"/>
      <c r="U527" s="133"/>
      <c r="V527" s="133"/>
      <c r="W527" s="133"/>
      <c r="X527" s="160"/>
      <c r="Y527" s="133"/>
      <c r="Z527" s="133"/>
      <c r="AA527" s="133"/>
      <c r="AB527" s="133"/>
      <c r="AC527" s="133"/>
      <c r="AD527" s="133"/>
      <c r="AE527" s="133"/>
      <c r="AF527" s="133"/>
      <c r="AG527" s="133"/>
      <c r="AH527" s="133"/>
      <c r="AI527" s="133"/>
      <c r="AJ527" s="133"/>
      <c r="AK527" s="133"/>
      <c r="AL527" s="132"/>
      <c r="AM527" s="132"/>
      <c r="AN527" s="104"/>
      <c r="AO527" s="104"/>
      <c r="AP527" s="104"/>
    </row>
    <row r="528">
      <c r="A528" s="132"/>
      <c r="B528" s="132"/>
      <c r="C528" s="132"/>
      <c r="D528" s="132"/>
      <c r="E528" s="133"/>
      <c r="F528" s="133"/>
      <c r="G528" s="133"/>
      <c r="H528" s="133"/>
      <c r="I528" s="133"/>
      <c r="J528" s="133"/>
      <c r="K528" s="133"/>
      <c r="L528" s="133"/>
      <c r="M528" s="133"/>
      <c r="N528" s="133"/>
      <c r="O528" s="133"/>
      <c r="P528" s="133"/>
      <c r="Q528" s="133"/>
      <c r="R528" s="133"/>
      <c r="S528" s="133"/>
      <c r="T528" s="133"/>
      <c r="U528" s="133"/>
      <c r="V528" s="133"/>
      <c r="W528" s="133"/>
      <c r="X528" s="160"/>
      <c r="Y528" s="133"/>
      <c r="Z528" s="133"/>
      <c r="AA528" s="133"/>
      <c r="AB528" s="133"/>
      <c r="AC528" s="133"/>
      <c r="AD528" s="133"/>
      <c r="AE528" s="133"/>
      <c r="AF528" s="133"/>
      <c r="AG528" s="133"/>
      <c r="AH528" s="133"/>
      <c r="AI528" s="133"/>
      <c r="AJ528" s="133"/>
      <c r="AK528" s="133"/>
      <c r="AL528" s="132"/>
      <c r="AM528" s="132"/>
      <c r="AN528" s="104"/>
      <c r="AO528" s="104"/>
      <c r="AP528" s="104"/>
    </row>
    <row r="529">
      <c r="A529" s="132"/>
      <c r="B529" s="132"/>
      <c r="C529" s="132"/>
      <c r="D529" s="132"/>
      <c r="E529" s="133"/>
      <c r="F529" s="133"/>
      <c r="G529" s="133"/>
      <c r="H529" s="133"/>
      <c r="I529" s="133"/>
      <c r="J529" s="133"/>
      <c r="K529" s="133"/>
      <c r="L529" s="133"/>
      <c r="M529" s="133"/>
      <c r="N529" s="133"/>
      <c r="O529" s="133"/>
      <c r="P529" s="133"/>
      <c r="Q529" s="133"/>
      <c r="R529" s="133"/>
      <c r="S529" s="133"/>
      <c r="T529" s="133"/>
      <c r="U529" s="133"/>
      <c r="V529" s="133"/>
      <c r="W529" s="133"/>
      <c r="X529" s="160"/>
      <c r="Y529" s="133"/>
      <c r="Z529" s="133"/>
      <c r="AA529" s="133"/>
      <c r="AB529" s="133"/>
      <c r="AC529" s="133"/>
      <c r="AD529" s="133"/>
      <c r="AE529" s="133"/>
      <c r="AF529" s="133"/>
      <c r="AG529" s="133"/>
      <c r="AH529" s="133"/>
      <c r="AI529" s="133"/>
      <c r="AJ529" s="133"/>
      <c r="AK529" s="133"/>
      <c r="AL529" s="132"/>
      <c r="AM529" s="132"/>
      <c r="AN529" s="104"/>
      <c r="AO529" s="104"/>
      <c r="AP529" s="104"/>
    </row>
    <row r="530">
      <c r="A530" s="132"/>
      <c r="B530" s="132"/>
      <c r="C530" s="132"/>
      <c r="D530" s="132"/>
      <c r="E530" s="133"/>
      <c r="F530" s="133"/>
      <c r="G530" s="133"/>
      <c r="H530" s="133"/>
      <c r="I530" s="133"/>
      <c r="J530" s="133"/>
      <c r="K530" s="133"/>
      <c r="L530" s="133"/>
      <c r="M530" s="133"/>
      <c r="N530" s="133"/>
      <c r="O530" s="133"/>
      <c r="P530" s="133"/>
      <c r="Q530" s="133"/>
      <c r="R530" s="133"/>
      <c r="S530" s="133"/>
      <c r="T530" s="133"/>
      <c r="U530" s="133"/>
      <c r="V530" s="133"/>
      <c r="W530" s="133"/>
      <c r="X530" s="160"/>
      <c r="Y530" s="133"/>
      <c r="Z530" s="133"/>
      <c r="AA530" s="133"/>
      <c r="AB530" s="133"/>
      <c r="AC530" s="133"/>
      <c r="AD530" s="133"/>
      <c r="AE530" s="133"/>
      <c r="AF530" s="133"/>
      <c r="AG530" s="133"/>
      <c r="AH530" s="133"/>
      <c r="AI530" s="133"/>
      <c r="AJ530" s="133"/>
      <c r="AK530" s="133"/>
      <c r="AL530" s="132"/>
      <c r="AM530" s="132"/>
      <c r="AN530" s="104"/>
      <c r="AO530" s="104"/>
      <c r="AP530" s="104"/>
    </row>
    <row r="531">
      <c r="A531" s="132"/>
      <c r="B531" s="132"/>
      <c r="C531" s="132"/>
      <c r="D531" s="132"/>
      <c r="E531" s="133"/>
      <c r="F531" s="133"/>
      <c r="G531" s="133"/>
      <c r="H531" s="133"/>
      <c r="I531" s="133"/>
      <c r="J531" s="133"/>
      <c r="K531" s="133"/>
      <c r="L531" s="133"/>
      <c r="M531" s="133"/>
      <c r="N531" s="133"/>
      <c r="O531" s="133"/>
      <c r="P531" s="133"/>
      <c r="Q531" s="133"/>
      <c r="R531" s="133"/>
      <c r="S531" s="133"/>
      <c r="T531" s="133"/>
      <c r="U531" s="133"/>
      <c r="V531" s="133"/>
      <c r="W531" s="133"/>
      <c r="X531" s="160"/>
      <c r="Y531" s="133"/>
      <c r="Z531" s="133"/>
      <c r="AA531" s="133"/>
      <c r="AB531" s="133"/>
      <c r="AC531" s="133"/>
      <c r="AD531" s="133"/>
      <c r="AE531" s="133"/>
      <c r="AF531" s="133"/>
      <c r="AG531" s="133"/>
      <c r="AH531" s="133"/>
      <c r="AI531" s="133"/>
      <c r="AJ531" s="133"/>
      <c r="AK531" s="133"/>
      <c r="AL531" s="132"/>
      <c r="AM531" s="132"/>
      <c r="AN531" s="104"/>
      <c r="AO531" s="104"/>
      <c r="AP531" s="104"/>
    </row>
    <row r="532">
      <c r="A532" s="132"/>
      <c r="B532" s="132"/>
      <c r="C532" s="132"/>
      <c r="D532" s="132"/>
      <c r="E532" s="133"/>
      <c r="F532" s="133"/>
      <c r="G532" s="133"/>
      <c r="H532" s="133"/>
      <c r="I532" s="133"/>
      <c r="J532" s="133"/>
      <c r="K532" s="133"/>
      <c r="L532" s="133"/>
      <c r="M532" s="133"/>
      <c r="N532" s="133"/>
      <c r="O532" s="133"/>
      <c r="P532" s="133"/>
      <c r="Q532" s="133"/>
      <c r="R532" s="133"/>
      <c r="S532" s="133"/>
      <c r="T532" s="133"/>
      <c r="U532" s="133"/>
      <c r="V532" s="133"/>
      <c r="W532" s="133"/>
      <c r="X532" s="160"/>
      <c r="Y532" s="133"/>
      <c r="Z532" s="133"/>
      <c r="AA532" s="133"/>
      <c r="AB532" s="133"/>
      <c r="AC532" s="133"/>
      <c r="AD532" s="133"/>
      <c r="AE532" s="133"/>
      <c r="AF532" s="133"/>
      <c r="AG532" s="133"/>
      <c r="AH532" s="133"/>
      <c r="AI532" s="133"/>
      <c r="AJ532" s="133"/>
      <c r="AK532" s="133"/>
      <c r="AL532" s="132"/>
      <c r="AM532" s="132"/>
      <c r="AN532" s="104"/>
      <c r="AO532" s="104"/>
      <c r="AP532" s="104"/>
    </row>
    <row r="533">
      <c r="A533" s="132"/>
      <c r="B533" s="132"/>
      <c r="C533" s="132"/>
      <c r="D533" s="132"/>
      <c r="E533" s="133"/>
      <c r="F533" s="133"/>
      <c r="G533" s="133"/>
      <c r="H533" s="133"/>
      <c r="I533" s="133"/>
      <c r="J533" s="133"/>
      <c r="K533" s="133"/>
      <c r="L533" s="133"/>
      <c r="M533" s="133"/>
      <c r="N533" s="133"/>
      <c r="O533" s="133"/>
      <c r="P533" s="133"/>
      <c r="Q533" s="133"/>
      <c r="R533" s="133"/>
      <c r="S533" s="133"/>
      <c r="T533" s="133"/>
      <c r="U533" s="133"/>
      <c r="V533" s="133"/>
      <c r="W533" s="133"/>
      <c r="X533" s="160"/>
      <c r="Y533" s="133"/>
      <c r="Z533" s="133"/>
      <c r="AA533" s="133"/>
      <c r="AB533" s="133"/>
      <c r="AC533" s="133"/>
      <c r="AD533" s="133"/>
      <c r="AE533" s="133"/>
      <c r="AF533" s="133"/>
      <c r="AG533" s="133"/>
      <c r="AH533" s="133"/>
      <c r="AI533" s="133"/>
      <c r="AJ533" s="133"/>
      <c r="AK533" s="133"/>
      <c r="AL533" s="132"/>
      <c r="AM533" s="132"/>
      <c r="AN533" s="104"/>
      <c r="AO533" s="104"/>
      <c r="AP533" s="104"/>
    </row>
    <row r="534">
      <c r="A534" s="132"/>
      <c r="B534" s="132"/>
      <c r="C534" s="132"/>
      <c r="D534" s="132"/>
      <c r="E534" s="133"/>
      <c r="F534" s="133"/>
      <c r="G534" s="133"/>
      <c r="H534" s="133"/>
      <c r="I534" s="133"/>
      <c r="J534" s="133"/>
      <c r="K534" s="133"/>
      <c r="L534" s="133"/>
      <c r="M534" s="133"/>
      <c r="N534" s="133"/>
      <c r="O534" s="133"/>
      <c r="P534" s="133"/>
      <c r="Q534" s="133"/>
      <c r="R534" s="133"/>
      <c r="S534" s="133"/>
      <c r="T534" s="133"/>
      <c r="U534" s="133"/>
      <c r="V534" s="133"/>
      <c r="W534" s="133"/>
      <c r="X534" s="160"/>
      <c r="Y534" s="133"/>
      <c r="Z534" s="133"/>
      <c r="AA534" s="133"/>
      <c r="AB534" s="133"/>
      <c r="AC534" s="133"/>
      <c r="AD534" s="133"/>
      <c r="AE534" s="133"/>
      <c r="AF534" s="133"/>
      <c r="AG534" s="133"/>
      <c r="AH534" s="133"/>
      <c r="AI534" s="133"/>
      <c r="AJ534" s="133"/>
      <c r="AK534" s="133"/>
      <c r="AL534" s="132"/>
      <c r="AM534" s="132"/>
      <c r="AN534" s="104"/>
      <c r="AO534" s="104"/>
      <c r="AP534" s="104"/>
    </row>
    <row r="535">
      <c r="A535" s="132"/>
      <c r="B535" s="132"/>
      <c r="C535" s="132"/>
      <c r="D535" s="132"/>
      <c r="E535" s="133"/>
      <c r="F535" s="133"/>
      <c r="G535" s="133"/>
      <c r="H535" s="133"/>
      <c r="I535" s="133"/>
      <c r="J535" s="133"/>
      <c r="K535" s="133"/>
      <c r="L535" s="133"/>
      <c r="M535" s="133"/>
      <c r="N535" s="133"/>
      <c r="O535" s="133"/>
      <c r="P535" s="133"/>
      <c r="Q535" s="133"/>
      <c r="R535" s="133"/>
      <c r="S535" s="133"/>
      <c r="T535" s="133"/>
      <c r="U535" s="133"/>
      <c r="V535" s="133"/>
      <c r="W535" s="133"/>
      <c r="X535" s="160"/>
      <c r="Y535" s="133"/>
      <c r="Z535" s="133"/>
      <c r="AA535" s="133"/>
      <c r="AB535" s="133"/>
      <c r="AC535" s="133"/>
      <c r="AD535" s="133"/>
      <c r="AE535" s="133"/>
      <c r="AF535" s="133"/>
      <c r="AG535" s="133"/>
      <c r="AH535" s="133"/>
      <c r="AI535" s="133"/>
      <c r="AJ535" s="133"/>
      <c r="AK535" s="133"/>
      <c r="AL535" s="132"/>
      <c r="AM535" s="132"/>
      <c r="AN535" s="104"/>
      <c r="AO535" s="104"/>
      <c r="AP535" s="104"/>
    </row>
    <row r="536">
      <c r="A536" s="132"/>
      <c r="B536" s="132"/>
      <c r="C536" s="132"/>
      <c r="D536" s="132"/>
      <c r="E536" s="133"/>
      <c r="F536" s="133"/>
      <c r="G536" s="133"/>
      <c r="H536" s="133"/>
      <c r="I536" s="133"/>
      <c r="J536" s="133"/>
      <c r="K536" s="133"/>
      <c r="L536" s="133"/>
      <c r="M536" s="133"/>
      <c r="N536" s="133"/>
      <c r="O536" s="133"/>
      <c r="P536" s="133"/>
      <c r="Q536" s="133"/>
      <c r="R536" s="133"/>
      <c r="S536" s="133"/>
      <c r="T536" s="133"/>
      <c r="U536" s="133"/>
      <c r="V536" s="133"/>
      <c r="W536" s="133"/>
      <c r="X536" s="160"/>
      <c r="Y536" s="133"/>
      <c r="Z536" s="133"/>
      <c r="AA536" s="133"/>
      <c r="AB536" s="133"/>
      <c r="AC536" s="133"/>
      <c r="AD536" s="133"/>
      <c r="AE536" s="133"/>
      <c r="AF536" s="133"/>
      <c r="AG536" s="133"/>
      <c r="AH536" s="133"/>
      <c r="AI536" s="133"/>
      <c r="AJ536" s="133"/>
      <c r="AK536" s="133"/>
      <c r="AL536" s="132"/>
      <c r="AM536" s="132"/>
      <c r="AN536" s="104"/>
      <c r="AO536" s="104"/>
      <c r="AP536" s="104"/>
    </row>
    <row r="537">
      <c r="A537" s="132"/>
      <c r="B537" s="132"/>
      <c r="C537" s="132"/>
      <c r="D537" s="132"/>
      <c r="E537" s="133"/>
      <c r="F537" s="133"/>
      <c r="G537" s="133"/>
      <c r="H537" s="133"/>
      <c r="I537" s="133"/>
      <c r="J537" s="133"/>
      <c r="K537" s="133"/>
      <c r="L537" s="133"/>
      <c r="M537" s="133"/>
      <c r="N537" s="133"/>
      <c r="O537" s="133"/>
      <c r="P537" s="133"/>
      <c r="Q537" s="133"/>
      <c r="R537" s="133"/>
      <c r="S537" s="133"/>
      <c r="T537" s="133"/>
      <c r="U537" s="133"/>
      <c r="V537" s="133"/>
      <c r="W537" s="133"/>
      <c r="X537" s="160"/>
      <c r="Y537" s="133"/>
      <c r="Z537" s="133"/>
      <c r="AA537" s="133"/>
      <c r="AB537" s="133"/>
      <c r="AC537" s="133"/>
      <c r="AD537" s="133"/>
      <c r="AE537" s="133"/>
      <c r="AF537" s="133"/>
      <c r="AG537" s="133"/>
      <c r="AH537" s="133"/>
      <c r="AI537" s="133"/>
      <c r="AJ537" s="133"/>
      <c r="AK537" s="133"/>
      <c r="AL537" s="132"/>
      <c r="AM537" s="132"/>
      <c r="AN537" s="104"/>
      <c r="AO537" s="104"/>
      <c r="AP537" s="104"/>
    </row>
    <row r="538">
      <c r="A538" s="132"/>
      <c r="B538" s="132"/>
      <c r="C538" s="132"/>
      <c r="D538" s="132"/>
      <c r="E538" s="133"/>
      <c r="F538" s="133"/>
      <c r="G538" s="133"/>
      <c r="H538" s="133"/>
      <c r="I538" s="133"/>
      <c r="J538" s="133"/>
      <c r="K538" s="133"/>
      <c r="L538" s="133"/>
      <c r="M538" s="133"/>
      <c r="N538" s="133"/>
      <c r="O538" s="133"/>
      <c r="P538" s="133"/>
      <c r="Q538" s="133"/>
      <c r="R538" s="133"/>
      <c r="S538" s="133"/>
      <c r="T538" s="133"/>
      <c r="U538" s="133"/>
      <c r="V538" s="133"/>
      <c r="W538" s="133"/>
      <c r="X538" s="160"/>
      <c r="Y538" s="133"/>
      <c r="Z538" s="133"/>
      <c r="AA538" s="133"/>
      <c r="AB538" s="133"/>
      <c r="AC538" s="133"/>
      <c r="AD538" s="133"/>
      <c r="AE538" s="133"/>
      <c r="AF538" s="133"/>
      <c r="AG538" s="133"/>
      <c r="AH538" s="133"/>
      <c r="AI538" s="133"/>
      <c r="AJ538" s="133"/>
      <c r="AK538" s="133"/>
      <c r="AL538" s="132"/>
      <c r="AM538" s="132"/>
      <c r="AN538" s="104"/>
      <c r="AO538" s="104"/>
      <c r="AP538" s="104"/>
    </row>
    <row r="539">
      <c r="A539" s="132"/>
      <c r="B539" s="132"/>
      <c r="C539" s="132"/>
      <c r="D539" s="132"/>
      <c r="E539" s="133"/>
      <c r="F539" s="133"/>
      <c r="G539" s="133"/>
      <c r="H539" s="133"/>
      <c r="I539" s="133"/>
      <c r="J539" s="133"/>
      <c r="K539" s="133"/>
      <c r="L539" s="133"/>
      <c r="M539" s="133"/>
      <c r="N539" s="133"/>
      <c r="O539" s="133"/>
      <c r="P539" s="133"/>
      <c r="Q539" s="133"/>
      <c r="R539" s="133"/>
      <c r="S539" s="133"/>
      <c r="T539" s="133"/>
      <c r="U539" s="133"/>
      <c r="V539" s="133"/>
      <c r="W539" s="133"/>
      <c r="X539" s="160"/>
      <c r="Y539" s="133"/>
      <c r="Z539" s="133"/>
      <c r="AA539" s="133"/>
      <c r="AB539" s="133"/>
      <c r="AC539" s="133"/>
      <c r="AD539" s="133"/>
      <c r="AE539" s="133"/>
      <c r="AF539" s="133"/>
      <c r="AG539" s="133"/>
      <c r="AH539" s="133"/>
      <c r="AI539" s="133"/>
      <c r="AJ539" s="133"/>
      <c r="AK539" s="133"/>
      <c r="AL539" s="132"/>
      <c r="AM539" s="132"/>
      <c r="AN539" s="104"/>
      <c r="AO539" s="104"/>
      <c r="AP539" s="104"/>
    </row>
    <row r="540">
      <c r="A540" s="132"/>
      <c r="B540" s="132"/>
      <c r="C540" s="132"/>
      <c r="D540" s="132"/>
      <c r="E540" s="133"/>
      <c r="F540" s="133"/>
      <c r="G540" s="133"/>
      <c r="H540" s="133"/>
      <c r="I540" s="133"/>
      <c r="J540" s="133"/>
      <c r="K540" s="133"/>
      <c r="L540" s="133"/>
      <c r="M540" s="133"/>
      <c r="N540" s="133"/>
      <c r="O540" s="133"/>
      <c r="P540" s="133"/>
      <c r="Q540" s="133"/>
      <c r="R540" s="133"/>
      <c r="S540" s="133"/>
      <c r="T540" s="133"/>
      <c r="U540" s="133"/>
      <c r="V540" s="133"/>
      <c r="W540" s="133"/>
      <c r="X540" s="160"/>
      <c r="Y540" s="133"/>
      <c r="Z540" s="133"/>
      <c r="AA540" s="133"/>
      <c r="AB540" s="133"/>
      <c r="AC540" s="133"/>
      <c r="AD540" s="133"/>
      <c r="AE540" s="133"/>
      <c r="AF540" s="133"/>
      <c r="AG540" s="133"/>
      <c r="AH540" s="133"/>
      <c r="AI540" s="133"/>
      <c r="AJ540" s="133"/>
      <c r="AK540" s="133"/>
      <c r="AL540" s="132"/>
      <c r="AM540" s="132"/>
      <c r="AN540" s="104"/>
      <c r="AO540" s="104"/>
      <c r="AP540" s="104"/>
    </row>
    <row r="541">
      <c r="A541" s="132"/>
      <c r="B541" s="132"/>
      <c r="C541" s="132"/>
      <c r="D541" s="132"/>
      <c r="E541" s="133"/>
      <c r="F541" s="133"/>
      <c r="G541" s="133"/>
      <c r="H541" s="133"/>
      <c r="I541" s="133"/>
      <c r="J541" s="133"/>
      <c r="K541" s="133"/>
      <c r="L541" s="133"/>
      <c r="M541" s="133"/>
      <c r="N541" s="133"/>
      <c r="O541" s="133"/>
      <c r="P541" s="133"/>
      <c r="Q541" s="133"/>
      <c r="R541" s="133"/>
      <c r="S541" s="133"/>
      <c r="T541" s="133"/>
      <c r="U541" s="133"/>
      <c r="V541" s="133"/>
      <c r="W541" s="133"/>
      <c r="X541" s="160"/>
      <c r="Y541" s="133"/>
      <c r="Z541" s="133"/>
      <c r="AA541" s="133"/>
      <c r="AB541" s="133"/>
      <c r="AC541" s="133"/>
      <c r="AD541" s="133"/>
      <c r="AE541" s="133"/>
      <c r="AF541" s="133"/>
      <c r="AG541" s="133"/>
      <c r="AH541" s="133"/>
      <c r="AI541" s="133"/>
      <c r="AJ541" s="133"/>
      <c r="AK541" s="133"/>
      <c r="AL541" s="132"/>
      <c r="AM541" s="132"/>
      <c r="AN541" s="104"/>
      <c r="AO541" s="104"/>
      <c r="AP541" s="104"/>
    </row>
    <row r="542">
      <c r="A542" s="132"/>
      <c r="B542" s="132"/>
      <c r="C542" s="132"/>
      <c r="D542" s="132"/>
      <c r="E542" s="133"/>
      <c r="F542" s="133"/>
      <c r="G542" s="133"/>
      <c r="H542" s="133"/>
      <c r="I542" s="133"/>
      <c r="J542" s="133"/>
      <c r="K542" s="133"/>
      <c r="L542" s="133"/>
      <c r="M542" s="133"/>
      <c r="N542" s="133"/>
      <c r="O542" s="133"/>
      <c r="P542" s="133"/>
      <c r="Q542" s="133"/>
      <c r="R542" s="133"/>
      <c r="S542" s="133"/>
      <c r="T542" s="133"/>
      <c r="U542" s="133"/>
      <c r="V542" s="133"/>
      <c r="W542" s="133"/>
      <c r="X542" s="160"/>
      <c r="Y542" s="133"/>
      <c r="Z542" s="133"/>
      <c r="AA542" s="133"/>
      <c r="AB542" s="133"/>
      <c r="AC542" s="133"/>
      <c r="AD542" s="133"/>
      <c r="AE542" s="133"/>
      <c r="AF542" s="133"/>
      <c r="AG542" s="133"/>
      <c r="AH542" s="133"/>
      <c r="AI542" s="133"/>
      <c r="AJ542" s="133"/>
      <c r="AK542" s="133"/>
      <c r="AL542" s="132"/>
      <c r="AM542" s="132"/>
      <c r="AN542" s="104"/>
      <c r="AO542" s="104"/>
      <c r="AP542" s="104"/>
    </row>
    <row r="543">
      <c r="A543" s="132"/>
      <c r="B543" s="132"/>
      <c r="C543" s="132"/>
      <c r="D543" s="132"/>
      <c r="E543" s="133"/>
      <c r="F543" s="133"/>
      <c r="G543" s="133"/>
      <c r="H543" s="133"/>
      <c r="I543" s="133"/>
      <c r="J543" s="133"/>
      <c r="K543" s="133"/>
      <c r="L543" s="133"/>
      <c r="M543" s="133"/>
      <c r="N543" s="133"/>
      <c r="O543" s="133"/>
      <c r="P543" s="133"/>
      <c r="Q543" s="133"/>
      <c r="R543" s="133"/>
      <c r="S543" s="133"/>
      <c r="T543" s="133"/>
      <c r="U543" s="133"/>
      <c r="V543" s="133"/>
      <c r="W543" s="133"/>
      <c r="X543" s="160"/>
      <c r="Y543" s="133"/>
      <c r="Z543" s="133"/>
      <c r="AA543" s="133"/>
      <c r="AB543" s="133"/>
      <c r="AC543" s="133"/>
      <c r="AD543" s="133"/>
      <c r="AE543" s="133"/>
      <c r="AF543" s="133"/>
      <c r="AG543" s="133"/>
      <c r="AH543" s="133"/>
      <c r="AI543" s="133"/>
      <c r="AJ543" s="133"/>
      <c r="AK543" s="133"/>
      <c r="AL543" s="132"/>
      <c r="AM543" s="132"/>
      <c r="AN543" s="104"/>
      <c r="AO543" s="104"/>
      <c r="AP543" s="104"/>
    </row>
    <row r="544">
      <c r="A544" s="132"/>
      <c r="B544" s="132"/>
      <c r="C544" s="132"/>
      <c r="D544" s="132"/>
      <c r="E544" s="133"/>
      <c r="F544" s="133"/>
      <c r="G544" s="133"/>
      <c r="H544" s="133"/>
      <c r="I544" s="133"/>
      <c r="J544" s="133"/>
      <c r="K544" s="133"/>
      <c r="L544" s="133"/>
      <c r="M544" s="133"/>
      <c r="N544" s="133"/>
      <c r="O544" s="133"/>
      <c r="P544" s="133"/>
      <c r="Q544" s="133"/>
      <c r="R544" s="133"/>
      <c r="S544" s="133"/>
      <c r="T544" s="133"/>
      <c r="U544" s="133"/>
      <c r="V544" s="133"/>
      <c r="W544" s="133"/>
      <c r="X544" s="160"/>
      <c r="Y544" s="133"/>
      <c r="Z544" s="133"/>
      <c r="AA544" s="133"/>
      <c r="AB544" s="133"/>
      <c r="AC544" s="133"/>
      <c r="AD544" s="133"/>
      <c r="AE544" s="133"/>
      <c r="AF544" s="133"/>
      <c r="AG544" s="133"/>
      <c r="AH544" s="133"/>
      <c r="AI544" s="133"/>
      <c r="AJ544" s="133"/>
      <c r="AK544" s="133"/>
      <c r="AL544" s="132"/>
      <c r="AM544" s="132"/>
      <c r="AN544" s="104"/>
      <c r="AO544" s="104"/>
      <c r="AP544" s="104"/>
    </row>
    <row r="545">
      <c r="A545" s="132"/>
      <c r="B545" s="132"/>
      <c r="C545" s="132"/>
      <c r="D545" s="132"/>
      <c r="E545" s="133"/>
      <c r="F545" s="133"/>
      <c r="G545" s="133"/>
      <c r="H545" s="133"/>
      <c r="I545" s="133"/>
      <c r="J545" s="133"/>
      <c r="K545" s="133"/>
      <c r="L545" s="133"/>
      <c r="M545" s="133"/>
      <c r="N545" s="133"/>
      <c r="O545" s="133"/>
      <c r="P545" s="133"/>
      <c r="Q545" s="133"/>
      <c r="R545" s="133"/>
      <c r="S545" s="133"/>
      <c r="T545" s="133"/>
      <c r="U545" s="133"/>
      <c r="V545" s="133"/>
      <c r="W545" s="133"/>
      <c r="X545" s="160"/>
      <c r="Y545" s="133"/>
      <c r="Z545" s="133"/>
      <c r="AA545" s="133"/>
      <c r="AB545" s="133"/>
      <c r="AC545" s="133"/>
      <c r="AD545" s="133"/>
      <c r="AE545" s="133"/>
      <c r="AF545" s="133"/>
      <c r="AG545" s="133"/>
      <c r="AH545" s="133"/>
      <c r="AI545" s="133"/>
      <c r="AJ545" s="133"/>
      <c r="AK545" s="133"/>
      <c r="AL545" s="132"/>
      <c r="AM545" s="132"/>
      <c r="AN545" s="104"/>
      <c r="AO545" s="104"/>
      <c r="AP545" s="104"/>
    </row>
    <row r="546">
      <c r="A546" s="132"/>
      <c r="B546" s="132"/>
      <c r="C546" s="132"/>
      <c r="D546" s="132"/>
      <c r="E546" s="133"/>
      <c r="F546" s="133"/>
      <c r="G546" s="133"/>
      <c r="H546" s="133"/>
      <c r="I546" s="133"/>
      <c r="J546" s="133"/>
      <c r="K546" s="133"/>
      <c r="L546" s="133"/>
      <c r="M546" s="133"/>
      <c r="N546" s="133"/>
      <c r="O546" s="133"/>
      <c r="P546" s="133"/>
      <c r="Q546" s="133"/>
      <c r="R546" s="133"/>
      <c r="S546" s="133"/>
      <c r="T546" s="133"/>
      <c r="U546" s="133"/>
      <c r="V546" s="133"/>
      <c r="W546" s="133"/>
      <c r="X546" s="160"/>
      <c r="Y546" s="133"/>
      <c r="Z546" s="133"/>
      <c r="AA546" s="133"/>
      <c r="AB546" s="133"/>
      <c r="AC546" s="133"/>
      <c r="AD546" s="133"/>
      <c r="AE546" s="133"/>
      <c r="AF546" s="133"/>
      <c r="AG546" s="133"/>
      <c r="AH546" s="133"/>
      <c r="AI546" s="133"/>
      <c r="AJ546" s="133"/>
      <c r="AK546" s="133"/>
      <c r="AL546" s="132"/>
      <c r="AM546" s="132"/>
      <c r="AN546" s="104"/>
      <c r="AO546" s="104"/>
      <c r="AP546" s="104"/>
    </row>
    <row r="547">
      <c r="A547" s="132"/>
      <c r="B547" s="132"/>
      <c r="C547" s="132"/>
      <c r="D547" s="132"/>
      <c r="E547" s="133"/>
      <c r="F547" s="133"/>
      <c r="G547" s="133"/>
      <c r="H547" s="133"/>
      <c r="I547" s="133"/>
      <c r="J547" s="133"/>
      <c r="K547" s="133"/>
      <c r="L547" s="133"/>
      <c r="M547" s="133"/>
      <c r="N547" s="133"/>
      <c r="O547" s="133"/>
      <c r="P547" s="133"/>
      <c r="Q547" s="133"/>
      <c r="R547" s="133"/>
      <c r="S547" s="133"/>
      <c r="T547" s="133"/>
      <c r="U547" s="133"/>
      <c r="V547" s="133"/>
      <c r="W547" s="133"/>
      <c r="X547" s="160"/>
      <c r="Y547" s="133"/>
      <c r="Z547" s="133"/>
      <c r="AA547" s="133"/>
      <c r="AB547" s="133"/>
      <c r="AC547" s="133"/>
      <c r="AD547" s="133"/>
      <c r="AE547" s="133"/>
      <c r="AF547" s="133"/>
      <c r="AG547" s="133"/>
      <c r="AH547" s="133"/>
      <c r="AI547" s="133"/>
      <c r="AJ547" s="133"/>
      <c r="AK547" s="133"/>
      <c r="AL547" s="132"/>
      <c r="AM547" s="132"/>
      <c r="AN547" s="104"/>
      <c r="AO547" s="104"/>
      <c r="AP547" s="104"/>
    </row>
    <row r="548">
      <c r="A548" s="132"/>
      <c r="B548" s="132"/>
      <c r="C548" s="132"/>
      <c r="D548" s="132"/>
      <c r="E548" s="133"/>
      <c r="F548" s="133"/>
      <c r="G548" s="133"/>
      <c r="H548" s="133"/>
      <c r="I548" s="133"/>
      <c r="J548" s="133"/>
      <c r="K548" s="133"/>
      <c r="L548" s="133"/>
      <c r="M548" s="133"/>
      <c r="N548" s="133"/>
      <c r="O548" s="133"/>
      <c r="P548" s="133"/>
      <c r="Q548" s="133"/>
      <c r="R548" s="133"/>
      <c r="S548" s="133"/>
      <c r="T548" s="133"/>
      <c r="U548" s="133"/>
      <c r="V548" s="133"/>
      <c r="W548" s="133"/>
      <c r="X548" s="160"/>
      <c r="Y548" s="133"/>
      <c r="Z548" s="133"/>
      <c r="AA548" s="133"/>
      <c r="AB548" s="133"/>
      <c r="AC548" s="133"/>
      <c r="AD548" s="133"/>
      <c r="AE548" s="133"/>
      <c r="AF548" s="133"/>
      <c r="AG548" s="133"/>
      <c r="AH548" s="133"/>
      <c r="AI548" s="133"/>
      <c r="AJ548" s="133"/>
      <c r="AK548" s="133"/>
      <c r="AL548" s="132"/>
      <c r="AM548" s="132"/>
      <c r="AN548" s="104"/>
      <c r="AO548" s="104"/>
      <c r="AP548" s="104"/>
    </row>
    <row r="549">
      <c r="A549" s="132"/>
      <c r="B549" s="132"/>
      <c r="C549" s="132"/>
      <c r="D549" s="132"/>
      <c r="E549" s="133"/>
      <c r="F549" s="133"/>
      <c r="G549" s="133"/>
      <c r="H549" s="133"/>
      <c r="I549" s="133"/>
      <c r="J549" s="133"/>
      <c r="K549" s="133"/>
      <c r="L549" s="133"/>
      <c r="M549" s="133"/>
      <c r="N549" s="133"/>
      <c r="O549" s="133"/>
      <c r="P549" s="133"/>
      <c r="Q549" s="133"/>
      <c r="R549" s="133"/>
      <c r="S549" s="133"/>
      <c r="T549" s="133"/>
      <c r="U549" s="133"/>
      <c r="V549" s="133"/>
      <c r="W549" s="133"/>
      <c r="X549" s="160"/>
      <c r="Y549" s="133"/>
      <c r="Z549" s="133"/>
      <c r="AA549" s="133"/>
      <c r="AB549" s="133"/>
      <c r="AC549" s="133"/>
      <c r="AD549" s="133"/>
      <c r="AE549" s="133"/>
      <c r="AF549" s="133"/>
      <c r="AG549" s="133"/>
      <c r="AH549" s="133"/>
      <c r="AI549" s="133"/>
      <c r="AJ549" s="133"/>
      <c r="AK549" s="133"/>
      <c r="AL549" s="132"/>
      <c r="AM549" s="132"/>
      <c r="AN549" s="104"/>
      <c r="AO549" s="104"/>
      <c r="AP549" s="104"/>
    </row>
    <row r="550">
      <c r="A550" s="132"/>
      <c r="B550" s="132"/>
      <c r="C550" s="132"/>
      <c r="D550" s="132"/>
      <c r="E550" s="133"/>
      <c r="F550" s="133"/>
      <c r="G550" s="133"/>
      <c r="H550" s="133"/>
      <c r="I550" s="133"/>
      <c r="J550" s="133"/>
      <c r="K550" s="133"/>
      <c r="L550" s="133"/>
      <c r="M550" s="133"/>
      <c r="N550" s="133"/>
      <c r="O550" s="133"/>
      <c r="P550" s="133"/>
      <c r="Q550" s="133"/>
      <c r="R550" s="133"/>
      <c r="S550" s="133"/>
      <c r="T550" s="133"/>
      <c r="U550" s="133"/>
      <c r="V550" s="133"/>
      <c r="W550" s="133"/>
      <c r="X550" s="160"/>
      <c r="Y550" s="133"/>
      <c r="Z550" s="133"/>
      <c r="AA550" s="133"/>
      <c r="AB550" s="133"/>
      <c r="AC550" s="133"/>
      <c r="AD550" s="133"/>
      <c r="AE550" s="133"/>
      <c r="AF550" s="133"/>
      <c r="AG550" s="133"/>
      <c r="AH550" s="133"/>
      <c r="AI550" s="133"/>
      <c r="AJ550" s="133"/>
      <c r="AK550" s="133"/>
      <c r="AL550" s="132"/>
      <c r="AM550" s="132"/>
      <c r="AN550" s="104"/>
      <c r="AO550" s="104"/>
      <c r="AP550" s="104"/>
    </row>
    <row r="551">
      <c r="A551" s="132"/>
      <c r="B551" s="132"/>
      <c r="C551" s="132"/>
      <c r="D551" s="132"/>
      <c r="E551" s="133"/>
      <c r="F551" s="133"/>
      <c r="G551" s="133"/>
      <c r="H551" s="133"/>
      <c r="I551" s="133"/>
      <c r="J551" s="133"/>
      <c r="K551" s="133"/>
      <c r="L551" s="133"/>
      <c r="M551" s="133"/>
      <c r="N551" s="133"/>
      <c r="O551" s="133"/>
      <c r="P551" s="133"/>
      <c r="Q551" s="133"/>
      <c r="R551" s="133"/>
      <c r="S551" s="133"/>
      <c r="T551" s="133"/>
      <c r="U551" s="133"/>
      <c r="V551" s="133"/>
      <c r="W551" s="133"/>
      <c r="X551" s="160"/>
      <c r="Y551" s="133"/>
      <c r="Z551" s="133"/>
      <c r="AA551" s="133"/>
      <c r="AB551" s="133"/>
      <c r="AC551" s="133"/>
      <c r="AD551" s="133"/>
      <c r="AE551" s="133"/>
      <c r="AF551" s="133"/>
      <c r="AG551" s="133"/>
      <c r="AH551" s="133"/>
      <c r="AI551" s="133"/>
      <c r="AJ551" s="133"/>
      <c r="AK551" s="133"/>
      <c r="AL551" s="132"/>
      <c r="AM551" s="132"/>
      <c r="AN551" s="104"/>
      <c r="AO551" s="104"/>
      <c r="AP551" s="104"/>
    </row>
    <row r="552">
      <c r="A552" s="132"/>
      <c r="B552" s="132"/>
      <c r="C552" s="132"/>
      <c r="D552" s="132"/>
      <c r="E552" s="133"/>
      <c r="F552" s="133"/>
      <c r="G552" s="133"/>
      <c r="H552" s="133"/>
      <c r="I552" s="133"/>
      <c r="J552" s="133"/>
      <c r="K552" s="133"/>
      <c r="L552" s="133"/>
      <c r="M552" s="133"/>
      <c r="N552" s="133"/>
      <c r="O552" s="133"/>
      <c r="P552" s="133"/>
      <c r="Q552" s="133"/>
      <c r="R552" s="133"/>
      <c r="S552" s="133"/>
      <c r="T552" s="133"/>
      <c r="U552" s="133"/>
      <c r="V552" s="133"/>
      <c r="W552" s="133"/>
      <c r="X552" s="160"/>
      <c r="Y552" s="133"/>
      <c r="Z552" s="133"/>
      <c r="AA552" s="133"/>
      <c r="AB552" s="133"/>
      <c r="AC552" s="133"/>
      <c r="AD552" s="133"/>
      <c r="AE552" s="133"/>
      <c r="AF552" s="133"/>
      <c r="AG552" s="133"/>
      <c r="AH552" s="133"/>
      <c r="AI552" s="133"/>
      <c r="AJ552" s="133"/>
      <c r="AK552" s="133"/>
      <c r="AL552" s="132"/>
      <c r="AM552" s="132"/>
      <c r="AN552" s="104"/>
      <c r="AO552" s="104"/>
      <c r="AP552" s="104"/>
    </row>
    <row r="553">
      <c r="A553" s="132"/>
      <c r="B553" s="132"/>
      <c r="C553" s="132"/>
      <c r="D553" s="132"/>
      <c r="E553" s="133"/>
      <c r="F553" s="133"/>
      <c r="G553" s="133"/>
      <c r="H553" s="133"/>
      <c r="I553" s="133"/>
      <c r="J553" s="133"/>
      <c r="K553" s="133"/>
      <c r="L553" s="133"/>
      <c r="M553" s="133"/>
      <c r="N553" s="133"/>
      <c r="O553" s="133"/>
      <c r="P553" s="133"/>
      <c r="Q553" s="133"/>
      <c r="R553" s="133"/>
      <c r="S553" s="133"/>
      <c r="T553" s="133"/>
      <c r="U553" s="133"/>
      <c r="V553" s="133"/>
      <c r="W553" s="133"/>
      <c r="X553" s="160"/>
      <c r="Y553" s="133"/>
      <c r="Z553" s="133"/>
      <c r="AA553" s="133"/>
      <c r="AB553" s="133"/>
      <c r="AC553" s="133"/>
      <c r="AD553" s="133"/>
      <c r="AE553" s="133"/>
      <c r="AF553" s="133"/>
      <c r="AG553" s="133"/>
      <c r="AH553" s="133"/>
      <c r="AI553" s="133"/>
      <c r="AJ553" s="133"/>
      <c r="AK553" s="133"/>
      <c r="AL553" s="132"/>
      <c r="AM553" s="132"/>
      <c r="AN553" s="104"/>
      <c r="AO553" s="104"/>
      <c r="AP553" s="104"/>
    </row>
    <row r="554">
      <c r="A554" s="132"/>
      <c r="B554" s="132"/>
      <c r="C554" s="132"/>
      <c r="D554" s="132"/>
      <c r="E554" s="133"/>
      <c r="F554" s="133"/>
      <c r="G554" s="133"/>
      <c r="H554" s="133"/>
      <c r="I554" s="133"/>
      <c r="J554" s="133"/>
      <c r="K554" s="133"/>
      <c r="L554" s="133"/>
      <c r="M554" s="133"/>
      <c r="N554" s="133"/>
      <c r="O554" s="133"/>
      <c r="P554" s="133"/>
      <c r="Q554" s="133"/>
      <c r="R554" s="133"/>
      <c r="S554" s="133"/>
      <c r="T554" s="133"/>
      <c r="U554" s="133"/>
      <c r="V554" s="133"/>
      <c r="W554" s="133"/>
      <c r="X554" s="160"/>
      <c r="Y554" s="133"/>
      <c r="Z554" s="133"/>
      <c r="AA554" s="133"/>
      <c r="AB554" s="133"/>
      <c r="AC554" s="133"/>
      <c r="AD554" s="133"/>
      <c r="AE554" s="133"/>
      <c r="AF554" s="133"/>
      <c r="AG554" s="133"/>
      <c r="AH554" s="133"/>
      <c r="AI554" s="133"/>
      <c r="AJ554" s="133"/>
      <c r="AK554" s="133"/>
      <c r="AL554" s="132"/>
      <c r="AM554" s="132"/>
      <c r="AN554" s="104"/>
      <c r="AO554" s="104"/>
      <c r="AP554" s="104"/>
    </row>
    <row r="555">
      <c r="A555" s="132"/>
      <c r="B555" s="132"/>
      <c r="C555" s="132"/>
      <c r="D555" s="132"/>
      <c r="E555" s="133"/>
      <c r="F555" s="133"/>
      <c r="G555" s="133"/>
      <c r="H555" s="133"/>
      <c r="I555" s="133"/>
      <c r="J555" s="133"/>
      <c r="K555" s="133"/>
      <c r="L555" s="133"/>
      <c r="M555" s="133"/>
      <c r="N555" s="133"/>
      <c r="O555" s="133"/>
      <c r="P555" s="133"/>
      <c r="Q555" s="133"/>
      <c r="R555" s="133"/>
      <c r="S555" s="133"/>
      <c r="T555" s="133"/>
      <c r="U555" s="133"/>
      <c r="V555" s="133"/>
      <c r="W555" s="133"/>
      <c r="X555" s="160"/>
      <c r="Y555" s="133"/>
      <c r="Z555" s="133"/>
      <c r="AA555" s="133"/>
      <c r="AB555" s="133"/>
      <c r="AC555" s="133"/>
      <c r="AD555" s="133"/>
      <c r="AE555" s="133"/>
      <c r="AF555" s="133"/>
      <c r="AG555" s="133"/>
      <c r="AH555" s="133"/>
      <c r="AI555" s="133"/>
      <c r="AJ555" s="133"/>
      <c r="AK555" s="133"/>
      <c r="AL555" s="132"/>
      <c r="AM555" s="132"/>
      <c r="AN555" s="104"/>
      <c r="AO555" s="104"/>
      <c r="AP555" s="104"/>
    </row>
    <row r="556">
      <c r="A556" s="132"/>
      <c r="B556" s="132"/>
      <c r="C556" s="132"/>
      <c r="D556" s="132"/>
      <c r="E556" s="133"/>
      <c r="F556" s="133"/>
      <c r="G556" s="133"/>
      <c r="H556" s="133"/>
      <c r="I556" s="133"/>
      <c r="J556" s="133"/>
      <c r="K556" s="133"/>
      <c r="L556" s="133"/>
      <c r="M556" s="133"/>
      <c r="N556" s="133"/>
      <c r="O556" s="133"/>
      <c r="P556" s="133"/>
      <c r="Q556" s="133"/>
      <c r="R556" s="133"/>
      <c r="S556" s="133"/>
      <c r="T556" s="133"/>
      <c r="U556" s="133"/>
      <c r="V556" s="133"/>
      <c r="W556" s="133"/>
      <c r="X556" s="160"/>
      <c r="Y556" s="133"/>
      <c r="Z556" s="133"/>
      <c r="AA556" s="133"/>
      <c r="AB556" s="133"/>
      <c r="AC556" s="133"/>
      <c r="AD556" s="133"/>
      <c r="AE556" s="133"/>
      <c r="AF556" s="133"/>
      <c r="AG556" s="133"/>
      <c r="AH556" s="133"/>
      <c r="AI556" s="133"/>
      <c r="AJ556" s="133"/>
      <c r="AK556" s="133"/>
      <c r="AL556" s="132"/>
      <c r="AM556" s="132"/>
      <c r="AN556" s="104"/>
      <c r="AO556" s="104"/>
      <c r="AP556" s="104"/>
    </row>
    <row r="557">
      <c r="A557" s="132"/>
      <c r="B557" s="132"/>
      <c r="C557" s="132"/>
      <c r="D557" s="132"/>
      <c r="E557" s="133"/>
      <c r="F557" s="133"/>
      <c r="G557" s="133"/>
      <c r="H557" s="133"/>
      <c r="I557" s="133"/>
      <c r="J557" s="133"/>
      <c r="K557" s="133"/>
      <c r="L557" s="133"/>
      <c r="M557" s="133"/>
      <c r="N557" s="133"/>
      <c r="O557" s="133"/>
      <c r="P557" s="133"/>
      <c r="Q557" s="133"/>
      <c r="R557" s="133"/>
      <c r="S557" s="133"/>
      <c r="T557" s="133"/>
      <c r="U557" s="133"/>
      <c r="V557" s="133"/>
      <c r="W557" s="133"/>
      <c r="X557" s="160"/>
      <c r="Y557" s="133"/>
      <c r="Z557" s="133"/>
      <c r="AA557" s="133"/>
      <c r="AB557" s="133"/>
      <c r="AC557" s="133"/>
      <c r="AD557" s="133"/>
      <c r="AE557" s="133"/>
      <c r="AF557" s="133"/>
      <c r="AG557" s="133"/>
      <c r="AH557" s="133"/>
      <c r="AI557" s="133"/>
      <c r="AJ557" s="133"/>
      <c r="AK557" s="133"/>
      <c r="AL557" s="132"/>
      <c r="AM557" s="132"/>
      <c r="AN557" s="104"/>
      <c r="AO557" s="104"/>
      <c r="AP557" s="104"/>
    </row>
    <row r="558">
      <c r="A558" s="132"/>
      <c r="B558" s="132"/>
      <c r="C558" s="132"/>
      <c r="D558" s="132"/>
      <c r="E558" s="133"/>
      <c r="F558" s="133"/>
      <c r="G558" s="133"/>
      <c r="H558" s="133"/>
      <c r="I558" s="133"/>
      <c r="J558" s="133"/>
      <c r="K558" s="133"/>
      <c r="L558" s="133"/>
      <c r="M558" s="133"/>
      <c r="N558" s="133"/>
      <c r="O558" s="133"/>
      <c r="P558" s="133"/>
      <c r="Q558" s="133"/>
      <c r="R558" s="133"/>
      <c r="S558" s="133"/>
      <c r="T558" s="133"/>
      <c r="U558" s="133"/>
      <c r="V558" s="133"/>
      <c r="W558" s="133"/>
      <c r="X558" s="160"/>
      <c r="Y558" s="133"/>
      <c r="Z558" s="133"/>
      <c r="AA558" s="133"/>
      <c r="AB558" s="133"/>
      <c r="AC558" s="133"/>
      <c r="AD558" s="133"/>
      <c r="AE558" s="133"/>
      <c r="AF558" s="133"/>
      <c r="AG558" s="133"/>
      <c r="AH558" s="133"/>
      <c r="AI558" s="133"/>
      <c r="AJ558" s="133"/>
      <c r="AK558" s="133"/>
      <c r="AL558" s="132"/>
      <c r="AM558" s="132"/>
      <c r="AN558" s="104"/>
      <c r="AO558" s="104"/>
      <c r="AP558" s="104"/>
    </row>
    <row r="559">
      <c r="A559" s="132"/>
      <c r="B559" s="132"/>
      <c r="C559" s="132"/>
      <c r="D559" s="132"/>
      <c r="E559" s="133"/>
      <c r="F559" s="133"/>
      <c r="G559" s="133"/>
      <c r="H559" s="133"/>
      <c r="I559" s="133"/>
      <c r="J559" s="133"/>
      <c r="K559" s="133"/>
      <c r="L559" s="133"/>
      <c r="M559" s="133"/>
      <c r="N559" s="133"/>
      <c r="O559" s="133"/>
      <c r="P559" s="133"/>
      <c r="Q559" s="133"/>
      <c r="R559" s="133"/>
      <c r="S559" s="133"/>
      <c r="T559" s="133"/>
      <c r="U559" s="133"/>
      <c r="V559" s="133"/>
      <c r="W559" s="133"/>
      <c r="X559" s="160"/>
      <c r="Y559" s="133"/>
      <c r="Z559" s="133"/>
      <c r="AA559" s="133"/>
      <c r="AB559" s="133"/>
      <c r="AC559" s="133"/>
      <c r="AD559" s="133"/>
      <c r="AE559" s="133"/>
      <c r="AF559" s="133"/>
      <c r="AG559" s="133"/>
      <c r="AH559" s="133"/>
      <c r="AI559" s="133"/>
      <c r="AJ559" s="133"/>
      <c r="AK559" s="133"/>
      <c r="AL559" s="132"/>
      <c r="AM559" s="132"/>
      <c r="AN559" s="104"/>
      <c r="AO559" s="104"/>
      <c r="AP559" s="104"/>
    </row>
    <row r="560">
      <c r="A560" s="132"/>
      <c r="B560" s="132"/>
      <c r="C560" s="132"/>
      <c r="D560" s="132"/>
      <c r="E560" s="133"/>
      <c r="F560" s="133"/>
      <c r="G560" s="133"/>
      <c r="H560" s="133"/>
      <c r="I560" s="133"/>
      <c r="J560" s="133"/>
      <c r="K560" s="133"/>
      <c r="L560" s="133"/>
      <c r="M560" s="133"/>
      <c r="N560" s="133"/>
      <c r="O560" s="133"/>
      <c r="P560" s="133"/>
      <c r="Q560" s="133"/>
      <c r="R560" s="133"/>
      <c r="S560" s="133"/>
      <c r="T560" s="133"/>
      <c r="U560" s="133"/>
      <c r="V560" s="133"/>
      <c r="W560" s="133"/>
      <c r="X560" s="160"/>
      <c r="Y560" s="133"/>
      <c r="Z560" s="133"/>
      <c r="AA560" s="133"/>
      <c r="AB560" s="133"/>
      <c r="AC560" s="133"/>
      <c r="AD560" s="133"/>
      <c r="AE560" s="133"/>
      <c r="AF560" s="133"/>
      <c r="AG560" s="133"/>
      <c r="AH560" s="133"/>
      <c r="AI560" s="133"/>
      <c r="AJ560" s="133"/>
      <c r="AK560" s="133"/>
      <c r="AL560" s="132"/>
      <c r="AM560" s="132"/>
      <c r="AN560" s="104"/>
      <c r="AO560" s="104"/>
      <c r="AP560" s="104"/>
    </row>
    <row r="561">
      <c r="A561" s="132"/>
      <c r="B561" s="132"/>
      <c r="C561" s="132"/>
      <c r="D561" s="132"/>
      <c r="E561" s="133"/>
      <c r="F561" s="133"/>
      <c r="G561" s="133"/>
      <c r="H561" s="133"/>
      <c r="I561" s="133"/>
      <c r="J561" s="133"/>
      <c r="K561" s="133"/>
      <c r="L561" s="133"/>
      <c r="M561" s="133"/>
      <c r="N561" s="133"/>
      <c r="O561" s="133"/>
      <c r="P561" s="133"/>
      <c r="Q561" s="133"/>
      <c r="R561" s="133"/>
      <c r="S561" s="133"/>
      <c r="T561" s="133"/>
      <c r="U561" s="133"/>
      <c r="V561" s="133"/>
      <c r="W561" s="133"/>
      <c r="X561" s="160"/>
      <c r="Y561" s="133"/>
      <c r="Z561" s="133"/>
      <c r="AA561" s="133"/>
      <c r="AB561" s="133"/>
      <c r="AC561" s="133"/>
      <c r="AD561" s="133"/>
      <c r="AE561" s="133"/>
      <c r="AF561" s="133"/>
      <c r="AG561" s="133"/>
      <c r="AH561" s="133"/>
      <c r="AI561" s="133"/>
      <c r="AJ561" s="133"/>
      <c r="AK561" s="133"/>
      <c r="AL561" s="132"/>
      <c r="AM561" s="132"/>
      <c r="AN561" s="104"/>
      <c r="AO561" s="104"/>
      <c r="AP561" s="104"/>
    </row>
    <row r="562">
      <c r="A562" s="132"/>
      <c r="B562" s="132"/>
      <c r="C562" s="132"/>
      <c r="D562" s="132"/>
      <c r="E562" s="133"/>
      <c r="F562" s="133"/>
      <c r="G562" s="133"/>
      <c r="H562" s="133"/>
      <c r="I562" s="133"/>
      <c r="J562" s="133"/>
      <c r="K562" s="133"/>
      <c r="L562" s="133"/>
      <c r="M562" s="133"/>
      <c r="N562" s="133"/>
      <c r="O562" s="133"/>
      <c r="P562" s="133"/>
      <c r="Q562" s="133"/>
      <c r="R562" s="133"/>
      <c r="S562" s="133"/>
      <c r="T562" s="133"/>
      <c r="U562" s="133"/>
      <c r="V562" s="133"/>
      <c r="W562" s="133"/>
      <c r="X562" s="160"/>
      <c r="Y562" s="133"/>
      <c r="Z562" s="133"/>
      <c r="AA562" s="133"/>
      <c r="AB562" s="133"/>
      <c r="AC562" s="133"/>
      <c r="AD562" s="133"/>
      <c r="AE562" s="133"/>
      <c r="AF562" s="133"/>
      <c r="AG562" s="133"/>
      <c r="AH562" s="133"/>
      <c r="AI562" s="133"/>
      <c r="AJ562" s="133"/>
      <c r="AK562" s="133"/>
      <c r="AL562" s="132"/>
      <c r="AM562" s="132"/>
      <c r="AN562" s="104"/>
      <c r="AO562" s="104"/>
      <c r="AP562" s="104"/>
    </row>
    <row r="563">
      <c r="A563" s="132"/>
      <c r="B563" s="132"/>
      <c r="C563" s="132"/>
      <c r="D563" s="132"/>
      <c r="E563" s="133"/>
      <c r="F563" s="133"/>
      <c r="G563" s="133"/>
      <c r="H563" s="133"/>
      <c r="I563" s="133"/>
      <c r="J563" s="133"/>
      <c r="K563" s="133"/>
      <c r="L563" s="133"/>
      <c r="M563" s="133"/>
      <c r="N563" s="133"/>
      <c r="O563" s="133"/>
      <c r="P563" s="133"/>
      <c r="Q563" s="133"/>
      <c r="R563" s="133"/>
      <c r="S563" s="133"/>
      <c r="T563" s="133"/>
      <c r="U563" s="133"/>
      <c r="V563" s="133"/>
      <c r="W563" s="133"/>
      <c r="X563" s="160"/>
      <c r="Y563" s="133"/>
      <c r="Z563" s="133"/>
      <c r="AA563" s="133"/>
      <c r="AB563" s="133"/>
      <c r="AC563" s="133"/>
      <c r="AD563" s="133"/>
      <c r="AE563" s="133"/>
      <c r="AF563" s="133"/>
      <c r="AG563" s="133"/>
      <c r="AH563" s="133"/>
      <c r="AI563" s="133"/>
      <c r="AJ563" s="133"/>
      <c r="AK563" s="133"/>
      <c r="AL563" s="132"/>
      <c r="AM563" s="132"/>
      <c r="AN563" s="104"/>
      <c r="AO563" s="104"/>
      <c r="AP563" s="104"/>
    </row>
    <row r="564">
      <c r="A564" s="132"/>
      <c r="B564" s="132"/>
      <c r="C564" s="132"/>
      <c r="D564" s="132"/>
      <c r="E564" s="133"/>
      <c r="F564" s="133"/>
      <c r="G564" s="133"/>
      <c r="H564" s="133"/>
      <c r="I564" s="133"/>
      <c r="J564" s="133"/>
      <c r="K564" s="133"/>
      <c r="L564" s="133"/>
      <c r="M564" s="133"/>
      <c r="N564" s="133"/>
      <c r="O564" s="133"/>
      <c r="P564" s="133"/>
      <c r="Q564" s="133"/>
      <c r="R564" s="133"/>
      <c r="S564" s="133"/>
      <c r="T564" s="133"/>
      <c r="U564" s="133"/>
      <c r="V564" s="133"/>
      <c r="W564" s="133"/>
      <c r="X564" s="160"/>
      <c r="Y564" s="133"/>
      <c r="Z564" s="133"/>
      <c r="AA564" s="133"/>
      <c r="AB564" s="133"/>
      <c r="AC564" s="133"/>
      <c r="AD564" s="133"/>
      <c r="AE564" s="133"/>
      <c r="AF564" s="133"/>
      <c r="AG564" s="133"/>
      <c r="AH564" s="133"/>
      <c r="AI564" s="133"/>
      <c r="AJ564" s="133"/>
      <c r="AK564" s="133"/>
      <c r="AL564" s="132"/>
      <c r="AM564" s="132"/>
      <c r="AN564" s="104"/>
      <c r="AO564" s="104"/>
      <c r="AP564" s="104"/>
    </row>
    <row r="565">
      <c r="A565" s="132"/>
      <c r="B565" s="132"/>
      <c r="C565" s="132"/>
      <c r="D565" s="132"/>
      <c r="E565" s="133"/>
      <c r="F565" s="133"/>
      <c r="G565" s="133"/>
      <c r="H565" s="133"/>
      <c r="I565" s="133"/>
      <c r="J565" s="133"/>
      <c r="K565" s="133"/>
      <c r="L565" s="133"/>
      <c r="M565" s="133"/>
      <c r="N565" s="133"/>
      <c r="O565" s="133"/>
      <c r="P565" s="133"/>
      <c r="Q565" s="133"/>
      <c r="R565" s="133"/>
      <c r="S565" s="133"/>
      <c r="T565" s="133"/>
      <c r="U565" s="133"/>
      <c r="V565" s="133"/>
      <c r="W565" s="133"/>
      <c r="X565" s="160"/>
      <c r="Y565" s="133"/>
      <c r="Z565" s="133"/>
      <c r="AA565" s="133"/>
      <c r="AB565" s="133"/>
      <c r="AC565" s="133"/>
      <c r="AD565" s="133"/>
      <c r="AE565" s="133"/>
      <c r="AF565" s="133"/>
      <c r="AG565" s="133"/>
      <c r="AH565" s="133"/>
      <c r="AI565" s="133"/>
      <c r="AJ565" s="133"/>
      <c r="AK565" s="133"/>
      <c r="AL565" s="132"/>
      <c r="AM565" s="132"/>
      <c r="AN565" s="104"/>
      <c r="AO565" s="104"/>
      <c r="AP565" s="104"/>
    </row>
    <row r="566">
      <c r="A566" s="132"/>
      <c r="B566" s="132"/>
      <c r="C566" s="132"/>
      <c r="D566" s="132"/>
      <c r="E566" s="133"/>
      <c r="F566" s="133"/>
      <c r="G566" s="133"/>
      <c r="H566" s="133"/>
      <c r="I566" s="133"/>
      <c r="J566" s="133"/>
      <c r="K566" s="133"/>
      <c r="L566" s="133"/>
      <c r="M566" s="133"/>
      <c r="N566" s="133"/>
      <c r="O566" s="133"/>
      <c r="P566" s="133"/>
      <c r="Q566" s="133"/>
      <c r="R566" s="133"/>
      <c r="S566" s="133"/>
      <c r="T566" s="133"/>
      <c r="U566" s="133"/>
      <c r="V566" s="133"/>
      <c r="W566" s="133"/>
      <c r="X566" s="160"/>
      <c r="Y566" s="133"/>
      <c r="Z566" s="133"/>
      <c r="AA566" s="133"/>
      <c r="AB566" s="133"/>
      <c r="AC566" s="133"/>
      <c r="AD566" s="133"/>
      <c r="AE566" s="133"/>
      <c r="AF566" s="133"/>
      <c r="AG566" s="133"/>
      <c r="AH566" s="133"/>
      <c r="AI566" s="133"/>
      <c r="AJ566" s="133"/>
      <c r="AK566" s="133"/>
      <c r="AL566" s="132"/>
      <c r="AM566" s="132"/>
      <c r="AN566" s="104"/>
      <c r="AO566" s="104"/>
      <c r="AP566" s="104"/>
    </row>
    <row r="567">
      <c r="A567" s="132"/>
      <c r="B567" s="132"/>
      <c r="C567" s="132"/>
      <c r="D567" s="132"/>
      <c r="E567" s="133"/>
      <c r="F567" s="133"/>
      <c r="G567" s="133"/>
      <c r="H567" s="133"/>
      <c r="I567" s="133"/>
      <c r="J567" s="133"/>
      <c r="K567" s="133"/>
      <c r="L567" s="133"/>
      <c r="M567" s="133"/>
      <c r="N567" s="133"/>
      <c r="O567" s="133"/>
      <c r="P567" s="133"/>
      <c r="Q567" s="133"/>
      <c r="R567" s="133"/>
      <c r="S567" s="133"/>
      <c r="T567" s="133"/>
      <c r="U567" s="133"/>
      <c r="V567" s="133"/>
      <c r="W567" s="133"/>
      <c r="X567" s="160"/>
      <c r="Y567" s="133"/>
      <c r="Z567" s="133"/>
      <c r="AA567" s="133"/>
      <c r="AB567" s="133"/>
      <c r="AC567" s="133"/>
      <c r="AD567" s="133"/>
      <c r="AE567" s="133"/>
      <c r="AF567" s="133"/>
      <c r="AG567" s="133"/>
      <c r="AH567" s="133"/>
      <c r="AI567" s="133"/>
      <c r="AJ567" s="133"/>
      <c r="AK567" s="133"/>
      <c r="AL567" s="132"/>
      <c r="AM567" s="132"/>
      <c r="AN567" s="104"/>
      <c r="AO567" s="104"/>
      <c r="AP567" s="104"/>
    </row>
    <row r="568">
      <c r="A568" s="132"/>
      <c r="B568" s="132"/>
      <c r="C568" s="132"/>
      <c r="D568" s="132"/>
      <c r="E568" s="133"/>
      <c r="F568" s="133"/>
      <c r="G568" s="133"/>
      <c r="H568" s="133"/>
      <c r="I568" s="133"/>
      <c r="J568" s="133"/>
      <c r="K568" s="133"/>
      <c r="L568" s="133"/>
      <c r="M568" s="133"/>
      <c r="N568" s="133"/>
      <c r="O568" s="133"/>
      <c r="P568" s="133"/>
      <c r="Q568" s="133"/>
      <c r="R568" s="133"/>
      <c r="S568" s="133"/>
      <c r="T568" s="133"/>
      <c r="U568" s="133"/>
      <c r="V568" s="133"/>
      <c r="W568" s="133"/>
      <c r="X568" s="160"/>
      <c r="Y568" s="133"/>
      <c r="Z568" s="133"/>
      <c r="AA568" s="133"/>
      <c r="AB568" s="133"/>
      <c r="AC568" s="133"/>
      <c r="AD568" s="133"/>
      <c r="AE568" s="133"/>
      <c r="AF568" s="133"/>
      <c r="AG568" s="133"/>
      <c r="AH568" s="133"/>
      <c r="AI568" s="133"/>
      <c r="AJ568" s="133"/>
      <c r="AK568" s="133"/>
      <c r="AL568" s="132"/>
      <c r="AM568" s="132"/>
      <c r="AN568" s="104"/>
      <c r="AO568" s="104"/>
      <c r="AP568" s="104"/>
    </row>
    <row r="569">
      <c r="A569" s="132"/>
      <c r="B569" s="132"/>
      <c r="C569" s="132"/>
      <c r="D569" s="132"/>
      <c r="E569" s="133"/>
      <c r="F569" s="133"/>
      <c r="G569" s="133"/>
      <c r="H569" s="133"/>
      <c r="I569" s="133"/>
      <c r="J569" s="133"/>
      <c r="K569" s="133"/>
      <c r="L569" s="133"/>
      <c r="M569" s="133"/>
      <c r="N569" s="133"/>
      <c r="O569" s="133"/>
      <c r="P569" s="133"/>
      <c r="Q569" s="133"/>
      <c r="R569" s="133"/>
      <c r="S569" s="133"/>
      <c r="T569" s="133"/>
      <c r="U569" s="133"/>
      <c r="V569" s="133"/>
      <c r="W569" s="133"/>
      <c r="X569" s="160"/>
      <c r="Y569" s="133"/>
      <c r="Z569" s="133"/>
      <c r="AA569" s="133"/>
      <c r="AB569" s="133"/>
      <c r="AC569" s="133"/>
      <c r="AD569" s="133"/>
      <c r="AE569" s="133"/>
      <c r="AF569" s="133"/>
      <c r="AG569" s="133"/>
      <c r="AH569" s="133"/>
      <c r="AI569" s="133"/>
      <c r="AJ569" s="133"/>
      <c r="AK569" s="133"/>
      <c r="AL569" s="132"/>
      <c r="AM569" s="132"/>
      <c r="AN569" s="104"/>
      <c r="AO569" s="104"/>
      <c r="AP569" s="104"/>
    </row>
    <row r="570">
      <c r="A570" s="132"/>
      <c r="B570" s="132"/>
      <c r="C570" s="132"/>
      <c r="D570" s="132"/>
      <c r="E570" s="133"/>
      <c r="F570" s="133"/>
      <c r="G570" s="133"/>
      <c r="H570" s="133"/>
      <c r="I570" s="133"/>
      <c r="J570" s="133"/>
      <c r="K570" s="133"/>
      <c r="L570" s="133"/>
      <c r="M570" s="133"/>
      <c r="N570" s="133"/>
      <c r="O570" s="133"/>
      <c r="P570" s="133"/>
      <c r="Q570" s="133"/>
      <c r="R570" s="133"/>
      <c r="S570" s="133"/>
      <c r="T570" s="133"/>
      <c r="U570" s="133"/>
      <c r="V570" s="133"/>
      <c r="W570" s="133"/>
      <c r="X570" s="160"/>
      <c r="Y570" s="133"/>
      <c r="Z570" s="133"/>
      <c r="AA570" s="133"/>
      <c r="AB570" s="133"/>
      <c r="AC570" s="133"/>
      <c r="AD570" s="133"/>
      <c r="AE570" s="133"/>
      <c r="AF570" s="133"/>
      <c r="AG570" s="133"/>
      <c r="AH570" s="133"/>
      <c r="AI570" s="133"/>
      <c r="AJ570" s="133"/>
      <c r="AK570" s="133"/>
      <c r="AL570" s="132"/>
      <c r="AM570" s="132"/>
      <c r="AN570" s="104"/>
      <c r="AO570" s="104"/>
      <c r="AP570" s="104"/>
    </row>
    <row r="571">
      <c r="A571" s="132"/>
      <c r="B571" s="132"/>
      <c r="C571" s="132"/>
      <c r="D571" s="132"/>
      <c r="E571" s="133"/>
      <c r="F571" s="133"/>
      <c r="G571" s="133"/>
      <c r="H571" s="133"/>
      <c r="I571" s="133"/>
      <c r="J571" s="133"/>
      <c r="K571" s="133"/>
      <c r="L571" s="133"/>
      <c r="M571" s="133"/>
      <c r="N571" s="133"/>
      <c r="O571" s="133"/>
      <c r="P571" s="133"/>
      <c r="Q571" s="133"/>
      <c r="R571" s="133"/>
      <c r="S571" s="133"/>
      <c r="T571" s="133"/>
      <c r="U571" s="133"/>
      <c r="V571" s="133"/>
      <c r="W571" s="133"/>
      <c r="X571" s="160"/>
      <c r="Y571" s="133"/>
      <c r="Z571" s="133"/>
      <c r="AA571" s="133"/>
      <c r="AB571" s="133"/>
      <c r="AC571" s="133"/>
      <c r="AD571" s="133"/>
      <c r="AE571" s="133"/>
      <c r="AF571" s="133"/>
      <c r="AG571" s="133"/>
      <c r="AH571" s="133"/>
      <c r="AI571" s="133"/>
      <c r="AJ571" s="133"/>
      <c r="AK571" s="133"/>
      <c r="AL571" s="132"/>
      <c r="AM571" s="132"/>
      <c r="AN571" s="104"/>
      <c r="AO571" s="104"/>
      <c r="AP571" s="104"/>
    </row>
    <row r="572">
      <c r="A572" s="132"/>
      <c r="B572" s="132"/>
      <c r="C572" s="132"/>
      <c r="D572" s="132"/>
      <c r="E572" s="133"/>
      <c r="F572" s="133"/>
      <c r="G572" s="133"/>
      <c r="H572" s="133"/>
      <c r="I572" s="133"/>
      <c r="J572" s="133"/>
      <c r="K572" s="133"/>
      <c r="L572" s="133"/>
      <c r="M572" s="133"/>
      <c r="N572" s="133"/>
      <c r="O572" s="133"/>
      <c r="P572" s="133"/>
      <c r="Q572" s="133"/>
      <c r="R572" s="133"/>
      <c r="S572" s="133"/>
      <c r="T572" s="133"/>
      <c r="U572" s="133"/>
      <c r="V572" s="133"/>
      <c r="W572" s="133"/>
      <c r="X572" s="160"/>
      <c r="Y572" s="133"/>
      <c r="Z572" s="133"/>
      <c r="AA572" s="133"/>
      <c r="AB572" s="133"/>
      <c r="AC572" s="133"/>
      <c r="AD572" s="133"/>
      <c r="AE572" s="133"/>
      <c r="AF572" s="133"/>
      <c r="AG572" s="133"/>
      <c r="AH572" s="133"/>
      <c r="AI572" s="133"/>
      <c r="AJ572" s="133"/>
      <c r="AK572" s="133"/>
      <c r="AL572" s="132"/>
      <c r="AM572" s="132"/>
      <c r="AN572" s="104"/>
      <c r="AO572" s="104"/>
      <c r="AP572" s="104"/>
    </row>
    <row r="573">
      <c r="A573" s="132"/>
      <c r="B573" s="132"/>
      <c r="C573" s="132"/>
      <c r="D573" s="132"/>
      <c r="E573" s="133"/>
      <c r="F573" s="133"/>
      <c r="G573" s="133"/>
      <c r="H573" s="133"/>
      <c r="I573" s="133"/>
      <c r="J573" s="133"/>
      <c r="K573" s="133"/>
      <c r="L573" s="133"/>
      <c r="M573" s="133"/>
      <c r="N573" s="133"/>
      <c r="O573" s="133"/>
      <c r="P573" s="133"/>
      <c r="Q573" s="133"/>
      <c r="R573" s="133"/>
      <c r="S573" s="133"/>
      <c r="T573" s="133"/>
      <c r="U573" s="133"/>
      <c r="V573" s="133"/>
      <c r="W573" s="133"/>
      <c r="X573" s="160"/>
      <c r="Y573" s="133"/>
      <c r="Z573" s="133"/>
      <c r="AA573" s="133"/>
      <c r="AB573" s="133"/>
      <c r="AC573" s="133"/>
      <c r="AD573" s="133"/>
      <c r="AE573" s="133"/>
      <c r="AF573" s="133"/>
      <c r="AG573" s="133"/>
      <c r="AH573" s="133"/>
      <c r="AI573" s="133"/>
      <c r="AJ573" s="133"/>
      <c r="AK573" s="133"/>
      <c r="AL573" s="132"/>
      <c r="AM573" s="132"/>
      <c r="AN573" s="104"/>
      <c r="AO573" s="104"/>
      <c r="AP573" s="104"/>
    </row>
    <row r="574">
      <c r="A574" s="132"/>
      <c r="B574" s="132"/>
      <c r="C574" s="132"/>
      <c r="D574" s="132"/>
      <c r="E574" s="133"/>
      <c r="F574" s="133"/>
      <c r="G574" s="133"/>
      <c r="H574" s="133"/>
      <c r="I574" s="133"/>
      <c r="J574" s="133"/>
      <c r="K574" s="133"/>
      <c r="L574" s="133"/>
      <c r="M574" s="133"/>
      <c r="N574" s="133"/>
      <c r="O574" s="133"/>
      <c r="P574" s="133"/>
      <c r="Q574" s="133"/>
      <c r="R574" s="133"/>
      <c r="S574" s="133"/>
      <c r="T574" s="133"/>
      <c r="U574" s="133"/>
      <c r="V574" s="133"/>
      <c r="W574" s="133"/>
      <c r="X574" s="160"/>
      <c r="Y574" s="133"/>
      <c r="Z574" s="133"/>
      <c r="AA574" s="133"/>
      <c r="AB574" s="133"/>
      <c r="AC574" s="133"/>
      <c r="AD574" s="133"/>
      <c r="AE574" s="133"/>
      <c r="AF574" s="133"/>
      <c r="AG574" s="133"/>
      <c r="AH574" s="133"/>
      <c r="AI574" s="133"/>
      <c r="AJ574" s="133"/>
      <c r="AK574" s="133"/>
      <c r="AL574" s="132"/>
      <c r="AM574" s="132"/>
      <c r="AN574" s="104"/>
      <c r="AO574" s="104"/>
      <c r="AP574" s="104"/>
    </row>
    <row r="575">
      <c r="A575" s="132"/>
      <c r="B575" s="132"/>
      <c r="C575" s="132"/>
      <c r="D575" s="132"/>
      <c r="E575" s="133"/>
      <c r="F575" s="133"/>
      <c r="G575" s="133"/>
      <c r="H575" s="133"/>
      <c r="I575" s="133"/>
      <c r="J575" s="133"/>
      <c r="K575" s="133"/>
      <c r="L575" s="133"/>
      <c r="M575" s="133"/>
      <c r="N575" s="133"/>
      <c r="O575" s="133"/>
      <c r="P575" s="133"/>
      <c r="Q575" s="133"/>
      <c r="R575" s="133"/>
      <c r="S575" s="133"/>
      <c r="T575" s="133"/>
      <c r="U575" s="133"/>
      <c r="V575" s="133"/>
      <c r="W575" s="133"/>
      <c r="X575" s="160"/>
      <c r="Y575" s="133"/>
      <c r="Z575" s="133"/>
      <c r="AA575" s="133"/>
      <c r="AB575" s="133"/>
      <c r="AC575" s="133"/>
      <c r="AD575" s="133"/>
      <c r="AE575" s="133"/>
      <c r="AF575" s="133"/>
      <c r="AG575" s="133"/>
      <c r="AH575" s="133"/>
      <c r="AI575" s="133"/>
      <c r="AJ575" s="133"/>
      <c r="AK575" s="133"/>
      <c r="AL575" s="132"/>
      <c r="AM575" s="132"/>
      <c r="AN575" s="104"/>
      <c r="AO575" s="104"/>
      <c r="AP575" s="104"/>
    </row>
    <row r="576">
      <c r="A576" s="132"/>
      <c r="B576" s="132"/>
      <c r="C576" s="132"/>
      <c r="D576" s="132"/>
      <c r="E576" s="133"/>
      <c r="F576" s="133"/>
      <c r="G576" s="133"/>
      <c r="H576" s="133"/>
      <c r="I576" s="133"/>
      <c r="J576" s="133"/>
      <c r="K576" s="133"/>
      <c r="L576" s="133"/>
      <c r="M576" s="133"/>
      <c r="N576" s="133"/>
      <c r="O576" s="133"/>
      <c r="P576" s="133"/>
      <c r="Q576" s="133"/>
      <c r="R576" s="133"/>
      <c r="S576" s="133"/>
      <c r="T576" s="133"/>
      <c r="U576" s="133"/>
      <c r="V576" s="133"/>
      <c r="W576" s="133"/>
      <c r="X576" s="160"/>
      <c r="Y576" s="133"/>
      <c r="Z576" s="133"/>
      <c r="AA576" s="133"/>
      <c r="AB576" s="133"/>
      <c r="AC576" s="133"/>
      <c r="AD576" s="133"/>
      <c r="AE576" s="133"/>
      <c r="AF576" s="133"/>
      <c r="AG576" s="133"/>
      <c r="AH576" s="133"/>
      <c r="AI576" s="133"/>
      <c r="AJ576" s="133"/>
      <c r="AK576" s="133"/>
      <c r="AL576" s="132"/>
      <c r="AM576" s="132"/>
      <c r="AN576" s="104"/>
      <c r="AO576" s="104"/>
      <c r="AP576" s="104"/>
    </row>
    <row r="577">
      <c r="A577" s="132"/>
      <c r="B577" s="132"/>
      <c r="C577" s="132"/>
      <c r="D577" s="132"/>
      <c r="E577" s="133"/>
      <c r="F577" s="133"/>
      <c r="G577" s="133"/>
      <c r="H577" s="133"/>
      <c r="I577" s="133"/>
      <c r="J577" s="133"/>
      <c r="K577" s="133"/>
      <c r="L577" s="133"/>
      <c r="M577" s="133"/>
      <c r="N577" s="133"/>
      <c r="O577" s="133"/>
      <c r="P577" s="133"/>
      <c r="Q577" s="133"/>
      <c r="R577" s="133"/>
      <c r="S577" s="133"/>
      <c r="T577" s="133"/>
      <c r="U577" s="133"/>
      <c r="V577" s="133"/>
      <c r="W577" s="133"/>
      <c r="X577" s="160"/>
      <c r="Y577" s="133"/>
      <c r="Z577" s="133"/>
      <c r="AA577" s="133"/>
      <c r="AB577" s="133"/>
      <c r="AC577" s="133"/>
      <c r="AD577" s="133"/>
      <c r="AE577" s="133"/>
      <c r="AF577" s="133"/>
      <c r="AG577" s="133"/>
      <c r="AH577" s="133"/>
      <c r="AI577" s="133"/>
      <c r="AJ577" s="133"/>
      <c r="AK577" s="133"/>
      <c r="AL577" s="132"/>
      <c r="AM577" s="132"/>
      <c r="AN577" s="104"/>
      <c r="AO577" s="104"/>
      <c r="AP577" s="104"/>
    </row>
    <row r="578">
      <c r="A578" s="132"/>
      <c r="B578" s="132"/>
      <c r="C578" s="132"/>
      <c r="D578" s="132"/>
      <c r="E578" s="133"/>
      <c r="F578" s="133"/>
      <c r="G578" s="133"/>
      <c r="H578" s="133"/>
      <c r="I578" s="133"/>
      <c r="J578" s="133"/>
      <c r="K578" s="133"/>
      <c r="L578" s="133"/>
      <c r="M578" s="133"/>
      <c r="N578" s="133"/>
      <c r="O578" s="133"/>
      <c r="P578" s="133"/>
      <c r="Q578" s="133"/>
      <c r="R578" s="133"/>
      <c r="S578" s="133"/>
      <c r="T578" s="133"/>
      <c r="U578" s="133"/>
      <c r="V578" s="133"/>
      <c r="W578" s="133"/>
      <c r="X578" s="160"/>
      <c r="Y578" s="133"/>
      <c r="Z578" s="133"/>
      <c r="AA578" s="133"/>
      <c r="AB578" s="133"/>
      <c r="AC578" s="133"/>
      <c r="AD578" s="133"/>
      <c r="AE578" s="133"/>
      <c r="AF578" s="133"/>
      <c r="AG578" s="133"/>
      <c r="AH578" s="133"/>
      <c r="AI578" s="133"/>
      <c r="AJ578" s="133"/>
      <c r="AK578" s="133"/>
      <c r="AL578" s="132"/>
      <c r="AM578" s="132"/>
      <c r="AN578" s="104"/>
      <c r="AO578" s="104"/>
      <c r="AP578" s="104"/>
    </row>
    <row r="579">
      <c r="A579" s="132"/>
      <c r="B579" s="132"/>
      <c r="C579" s="132"/>
      <c r="D579" s="132"/>
      <c r="E579" s="133"/>
      <c r="F579" s="133"/>
      <c r="G579" s="133"/>
      <c r="H579" s="133"/>
      <c r="I579" s="133"/>
      <c r="J579" s="133"/>
      <c r="K579" s="133"/>
      <c r="L579" s="133"/>
      <c r="M579" s="133"/>
      <c r="N579" s="133"/>
      <c r="O579" s="133"/>
      <c r="P579" s="133"/>
      <c r="Q579" s="133"/>
      <c r="R579" s="133"/>
      <c r="S579" s="133"/>
      <c r="T579" s="133"/>
      <c r="U579" s="133"/>
      <c r="V579" s="133"/>
      <c r="W579" s="133"/>
      <c r="X579" s="160"/>
      <c r="Y579" s="133"/>
      <c r="Z579" s="133"/>
      <c r="AA579" s="133"/>
      <c r="AB579" s="133"/>
      <c r="AC579" s="133"/>
      <c r="AD579" s="133"/>
      <c r="AE579" s="133"/>
      <c r="AF579" s="133"/>
      <c r="AG579" s="133"/>
      <c r="AH579" s="133"/>
      <c r="AI579" s="133"/>
      <c r="AJ579" s="133"/>
      <c r="AK579" s="133"/>
      <c r="AL579" s="132"/>
      <c r="AM579" s="132"/>
      <c r="AN579" s="104"/>
      <c r="AO579" s="104"/>
      <c r="AP579" s="104"/>
    </row>
    <row r="580">
      <c r="A580" s="132"/>
      <c r="B580" s="132"/>
      <c r="C580" s="132"/>
      <c r="D580" s="132"/>
      <c r="E580" s="133"/>
      <c r="F580" s="133"/>
      <c r="G580" s="133"/>
      <c r="H580" s="133"/>
      <c r="I580" s="133"/>
      <c r="J580" s="133"/>
      <c r="K580" s="133"/>
      <c r="L580" s="133"/>
      <c r="M580" s="133"/>
      <c r="N580" s="133"/>
      <c r="O580" s="133"/>
      <c r="P580" s="133"/>
      <c r="Q580" s="133"/>
      <c r="R580" s="133"/>
      <c r="S580" s="133"/>
      <c r="T580" s="133"/>
      <c r="U580" s="133"/>
      <c r="V580" s="133"/>
      <c r="W580" s="133"/>
      <c r="X580" s="160"/>
      <c r="Y580" s="133"/>
      <c r="Z580" s="133"/>
      <c r="AA580" s="133"/>
      <c r="AB580" s="133"/>
      <c r="AC580" s="133"/>
      <c r="AD580" s="133"/>
      <c r="AE580" s="133"/>
      <c r="AF580" s="133"/>
      <c r="AG580" s="133"/>
      <c r="AH580" s="133"/>
      <c r="AI580" s="133"/>
      <c r="AJ580" s="133"/>
      <c r="AK580" s="133"/>
      <c r="AL580" s="132"/>
      <c r="AM580" s="132"/>
      <c r="AN580" s="104"/>
      <c r="AO580" s="104"/>
      <c r="AP580" s="104"/>
    </row>
    <row r="581">
      <c r="A581" s="132"/>
      <c r="B581" s="132"/>
      <c r="C581" s="132"/>
      <c r="D581" s="132"/>
      <c r="E581" s="133"/>
      <c r="F581" s="133"/>
      <c r="G581" s="133"/>
      <c r="H581" s="133"/>
      <c r="I581" s="133"/>
      <c r="J581" s="133"/>
      <c r="K581" s="133"/>
      <c r="L581" s="133"/>
      <c r="M581" s="133"/>
      <c r="N581" s="133"/>
      <c r="O581" s="133"/>
      <c r="P581" s="133"/>
      <c r="Q581" s="133"/>
      <c r="R581" s="133"/>
      <c r="S581" s="133"/>
      <c r="T581" s="133"/>
      <c r="U581" s="133"/>
      <c r="V581" s="133"/>
      <c r="W581" s="133"/>
      <c r="X581" s="160"/>
      <c r="Y581" s="133"/>
      <c r="Z581" s="133"/>
      <c r="AA581" s="133"/>
      <c r="AB581" s="133"/>
      <c r="AC581" s="133"/>
      <c r="AD581" s="133"/>
      <c r="AE581" s="133"/>
      <c r="AF581" s="133"/>
      <c r="AG581" s="133"/>
      <c r="AH581" s="133"/>
      <c r="AI581" s="133"/>
      <c r="AJ581" s="133"/>
      <c r="AK581" s="133"/>
      <c r="AL581" s="132"/>
      <c r="AM581" s="132"/>
      <c r="AN581" s="104"/>
      <c r="AO581" s="104"/>
      <c r="AP581" s="104"/>
    </row>
    <row r="582">
      <c r="A582" s="132"/>
      <c r="B582" s="132"/>
      <c r="C582" s="132"/>
      <c r="D582" s="132"/>
      <c r="E582" s="133"/>
      <c r="F582" s="133"/>
      <c r="G582" s="133"/>
      <c r="H582" s="133"/>
      <c r="I582" s="133"/>
      <c r="J582" s="133"/>
      <c r="K582" s="133"/>
      <c r="L582" s="133"/>
      <c r="M582" s="133"/>
      <c r="N582" s="133"/>
      <c r="O582" s="133"/>
      <c r="P582" s="133"/>
      <c r="Q582" s="133"/>
      <c r="R582" s="133"/>
      <c r="S582" s="133"/>
      <c r="T582" s="133"/>
      <c r="U582" s="133"/>
      <c r="V582" s="133"/>
      <c r="W582" s="133"/>
      <c r="X582" s="160"/>
      <c r="Y582" s="133"/>
      <c r="Z582" s="133"/>
      <c r="AA582" s="133"/>
      <c r="AB582" s="133"/>
      <c r="AC582" s="133"/>
      <c r="AD582" s="133"/>
      <c r="AE582" s="133"/>
      <c r="AF582" s="133"/>
      <c r="AG582" s="133"/>
      <c r="AH582" s="133"/>
      <c r="AI582" s="133"/>
      <c r="AJ582" s="133"/>
      <c r="AK582" s="133"/>
      <c r="AL582" s="132"/>
      <c r="AM582" s="132"/>
      <c r="AN582" s="104"/>
      <c r="AO582" s="104"/>
      <c r="AP582" s="104"/>
    </row>
    <row r="583">
      <c r="A583" s="132"/>
      <c r="B583" s="132"/>
      <c r="C583" s="132"/>
      <c r="D583" s="132"/>
      <c r="E583" s="133"/>
      <c r="F583" s="133"/>
      <c r="G583" s="133"/>
      <c r="H583" s="133"/>
      <c r="I583" s="133"/>
      <c r="J583" s="133"/>
      <c r="K583" s="133"/>
      <c r="L583" s="133"/>
      <c r="M583" s="133"/>
      <c r="N583" s="133"/>
      <c r="O583" s="133"/>
      <c r="P583" s="133"/>
      <c r="Q583" s="133"/>
      <c r="R583" s="133"/>
      <c r="S583" s="133"/>
      <c r="T583" s="133"/>
      <c r="U583" s="133"/>
      <c r="V583" s="133"/>
      <c r="W583" s="133"/>
      <c r="X583" s="160"/>
      <c r="Y583" s="133"/>
      <c r="Z583" s="133"/>
      <c r="AA583" s="133"/>
      <c r="AB583" s="133"/>
      <c r="AC583" s="133"/>
      <c r="AD583" s="133"/>
      <c r="AE583" s="133"/>
      <c r="AF583" s="133"/>
      <c r="AG583" s="133"/>
      <c r="AH583" s="133"/>
      <c r="AI583" s="133"/>
      <c r="AJ583" s="133"/>
      <c r="AK583" s="133"/>
      <c r="AL583" s="132"/>
      <c r="AM583" s="132"/>
      <c r="AN583" s="104"/>
      <c r="AO583" s="104"/>
      <c r="AP583" s="104"/>
    </row>
    <row r="584">
      <c r="A584" s="132"/>
      <c r="B584" s="132"/>
      <c r="C584" s="132"/>
      <c r="D584" s="132"/>
      <c r="E584" s="133"/>
      <c r="F584" s="133"/>
      <c r="G584" s="133"/>
      <c r="H584" s="133"/>
      <c r="I584" s="133"/>
      <c r="J584" s="133"/>
      <c r="K584" s="133"/>
      <c r="L584" s="133"/>
      <c r="M584" s="133"/>
      <c r="N584" s="133"/>
      <c r="O584" s="133"/>
      <c r="P584" s="133"/>
      <c r="Q584" s="133"/>
      <c r="R584" s="133"/>
      <c r="S584" s="133"/>
      <c r="T584" s="133"/>
      <c r="U584" s="133"/>
      <c r="V584" s="133"/>
      <c r="W584" s="133"/>
      <c r="X584" s="160"/>
      <c r="Y584" s="133"/>
      <c r="Z584" s="133"/>
      <c r="AA584" s="133"/>
      <c r="AB584" s="133"/>
      <c r="AC584" s="133"/>
      <c r="AD584" s="133"/>
      <c r="AE584" s="133"/>
      <c r="AF584" s="133"/>
      <c r="AG584" s="133"/>
      <c r="AH584" s="133"/>
      <c r="AI584" s="133"/>
      <c r="AJ584" s="133"/>
      <c r="AK584" s="133"/>
      <c r="AL584" s="132"/>
      <c r="AM584" s="132"/>
      <c r="AN584" s="104"/>
      <c r="AO584" s="104"/>
      <c r="AP584" s="104"/>
    </row>
    <row r="585">
      <c r="A585" s="132"/>
      <c r="B585" s="132"/>
      <c r="C585" s="132"/>
      <c r="D585" s="132"/>
      <c r="E585" s="133"/>
      <c r="F585" s="133"/>
      <c r="G585" s="133"/>
      <c r="H585" s="133"/>
      <c r="I585" s="133"/>
      <c r="J585" s="133"/>
      <c r="K585" s="133"/>
      <c r="L585" s="133"/>
      <c r="M585" s="133"/>
      <c r="N585" s="133"/>
      <c r="O585" s="133"/>
      <c r="P585" s="133"/>
      <c r="Q585" s="133"/>
      <c r="R585" s="133"/>
      <c r="S585" s="133"/>
      <c r="T585" s="133"/>
      <c r="U585" s="133"/>
      <c r="V585" s="133"/>
      <c r="W585" s="133"/>
      <c r="X585" s="160"/>
      <c r="Y585" s="133"/>
      <c r="Z585" s="133"/>
      <c r="AA585" s="133"/>
      <c r="AB585" s="133"/>
      <c r="AC585" s="133"/>
      <c r="AD585" s="133"/>
      <c r="AE585" s="133"/>
      <c r="AF585" s="133"/>
      <c r="AG585" s="133"/>
      <c r="AH585" s="133"/>
      <c r="AI585" s="133"/>
      <c r="AJ585" s="133"/>
      <c r="AK585" s="133"/>
      <c r="AL585" s="132"/>
      <c r="AM585" s="132"/>
      <c r="AN585" s="104"/>
      <c r="AO585" s="104"/>
      <c r="AP585" s="104"/>
    </row>
    <row r="586">
      <c r="A586" s="132"/>
      <c r="B586" s="132"/>
      <c r="C586" s="132"/>
      <c r="D586" s="132"/>
      <c r="E586" s="133"/>
      <c r="F586" s="133"/>
      <c r="G586" s="133"/>
      <c r="H586" s="133"/>
      <c r="I586" s="133"/>
      <c r="J586" s="133"/>
      <c r="K586" s="133"/>
      <c r="L586" s="133"/>
      <c r="M586" s="133"/>
      <c r="N586" s="133"/>
      <c r="O586" s="133"/>
      <c r="P586" s="133"/>
      <c r="Q586" s="133"/>
      <c r="R586" s="133"/>
      <c r="S586" s="133"/>
      <c r="T586" s="133"/>
      <c r="U586" s="133"/>
      <c r="V586" s="133"/>
      <c r="W586" s="133"/>
      <c r="X586" s="160"/>
      <c r="Y586" s="133"/>
      <c r="Z586" s="133"/>
      <c r="AA586" s="133"/>
      <c r="AB586" s="133"/>
      <c r="AC586" s="133"/>
      <c r="AD586" s="133"/>
      <c r="AE586" s="133"/>
      <c r="AF586" s="133"/>
      <c r="AG586" s="133"/>
      <c r="AH586" s="133"/>
      <c r="AI586" s="133"/>
      <c r="AJ586" s="133"/>
      <c r="AK586" s="133"/>
      <c r="AL586" s="132"/>
      <c r="AM586" s="132"/>
      <c r="AN586" s="104"/>
      <c r="AO586" s="104"/>
      <c r="AP586" s="104"/>
    </row>
    <row r="587">
      <c r="A587" s="132"/>
      <c r="B587" s="132"/>
      <c r="C587" s="132"/>
      <c r="D587" s="132"/>
      <c r="E587" s="133"/>
      <c r="F587" s="133"/>
      <c r="G587" s="133"/>
      <c r="H587" s="133"/>
      <c r="I587" s="133"/>
      <c r="J587" s="133"/>
      <c r="K587" s="133"/>
      <c r="L587" s="133"/>
      <c r="M587" s="133"/>
      <c r="N587" s="133"/>
      <c r="O587" s="133"/>
      <c r="P587" s="133"/>
      <c r="Q587" s="133"/>
      <c r="R587" s="133"/>
      <c r="S587" s="133"/>
      <c r="T587" s="133"/>
      <c r="U587" s="133"/>
      <c r="V587" s="133"/>
      <c r="W587" s="133"/>
      <c r="X587" s="160"/>
      <c r="Y587" s="133"/>
      <c r="Z587" s="133"/>
      <c r="AA587" s="133"/>
      <c r="AB587" s="133"/>
      <c r="AC587" s="133"/>
      <c r="AD587" s="133"/>
      <c r="AE587" s="133"/>
      <c r="AF587" s="133"/>
      <c r="AG587" s="133"/>
      <c r="AH587" s="133"/>
      <c r="AI587" s="133"/>
      <c r="AJ587" s="133"/>
      <c r="AK587" s="133"/>
      <c r="AL587" s="132"/>
      <c r="AM587" s="132"/>
      <c r="AN587" s="104"/>
      <c r="AO587" s="104"/>
      <c r="AP587" s="104"/>
    </row>
    <row r="588">
      <c r="A588" s="132"/>
      <c r="B588" s="132"/>
      <c r="C588" s="132"/>
      <c r="D588" s="132"/>
      <c r="E588" s="133"/>
      <c r="F588" s="133"/>
      <c r="G588" s="133"/>
      <c r="H588" s="133"/>
      <c r="I588" s="133"/>
      <c r="J588" s="133"/>
      <c r="K588" s="133"/>
      <c r="L588" s="133"/>
      <c r="M588" s="133"/>
      <c r="N588" s="133"/>
      <c r="O588" s="133"/>
      <c r="P588" s="133"/>
      <c r="Q588" s="133"/>
      <c r="R588" s="133"/>
      <c r="S588" s="133"/>
      <c r="T588" s="133"/>
      <c r="U588" s="133"/>
      <c r="V588" s="133"/>
      <c r="W588" s="133"/>
      <c r="X588" s="160"/>
      <c r="Y588" s="133"/>
      <c r="Z588" s="133"/>
      <c r="AA588" s="133"/>
      <c r="AB588" s="133"/>
      <c r="AC588" s="133"/>
      <c r="AD588" s="133"/>
      <c r="AE588" s="133"/>
      <c r="AF588" s="133"/>
      <c r="AG588" s="133"/>
      <c r="AH588" s="133"/>
      <c r="AI588" s="133"/>
      <c r="AJ588" s="133"/>
      <c r="AK588" s="133"/>
      <c r="AL588" s="132"/>
      <c r="AM588" s="132"/>
      <c r="AN588" s="104"/>
      <c r="AO588" s="104"/>
      <c r="AP588" s="104"/>
    </row>
    <row r="589">
      <c r="A589" s="132"/>
      <c r="B589" s="132"/>
      <c r="C589" s="132"/>
      <c r="D589" s="132"/>
      <c r="E589" s="133"/>
      <c r="F589" s="133"/>
      <c r="G589" s="133"/>
      <c r="H589" s="133"/>
      <c r="I589" s="133"/>
      <c r="J589" s="133"/>
      <c r="K589" s="133"/>
      <c r="L589" s="133"/>
      <c r="M589" s="133"/>
      <c r="N589" s="133"/>
      <c r="O589" s="133"/>
      <c r="P589" s="133"/>
      <c r="Q589" s="133"/>
      <c r="R589" s="133"/>
      <c r="S589" s="133"/>
      <c r="T589" s="133"/>
      <c r="U589" s="133"/>
      <c r="V589" s="133"/>
      <c r="W589" s="133"/>
      <c r="X589" s="160"/>
      <c r="Y589" s="133"/>
      <c r="Z589" s="133"/>
      <c r="AA589" s="133"/>
      <c r="AB589" s="133"/>
      <c r="AC589" s="133"/>
      <c r="AD589" s="133"/>
      <c r="AE589" s="133"/>
      <c r="AF589" s="133"/>
      <c r="AG589" s="133"/>
      <c r="AH589" s="133"/>
      <c r="AI589" s="133"/>
      <c r="AJ589" s="133"/>
      <c r="AK589" s="133"/>
      <c r="AL589" s="132"/>
      <c r="AM589" s="132"/>
      <c r="AN589" s="104"/>
      <c r="AO589" s="104"/>
      <c r="AP589" s="104"/>
    </row>
    <row r="590">
      <c r="A590" s="132"/>
      <c r="B590" s="132"/>
      <c r="C590" s="132"/>
      <c r="D590" s="132"/>
      <c r="E590" s="133"/>
      <c r="F590" s="133"/>
      <c r="G590" s="133"/>
      <c r="H590" s="133"/>
      <c r="I590" s="133"/>
      <c r="J590" s="133"/>
      <c r="K590" s="133"/>
      <c r="L590" s="133"/>
      <c r="M590" s="133"/>
      <c r="N590" s="133"/>
      <c r="O590" s="133"/>
      <c r="P590" s="133"/>
      <c r="Q590" s="133"/>
      <c r="R590" s="133"/>
      <c r="S590" s="133"/>
      <c r="T590" s="133"/>
      <c r="U590" s="133"/>
      <c r="V590" s="133"/>
      <c r="W590" s="133"/>
      <c r="X590" s="160"/>
      <c r="Y590" s="133"/>
      <c r="Z590" s="133"/>
      <c r="AA590" s="133"/>
      <c r="AB590" s="133"/>
      <c r="AC590" s="133"/>
      <c r="AD590" s="133"/>
      <c r="AE590" s="133"/>
      <c r="AF590" s="133"/>
      <c r="AG590" s="133"/>
      <c r="AH590" s="133"/>
      <c r="AI590" s="133"/>
      <c r="AJ590" s="133"/>
      <c r="AK590" s="133"/>
      <c r="AL590" s="132"/>
      <c r="AM590" s="132"/>
      <c r="AN590" s="104"/>
      <c r="AO590" s="104"/>
      <c r="AP590" s="104"/>
    </row>
    <row r="591">
      <c r="A591" s="132"/>
      <c r="B591" s="132"/>
      <c r="C591" s="132"/>
      <c r="D591" s="132"/>
      <c r="E591" s="133"/>
      <c r="F591" s="133"/>
      <c r="G591" s="133"/>
      <c r="H591" s="133"/>
      <c r="I591" s="133"/>
      <c r="J591" s="133"/>
      <c r="K591" s="133"/>
      <c r="L591" s="133"/>
      <c r="M591" s="133"/>
      <c r="N591" s="133"/>
      <c r="O591" s="133"/>
      <c r="P591" s="133"/>
      <c r="Q591" s="133"/>
      <c r="R591" s="133"/>
      <c r="S591" s="133"/>
      <c r="T591" s="133"/>
      <c r="U591" s="133"/>
      <c r="V591" s="133"/>
      <c r="W591" s="133"/>
      <c r="X591" s="160"/>
      <c r="Y591" s="133"/>
      <c r="Z591" s="133"/>
      <c r="AA591" s="133"/>
      <c r="AB591" s="133"/>
      <c r="AC591" s="133"/>
      <c r="AD591" s="133"/>
      <c r="AE591" s="133"/>
      <c r="AF591" s="133"/>
      <c r="AG591" s="133"/>
      <c r="AH591" s="133"/>
      <c r="AI591" s="133"/>
      <c r="AJ591" s="133"/>
      <c r="AK591" s="133"/>
      <c r="AL591" s="132"/>
      <c r="AM591" s="132"/>
      <c r="AN591" s="104"/>
      <c r="AO591" s="104"/>
      <c r="AP591" s="104"/>
    </row>
    <row r="592">
      <c r="A592" s="132"/>
      <c r="B592" s="132"/>
      <c r="C592" s="132"/>
      <c r="D592" s="132"/>
      <c r="E592" s="133"/>
      <c r="F592" s="133"/>
      <c r="G592" s="133"/>
      <c r="H592" s="133"/>
      <c r="I592" s="133"/>
      <c r="J592" s="133"/>
      <c r="K592" s="133"/>
      <c r="L592" s="133"/>
      <c r="M592" s="133"/>
      <c r="N592" s="133"/>
      <c r="O592" s="133"/>
      <c r="P592" s="133"/>
      <c r="Q592" s="133"/>
      <c r="R592" s="133"/>
      <c r="S592" s="133"/>
      <c r="T592" s="133"/>
      <c r="U592" s="133"/>
      <c r="V592" s="133"/>
      <c r="W592" s="133"/>
      <c r="X592" s="160"/>
      <c r="Y592" s="133"/>
      <c r="Z592" s="133"/>
      <c r="AA592" s="133"/>
      <c r="AB592" s="133"/>
      <c r="AC592" s="133"/>
      <c r="AD592" s="133"/>
      <c r="AE592" s="133"/>
      <c r="AF592" s="133"/>
      <c r="AG592" s="133"/>
      <c r="AH592" s="133"/>
      <c r="AI592" s="133"/>
      <c r="AJ592" s="133"/>
      <c r="AK592" s="133"/>
      <c r="AL592" s="132"/>
      <c r="AM592" s="132"/>
      <c r="AN592" s="104"/>
      <c r="AO592" s="104"/>
      <c r="AP592" s="104"/>
    </row>
    <row r="593">
      <c r="A593" s="132"/>
      <c r="B593" s="132"/>
      <c r="C593" s="132"/>
      <c r="D593" s="132"/>
      <c r="E593" s="133"/>
      <c r="F593" s="133"/>
      <c r="G593" s="133"/>
      <c r="H593" s="133"/>
      <c r="I593" s="133"/>
      <c r="J593" s="133"/>
      <c r="K593" s="133"/>
      <c r="L593" s="133"/>
      <c r="M593" s="133"/>
      <c r="N593" s="133"/>
      <c r="O593" s="133"/>
      <c r="P593" s="133"/>
      <c r="Q593" s="133"/>
      <c r="R593" s="133"/>
      <c r="S593" s="133"/>
      <c r="T593" s="133"/>
      <c r="U593" s="133"/>
      <c r="V593" s="133"/>
      <c r="W593" s="133"/>
      <c r="X593" s="160"/>
      <c r="Y593" s="133"/>
      <c r="Z593" s="133"/>
      <c r="AA593" s="133"/>
      <c r="AB593" s="133"/>
      <c r="AC593" s="133"/>
      <c r="AD593" s="133"/>
      <c r="AE593" s="133"/>
      <c r="AF593" s="133"/>
      <c r="AG593" s="133"/>
      <c r="AH593" s="133"/>
      <c r="AI593" s="133"/>
      <c r="AJ593" s="133"/>
      <c r="AK593" s="133"/>
      <c r="AL593" s="132"/>
      <c r="AM593" s="132"/>
      <c r="AN593" s="104"/>
      <c r="AO593" s="104"/>
      <c r="AP593" s="104"/>
    </row>
    <row r="594">
      <c r="A594" s="132"/>
      <c r="B594" s="132"/>
      <c r="C594" s="132"/>
      <c r="D594" s="132"/>
      <c r="E594" s="133"/>
      <c r="F594" s="133"/>
      <c r="G594" s="133"/>
      <c r="H594" s="133"/>
      <c r="I594" s="133"/>
      <c r="J594" s="133"/>
      <c r="K594" s="133"/>
      <c r="L594" s="133"/>
      <c r="M594" s="133"/>
      <c r="N594" s="133"/>
      <c r="O594" s="133"/>
      <c r="P594" s="133"/>
      <c r="Q594" s="133"/>
      <c r="R594" s="133"/>
      <c r="S594" s="133"/>
      <c r="T594" s="133"/>
      <c r="U594" s="133"/>
      <c r="V594" s="133"/>
      <c r="W594" s="133"/>
      <c r="X594" s="160"/>
      <c r="Y594" s="133"/>
      <c r="Z594" s="133"/>
      <c r="AA594" s="133"/>
      <c r="AB594" s="133"/>
      <c r="AC594" s="133"/>
      <c r="AD594" s="133"/>
      <c r="AE594" s="133"/>
      <c r="AF594" s="133"/>
      <c r="AG594" s="133"/>
      <c r="AH594" s="133"/>
      <c r="AI594" s="133"/>
      <c r="AJ594" s="133"/>
      <c r="AK594" s="133"/>
      <c r="AL594" s="132"/>
      <c r="AM594" s="132"/>
      <c r="AN594" s="104"/>
      <c r="AO594" s="104"/>
      <c r="AP594" s="104"/>
    </row>
    <row r="595">
      <c r="A595" s="132"/>
      <c r="B595" s="132"/>
      <c r="C595" s="132"/>
      <c r="D595" s="132"/>
      <c r="E595" s="133"/>
      <c r="F595" s="133"/>
      <c r="G595" s="133"/>
      <c r="H595" s="133"/>
      <c r="I595" s="133"/>
      <c r="J595" s="133"/>
      <c r="K595" s="133"/>
      <c r="L595" s="133"/>
      <c r="M595" s="133"/>
      <c r="N595" s="133"/>
      <c r="O595" s="133"/>
      <c r="P595" s="133"/>
      <c r="Q595" s="133"/>
      <c r="R595" s="133"/>
      <c r="S595" s="133"/>
      <c r="T595" s="133"/>
      <c r="U595" s="133"/>
      <c r="V595" s="133"/>
      <c r="W595" s="133"/>
      <c r="X595" s="160"/>
      <c r="Y595" s="133"/>
      <c r="Z595" s="133"/>
      <c r="AA595" s="133"/>
      <c r="AB595" s="133"/>
      <c r="AC595" s="133"/>
      <c r="AD595" s="133"/>
      <c r="AE595" s="133"/>
      <c r="AF595" s="133"/>
      <c r="AG595" s="133"/>
      <c r="AH595" s="133"/>
      <c r="AI595" s="133"/>
      <c r="AJ595" s="133"/>
      <c r="AK595" s="133"/>
      <c r="AL595" s="132"/>
      <c r="AM595" s="132"/>
      <c r="AN595" s="104"/>
      <c r="AO595" s="104"/>
      <c r="AP595" s="104"/>
    </row>
    <row r="596">
      <c r="A596" s="132"/>
      <c r="B596" s="132"/>
      <c r="C596" s="132"/>
      <c r="D596" s="132"/>
      <c r="E596" s="133"/>
      <c r="F596" s="133"/>
      <c r="G596" s="133"/>
      <c r="H596" s="133"/>
      <c r="I596" s="133"/>
      <c r="J596" s="133"/>
      <c r="K596" s="133"/>
      <c r="L596" s="133"/>
      <c r="M596" s="133"/>
      <c r="N596" s="133"/>
      <c r="O596" s="133"/>
      <c r="P596" s="133"/>
      <c r="Q596" s="133"/>
      <c r="R596" s="133"/>
      <c r="S596" s="133"/>
      <c r="T596" s="133"/>
      <c r="U596" s="133"/>
      <c r="V596" s="133"/>
      <c r="W596" s="133"/>
      <c r="X596" s="160"/>
      <c r="Y596" s="133"/>
      <c r="Z596" s="133"/>
      <c r="AA596" s="133"/>
      <c r="AB596" s="133"/>
      <c r="AC596" s="133"/>
      <c r="AD596" s="133"/>
      <c r="AE596" s="133"/>
      <c r="AF596" s="133"/>
      <c r="AG596" s="133"/>
      <c r="AH596" s="133"/>
      <c r="AI596" s="133"/>
      <c r="AJ596" s="133"/>
      <c r="AK596" s="133"/>
      <c r="AL596" s="132"/>
      <c r="AM596" s="132"/>
      <c r="AN596" s="104"/>
      <c r="AO596" s="104"/>
      <c r="AP596" s="104"/>
    </row>
    <row r="597">
      <c r="A597" s="132"/>
      <c r="B597" s="132"/>
      <c r="C597" s="132"/>
      <c r="D597" s="132"/>
      <c r="E597" s="133"/>
      <c r="F597" s="133"/>
      <c r="G597" s="133"/>
      <c r="H597" s="133"/>
      <c r="I597" s="133"/>
      <c r="J597" s="133"/>
      <c r="K597" s="133"/>
      <c r="L597" s="133"/>
      <c r="M597" s="133"/>
      <c r="N597" s="133"/>
      <c r="O597" s="133"/>
      <c r="P597" s="133"/>
      <c r="Q597" s="133"/>
      <c r="R597" s="133"/>
      <c r="S597" s="133"/>
      <c r="T597" s="133"/>
      <c r="U597" s="133"/>
      <c r="V597" s="133"/>
      <c r="W597" s="133"/>
      <c r="X597" s="160"/>
      <c r="Y597" s="133"/>
      <c r="Z597" s="133"/>
      <c r="AA597" s="133"/>
      <c r="AB597" s="133"/>
      <c r="AC597" s="133"/>
      <c r="AD597" s="133"/>
      <c r="AE597" s="133"/>
      <c r="AF597" s="133"/>
      <c r="AG597" s="133"/>
      <c r="AH597" s="133"/>
      <c r="AI597" s="133"/>
      <c r="AJ597" s="133"/>
      <c r="AK597" s="133"/>
      <c r="AL597" s="132"/>
      <c r="AM597" s="132"/>
      <c r="AN597" s="104"/>
      <c r="AO597" s="104"/>
      <c r="AP597" s="104"/>
    </row>
    <row r="598">
      <c r="A598" s="132"/>
      <c r="B598" s="132"/>
      <c r="C598" s="132"/>
      <c r="D598" s="132"/>
      <c r="E598" s="133"/>
      <c r="F598" s="133"/>
      <c r="G598" s="133"/>
      <c r="H598" s="133"/>
      <c r="I598" s="133"/>
      <c r="J598" s="133"/>
      <c r="K598" s="133"/>
      <c r="L598" s="133"/>
      <c r="M598" s="133"/>
      <c r="N598" s="133"/>
      <c r="O598" s="133"/>
      <c r="P598" s="133"/>
      <c r="Q598" s="133"/>
      <c r="R598" s="133"/>
      <c r="S598" s="133"/>
      <c r="T598" s="133"/>
      <c r="U598" s="133"/>
      <c r="V598" s="133"/>
      <c r="W598" s="133"/>
      <c r="X598" s="160"/>
      <c r="Y598" s="133"/>
      <c r="Z598" s="133"/>
      <c r="AA598" s="133"/>
      <c r="AB598" s="133"/>
      <c r="AC598" s="133"/>
      <c r="AD598" s="133"/>
      <c r="AE598" s="133"/>
      <c r="AF598" s="133"/>
      <c r="AG598" s="133"/>
      <c r="AH598" s="133"/>
      <c r="AI598" s="133"/>
      <c r="AJ598" s="133"/>
      <c r="AK598" s="133"/>
      <c r="AL598" s="132"/>
      <c r="AM598" s="132"/>
      <c r="AN598" s="104"/>
      <c r="AO598" s="104"/>
      <c r="AP598" s="104"/>
    </row>
    <row r="599">
      <c r="A599" s="132"/>
      <c r="B599" s="132"/>
      <c r="C599" s="132"/>
      <c r="D599" s="132"/>
      <c r="E599" s="133"/>
      <c r="F599" s="133"/>
      <c r="G599" s="133"/>
      <c r="H599" s="133"/>
      <c r="I599" s="133"/>
      <c r="J599" s="133"/>
      <c r="K599" s="133"/>
      <c r="L599" s="133"/>
      <c r="M599" s="133"/>
      <c r="N599" s="133"/>
      <c r="O599" s="133"/>
      <c r="P599" s="133"/>
      <c r="Q599" s="133"/>
      <c r="R599" s="133"/>
      <c r="S599" s="133"/>
      <c r="T599" s="133"/>
      <c r="U599" s="133"/>
      <c r="V599" s="133"/>
      <c r="W599" s="133"/>
      <c r="X599" s="160"/>
      <c r="Y599" s="133"/>
      <c r="Z599" s="133"/>
      <c r="AA599" s="133"/>
      <c r="AB599" s="133"/>
      <c r="AC599" s="133"/>
      <c r="AD599" s="133"/>
      <c r="AE599" s="133"/>
      <c r="AF599" s="133"/>
      <c r="AG599" s="133"/>
      <c r="AH599" s="133"/>
      <c r="AI599" s="133"/>
      <c r="AJ599" s="133"/>
      <c r="AK599" s="133"/>
      <c r="AL599" s="132"/>
      <c r="AM599" s="132"/>
      <c r="AN599" s="104"/>
      <c r="AO599" s="104"/>
      <c r="AP599" s="104"/>
    </row>
    <row r="600">
      <c r="A600" s="132"/>
      <c r="B600" s="132"/>
      <c r="C600" s="132"/>
      <c r="D600" s="132"/>
      <c r="E600" s="133"/>
      <c r="F600" s="133"/>
      <c r="G600" s="133"/>
      <c r="H600" s="133"/>
      <c r="I600" s="133"/>
      <c r="J600" s="133"/>
      <c r="K600" s="133"/>
      <c r="L600" s="133"/>
      <c r="M600" s="133"/>
      <c r="N600" s="133"/>
      <c r="O600" s="133"/>
      <c r="P600" s="133"/>
      <c r="Q600" s="133"/>
      <c r="R600" s="133"/>
      <c r="S600" s="133"/>
      <c r="T600" s="133"/>
      <c r="U600" s="133"/>
      <c r="V600" s="133"/>
      <c r="W600" s="133"/>
      <c r="X600" s="160"/>
      <c r="Y600" s="133"/>
      <c r="Z600" s="133"/>
      <c r="AA600" s="133"/>
      <c r="AB600" s="133"/>
      <c r="AC600" s="133"/>
      <c r="AD600" s="133"/>
      <c r="AE600" s="133"/>
      <c r="AF600" s="133"/>
      <c r="AG600" s="133"/>
      <c r="AH600" s="133"/>
      <c r="AI600" s="133"/>
      <c r="AJ600" s="133"/>
      <c r="AK600" s="133"/>
      <c r="AL600" s="132"/>
      <c r="AM600" s="132"/>
      <c r="AN600" s="104"/>
      <c r="AO600" s="104"/>
      <c r="AP600" s="104"/>
    </row>
    <row r="601">
      <c r="A601" s="132"/>
      <c r="B601" s="132"/>
      <c r="C601" s="132"/>
      <c r="D601" s="132"/>
      <c r="E601" s="133"/>
      <c r="F601" s="133"/>
      <c r="G601" s="133"/>
      <c r="H601" s="133"/>
      <c r="I601" s="133"/>
      <c r="J601" s="133"/>
      <c r="K601" s="133"/>
      <c r="L601" s="133"/>
      <c r="M601" s="133"/>
      <c r="N601" s="133"/>
      <c r="O601" s="133"/>
      <c r="P601" s="133"/>
      <c r="Q601" s="133"/>
      <c r="R601" s="133"/>
      <c r="S601" s="133"/>
      <c r="T601" s="133"/>
      <c r="U601" s="133"/>
      <c r="V601" s="133"/>
      <c r="W601" s="133"/>
      <c r="X601" s="160"/>
      <c r="Y601" s="133"/>
      <c r="Z601" s="133"/>
      <c r="AA601" s="133"/>
      <c r="AB601" s="133"/>
      <c r="AC601" s="133"/>
      <c r="AD601" s="133"/>
      <c r="AE601" s="133"/>
      <c r="AF601" s="133"/>
      <c r="AG601" s="133"/>
      <c r="AH601" s="133"/>
      <c r="AI601" s="133"/>
      <c r="AJ601" s="133"/>
      <c r="AK601" s="133"/>
      <c r="AL601" s="132"/>
      <c r="AM601" s="132"/>
      <c r="AN601" s="104"/>
      <c r="AO601" s="104"/>
      <c r="AP601" s="104"/>
    </row>
    <row r="602">
      <c r="A602" s="132"/>
      <c r="B602" s="132"/>
      <c r="C602" s="132"/>
      <c r="D602" s="132"/>
      <c r="E602" s="133"/>
      <c r="F602" s="133"/>
      <c r="G602" s="133"/>
      <c r="H602" s="133"/>
      <c r="I602" s="133"/>
      <c r="J602" s="133"/>
      <c r="K602" s="133"/>
      <c r="L602" s="133"/>
      <c r="M602" s="133"/>
      <c r="N602" s="133"/>
      <c r="O602" s="133"/>
      <c r="P602" s="133"/>
      <c r="Q602" s="133"/>
      <c r="R602" s="133"/>
      <c r="S602" s="133"/>
      <c r="T602" s="133"/>
      <c r="U602" s="133"/>
      <c r="V602" s="133"/>
      <c r="W602" s="133"/>
      <c r="X602" s="160"/>
      <c r="Y602" s="133"/>
      <c r="Z602" s="133"/>
      <c r="AA602" s="133"/>
      <c r="AB602" s="133"/>
      <c r="AC602" s="133"/>
      <c r="AD602" s="133"/>
      <c r="AE602" s="133"/>
      <c r="AF602" s="133"/>
      <c r="AG602" s="133"/>
      <c r="AH602" s="133"/>
      <c r="AI602" s="133"/>
      <c r="AJ602" s="133"/>
      <c r="AK602" s="133"/>
      <c r="AL602" s="132"/>
      <c r="AM602" s="132"/>
      <c r="AN602" s="104"/>
      <c r="AO602" s="104"/>
      <c r="AP602" s="104"/>
    </row>
    <row r="603">
      <c r="A603" s="132"/>
      <c r="B603" s="132"/>
      <c r="C603" s="132"/>
      <c r="D603" s="132"/>
      <c r="E603" s="133"/>
      <c r="F603" s="133"/>
      <c r="G603" s="133"/>
      <c r="H603" s="133"/>
      <c r="I603" s="133"/>
      <c r="J603" s="133"/>
      <c r="K603" s="133"/>
      <c r="L603" s="133"/>
      <c r="M603" s="133"/>
      <c r="N603" s="133"/>
      <c r="O603" s="133"/>
      <c r="P603" s="133"/>
      <c r="Q603" s="133"/>
      <c r="R603" s="133"/>
      <c r="S603" s="133"/>
      <c r="T603" s="133"/>
      <c r="U603" s="133"/>
      <c r="V603" s="133"/>
      <c r="W603" s="133"/>
      <c r="X603" s="160"/>
      <c r="Y603" s="133"/>
      <c r="Z603" s="133"/>
      <c r="AA603" s="133"/>
      <c r="AB603" s="133"/>
      <c r="AC603" s="133"/>
      <c r="AD603" s="133"/>
      <c r="AE603" s="133"/>
      <c r="AF603" s="133"/>
      <c r="AG603" s="133"/>
      <c r="AH603" s="133"/>
      <c r="AI603" s="133"/>
      <c r="AJ603" s="133"/>
      <c r="AK603" s="133"/>
      <c r="AL603" s="132"/>
      <c r="AM603" s="132"/>
      <c r="AN603" s="104"/>
      <c r="AO603" s="104"/>
      <c r="AP603" s="104"/>
    </row>
    <row r="604">
      <c r="A604" s="132"/>
      <c r="B604" s="132"/>
      <c r="C604" s="132"/>
      <c r="D604" s="132"/>
      <c r="E604" s="133"/>
      <c r="F604" s="133"/>
      <c r="G604" s="133"/>
      <c r="H604" s="133"/>
      <c r="I604" s="133"/>
      <c r="J604" s="133"/>
      <c r="K604" s="133"/>
      <c r="L604" s="133"/>
      <c r="M604" s="133"/>
      <c r="N604" s="133"/>
      <c r="O604" s="133"/>
      <c r="P604" s="133"/>
      <c r="Q604" s="133"/>
      <c r="R604" s="133"/>
      <c r="S604" s="133"/>
      <c r="T604" s="133"/>
      <c r="U604" s="133"/>
      <c r="V604" s="133"/>
      <c r="W604" s="133"/>
      <c r="X604" s="160"/>
      <c r="Y604" s="133"/>
      <c r="Z604" s="133"/>
      <c r="AA604" s="133"/>
      <c r="AB604" s="133"/>
      <c r="AC604" s="133"/>
      <c r="AD604" s="133"/>
      <c r="AE604" s="133"/>
      <c r="AF604" s="133"/>
      <c r="AG604" s="133"/>
      <c r="AH604" s="133"/>
      <c r="AI604" s="133"/>
      <c r="AJ604" s="133"/>
      <c r="AK604" s="133"/>
      <c r="AL604" s="132"/>
      <c r="AM604" s="132"/>
      <c r="AN604" s="104"/>
      <c r="AO604" s="104"/>
      <c r="AP604" s="104"/>
    </row>
    <row r="605">
      <c r="A605" s="132"/>
      <c r="B605" s="132"/>
      <c r="C605" s="132"/>
      <c r="D605" s="132"/>
      <c r="E605" s="133"/>
      <c r="F605" s="133"/>
      <c r="G605" s="133"/>
      <c r="H605" s="133"/>
      <c r="I605" s="133"/>
      <c r="J605" s="133"/>
      <c r="K605" s="133"/>
      <c r="L605" s="133"/>
      <c r="M605" s="133"/>
      <c r="N605" s="133"/>
      <c r="O605" s="133"/>
      <c r="P605" s="133"/>
      <c r="Q605" s="133"/>
      <c r="R605" s="133"/>
      <c r="S605" s="133"/>
      <c r="T605" s="133"/>
      <c r="U605" s="133"/>
      <c r="V605" s="133"/>
      <c r="W605" s="133"/>
      <c r="X605" s="160"/>
      <c r="Y605" s="133"/>
      <c r="Z605" s="133"/>
      <c r="AA605" s="133"/>
      <c r="AB605" s="133"/>
      <c r="AC605" s="133"/>
      <c r="AD605" s="133"/>
      <c r="AE605" s="133"/>
      <c r="AF605" s="133"/>
      <c r="AG605" s="133"/>
      <c r="AH605" s="133"/>
      <c r="AI605" s="133"/>
      <c r="AJ605" s="133"/>
      <c r="AK605" s="133"/>
      <c r="AL605" s="132"/>
      <c r="AM605" s="132"/>
      <c r="AN605" s="104"/>
      <c r="AO605" s="104"/>
      <c r="AP605" s="104"/>
    </row>
    <row r="606">
      <c r="A606" s="132"/>
      <c r="B606" s="132"/>
      <c r="C606" s="132"/>
      <c r="D606" s="132"/>
      <c r="E606" s="133"/>
      <c r="F606" s="133"/>
      <c r="G606" s="133"/>
      <c r="H606" s="133"/>
      <c r="I606" s="133"/>
      <c r="J606" s="133"/>
      <c r="K606" s="133"/>
      <c r="L606" s="133"/>
      <c r="M606" s="133"/>
      <c r="N606" s="133"/>
      <c r="O606" s="133"/>
      <c r="P606" s="133"/>
      <c r="Q606" s="133"/>
      <c r="R606" s="133"/>
      <c r="S606" s="133"/>
      <c r="T606" s="133"/>
      <c r="U606" s="133"/>
      <c r="V606" s="133"/>
      <c r="W606" s="133"/>
      <c r="X606" s="160"/>
      <c r="Y606" s="133"/>
      <c r="Z606" s="133"/>
      <c r="AA606" s="133"/>
      <c r="AB606" s="133"/>
      <c r="AC606" s="133"/>
      <c r="AD606" s="133"/>
      <c r="AE606" s="133"/>
      <c r="AF606" s="133"/>
      <c r="AG606" s="133"/>
      <c r="AH606" s="133"/>
      <c r="AI606" s="133"/>
      <c r="AJ606" s="133"/>
      <c r="AK606" s="133"/>
      <c r="AL606" s="132"/>
      <c r="AM606" s="132"/>
      <c r="AN606" s="104"/>
      <c r="AO606" s="104"/>
      <c r="AP606" s="104"/>
    </row>
    <row r="607">
      <c r="A607" s="132"/>
      <c r="B607" s="132"/>
      <c r="C607" s="132"/>
      <c r="D607" s="132"/>
      <c r="E607" s="133"/>
      <c r="F607" s="133"/>
      <c r="G607" s="133"/>
      <c r="H607" s="133"/>
      <c r="I607" s="133"/>
      <c r="J607" s="133"/>
      <c r="K607" s="133"/>
      <c r="L607" s="133"/>
      <c r="M607" s="133"/>
      <c r="N607" s="133"/>
      <c r="O607" s="133"/>
      <c r="P607" s="133"/>
      <c r="Q607" s="133"/>
      <c r="R607" s="133"/>
      <c r="S607" s="133"/>
      <c r="T607" s="133"/>
      <c r="U607" s="133"/>
      <c r="V607" s="133"/>
      <c r="W607" s="133"/>
      <c r="X607" s="160"/>
      <c r="Y607" s="133"/>
      <c r="Z607" s="133"/>
      <c r="AA607" s="133"/>
      <c r="AB607" s="133"/>
      <c r="AC607" s="133"/>
      <c r="AD607" s="133"/>
      <c r="AE607" s="133"/>
      <c r="AF607" s="133"/>
      <c r="AG607" s="133"/>
      <c r="AH607" s="133"/>
      <c r="AI607" s="133"/>
      <c r="AJ607" s="133"/>
      <c r="AK607" s="133"/>
      <c r="AL607" s="132"/>
      <c r="AM607" s="132"/>
      <c r="AN607" s="104"/>
      <c r="AO607" s="104"/>
      <c r="AP607" s="104"/>
    </row>
    <row r="608">
      <c r="A608" s="132"/>
      <c r="B608" s="132"/>
      <c r="C608" s="132"/>
      <c r="D608" s="132"/>
      <c r="E608" s="133"/>
      <c r="F608" s="133"/>
      <c r="G608" s="133"/>
      <c r="H608" s="133"/>
      <c r="I608" s="133"/>
      <c r="J608" s="133"/>
      <c r="K608" s="133"/>
      <c r="L608" s="133"/>
      <c r="M608" s="133"/>
      <c r="N608" s="133"/>
      <c r="O608" s="133"/>
      <c r="P608" s="133"/>
      <c r="Q608" s="133"/>
      <c r="R608" s="133"/>
      <c r="S608" s="133"/>
      <c r="T608" s="133"/>
      <c r="U608" s="133"/>
      <c r="V608" s="133"/>
      <c r="W608" s="133"/>
      <c r="X608" s="160"/>
      <c r="Y608" s="133"/>
      <c r="Z608" s="133"/>
      <c r="AA608" s="133"/>
      <c r="AB608" s="133"/>
      <c r="AC608" s="133"/>
      <c r="AD608" s="133"/>
      <c r="AE608" s="133"/>
      <c r="AF608" s="133"/>
      <c r="AG608" s="133"/>
      <c r="AH608" s="133"/>
      <c r="AI608" s="133"/>
      <c r="AJ608" s="133"/>
      <c r="AK608" s="133"/>
      <c r="AL608" s="132"/>
      <c r="AM608" s="132"/>
      <c r="AN608" s="104"/>
      <c r="AO608" s="104"/>
      <c r="AP608" s="104"/>
    </row>
    <row r="609">
      <c r="A609" s="132"/>
      <c r="B609" s="132"/>
      <c r="C609" s="132"/>
      <c r="D609" s="132"/>
      <c r="E609" s="133"/>
      <c r="F609" s="133"/>
      <c r="G609" s="133"/>
      <c r="H609" s="133"/>
      <c r="I609" s="133"/>
      <c r="J609" s="133"/>
      <c r="K609" s="133"/>
      <c r="L609" s="133"/>
      <c r="M609" s="133"/>
      <c r="N609" s="133"/>
      <c r="O609" s="133"/>
      <c r="P609" s="133"/>
      <c r="Q609" s="133"/>
      <c r="R609" s="133"/>
      <c r="S609" s="133"/>
      <c r="T609" s="133"/>
      <c r="U609" s="133"/>
      <c r="V609" s="133"/>
      <c r="W609" s="133"/>
      <c r="X609" s="160"/>
      <c r="Y609" s="133"/>
      <c r="Z609" s="133"/>
      <c r="AA609" s="133"/>
      <c r="AB609" s="133"/>
      <c r="AC609" s="133"/>
      <c r="AD609" s="133"/>
      <c r="AE609" s="133"/>
      <c r="AF609" s="133"/>
      <c r="AG609" s="133"/>
      <c r="AH609" s="133"/>
      <c r="AI609" s="133"/>
      <c r="AJ609" s="133"/>
      <c r="AK609" s="133"/>
      <c r="AL609" s="132"/>
      <c r="AM609" s="132"/>
      <c r="AN609" s="104"/>
      <c r="AO609" s="104"/>
      <c r="AP609" s="104"/>
    </row>
    <row r="610">
      <c r="A610" s="132"/>
      <c r="B610" s="132"/>
      <c r="C610" s="132"/>
      <c r="D610" s="132"/>
      <c r="E610" s="133"/>
      <c r="F610" s="133"/>
      <c r="G610" s="133"/>
      <c r="H610" s="133"/>
      <c r="I610" s="133"/>
      <c r="J610" s="133"/>
      <c r="K610" s="133"/>
      <c r="L610" s="133"/>
      <c r="M610" s="133"/>
      <c r="N610" s="133"/>
      <c r="O610" s="133"/>
      <c r="P610" s="133"/>
      <c r="Q610" s="133"/>
      <c r="R610" s="133"/>
      <c r="S610" s="133"/>
      <c r="T610" s="133"/>
      <c r="U610" s="133"/>
      <c r="V610" s="133"/>
      <c r="W610" s="133"/>
      <c r="X610" s="160"/>
      <c r="Y610" s="133"/>
      <c r="Z610" s="133"/>
      <c r="AA610" s="133"/>
      <c r="AB610" s="133"/>
      <c r="AC610" s="133"/>
      <c r="AD610" s="133"/>
      <c r="AE610" s="133"/>
      <c r="AF610" s="133"/>
      <c r="AG610" s="133"/>
      <c r="AH610" s="133"/>
      <c r="AI610" s="133"/>
      <c r="AJ610" s="133"/>
      <c r="AK610" s="133"/>
      <c r="AL610" s="132"/>
      <c r="AM610" s="132"/>
      <c r="AN610" s="104"/>
      <c r="AO610" s="104"/>
      <c r="AP610" s="104"/>
    </row>
    <row r="611">
      <c r="A611" s="132"/>
      <c r="B611" s="132"/>
      <c r="C611" s="132"/>
      <c r="D611" s="132"/>
      <c r="E611" s="133"/>
      <c r="F611" s="133"/>
      <c r="G611" s="133"/>
      <c r="H611" s="133"/>
      <c r="I611" s="133"/>
      <c r="J611" s="133"/>
      <c r="K611" s="133"/>
      <c r="L611" s="133"/>
      <c r="M611" s="133"/>
      <c r="N611" s="133"/>
      <c r="O611" s="133"/>
      <c r="P611" s="133"/>
      <c r="Q611" s="133"/>
      <c r="R611" s="133"/>
      <c r="S611" s="133"/>
      <c r="T611" s="133"/>
      <c r="U611" s="133"/>
      <c r="V611" s="133"/>
      <c r="W611" s="133"/>
      <c r="X611" s="160"/>
      <c r="Y611" s="133"/>
      <c r="Z611" s="133"/>
      <c r="AA611" s="133"/>
      <c r="AB611" s="133"/>
      <c r="AC611" s="133"/>
      <c r="AD611" s="133"/>
      <c r="AE611" s="133"/>
      <c r="AF611" s="133"/>
      <c r="AG611" s="133"/>
      <c r="AH611" s="133"/>
      <c r="AI611" s="133"/>
      <c r="AJ611" s="133"/>
      <c r="AK611" s="133"/>
      <c r="AL611" s="132"/>
      <c r="AM611" s="132"/>
      <c r="AN611" s="104"/>
      <c r="AO611" s="104"/>
      <c r="AP611" s="104"/>
    </row>
    <row r="612">
      <c r="A612" s="132"/>
      <c r="B612" s="132"/>
      <c r="C612" s="132"/>
      <c r="D612" s="132"/>
      <c r="E612" s="133"/>
      <c r="F612" s="133"/>
      <c r="G612" s="133"/>
      <c r="H612" s="133"/>
      <c r="I612" s="133"/>
      <c r="J612" s="133"/>
      <c r="K612" s="133"/>
      <c r="L612" s="133"/>
      <c r="M612" s="133"/>
      <c r="N612" s="133"/>
      <c r="O612" s="133"/>
      <c r="P612" s="133"/>
      <c r="Q612" s="133"/>
      <c r="R612" s="133"/>
      <c r="S612" s="133"/>
      <c r="T612" s="133"/>
      <c r="U612" s="133"/>
      <c r="V612" s="133"/>
      <c r="W612" s="133"/>
      <c r="X612" s="160"/>
      <c r="Y612" s="133"/>
      <c r="Z612" s="133"/>
      <c r="AA612" s="133"/>
      <c r="AB612" s="133"/>
      <c r="AC612" s="133"/>
      <c r="AD612" s="133"/>
      <c r="AE612" s="133"/>
      <c r="AF612" s="133"/>
      <c r="AG612" s="133"/>
      <c r="AH612" s="133"/>
      <c r="AI612" s="133"/>
      <c r="AJ612" s="133"/>
      <c r="AK612" s="133"/>
      <c r="AL612" s="132"/>
      <c r="AM612" s="132"/>
      <c r="AN612" s="104"/>
      <c r="AO612" s="104"/>
      <c r="AP612" s="104"/>
    </row>
    <row r="613">
      <c r="A613" s="132"/>
      <c r="B613" s="132"/>
      <c r="C613" s="132"/>
      <c r="D613" s="132"/>
      <c r="E613" s="133"/>
      <c r="F613" s="133"/>
      <c r="G613" s="133"/>
      <c r="H613" s="133"/>
      <c r="I613" s="133"/>
      <c r="J613" s="133"/>
      <c r="K613" s="133"/>
      <c r="L613" s="133"/>
      <c r="M613" s="133"/>
      <c r="N613" s="133"/>
      <c r="O613" s="133"/>
      <c r="P613" s="133"/>
      <c r="Q613" s="133"/>
      <c r="R613" s="133"/>
      <c r="S613" s="133"/>
      <c r="T613" s="133"/>
      <c r="U613" s="133"/>
      <c r="V613" s="133"/>
      <c r="W613" s="133"/>
      <c r="X613" s="160"/>
      <c r="Y613" s="133"/>
      <c r="Z613" s="133"/>
      <c r="AA613" s="133"/>
      <c r="AB613" s="133"/>
      <c r="AC613" s="133"/>
      <c r="AD613" s="133"/>
      <c r="AE613" s="133"/>
      <c r="AF613" s="133"/>
      <c r="AG613" s="133"/>
      <c r="AH613" s="133"/>
      <c r="AI613" s="133"/>
      <c r="AJ613" s="133"/>
      <c r="AK613" s="133"/>
      <c r="AL613" s="132"/>
      <c r="AM613" s="132"/>
      <c r="AN613" s="104"/>
      <c r="AO613" s="104"/>
      <c r="AP613" s="104"/>
    </row>
    <row r="614">
      <c r="A614" s="132"/>
      <c r="B614" s="132"/>
      <c r="C614" s="132"/>
      <c r="D614" s="132"/>
      <c r="E614" s="133"/>
      <c r="F614" s="133"/>
      <c r="G614" s="133"/>
      <c r="H614" s="133"/>
      <c r="I614" s="133"/>
      <c r="J614" s="133"/>
      <c r="K614" s="133"/>
      <c r="L614" s="133"/>
      <c r="M614" s="133"/>
      <c r="N614" s="133"/>
      <c r="O614" s="133"/>
      <c r="P614" s="133"/>
      <c r="Q614" s="133"/>
      <c r="R614" s="133"/>
      <c r="S614" s="133"/>
      <c r="T614" s="133"/>
      <c r="U614" s="133"/>
      <c r="V614" s="133"/>
      <c r="W614" s="133"/>
      <c r="X614" s="160"/>
      <c r="Y614" s="133"/>
      <c r="Z614" s="133"/>
      <c r="AA614" s="133"/>
      <c r="AB614" s="133"/>
      <c r="AC614" s="133"/>
      <c r="AD614" s="133"/>
      <c r="AE614" s="133"/>
      <c r="AF614" s="133"/>
      <c r="AG614" s="133"/>
      <c r="AH614" s="133"/>
      <c r="AI614" s="133"/>
      <c r="AJ614" s="133"/>
      <c r="AK614" s="133"/>
      <c r="AL614" s="132"/>
      <c r="AM614" s="132"/>
      <c r="AN614" s="104"/>
      <c r="AO614" s="104"/>
      <c r="AP614" s="104"/>
    </row>
    <row r="615">
      <c r="A615" s="132"/>
      <c r="B615" s="132"/>
      <c r="C615" s="132"/>
      <c r="D615" s="132"/>
      <c r="E615" s="133"/>
      <c r="F615" s="133"/>
      <c r="G615" s="133"/>
      <c r="H615" s="133"/>
      <c r="I615" s="133"/>
      <c r="J615" s="133"/>
      <c r="K615" s="133"/>
      <c r="L615" s="133"/>
      <c r="M615" s="133"/>
      <c r="N615" s="133"/>
      <c r="O615" s="133"/>
      <c r="P615" s="133"/>
      <c r="Q615" s="133"/>
      <c r="R615" s="133"/>
      <c r="S615" s="133"/>
      <c r="T615" s="133"/>
      <c r="U615" s="133"/>
      <c r="V615" s="133"/>
      <c r="W615" s="133"/>
      <c r="X615" s="160"/>
      <c r="Y615" s="133"/>
      <c r="Z615" s="133"/>
      <c r="AA615" s="133"/>
      <c r="AB615" s="133"/>
      <c r="AC615" s="133"/>
      <c r="AD615" s="133"/>
      <c r="AE615" s="133"/>
      <c r="AF615" s="133"/>
      <c r="AG615" s="133"/>
      <c r="AH615" s="133"/>
      <c r="AI615" s="133"/>
      <c r="AJ615" s="133"/>
      <c r="AK615" s="133"/>
      <c r="AL615" s="132"/>
      <c r="AM615" s="132"/>
      <c r="AN615" s="104"/>
      <c r="AO615" s="104"/>
      <c r="AP615" s="104"/>
    </row>
    <row r="616">
      <c r="A616" s="132"/>
      <c r="B616" s="132"/>
      <c r="C616" s="132"/>
      <c r="D616" s="132"/>
      <c r="E616" s="133"/>
      <c r="F616" s="133"/>
      <c r="G616" s="133"/>
      <c r="H616" s="133"/>
      <c r="I616" s="133"/>
      <c r="J616" s="133"/>
      <c r="K616" s="133"/>
      <c r="L616" s="133"/>
      <c r="M616" s="133"/>
      <c r="N616" s="133"/>
      <c r="O616" s="133"/>
      <c r="P616" s="133"/>
      <c r="Q616" s="133"/>
      <c r="R616" s="133"/>
      <c r="S616" s="133"/>
      <c r="T616" s="133"/>
      <c r="U616" s="133"/>
      <c r="V616" s="133"/>
      <c r="W616" s="133"/>
      <c r="X616" s="160"/>
      <c r="Y616" s="133"/>
      <c r="Z616" s="133"/>
      <c r="AA616" s="133"/>
      <c r="AB616" s="133"/>
      <c r="AC616" s="133"/>
      <c r="AD616" s="133"/>
      <c r="AE616" s="133"/>
      <c r="AF616" s="133"/>
      <c r="AG616" s="133"/>
      <c r="AH616" s="133"/>
      <c r="AI616" s="133"/>
      <c r="AJ616" s="133"/>
      <c r="AK616" s="133"/>
      <c r="AL616" s="132"/>
      <c r="AM616" s="132"/>
      <c r="AN616" s="104"/>
      <c r="AO616" s="104"/>
      <c r="AP616" s="104"/>
    </row>
    <row r="617">
      <c r="A617" s="132"/>
      <c r="B617" s="132"/>
      <c r="C617" s="132"/>
      <c r="D617" s="132"/>
      <c r="E617" s="133"/>
      <c r="F617" s="133"/>
      <c r="G617" s="133"/>
      <c r="H617" s="133"/>
      <c r="I617" s="133"/>
      <c r="J617" s="133"/>
      <c r="K617" s="133"/>
      <c r="L617" s="133"/>
      <c r="M617" s="133"/>
      <c r="N617" s="133"/>
      <c r="O617" s="133"/>
      <c r="P617" s="133"/>
      <c r="Q617" s="133"/>
      <c r="R617" s="133"/>
      <c r="S617" s="133"/>
      <c r="T617" s="133"/>
      <c r="U617" s="133"/>
      <c r="V617" s="133"/>
      <c r="W617" s="133"/>
      <c r="X617" s="160"/>
      <c r="Y617" s="133"/>
      <c r="Z617" s="133"/>
      <c r="AA617" s="133"/>
      <c r="AB617" s="133"/>
      <c r="AC617" s="133"/>
      <c r="AD617" s="133"/>
      <c r="AE617" s="133"/>
      <c r="AF617" s="133"/>
      <c r="AG617" s="133"/>
      <c r="AH617" s="133"/>
      <c r="AI617" s="133"/>
      <c r="AJ617" s="133"/>
      <c r="AK617" s="133"/>
      <c r="AL617" s="132"/>
      <c r="AM617" s="132"/>
      <c r="AN617" s="104"/>
      <c r="AO617" s="104"/>
      <c r="AP617" s="104"/>
    </row>
    <row r="618">
      <c r="A618" s="132"/>
      <c r="B618" s="132"/>
      <c r="C618" s="132"/>
      <c r="D618" s="132"/>
      <c r="E618" s="133"/>
      <c r="F618" s="133"/>
      <c r="G618" s="133"/>
      <c r="H618" s="133"/>
      <c r="I618" s="133"/>
      <c r="J618" s="133"/>
      <c r="K618" s="133"/>
      <c r="L618" s="133"/>
      <c r="M618" s="133"/>
      <c r="N618" s="133"/>
      <c r="O618" s="133"/>
      <c r="P618" s="133"/>
      <c r="Q618" s="133"/>
      <c r="R618" s="133"/>
      <c r="S618" s="133"/>
      <c r="T618" s="133"/>
      <c r="U618" s="133"/>
      <c r="V618" s="133"/>
      <c r="W618" s="133"/>
      <c r="X618" s="160"/>
      <c r="Y618" s="133"/>
      <c r="Z618" s="133"/>
      <c r="AA618" s="133"/>
      <c r="AB618" s="133"/>
      <c r="AC618" s="133"/>
      <c r="AD618" s="133"/>
      <c r="AE618" s="133"/>
      <c r="AF618" s="133"/>
      <c r="AG618" s="133"/>
      <c r="AH618" s="133"/>
      <c r="AI618" s="133"/>
      <c r="AJ618" s="133"/>
      <c r="AK618" s="133"/>
      <c r="AL618" s="132"/>
      <c r="AM618" s="132"/>
      <c r="AN618" s="104"/>
      <c r="AO618" s="104"/>
      <c r="AP618" s="104"/>
    </row>
    <row r="619">
      <c r="A619" s="132"/>
      <c r="B619" s="132"/>
      <c r="C619" s="132"/>
      <c r="D619" s="132"/>
      <c r="E619" s="133"/>
      <c r="F619" s="133"/>
      <c r="G619" s="133"/>
      <c r="H619" s="133"/>
      <c r="I619" s="133"/>
      <c r="J619" s="133"/>
      <c r="K619" s="133"/>
      <c r="L619" s="133"/>
      <c r="M619" s="133"/>
      <c r="N619" s="133"/>
      <c r="O619" s="133"/>
      <c r="P619" s="133"/>
      <c r="Q619" s="133"/>
      <c r="R619" s="133"/>
      <c r="S619" s="133"/>
      <c r="T619" s="133"/>
      <c r="U619" s="133"/>
      <c r="V619" s="133"/>
      <c r="W619" s="133"/>
      <c r="X619" s="160"/>
      <c r="Y619" s="133"/>
      <c r="Z619" s="133"/>
      <c r="AA619" s="133"/>
      <c r="AB619" s="133"/>
      <c r="AC619" s="133"/>
      <c r="AD619" s="133"/>
      <c r="AE619" s="133"/>
      <c r="AF619" s="133"/>
      <c r="AG619" s="133"/>
      <c r="AH619" s="133"/>
      <c r="AI619" s="133"/>
      <c r="AJ619" s="133"/>
      <c r="AK619" s="133"/>
      <c r="AL619" s="132"/>
      <c r="AM619" s="132"/>
      <c r="AN619" s="104"/>
      <c r="AO619" s="104"/>
      <c r="AP619" s="104"/>
    </row>
    <row r="620">
      <c r="A620" s="132"/>
      <c r="B620" s="132"/>
      <c r="C620" s="132"/>
      <c r="D620" s="132"/>
      <c r="E620" s="133"/>
      <c r="F620" s="133"/>
      <c r="G620" s="133"/>
      <c r="H620" s="133"/>
      <c r="I620" s="133"/>
      <c r="J620" s="133"/>
      <c r="K620" s="133"/>
      <c r="L620" s="133"/>
      <c r="M620" s="133"/>
      <c r="N620" s="133"/>
      <c r="O620" s="133"/>
      <c r="P620" s="133"/>
      <c r="Q620" s="133"/>
      <c r="R620" s="133"/>
      <c r="S620" s="133"/>
      <c r="T620" s="133"/>
      <c r="U620" s="133"/>
      <c r="V620" s="133"/>
      <c r="W620" s="133"/>
      <c r="X620" s="160"/>
      <c r="Y620" s="133"/>
      <c r="Z620" s="133"/>
      <c r="AA620" s="133"/>
      <c r="AB620" s="133"/>
      <c r="AC620" s="133"/>
      <c r="AD620" s="133"/>
      <c r="AE620" s="133"/>
      <c r="AF620" s="133"/>
      <c r="AG620" s="133"/>
      <c r="AH620" s="133"/>
      <c r="AI620" s="133"/>
      <c r="AJ620" s="133"/>
      <c r="AK620" s="133"/>
      <c r="AL620" s="132"/>
      <c r="AM620" s="132"/>
      <c r="AN620" s="104"/>
      <c r="AO620" s="104"/>
      <c r="AP620" s="104"/>
    </row>
    <row r="621">
      <c r="A621" s="132"/>
      <c r="B621" s="132"/>
      <c r="C621" s="132"/>
      <c r="D621" s="132"/>
      <c r="E621" s="133"/>
      <c r="F621" s="133"/>
      <c r="G621" s="133"/>
      <c r="H621" s="133"/>
      <c r="I621" s="133"/>
      <c r="J621" s="133"/>
      <c r="K621" s="133"/>
      <c r="L621" s="133"/>
      <c r="M621" s="133"/>
      <c r="N621" s="133"/>
      <c r="O621" s="133"/>
      <c r="P621" s="133"/>
      <c r="Q621" s="133"/>
      <c r="R621" s="133"/>
      <c r="S621" s="133"/>
      <c r="T621" s="133"/>
      <c r="U621" s="133"/>
      <c r="V621" s="133"/>
      <c r="W621" s="133"/>
      <c r="X621" s="160"/>
      <c r="Y621" s="133"/>
      <c r="Z621" s="133"/>
      <c r="AA621" s="133"/>
      <c r="AB621" s="133"/>
      <c r="AC621" s="133"/>
      <c r="AD621" s="133"/>
      <c r="AE621" s="133"/>
      <c r="AF621" s="133"/>
      <c r="AG621" s="133"/>
      <c r="AH621" s="133"/>
      <c r="AI621" s="133"/>
      <c r="AJ621" s="133"/>
      <c r="AK621" s="133"/>
      <c r="AL621" s="132"/>
      <c r="AM621" s="132"/>
      <c r="AN621" s="104"/>
      <c r="AO621" s="104"/>
      <c r="AP621" s="104"/>
    </row>
    <row r="622">
      <c r="A622" s="132"/>
      <c r="B622" s="132"/>
      <c r="C622" s="132"/>
      <c r="D622" s="132"/>
      <c r="E622" s="133"/>
      <c r="F622" s="133"/>
      <c r="G622" s="133"/>
      <c r="H622" s="133"/>
      <c r="I622" s="133"/>
      <c r="J622" s="133"/>
      <c r="K622" s="133"/>
      <c r="L622" s="133"/>
      <c r="M622" s="133"/>
      <c r="N622" s="133"/>
      <c r="O622" s="133"/>
      <c r="P622" s="133"/>
      <c r="Q622" s="133"/>
      <c r="R622" s="133"/>
      <c r="S622" s="133"/>
      <c r="T622" s="133"/>
      <c r="U622" s="133"/>
      <c r="V622" s="133"/>
      <c r="W622" s="133"/>
      <c r="X622" s="160"/>
      <c r="Y622" s="133"/>
      <c r="Z622" s="133"/>
      <c r="AA622" s="133"/>
      <c r="AB622" s="133"/>
      <c r="AC622" s="133"/>
      <c r="AD622" s="133"/>
      <c r="AE622" s="133"/>
      <c r="AF622" s="133"/>
      <c r="AG622" s="133"/>
      <c r="AH622" s="133"/>
      <c r="AI622" s="133"/>
      <c r="AJ622" s="133"/>
      <c r="AK622" s="133"/>
      <c r="AL622" s="132"/>
      <c r="AM622" s="132"/>
      <c r="AN622" s="104"/>
      <c r="AO622" s="104"/>
      <c r="AP622" s="104"/>
    </row>
    <row r="623">
      <c r="A623" s="132"/>
      <c r="B623" s="132"/>
      <c r="C623" s="132"/>
      <c r="D623" s="132"/>
      <c r="E623" s="133"/>
      <c r="F623" s="133"/>
      <c r="G623" s="133"/>
      <c r="H623" s="133"/>
      <c r="I623" s="133"/>
      <c r="J623" s="133"/>
      <c r="K623" s="133"/>
      <c r="L623" s="133"/>
      <c r="M623" s="133"/>
      <c r="N623" s="133"/>
      <c r="O623" s="133"/>
      <c r="P623" s="133"/>
      <c r="Q623" s="133"/>
      <c r="R623" s="133"/>
      <c r="S623" s="133"/>
      <c r="T623" s="133"/>
      <c r="U623" s="133"/>
      <c r="V623" s="133"/>
      <c r="W623" s="133"/>
      <c r="X623" s="160"/>
      <c r="Y623" s="133"/>
      <c r="Z623" s="133"/>
      <c r="AA623" s="133"/>
      <c r="AB623" s="133"/>
      <c r="AC623" s="133"/>
      <c r="AD623" s="133"/>
      <c r="AE623" s="133"/>
      <c r="AF623" s="133"/>
      <c r="AG623" s="133"/>
      <c r="AH623" s="133"/>
      <c r="AI623" s="133"/>
      <c r="AJ623" s="133"/>
      <c r="AK623" s="133"/>
      <c r="AL623" s="132"/>
      <c r="AM623" s="132"/>
      <c r="AN623" s="104"/>
      <c r="AO623" s="104"/>
      <c r="AP623" s="104"/>
    </row>
    <row r="624">
      <c r="A624" s="132"/>
      <c r="B624" s="132"/>
      <c r="C624" s="132"/>
      <c r="D624" s="132"/>
      <c r="E624" s="133"/>
      <c r="F624" s="133"/>
      <c r="G624" s="133"/>
      <c r="H624" s="133"/>
      <c r="I624" s="133"/>
      <c r="J624" s="133"/>
      <c r="K624" s="133"/>
      <c r="L624" s="133"/>
      <c r="M624" s="133"/>
      <c r="N624" s="133"/>
      <c r="O624" s="133"/>
      <c r="P624" s="133"/>
      <c r="Q624" s="133"/>
      <c r="R624" s="133"/>
      <c r="S624" s="133"/>
      <c r="T624" s="133"/>
      <c r="U624" s="133"/>
      <c r="V624" s="133"/>
      <c r="W624" s="133"/>
      <c r="X624" s="160"/>
      <c r="Y624" s="133"/>
      <c r="Z624" s="133"/>
      <c r="AA624" s="133"/>
      <c r="AB624" s="133"/>
      <c r="AC624" s="133"/>
      <c r="AD624" s="133"/>
      <c r="AE624" s="133"/>
      <c r="AF624" s="133"/>
      <c r="AG624" s="133"/>
      <c r="AH624" s="133"/>
      <c r="AI624" s="133"/>
      <c r="AJ624" s="133"/>
      <c r="AK624" s="133"/>
      <c r="AL624" s="132"/>
      <c r="AM624" s="132"/>
      <c r="AN624" s="104"/>
      <c r="AO624" s="104"/>
      <c r="AP624" s="104"/>
    </row>
    <row r="625">
      <c r="A625" s="132"/>
      <c r="B625" s="132"/>
      <c r="C625" s="132"/>
      <c r="D625" s="132"/>
      <c r="E625" s="133"/>
      <c r="F625" s="133"/>
      <c r="G625" s="133"/>
      <c r="H625" s="133"/>
      <c r="I625" s="133"/>
      <c r="J625" s="133"/>
      <c r="K625" s="133"/>
      <c r="L625" s="133"/>
      <c r="M625" s="133"/>
      <c r="N625" s="133"/>
      <c r="O625" s="133"/>
      <c r="P625" s="133"/>
      <c r="Q625" s="133"/>
      <c r="R625" s="133"/>
      <c r="S625" s="133"/>
      <c r="T625" s="133"/>
      <c r="U625" s="133"/>
      <c r="V625" s="133"/>
      <c r="W625" s="133"/>
      <c r="X625" s="160"/>
      <c r="Y625" s="133"/>
      <c r="Z625" s="133"/>
      <c r="AA625" s="133"/>
      <c r="AB625" s="133"/>
      <c r="AC625" s="133"/>
      <c r="AD625" s="133"/>
      <c r="AE625" s="133"/>
      <c r="AF625" s="133"/>
      <c r="AG625" s="133"/>
      <c r="AH625" s="133"/>
      <c r="AI625" s="133"/>
      <c r="AJ625" s="133"/>
      <c r="AK625" s="133"/>
      <c r="AL625" s="132"/>
      <c r="AM625" s="132"/>
      <c r="AN625" s="104"/>
      <c r="AO625" s="104"/>
      <c r="AP625" s="104"/>
    </row>
    <row r="626">
      <c r="A626" s="132"/>
      <c r="B626" s="132"/>
      <c r="C626" s="132"/>
      <c r="D626" s="132"/>
      <c r="E626" s="133"/>
      <c r="F626" s="133"/>
      <c r="G626" s="133"/>
      <c r="H626" s="133"/>
      <c r="I626" s="133"/>
      <c r="J626" s="133"/>
      <c r="K626" s="133"/>
      <c r="L626" s="133"/>
      <c r="M626" s="133"/>
      <c r="N626" s="133"/>
      <c r="O626" s="133"/>
      <c r="P626" s="133"/>
      <c r="Q626" s="133"/>
      <c r="R626" s="133"/>
      <c r="S626" s="133"/>
      <c r="T626" s="133"/>
      <c r="U626" s="133"/>
      <c r="V626" s="133"/>
      <c r="W626" s="133"/>
      <c r="X626" s="160"/>
      <c r="Y626" s="133"/>
      <c r="Z626" s="133"/>
      <c r="AA626" s="133"/>
      <c r="AB626" s="133"/>
      <c r="AC626" s="133"/>
      <c r="AD626" s="133"/>
      <c r="AE626" s="133"/>
      <c r="AF626" s="133"/>
      <c r="AG626" s="133"/>
      <c r="AH626" s="133"/>
      <c r="AI626" s="133"/>
      <c r="AJ626" s="133"/>
      <c r="AK626" s="133"/>
      <c r="AL626" s="132"/>
      <c r="AM626" s="132"/>
      <c r="AN626" s="104"/>
      <c r="AO626" s="104"/>
      <c r="AP626" s="104"/>
    </row>
    <row r="627">
      <c r="A627" s="132"/>
      <c r="B627" s="132"/>
      <c r="C627" s="132"/>
      <c r="D627" s="132"/>
      <c r="E627" s="133"/>
      <c r="F627" s="133"/>
      <c r="G627" s="133"/>
      <c r="H627" s="133"/>
      <c r="I627" s="133"/>
      <c r="J627" s="133"/>
      <c r="K627" s="133"/>
      <c r="L627" s="133"/>
      <c r="M627" s="133"/>
      <c r="N627" s="133"/>
      <c r="O627" s="133"/>
      <c r="P627" s="133"/>
      <c r="Q627" s="133"/>
      <c r="R627" s="133"/>
      <c r="S627" s="133"/>
      <c r="T627" s="133"/>
      <c r="U627" s="133"/>
      <c r="V627" s="133"/>
      <c r="W627" s="133"/>
      <c r="X627" s="160"/>
      <c r="Y627" s="133"/>
      <c r="Z627" s="133"/>
      <c r="AA627" s="133"/>
      <c r="AB627" s="133"/>
      <c r="AC627" s="133"/>
      <c r="AD627" s="133"/>
      <c r="AE627" s="133"/>
      <c r="AF627" s="133"/>
      <c r="AG627" s="133"/>
      <c r="AH627" s="133"/>
      <c r="AI627" s="133"/>
      <c r="AJ627" s="133"/>
      <c r="AK627" s="133"/>
      <c r="AL627" s="132"/>
      <c r="AM627" s="132"/>
      <c r="AN627" s="104"/>
      <c r="AO627" s="104"/>
      <c r="AP627" s="104"/>
    </row>
    <row r="628">
      <c r="A628" s="132"/>
      <c r="B628" s="132"/>
      <c r="C628" s="132"/>
      <c r="D628" s="132"/>
      <c r="E628" s="133"/>
      <c r="F628" s="133"/>
      <c r="G628" s="133"/>
      <c r="H628" s="133"/>
      <c r="I628" s="133"/>
      <c r="J628" s="133"/>
      <c r="K628" s="133"/>
      <c r="L628" s="133"/>
      <c r="M628" s="133"/>
      <c r="N628" s="133"/>
      <c r="O628" s="133"/>
      <c r="P628" s="133"/>
      <c r="Q628" s="133"/>
      <c r="R628" s="133"/>
      <c r="S628" s="133"/>
      <c r="T628" s="133"/>
      <c r="U628" s="133"/>
      <c r="V628" s="133"/>
      <c r="W628" s="133"/>
      <c r="X628" s="160"/>
      <c r="Y628" s="133"/>
      <c r="Z628" s="133"/>
      <c r="AA628" s="133"/>
      <c r="AB628" s="133"/>
      <c r="AC628" s="133"/>
      <c r="AD628" s="133"/>
      <c r="AE628" s="133"/>
      <c r="AF628" s="133"/>
      <c r="AG628" s="133"/>
      <c r="AH628" s="133"/>
      <c r="AI628" s="133"/>
      <c r="AJ628" s="133"/>
      <c r="AK628" s="133"/>
      <c r="AL628" s="132"/>
      <c r="AM628" s="132"/>
      <c r="AN628" s="104"/>
      <c r="AO628" s="104"/>
      <c r="AP628" s="104"/>
    </row>
    <row r="629">
      <c r="A629" s="132"/>
      <c r="B629" s="132"/>
      <c r="C629" s="132"/>
      <c r="D629" s="132"/>
      <c r="E629" s="133"/>
      <c r="F629" s="133"/>
      <c r="G629" s="133"/>
      <c r="H629" s="133"/>
      <c r="I629" s="133"/>
      <c r="J629" s="133"/>
      <c r="K629" s="133"/>
      <c r="L629" s="133"/>
      <c r="M629" s="133"/>
      <c r="N629" s="133"/>
      <c r="O629" s="133"/>
      <c r="P629" s="133"/>
      <c r="Q629" s="133"/>
      <c r="R629" s="133"/>
      <c r="S629" s="133"/>
      <c r="T629" s="133"/>
      <c r="U629" s="133"/>
      <c r="V629" s="133"/>
      <c r="W629" s="133"/>
      <c r="X629" s="160"/>
      <c r="Y629" s="133"/>
      <c r="Z629" s="133"/>
      <c r="AA629" s="133"/>
      <c r="AB629" s="133"/>
      <c r="AC629" s="133"/>
      <c r="AD629" s="133"/>
      <c r="AE629" s="133"/>
      <c r="AF629" s="133"/>
      <c r="AG629" s="133"/>
      <c r="AH629" s="133"/>
      <c r="AI629" s="133"/>
      <c r="AJ629" s="133"/>
      <c r="AK629" s="133"/>
      <c r="AL629" s="132"/>
      <c r="AM629" s="132"/>
      <c r="AN629" s="104"/>
      <c r="AO629" s="104"/>
      <c r="AP629" s="104"/>
    </row>
    <row r="630">
      <c r="A630" s="132"/>
      <c r="B630" s="132"/>
      <c r="C630" s="132"/>
      <c r="D630" s="132"/>
      <c r="E630" s="133"/>
      <c r="F630" s="133"/>
      <c r="G630" s="133"/>
      <c r="H630" s="133"/>
      <c r="I630" s="133"/>
      <c r="J630" s="133"/>
      <c r="K630" s="133"/>
      <c r="L630" s="133"/>
      <c r="M630" s="133"/>
      <c r="N630" s="133"/>
      <c r="O630" s="133"/>
      <c r="P630" s="133"/>
      <c r="Q630" s="133"/>
      <c r="R630" s="133"/>
      <c r="S630" s="133"/>
      <c r="T630" s="133"/>
      <c r="U630" s="133"/>
      <c r="V630" s="133"/>
      <c r="W630" s="133"/>
      <c r="X630" s="160"/>
      <c r="Y630" s="133"/>
      <c r="Z630" s="133"/>
      <c r="AA630" s="133"/>
      <c r="AB630" s="133"/>
      <c r="AC630" s="133"/>
      <c r="AD630" s="133"/>
      <c r="AE630" s="133"/>
      <c r="AF630" s="133"/>
      <c r="AG630" s="133"/>
      <c r="AH630" s="133"/>
      <c r="AI630" s="133"/>
      <c r="AJ630" s="133"/>
      <c r="AK630" s="133"/>
      <c r="AL630" s="132"/>
      <c r="AM630" s="132"/>
      <c r="AN630" s="104"/>
      <c r="AO630" s="104"/>
      <c r="AP630" s="104"/>
    </row>
    <row r="631">
      <c r="A631" s="132"/>
      <c r="B631" s="132"/>
      <c r="C631" s="132"/>
      <c r="D631" s="132"/>
      <c r="E631" s="133"/>
      <c r="F631" s="133"/>
      <c r="G631" s="133"/>
      <c r="H631" s="133"/>
      <c r="I631" s="133"/>
      <c r="J631" s="133"/>
      <c r="K631" s="133"/>
      <c r="L631" s="133"/>
      <c r="M631" s="133"/>
      <c r="N631" s="133"/>
      <c r="O631" s="133"/>
      <c r="P631" s="133"/>
      <c r="Q631" s="133"/>
      <c r="R631" s="133"/>
      <c r="S631" s="133"/>
      <c r="T631" s="133"/>
      <c r="U631" s="133"/>
      <c r="V631" s="133"/>
      <c r="W631" s="133"/>
      <c r="X631" s="160"/>
      <c r="Y631" s="133"/>
      <c r="Z631" s="133"/>
      <c r="AA631" s="133"/>
      <c r="AB631" s="133"/>
      <c r="AC631" s="133"/>
      <c r="AD631" s="133"/>
      <c r="AE631" s="133"/>
      <c r="AF631" s="133"/>
      <c r="AG631" s="133"/>
      <c r="AH631" s="133"/>
      <c r="AI631" s="133"/>
      <c r="AJ631" s="133"/>
      <c r="AK631" s="133"/>
      <c r="AL631" s="132"/>
      <c r="AM631" s="132"/>
      <c r="AN631" s="104"/>
      <c r="AO631" s="104"/>
      <c r="AP631" s="104"/>
    </row>
    <row r="632">
      <c r="A632" s="132"/>
      <c r="B632" s="132"/>
      <c r="C632" s="132"/>
      <c r="D632" s="132"/>
      <c r="E632" s="133"/>
      <c r="F632" s="133"/>
      <c r="G632" s="133"/>
      <c r="H632" s="133"/>
      <c r="I632" s="133"/>
      <c r="J632" s="133"/>
      <c r="K632" s="133"/>
      <c r="L632" s="133"/>
      <c r="M632" s="133"/>
      <c r="N632" s="133"/>
      <c r="O632" s="133"/>
      <c r="P632" s="133"/>
      <c r="Q632" s="133"/>
      <c r="R632" s="133"/>
      <c r="S632" s="133"/>
      <c r="T632" s="133"/>
      <c r="U632" s="133"/>
      <c r="V632" s="133"/>
      <c r="W632" s="133"/>
      <c r="X632" s="160"/>
      <c r="Y632" s="133"/>
      <c r="Z632" s="133"/>
      <c r="AA632" s="133"/>
      <c r="AB632" s="133"/>
      <c r="AC632" s="133"/>
      <c r="AD632" s="133"/>
      <c r="AE632" s="133"/>
      <c r="AF632" s="133"/>
      <c r="AG632" s="133"/>
      <c r="AH632" s="133"/>
      <c r="AI632" s="133"/>
      <c r="AJ632" s="133"/>
      <c r="AK632" s="133"/>
      <c r="AL632" s="132"/>
      <c r="AM632" s="132"/>
      <c r="AN632" s="104"/>
      <c r="AO632" s="104"/>
      <c r="AP632" s="104"/>
    </row>
    <row r="633">
      <c r="A633" s="132"/>
      <c r="B633" s="132"/>
      <c r="C633" s="132"/>
      <c r="D633" s="132"/>
      <c r="E633" s="133"/>
      <c r="F633" s="133"/>
      <c r="G633" s="133"/>
      <c r="H633" s="133"/>
      <c r="I633" s="133"/>
      <c r="J633" s="133"/>
      <c r="K633" s="133"/>
      <c r="L633" s="133"/>
      <c r="M633" s="133"/>
      <c r="N633" s="133"/>
      <c r="O633" s="133"/>
      <c r="P633" s="133"/>
      <c r="Q633" s="133"/>
      <c r="R633" s="133"/>
      <c r="S633" s="133"/>
      <c r="T633" s="133"/>
      <c r="U633" s="133"/>
      <c r="V633" s="133"/>
      <c r="W633" s="133"/>
      <c r="X633" s="160"/>
      <c r="Y633" s="133"/>
      <c r="Z633" s="133"/>
      <c r="AA633" s="133"/>
      <c r="AB633" s="133"/>
      <c r="AC633" s="133"/>
      <c r="AD633" s="133"/>
      <c r="AE633" s="133"/>
      <c r="AF633" s="133"/>
      <c r="AG633" s="133"/>
      <c r="AH633" s="133"/>
      <c r="AI633" s="133"/>
      <c r="AJ633" s="133"/>
      <c r="AK633" s="133"/>
      <c r="AL633" s="132"/>
      <c r="AM633" s="132"/>
      <c r="AN633" s="104"/>
      <c r="AO633" s="104"/>
      <c r="AP633" s="104"/>
    </row>
    <row r="634">
      <c r="A634" s="132"/>
      <c r="B634" s="132"/>
      <c r="C634" s="132"/>
      <c r="D634" s="132"/>
      <c r="E634" s="133"/>
      <c r="F634" s="133"/>
      <c r="G634" s="133"/>
      <c r="H634" s="133"/>
      <c r="I634" s="133"/>
      <c r="J634" s="133"/>
      <c r="K634" s="133"/>
      <c r="L634" s="133"/>
      <c r="M634" s="133"/>
      <c r="N634" s="133"/>
      <c r="O634" s="133"/>
      <c r="P634" s="133"/>
      <c r="Q634" s="133"/>
      <c r="R634" s="133"/>
      <c r="S634" s="133"/>
      <c r="T634" s="133"/>
      <c r="U634" s="133"/>
      <c r="V634" s="133"/>
      <c r="W634" s="133"/>
      <c r="X634" s="160"/>
      <c r="Y634" s="133"/>
      <c r="Z634" s="133"/>
      <c r="AA634" s="133"/>
      <c r="AB634" s="133"/>
      <c r="AC634" s="133"/>
      <c r="AD634" s="133"/>
      <c r="AE634" s="133"/>
      <c r="AF634" s="133"/>
      <c r="AG634" s="133"/>
      <c r="AH634" s="133"/>
      <c r="AI634" s="133"/>
      <c r="AJ634" s="133"/>
      <c r="AK634" s="133"/>
      <c r="AL634" s="132"/>
      <c r="AM634" s="132"/>
      <c r="AN634" s="104"/>
      <c r="AO634" s="104"/>
      <c r="AP634" s="104"/>
    </row>
    <row r="635">
      <c r="A635" s="132"/>
      <c r="B635" s="132"/>
      <c r="C635" s="132"/>
      <c r="D635" s="132"/>
      <c r="E635" s="133"/>
      <c r="F635" s="133"/>
      <c r="G635" s="133"/>
      <c r="H635" s="133"/>
      <c r="I635" s="133"/>
      <c r="J635" s="133"/>
      <c r="K635" s="133"/>
      <c r="L635" s="133"/>
      <c r="M635" s="133"/>
      <c r="N635" s="133"/>
      <c r="O635" s="133"/>
      <c r="P635" s="133"/>
      <c r="Q635" s="133"/>
      <c r="R635" s="133"/>
      <c r="S635" s="133"/>
      <c r="T635" s="133"/>
      <c r="U635" s="133"/>
      <c r="V635" s="133"/>
      <c r="W635" s="133"/>
      <c r="X635" s="160"/>
      <c r="Y635" s="133"/>
      <c r="Z635" s="133"/>
      <c r="AA635" s="133"/>
      <c r="AB635" s="133"/>
      <c r="AC635" s="133"/>
      <c r="AD635" s="133"/>
      <c r="AE635" s="133"/>
      <c r="AF635" s="133"/>
      <c r="AG635" s="133"/>
      <c r="AH635" s="133"/>
      <c r="AI635" s="133"/>
      <c r="AJ635" s="133"/>
      <c r="AK635" s="133"/>
      <c r="AL635" s="132"/>
      <c r="AM635" s="132"/>
      <c r="AN635" s="104"/>
      <c r="AO635" s="104"/>
      <c r="AP635" s="104"/>
    </row>
    <row r="636">
      <c r="A636" s="132"/>
      <c r="B636" s="132"/>
      <c r="C636" s="132"/>
      <c r="D636" s="132"/>
      <c r="E636" s="133"/>
      <c r="F636" s="133"/>
      <c r="G636" s="133"/>
      <c r="H636" s="133"/>
      <c r="I636" s="133"/>
      <c r="J636" s="133"/>
      <c r="K636" s="133"/>
      <c r="L636" s="133"/>
      <c r="M636" s="133"/>
      <c r="N636" s="133"/>
      <c r="O636" s="133"/>
      <c r="P636" s="133"/>
      <c r="Q636" s="133"/>
      <c r="R636" s="133"/>
      <c r="S636" s="133"/>
      <c r="T636" s="133"/>
      <c r="U636" s="133"/>
      <c r="V636" s="133"/>
      <c r="W636" s="133"/>
      <c r="X636" s="160"/>
      <c r="Y636" s="133"/>
      <c r="Z636" s="133"/>
      <c r="AA636" s="133"/>
      <c r="AB636" s="133"/>
      <c r="AC636" s="133"/>
      <c r="AD636" s="133"/>
      <c r="AE636" s="133"/>
      <c r="AF636" s="133"/>
      <c r="AG636" s="133"/>
      <c r="AH636" s="133"/>
      <c r="AI636" s="133"/>
      <c r="AJ636" s="133"/>
      <c r="AK636" s="133"/>
      <c r="AL636" s="132"/>
      <c r="AM636" s="132"/>
      <c r="AN636" s="104"/>
      <c r="AO636" s="104"/>
      <c r="AP636" s="104"/>
    </row>
    <row r="637">
      <c r="A637" s="132"/>
      <c r="B637" s="132"/>
      <c r="C637" s="132"/>
      <c r="D637" s="132"/>
      <c r="E637" s="133"/>
      <c r="F637" s="133"/>
      <c r="G637" s="133"/>
      <c r="H637" s="133"/>
      <c r="I637" s="133"/>
      <c r="J637" s="133"/>
      <c r="K637" s="133"/>
      <c r="L637" s="133"/>
      <c r="M637" s="133"/>
      <c r="N637" s="133"/>
      <c r="O637" s="133"/>
      <c r="P637" s="133"/>
      <c r="Q637" s="133"/>
      <c r="R637" s="133"/>
      <c r="S637" s="133"/>
      <c r="T637" s="133"/>
      <c r="U637" s="133"/>
      <c r="V637" s="133"/>
      <c r="W637" s="133"/>
      <c r="X637" s="160"/>
      <c r="Y637" s="133"/>
      <c r="Z637" s="133"/>
      <c r="AA637" s="133"/>
      <c r="AB637" s="133"/>
      <c r="AC637" s="133"/>
      <c r="AD637" s="133"/>
      <c r="AE637" s="133"/>
      <c r="AF637" s="133"/>
      <c r="AG637" s="133"/>
      <c r="AH637" s="133"/>
      <c r="AI637" s="133"/>
      <c r="AJ637" s="133"/>
      <c r="AK637" s="133"/>
      <c r="AL637" s="132"/>
      <c r="AM637" s="132"/>
      <c r="AN637" s="104"/>
      <c r="AO637" s="104"/>
      <c r="AP637" s="104"/>
    </row>
    <row r="638">
      <c r="A638" s="132"/>
      <c r="B638" s="132"/>
      <c r="C638" s="132"/>
      <c r="D638" s="132"/>
      <c r="E638" s="133"/>
      <c r="F638" s="133"/>
      <c r="G638" s="133"/>
      <c r="H638" s="133"/>
      <c r="I638" s="133"/>
      <c r="J638" s="133"/>
      <c r="K638" s="133"/>
      <c r="L638" s="133"/>
      <c r="M638" s="133"/>
      <c r="N638" s="133"/>
      <c r="O638" s="133"/>
      <c r="P638" s="133"/>
      <c r="Q638" s="133"/>
      <c r="R638" s="133"/>
      <c r="S638" s="133"/>
      <c r="T638" s="133"/>
      <c r="U638" s="133"/>
      <c r="V638" s="133"/>
      <c r="W638" s="133"/>
      <c r="X638" s="160"/>
      <c r="Y638" s="133"/>
      <c r="Z638" s="133"/>
      <c r="AA638" s="133"/>
      <c r="AB638" s="133"/>
      <c r="AC638" s="133"/>
      <c r="AD638" s="133"/>
      <c r="AE638" s="133"/>
      <c r="AF638" s="133"/>
      <c r="AG638" s="133"/>
      <c r="AH638" s="133"/>
      <c r="AI638" s="133"/>
      <c r="AJ638" s="133"/>
      <c r="AK638" s="133"/>
      <c r="AL638" s="132"/>
      <c r="AM638" s="132"/>
      <c r="AN638" s="104"/>
      <c r="AO638" s="104"/>
      <c r="AP638" s="104"/>
    </row>
    <row r="639">
      <c r="A639" s="132"/>
      <c r="B639" s="132"/>
      <c r="C639" s="132"/>
      <c r="D639" s="132"/>
      <c r="E639" s="133"/>
      <c r="F639" s="133"/>
      <c r="G639" s="133"/>
      <c r="H639" s="133"/>
      <c r="I639" s="133"/>
      <c r="J639" s="133"/>
      <c r="K639" s="133"/>
      <c r="L639" s="133"/>
      <c r="M639" s="133"/>
      <c r="N639" s="133"/>
      <c r="O639" s="133"/>
      <c r="P639" s="133"/>
      <c r="Q639" s="133"/>
      <c r="R639" s="133"/>
      <c r="S639" s="133"/>
      <c r="T639" s="133"/>
      <c r="U639" s="133"/>
      <c r="V639" s="133"/>
      <c r="W639" s="133"/>
      <c r="X639" s="160"/>
      <c r="Y639" s="133"/>
      <c r="Z639" s="133"/>
      <c r="AA639" s="133"/>
      <c r="AB639" s="133"/>
      <c r="AC639" s="133"/>
      <c r="AD639" s="133"/>
      <c r="AE639" s="133"/>
      <c r="AF639" s="133"/>
      <c r="AG639" s="133"/>
      <c r="AH639" s="133"/>
      <c r="AI639" s="133"/>
      <c r="AJ639" s="133"/>
      <c r="AK639" s="133"/>
      <c r="AL639" s="132"/>
      <c r="AM639" s="132"/>
      <c r="AN639" s="104"/>
      <c r="AO639" s="104"/>
      <c r="AP639" s="104"/>
    </row>
    <row r="640">
      <c r="A640" s="132"/>
      <c r="B640" s="132"/>
      <c r="C640" s="132"/>
      <c r="D640" s="132"/>
      <c r="E640" s="133"/>
      <c r="F640" s="133"/>
      <c r="G640" s="133"/>
      <c r="H640" s="133"/>
      <c r="I640" s="133"/>
      <c r="J640" s="133"/>
      <c r="K640" s="133"/>
      <c r="L640" s="133"/>
      <c r="M640" s="133"/>
      <c r="N640" s="133"/>
      <c r="O640" s="133"/>
      <c r="P640" s="133"/>
      <c r="Q640" s="133"/>
      <c r="R640" s="133"/>
      <c r="S640" s="133"/>
      <c r="T640" s="133"/>
      <c r="U640" s="133"/>
      <c r="V640" s="133"/>
      <c r="W640" s="133"/>
      <c r="X640" s="160"/>
      <c r="Y640" s="133"/>
      <c r="Z640" s="133"/>
      <c r="AA640" s="133"/>
      <c r="AB640" s="133"/>
      <c r="AC640" s="133"/>
      <c r="AD640" s="133"/>
      <c r="AE640" s="133"/>
      <c r="AF640" s="133"/>
      <c r="AG640" s="133"/>
      <c r="AH640" s="133"/>
      <c r="AI640" s="133"/>
      <c r="AJ640" s="133"/>
      <c r="AK640" s="133"/>
      <c r="AL640" s="132"/>
      <c r="AM640" s="132"/>
      <c r="AN640" s="104"/>
      <c r="AO640" s="104"/>
      <c r="AP640" s="104"/>
    </row>
    <row r="641">
      <c r="A641" s="132"/>
      <c r="B641" s="132"/>
      <c r="C641" s="132"/>
      <c r="D641" s="132"/>
      <c r="E641" s="133"/>
      <c r="F641" s="133"/>
      <c r="G641" s="133"/>
      <c r="H641" s="133"/>
      <c r="I641" s="133"/>
      <c r="J641" s="133"/>
      <c r="K641" s="133"/>
      <c r="L641" s="133"/>
      <c r="M641" s="133"/>
      <c r="N641" s="133"/>
      <c r="O641" s="133"/>
      <c r="P641" s="133"/>
      <c r="Q641" s="133"/>
      <c r="R641" s="133"/>
      <c r="S641" s="133"/>
      <c r="T641" s="133"/>
      <c r="U641" s="133"/>
      <c r="V641" s="133"/>
      <c r="W641" s="133"/>
      <c r="X641" s="160"/>
      <c r="Y641" s="133"/>
      <c r="Z641" s="133"/>
      <c r="AA641" s="133"/>
      <c r="AB641" s="133"/>
      <c r="AC641" s="133"/>
      <c r="AD641" s="133"/>
      <c r="AE641" s="133"/>
      <c r="AF641" s="133"/>
      <c r="AG641" s="133"/>
      <c r="AH641" s="133"/>
      <c r="AI641" s="133"/>
      <c r="AJ641" s="133"/>
      <c r="AK641" s="133"/>
      <c r="AL641" s="132"/>
      <c r="AM641" s="132"/>
      <c r="AN641" s="104"/>
      <c r="AO641" s="104"/>
      <c r="AP641" s="104"/>
    </row>
    <row r="642">
      <c r="A642" s="132"/>
      <c r="B642" s="132"/>
      <c r="C642" s="132"/>
      <c r="D642" s="132"/>
      <c r="E642" s="133"/>
      <c r="F642" s="133"/>
      <c r="G642" s="133"/>
      <c r="H642" s="133"/>
      <c r="I642" s="133"/>
      <c r="J642" s="133"/>
      <c r="K642" s="133"/>
      <c r="L642" s="133"/>
      <c r="M642" s="133"/>
      <c r="N642" s="133"/>
      <c r="O642" s="133"/>
      <c r="P642" s="133"/>
      <c r="Q642" s="133"/>
      <c r="R642" s="133"/>
      <c r="S642" s="133"/>
      <c r="T642" s="133"/>
      <c r="U642" s="133"/>
      <c r="V642" s="133"/>
      <c r="W642" s="133"/>
      <c r="X642" s="160"/>
      <c r="Y642" s="133"/>
      <c r="Z642" s="133"/>
      <c r="AA642" s="133"/>
      <c r="AB642" s="133"/>
      <c r="AC642" s="133"/>
      <c r="AD642" s="133"/>
      <c r="AE642" s="133"/>
      <c r="AF642" s="133"/>
      <c r="AG642" s="133"/>
      <c r="AH642" s="133"/>
      <c r="AI642" s="133"/>
      <c r="AJ642" s="133"/>
      <c r="AK642" s="133"/>
      <c r="AL642" s="132"/>
      <c r="AM642" s="132"/>
      <c r="AN642" s="104"/>
      <c r="AO642" s="104"/>
      <c r="AP642" s="104"/>
    </row>
    <row r="643">
      <c r="A643" s="132"/>
      <c r="B643" s="132"/>
      <c r="C643" s="132"/>
      <c r="D643" s="132"/>
      <c r="E643" s="133"/>
      <c r="F643" s="133"/>
      <c r="G643" s="133"/>
      <c r="H643" s="133"/>
      <c r="I643" s="133"/>
      <c r="J643" s="133"/>
      <c r="K643" s="133"/>
      <c r="L643" s="133"/>
      <c r="M643" s="133"/>
      <c r="N643" s="133"/>
      <c r="O643" s="133"/>
      <c r="P643" s="133"/>
      <c r="Q643" s="133"/>
      <c r="R643" s="133"/>
      <c r="S643" s="133"/>
      <c r="T643" s="133"/>
      <c r="U643" s="133"/>
      <c r="V643" s="133"/>
      <c r="W643" s="133"/>
      <c r="X643" s="160"/>
      <c r="Y643" s="133"/>
      <c r="Z643" s="133"/>
      <c r="AA643" s="133"/>
      <c r="AB643" s="133"/>
      <c r="AC643" s="133"/>
      <c r="AD643" s="133"/>
      <c r="AE643" s="133"/>
      <c r="AF643" s="133"/>
      <c r="AG643" s="133"/>
      <c r="AH643" s="133"/>
      <c r="AI643" s="133"/>
      <c r="AJ643" s="133"/>
      <c r="AK643" s="133"/>
      <c r="AL643" s="132"/>
      <c r="AM643" s="132"/>
      <c r="AN643" s="104"/>
      <c r="AO643" s="104"/>
      <c r="AP643" s="104"/>
    </row>
    <row r="644">
      <c r="A644" s="132"/>
      <c r="B644" s="132"/>
      <c r="C644" s="132"/>
      <c r="D644" s="132"/>
      <c r="E644" s="133"/>
      <c r="F644" s="133"/>
      <c r="G644" s="133"/>
      <c r="H644" s="133"/>
      <c r="I644" s="133"/>
      <c r="J644" s="133"/>
      <c r="K644" s="133"/>
      <c r="L644" s="133"/>
      <c r="M644" s="133"/>
      <c r="N644" s="133"/>
      <c r="O644" s="133"/>
      <c r="P644" s="133"/>
      <c r="Q644" s="133"/>
      <c r="R644" s="133"/>
      <c r="S644" s="133"/>
      <c r="T644" s="133"/>
      <c r="U644" s="133"/>
      <c r="V644" s="133"/>
      <c r="W644" s="133"/>
      <c r="X644" s="160"/>
      <c r="Y644" s="133"/>
      <c r="Z644" s="133"/>
      <c r="AA644" s="133"/>
      <c r="AB644" s="133"/>
      <c r="AC644" s="133"/>
      <c r="AD644" s="133"/>
      <c r="AE644" s="133"/>
      <c r="AF644" s="133"/>
      <c r="AG644" s="133"/>
      <c r="AH644" s="133"/>
      <c r="AI644" s="133"/>
      <c r="AJ644" s="133"/>
      <c r="AK644" s="133"/>
      <c r="AL644" s="132"/>
      <c r="AM644" s="132"/>
      <c r="AN644" s="104"/>
      <c r="AO644" s="104"/>
      <c r="AP644" s="104"/>
    </row>
    <row r="645">
      <c r="A645" s="132"/>
      <c r="B645" s="132"/>
      <c r="C645" s="132"/>
      <c r="D645" s="132"/>
      <c r="E645" s="133"/>
      <c r="F645" s="133"/>
      <c r="G645" s="133"/>
      <c r="H645" s="133"/>
      <c r="I645" s="133"/>
      <c r="J645" s="133"/>
      <c r="K645" s="133"/>
      <c r="L645" s="133"/>
      <c r="M645" s="133"/>
      <c r="N645" s="133"/>
      <c r="O645" s="133"/>
      <c r="P645" s="133"/>
      <c r="Q645" s="133"/>
      <c r="R645" s="133"/>
      <c r="S645" s="133"/>
      <c r="T645" s="133"/>
      <c r="U645" s="133"/>
      <c r="V645" s="133"/>
      <c r="W645" s="133"/>
      <c r="X645" s="160"/>
      <c r="Y645" s="133"/>
      <c r="Z645" s="133"/>
      <c r="AA645" s="133"/>
      <c r="AB645" s="133"/>
      <c r="AC645" s="133"/>
      <c r="AD645" s="133"/>
      <c r="AE645" s="133"/>
      <c r="AF645" s="133"/>
      <c r="AG645" s="133"/>
      <c r="AH645" s="133"/>
      <c r="AI645" s="133"/>
      <c r="AJ645" s="133"/>
      <c r="AK645" s="133"/>
      <c r="AL645" s="132"/>
      <c r="AM645" s="132"/>
      <c r="AN645" s="104"/>
      <c r="AO645" s="104"/>
      <c r="AP645" s="104"/>
    </row>
    <row r="646">
      <c r="A646" s="132"/>
      <c r="B646" s="132"/>
      <c r="C646" s="132"/>
      <c r="D646" s="132"/>
      <c r="E646" s="133"/>
      <c r="F646" s="133"/>
      <c r="G646" s="133"/>
      <c r="H646" s="133"/>
      <c r="I646" s="133"/>
      <c r="J646" s="133"/>
      <c r="K646" s="133"/>
      <c r="L646" s="133"/>
      <c r="M646" s="133"/>
      <c r="N646" s="133"/>
      <c r="O646" s="133"/>
      <c r="P646" s="133"/>
      <c r="Q646" s="133"/>
      <c r="R646" s="133"/>
      <c r="S646" s="133"/>
      <c r="T646" s="133"/>
      <c r="U646" s="133"/>
      <c r="V646" s="133"/>
      <c r="W646" s="133"/>
      <c r="X646" s="160"/>
      <c r="Y646" s="133"/>
      <c r="Z646" s="133"/>
      <c r="AA646" s="133"/>
      <c r="AB646" s="133"/>
      <c r="AC646" s="133"/>
      <c r="AD646" s="133"/>
      <c r="AE646" s="133"/>
      <c r="AF646" s="133"/>
      <c r="AG646" s="133"/>
      <c r="AH646" s="133"/>
      <c r="AI646" s="133"/>
      <c r="AJ646" s="133"/>
      <c r="AK646" s="133"/>
      <c r="AL646" s="132"/>
      <c r="AM646" s="132"/>
      <c r="AN646" s="104"/>
      <c r="AO646" s="104"/>
      <c r="AP646" s="104"/>
    </row>
    <row r="647">
      <c r="A647" s="132"/>
      <c r="B647" s="132"/>
      <c r="C647" s="132"/>
      <c r="D647" s="132"/>
      <c r="E647" s="133"/>
      <c r="F647" s="133"/>
      <c r="G647" s="133"/>
      <c r="H647" s="133"/>
      <c r="I647" s="133"/>
      <c r="J647" s="133"/>
      <c r="K647" s="133"/>
      <c r="L647" s="133"/>
      <c r="M647" s="133"/>
      <c r="N647" s="133"/>
      <c r="O647" s="133"/>
      <c r="P647" s="133"/>
      <c r="Q647" s="133"/>
      <c r="R647" s="133"/>
      <c r="S647" s="133"/>
      <c r="T647" s="133"/>
      <c r="U647" s="133"/>
      <c r="V647" s="133"/>
      <c r="W647" s="133"/>
      <c r="X647" s="160"/>
      <c r="Y647" s="133"/>
      <c r="Z647" s="133"/>
      <c r="AA647" s="133"/>
      <c r="AB647" s="133"/>
      <c r="AC647" s="133"/>
      <c r="AD647" s="133"/>
      <c r="AE647" s="133"/>
      <c r="AF647" s="133"/>
      <c r="AG647" s="133"/>
      <c r="AH647" s="133"/>
      <c r="AI647" s="133"/>
      <c r="AJ647" s="133"/>
      <c r="AK647" s="133"/>
      <c r="AL647" s="132"/>
      <c r="AM647" s="132"/>
      <c r="AN647" s="104"/>
      <c r="AO647" s="104"/>
      <c r="AP647" s="104"/>
    </row>
    <row r="648">
      <c r="A648" s="132"/>
      <c r="B648" s="132"/>
      <c r="C648" s="132"/>
      <c r="D648" s="132"/>
      <c r="E648" s="133"/>
      <c r="F648" s="133"/>
      <c r="G648" s="133"/>
      <c r="H648" s="133"/>
      <c r="I648" s="133"/>
      <c r="J648" s="133"/>
      <c r="K648" s="133"/>
      <c r="L648" s="133"/>
      <c r="M648" s="133"/>
      <c r="N648" s="133"/>
      <c r="O648" s="133"/>
      <c r="P648" s="133"/>
      <c r="Q648" s="133"/>
      <c r="R648" s="133"/>
      <c r="S648" s="133"/>
      <c r="T648" s="133"/>
      <c r="U648" s="133"/>
      <c r="V648" s="133"/>
      <c r="W648" s="133"/>
      <c r="X648" s="160"/>
      <c r="Y648" s="133"/>
      <c r="Z648" s="133"/>
      <c r="AA648" s="133"/>
      <c r="AB648" s="133"/>
      <c r="AC648" s="133"/>
      <c r="AD648" s="133"/>
      <c r="AE648" s="133"/>
      <c r="AF648" s="133"/>
      <c r="AG648" s="133"/>
      <c r="AH648" s="133"/>
      <c r="AI648" s="133"/>
      <c r="AJ648" s="133"/>
      <c r="AK648" s="133"/>
      <c r="AL648" s="132"/>
      <c r="AM648" s="132"/>
      <c r="AN648" s="104"/>
      <c r="AO648" s="104"/>
      <c r="AP648" s="104"/>
    </row>
    <row r="649">
      <c r="A649" s="132"/>
      <c r="B649" s="132"/>
      <c r="C649" s="132"/>
      <c r="D649" s="132"/>
      <c r="E649" s="133"/>
      <c r="F649" s="133"/>
      <c r="G649" s="133"/>
      <c r="H649" s="133"/>
      <c r="I649" s="133"/>
      <c r="J649" s="133"/>
      <c r="K649" s="133"/>
      <c r="L649" s="133"/>
      <c r="M649" s="133"/>
      <c r="N649" s="133"/>
      <c r="O649" s="133"/>
      <c r="P649" s="133"/>
      <c r="Q649" s="133"/>
      <c r="R649" s="133"/>
      <c r="S649" s="133"/>
      <c r="T649" s="133"/>
      <c r="U649" s="133"/>
      <c r="V649" s="133"/>
      <c r="W649" s="133"/>
      <c r="X649" s="160"/>
      <c r="Y649" s="133"/>
      <c r="Z649" s="133"/>
      <c r="AA649" s="133"/>
      <c r="AB649" s="133"/>
      <c r="AC649" s="133"/>
      <c r="AD649" s="133"/>
      <c r="AE649" s="133"/>
      <c r="AF649" s="133"/>
      <c r="AG649" s="133"/>
      <c r="AH649" s="133"/>
      <c r="AI649" s="133"/>
      <c r="AJ649" s="133"/>
      <c r="AK649" s="133"/>
      <c r="AL649" s="132"/>
      <c r="AM649" s="132"/>
      <c r="AN649" s="104"/>
      <c r="AO649" s="104"/>
      <c r="AP649" s="104"/>
    </row>
    <row r="650">
      <c r="A650" s="132"/>
      <c r="B650" s="132"/>
      <c r="C650" s="132"/>
      <c r="D650" s="132"/>
      <c r="E650" s="133"/>
      <c r="F650" s="133"/>
      <c r="G650" s="133"/>
      <c r="H650" s="133"/>
      <c r="I650" s="133"/>
      <c r="J650" s="133"/>
      <c r="K650" s="133"/>
      <c r="L650" s="133"/>
      <c r="M650" s="133"/>
      <c r="N650" s="133"/>
      <c r="O650" s="133"/>
      <c r="P650" s="133"/>
      <c r="Q650" s="133"/>
      <c r="R650" s="133"/>
      <c r="S650" s="133"/>
      <c r="T650" s="133"/>
      <c r="U650" s="133"/>
      <c r="V650" s="133"/>
      <c r="W650" s="133"/>
      <c r="X650" s="160"/>
      <c r="Y650" s="133"/>
      <c r="Z650" s="133"/>
      <c r="AA650" s="133"/>
      <c r="AB650" s="133"/>
      <c r="AC650" s="133"/>
      <c r="AD650" s="133"/>
      <c r="AE650" s="133"/>
      <c r="AF650" s="133"/>
      <c r="AG650" s="133"/>
      <c r="AH650" s="133"/>
      <c r="AI650" s="133"/>
      <c r="AJ650" s="133"/>
      <c r="AK650" s="133"/>
      <c r="AL650" s="132"/>
      <c r="AM650" s="132"/>
      <c r="AN650" s="104"/>
      <c r="AO650" s="104"/>
      <c r="AP650" s="104"/>
    </row>
    <row r="651">
      <c r="A651" s="132"/>
      <c r="B651" s="132"/>
      <c r="C651" s="132"/>
      <c r="D651" s="132"/>
      <c r="E651" s="133"/>
      <c r="F651" s="133"/>
      <c r="G651" s="133"/>
      <c r="H651" s="133"/>
      <c r="I651" s="133"/>
      <c r="J651" s="133"/>
      <c r="K651" s="133"/>
      <c r="L651" s="133"/>
      <c r="M651" s="133"/>
      <c r="N651" s="133"/>
      <c r="O651" s="133"/>
      <c r="P651" s="133"/>
      <c r="Q651" s="133"/>
      <c r="R651" s="133"/>
      <c r="S651" s="133"/>
      <c r="T651" s="133"/>
      <c r="U651" s="133"/>
      <c r="V651" s="133"/>
      <c r="W651" s="133"/>
      <c r="X651" s="160"/>
      <c r="Y651" s="133"/>
      <c r="Z651" s="133"/>
      <c r="AA651" s="133"/>
      <c r="AB651" s="133"/>
      <c r="AC651" s="133"/>
      <c r="AD651" s="133"/>
      <c r="AE651" s="133"/>
      <c r="AF651" s="133"/>
      <c r="AG651" s="133"/>
      <c r="AH651" s="133"/>
      <c r="AI651" s="133"/>
      <c r="AJ651" s="133"/>
      <c r="AK651" s="133"/>
      <c r="AL651" s="132"/>
      <c r="AM651" s="132"/>
      <c r="AN651" s="104"/>
      <c r="AO651" s="104"/>
      <c r="AP651" s="104"/>
    </row>
    <row r="652">
      <c r="A652" s="132"/>
      <c r="B652" s="132"/>
      <c r="C652" s="132"/>
      <c r="D652" s="132"/>
      <c r="E652" s="133"/>
      <c r="F652" s="133"/>
      <c r="G652" s="133"/>
      <c r="H652" s="133"/>
      <c r="I652" s="133"/>
      <c r="J652" s="133"/>
      <c r="K652" s="133"/>
      <c r="L652" s="133"/>
      <c r="M652" s="133"/>
      <c r="N652" s="133"/>
      <c r="O652" s="133"/>
      <c r="P652" s="133"/>
      <c r="Q652" s="133"/>
      <c r="R652" s="133"/>
      <c r="S652" s="133"/>
      <c r="T652" s="133"/>
      <c r="U652" s="133"/>
      <c r="V652" s="133"/>
      <c r="W652" s="133"/>
      <c r="X652" s="160"/>
      <c r="Y652" s="133"/>
      <c r="Z652" s="133"/>
      <c r="AA652" s="133"/>
      <c r="AB652" s="133"/>
      <c r="AC652" s="133"/>
      <c r="AD652" s="133"/>
      <c r="AE652" s="133"/>
      <c r="AF652" s="133"/>
      <c r="AG652" s="133"/>
      <c r="AH652" s="133"/>
      <c r="AI652" s="133"/>
      <c r="AJ652" s="133"/>
      <c r="AK652" s="133"/>
      <c r="AL652" s="132"/>
      <c r="AM652" s="132"/>
      <c r="AN652" s="104"/>
      <c r="AO652" s="104"/>
      <c r="AP652" s="104"/>
    </row>
    <row r="653">
      <c r="A653" s="132"/>
      <c r="B653" s="132"/>
      <c r="C653" s="132"/>
      <c r="D653" s="132"/>
      <c r="E653" s="133"/>
      <c r="F653" s="133"/>
      <c r="G653" s="133"/>
      <c r="H653" s="133"/>
      <c r="I653" s="133"/>
      <c r="J653" s="133"/>
      <c r="K653" s="133"/>
      <c r="L653" s="133"/>
      <c r="M653" s="133"/>
      <c r="N653" s="133"/>
      <c r="O653" s="133"/>
      <c r="P653" s="133"/>
      <c r="Q653" s="133"/>
      <c r="R653" s="133"/>
      <c r="S653" s="133"/>
      <c r="T653" s="133"/>
      <c r="U653" s="133"/>
      <c r="V653" s="133"/>
      <c r="W653" s="133"/>
      <c r="X653" s="160"/>
      <c r="Y653" s="133"/>
      <c r="Z653" s="133"/>
      <c r="AA653" s="133"/>
      <c r="AB653" s="133"/>
      <c r="AC653" s="133"/>
      <c r="AD653" s="133"/>
      <c r="AE653" s="133"/>
      <c r="AF653" s="133"/>
      <c r="AG653" s="133"/>
      <c r="AH653" s="133"/>
      <c r="AI653" s="133"/>
      <c r="AJ653" s="133"/>
      <c r="AK653" s="133"/>
      <c r="AL653" s="132"/>
      <c r="AM653" s="132"/>
      <c r="AN653" s="104"/>
      <c r="AO653" s="104"/>
      <c r="AP653" s="104"/>
    </row>
    <row r="654">
      <c r="A654" s="132"/>
      <c r="B654" s="132"/>
      <c r="C654" s="132"/>
      <c r="D654" s="132"/>
      <c r="E654" s="133"/>
      <c r="F654" s="133"/>
      <c r="G654" s="133"/>
      <c r="H654" s="133"/>
      <c r="I654" s="133"/>
      <c r="J654" s="133"/>
      <c r="K654" s="133"/>
      <c r="L654" s="133"/>
      <c r="M654" s="133"/>
      <c r="N654" s="133"/>
      <c r="O654" s="133"/>
      <c r="P654" s="133"/>
      <c r="Q654" s="133"/>
      <c r="R654" s="133"/>
      <c r="S654" s="133"/>
      <c r="T654" s="133"/>
      <c r="U654" s="133"/>
      <c r="V654" s="133"/>
      <c r="W654" s="133"/>
      <c r="X654" s="160"/>
      <c r="Y654" s="133"/>
      <c r="Z654" s="133"/>
      <c r="AA654" s="133"/>
      <c r="AB654" s="133"/>
      <c r="AC654" s="133"/>
      <c r="AD654" s="133"/>
      <c r="AE654" s="133"/>
      <c r="AF654" s="133"/>
      <c r="AG654" s="133"/>
      <c r="AH654" s="133"/>
      <c r="AI654" s="133"/>
      <c r="AJ654" s="133"/>
      <c r="AK654" s="133"/>
      <c r="AL654" s="132"/>
      <c r="AM654" s="132"/>
      <c r="AN654" s="104"/>
      <c r="AO654" s="104"/>
      <c r="AP654" s="104"/>
    </row>
    <row r="655">
      <c r="A655" s="132"/>
      <c r="B655" s="132"/>
      <c r="C655" s="132"/>
      <c r="D655" s="132"/>
      <c r="E655" s="133"/>
      <c r="F655" s="133"/>
      <c r="G655" s="133"/>
      <c r="H655" s="133"/>
      <c r="I655" s="133"/>
      <c r="J655" s="133"/>
      <c r="K655" s="133"/>
      <c r="L655" s="133"/>
      <c r="M655" s="133"/>
      <c r="N655" s="133"/>
      <c r="O655" s="133"/>
      <c r="P655" s="133"/>
      <c r="Q655" s="133"/>
      <c r="R655" s="133"/>
      <c r="S655" s="133"/>
      <c r="T655" s="133"/>
      <c r="U655" s="133"/>
      <c r="V655" s="133"/>
      <c r="W655" s="133"/>
      <c r="X655" s="160"/>
      <c r="Y655" s="133"/>
      <c r="Z655" s="133"/>
      <c r="AA655" s="133"/>
      <c r="AB655" s="133"/>
      <c r="AC655" s="133"/>
      <c r="AD655" s="133"/>
      <c r="AE655" s="133"/>
      <c r="AF655" s="133"/>
      <c r="AG655" s="133"/>
      <c r="AH655" s="133"/>
      <c r="AI655" s="133"/>
      <c r="AJ655" s="133"/>
      <c r="AK655" s="133"/>
      <c r="AL655" s="132"/>
      <c r="AM655" s="132"/>
      <c r="AN655" s="104"/>
      <c r="AO655" s="104"/>
      <c r="AP655" s="104"/>
    </row>
    <row r="656">
      <c r="A656" s="132"/>
      <c r="B656" s="132"/>
      <c r="C656" s="132"/>
      <c r="D656" s="132"/>
      <c r="E656" s="133"/>
      <c r="F656" s="133"/>
      <c r="G656" s="133"/>
      <c r="H656" s="133"/>
      <c r="I656" s="133"/>
      <c r="J656" s="133"/>
      <c r="K656" s="133"/>
      <c r="L656" s="133"/>
      <c r="M656" s="133"/>
      <c r="N656" s="133"/>
      <c r="O656" s="133"/>
      <c r="P656" s="133"/>
      <c r="Q656" s="133"/>
      <c r="R656" s="133"/>
      <c r="S656" s="133"/>
      <c r="T656" s="133"/>
      <c r="U656" s="133"/>
      <c r="V656" s="133"/>
      <c r="W656" s="133"/>
      <c r="X656" s="160"/>
      <c r="Y656" s="133"/>
      <c r="Z656" s="133"/>
      <c r="AA656" s="133"/>
      <c r="AB656" s="133"/>
      <c r="AC656" s="133"/>
      <c r="AD656" s="133"/>
      <c r="AE656" s="133"/>
      <c r="AF656" s="133"/>
      <c r="AG656" s="133"/>
      <c r="AH656" s="133"/>
      <c r="AI656" s="133"/>
      <c r="AJ656" s="133"/>
      <c r="AK656" s="133"/>
      <c r="AL656" s="132"/>
      <c r="AM656" s="132"/>
      <c r="AN656" s="104"/>
      <c r="AO656" s="104"/>
      <c r="AP656" s="104"/>
    </row>
    <row r="657">
      <c r="A657" s="132"/>
      <c r="B657" s="132"/>
      <c r="C657" s="132"/>
      <c r="D657" s="132"/>
      <c r="E657" s="133"/>
      <c r="F657" s="133"/>
      <c r="G657" s="133"/>
      <c r="H657" s="133"/>
      <c r="I657" s="133"/>
      <c r="J657" s="133"/>
      <c r="K657" s="133"/>
      <c r="L657" s="133"/>
      <c r="M657" s="133"/>
      <c r="N657" s="133"/>
      <c r="O657" s="133"/>
      <c r="P657" s="133"/>
      <c r="Q657" s="133"/>
      <c r="R657" s="133"/>
      <c r="S657" s="133"/>
      <c r="T657" s="133"/>
      <c r="U657" s="133"/>
      <c r="V657" s="133"/>
      <c r="W657" s="133"/>
      <c r="X657" s="160"/>
      <c r="Y657" s="133"/>
      <c r="Z657" s="133"/>
      <c r="AA657" s="133"/>
      <c r="AB657" s="133"/>
      <c r="AC657" s="133"/>
      <c r="AD657" s="133"/>
      <c r="AE657" s="133"/>
      <c r="AF657" s="133"/>
      <c r="AG657" s="133"/>
      <c r="AH657" s="133"/>
      <c r="AI657" s="133"/>
      <c r="AJ657" s="133"/>
      <c r="AK657" s="133"/>
      <c r="AL657" s="132"/>
      <c r="AM657" s="132"/>
      <c r="AN657" s="104"/>
      <c r="AO657" s="104"/>
      <c r="AP657" s="104"/>
    </row>
    <row r="658">
      <c r="A658" s="132"/>
      <c r="B658" s="132"/>
      <c r="C658" s="132"/>
      <c r="D658" s="132"/>
      <c r="E658" s="133"/>
      <c r="F658" s="133"/>
      <c r="G658" s="133"/>
      <c r="H658" s="133"/>
      <c r="I658" s="133"/>
      <c r="J658" s="133"/>
      <c r="K658" s="133"/>
      <c r="L658" s="133"/>
      <c r="M658" s="133"/>
      <c r="N658" s="133"/>
      <c r="O658" s="133"/>
      <c r="P658" s="133"/>
      <c r="Q658" s="133"/>
      <c r="R658" s="133"/>
      <c r="S658" s="133"/>
      <c r="T658" s="133"/>
      <c r="U658" s="133"/>
      <c r="V658" s="133"/>
      <c r="W658" s="133"/>
      <c r="X658" s="160"/>
      <c r="Y658" s="133"/>
      <c r="Z658" s="133"/>
      <c r="AA658" s="133"/>
      <c r="AB658" s="133"/>
      <c r="AC658" s="133"/>
      <c r="AD658" s="133"/>
      <c r="AE658" s="133"/>
      <c r="AF658" s="133"/>
      <c r="AG658" s="133"/>
      <c r="AH658" s="133"/>
      <c r="AI658" s="133"/>
      <c r="AJ658" s="133"/>
      <c r="AK658" s="133"/>
      <c r="AL658" s="132"/>
      <c r="AM658" s="132"/>
      <c r="AN658" s="104"/>
      <c r="AO658" s="104"/>
      <c r="AP658" s="104"/>
    </row>
    <row r="659">
      <c r="A659" s="132"/>
      <c r="B659" s="132"/>
      <c r="C659" s="132"/>
      <c r="D659" s="132"/>
      <c r="E659" s="133"/>
      <c r="F659" s="133"/>
      <c r="G659" s="133"/>
      <c r="H659" s="133"/>
      <c r="I659" s="133"/>
      <c r="J659" s="133"/>
      <c r="K659" s="133"/>
      <c r="L659" s="133"/>
      <c r="M659" s="133"/>
      <c r="N659" s="133"/>
      <c r="O659" s="133"/>
      <c r="P659" s="133"/>
      <c r="Q659" s="133"/>
      <c r="R659" s="133"/>
      <c r="S659" s="133"/>
      <c r="T659" s="133"/>
      <c r="U659" s="133"/>
      <c r="V659" s="133"/>
      <c r="W659" s="133"/>
      <c r="X659" s="160"/>
      <c r="Y659" s="133"/>
      <c r="Z659" s="133"/>
      <c r="AA659" s="133"/>
      <c r="AB659" s="133"/>
      <c r="AC659" s="133"/>
      <c r="AD659" s="133"/>
      <c r="AE659" s="133"/>
      <c r="AF659" s="133"/>
      <c r="AG659" s="133"/>
      <c r="AH659" s="133"/>
      <c r="AI659" s="133"/>
      <c r="AJ659" s="133"/>
      <c r="AK659" s="133"/>
      <c r="AL659" s="132"/>
      <c r="AM659" s="132"/>
      <c r="AN659" s="104"/>
      <c r="AO659" s="104"/>
      <c r="AP659" s="104"/>
    </row>
    <row r="660">
      <c r="A660" s="132"/>
      <c r="B660" s="132"/>
      <c r="C660" s="132"/>
      <c r="D660" s="132"/>
      <c r="E660" s="133"/>
      <c r="F660" s="133"/>
      <c r="G660" s="133"/>
      <c r="H660" s="133"/>
      <c r="I660" s="133"/>
      <c r="J660" s="133"/>
      <c r="K660" s="133"/>
      <c r="L660" s="133"/>
      <c r="M660" s="133"/>
      <c r="N660" s="133"/>
      <c r="O660" s="133"/>
      <c r="P660" s="133"/>
      <c r="Q660" s="133"/>
      <c r="R660" s="133"/>
      <c r="S660" s="133"/>
      <c r="T660" s="133"/>
      <c r="U660" s="133"/>
      <c r="V660" s="133"/>
      <c r="W660" s="133"/>
      <c r="X660" s="160"/>
      <c r="Y660" s="133"/>
      <c r="Z660" s="133"/>
      <c r="AA660" s="133"/>
      <c r="AB660" s="133"/>
      <c r="AC660" s="133"/>
      <c r="AD660" s="133"/>
      <c r="AE660" s="133"/>
      <c r="AF660" s="133"/>
      <c r="AG660" s="133"/>
      <c r="AH660" s="133"/>
      <c r="AI660" s="133"/>
      <c r="AJ660" s="133"/>
      <c r="AK660" s="133"/>
      <c r="AL660" s="132"/>
      <c r="AM660" s="132"/>
      <c r="AN660" s="104"/>
      <c r="AO660" s="104"/>
      <c r="AP660" s="104"/>
    </row>
    <row r="661">
      <c r="A661" s="132"/>
      <c r="B661" s="132"/>
      <c r="C661" s="132"/>
      <c r="D661" s="132"/>
      <c r="E661" s="133"/>
      <c r="F661" s="133"/>
      <c r="G661" s="133"/>
      <c r="H661" s="133"/>
      <c r="I661" s="133"/>
      <c r="J661" s="133"/>
      <c r="K661" s="133"/>
      <c r="L661" s="133"/>
      <c r="M661" s="133"/>
      <c r="N661" s="133"/>
      <c r="O661" s="133"/>
      <c r="P661" s="133"/>
      <c r="Q661" s="133"/>
      <c r="R661" s="133"/>
      <c r="S661" s="133"/>
      <c r="T661" s="133"/>
      <c r="U661" s="133"/>
      <c r="V661" s="133"/>
      <c r="W661" s="133"/>
      <c r="X661" s="160"/>
      <c r="Y661" s="133"/>
      <c r="Z661" s="133"/>
      <c r="AA661" s="133"/>
      <c r="AB661" s="133"/>
      <c r="AC661" s="133"/>
      <c r="AD661" s="133"/>
      <c r="AE661" s="133"/>
      <c r="AF661" s="133"/>
      <c r="AG661" s="133"/>
      <c r="AH661" s="133"/>
      <c r="AI661" s="133"/>
      <c r="AJ661" s="133"/>
      <c r="AK661" s="133"/>
      <c r="AL661" s="132"/>
      <c r="AM661" s="132"/>
      <c r="AN661" s="104"/>
      <c r="AO661" s="104"/>
      <c r="AP661" s="104"/>
    </row>
    <row r="662">
      <c r="A662" s="132"/>
      <c r="B662" s="132"/>
      <c r="C662" s="132"/>
      <c r="D662" s="132"/>
      <c r="E662" s="133"/>
      <c r="F662" s="133"/>
      <c r="G662" s="133"/>
      <c r="H662" s="133"/>
      <c r="I662" s="133"/>
      <c r="J662" s="133"/>
      <c r="K662" s="133"/>
      <c r="L662" s="133"/>
      <c r="M662" s="133"/>
      <c r="N662" s="133"/>
      <c r="O662" s="133"/>
      <c r="P662" s="133"/>
      <c r="Q662" s="133"/>
      <c r="R662" s="133"/>
      <c r="S662" s="133"/>
      <c r="T662" s="133"/>
      <c r="U662" s="133"/>
      <c r="V662" s="133"/>
      <c r="W662" s="133"/>
      <c r="X662" s="160"/>
      <c r="Y662" s="133"/>
      <c r="Z662" s="133"/>
      <c r="AA662" s="133"/>
      <c r="AB662" s="133"/>
      <c r="AC662" s="133"/>
      <c r="AD662" s="133"/>
      <c r="AE662" s="133"/>
      <c r="AF662" s="133"/>
      <c r="AG662" s="133"/>
      <c r="AH662" s="133"/>
      <c r="AI662" s="133"/>
      <c r="AJ662" s="133"/>
      <c r="AK662" s="133"/>
      <c r="AL662" s="132"/>
      <c r="AM662" s="132"/>
      <c r="AN662" s="104"/>
      <c r="AO662" s="104"/>
      <c r="AP662" s="104"/>
    </row>
    <row r="663">
      <c r="A663" s="132"/>
      <c r="B663" s="132"/>
      <c r="C663" s="132"/>
      <c r="D663" s="132"/>
      <c r="E663" s="133"/>
      <c r="F663" s="133"/>
      <c r="G663" s="133"/>
      <c r="H663" s="133"/>
      <c r="I663" s="133"/>
      <c r="J663" s="133"/>
      <c r="K663" s="133"/>
      <c r="L663" s="133"/>
      <c r="M663" s="133"/>
      <c r="N663" s="133"/>
      <c r="O663" s="133"/>
      <c r="P663" s="133"/>
      <c r="Q663" s="133"/>
      <c r="R663" s="133"/>
      <c r="S663" s="133"/>
      <c r="T663" s="133"/>
      <c r="U663" s="133"/>
      <c r="V663" s="133"/>
      <c r="W663" s="133"/>
      <c r="X663" s="160"/>
      <c r="Y663" s="133"/>
      <c r="Z663" s="133"/>
      <c r="AA663" s="133"/>
      <c r="AB663" s="133"/>
      <c r="AC663" s="133"/>
      <c r="AD663" s="133"/>
      <c r="AE663" s="133"/>
      <c r="AF663" s="133"/>
      <c r="AG663" s="133"/>
      <c r="AH663" s="133"/>
      <c r="AI663" s="133"/>
      <c r="AJ663" s="133"/>
      <c r="AK663" s="133"/>
      <c r="AL663" s="132"/>
      <c r="AM663" s="132"/>
      <c r="AN663" s="104"/>
      <c r="AO663" s="104"/>
      <c r="AP663" s="104"/>
    </row>
    <row r="664">
      <c r="A664" s="132"/>
      <c r="B664" s="132"/>
      <c r="C664" s="132"/>
      <c r="D664" s="132"/>
      <c r="E664" s="133"/>
      <c r="F664" s="133"/>
      <c r="G664" s="133"/>
      <c r="H664" s="133"/>
      <c r="I664" s="133"/>
      <c r="J664" s="133"/>
      <c r="K664" s="133"/>
      <c r="L664" s="133"/>
      <c r="M664" s="133"/>
      <c r="N664" s="133"/>
      <c r="O664" s="133"/>
      <c r="P664" s="133"/>
      <c r="Q664" s="133"/>
      <c r="R664" s="133"/>
      <c r="S664" s="133"/>
      <c r="T664" s="133"/>
      <c r="U664" s="133"/>
      <c r="V664" s="133"/>
      <c r="W664" s="133"/>
      <c r="X664" s="160"/>
      <c r="Y664" s="133"/>
      <c r="Z664" s="133"/>
      <c r="AA664" s="133"/>
      <c r="AB664" s="133"/>
      <c r="AC664" s="133"/>
      <c r="AD664" s="133"/>
      <c r="AE664" s="133"/>
      <c r="AF664" s="133"/>
      <c r="AG664" s="133"/>
      <c r="AH664" s="133"/>
      <c r="AI664" s="133"/>
      <c r="AJ664" s="133"/>
      <c r="AK664" s="133"/>
      <c r="AL664" s="132"/>
      <c r="AM664" s="132"/>
      <c r="AN664" s="104"/>
      <c r="AO664" s="104"/>
      <c r="AP664" s="104"/>
    </row>
    <row r="665">
      <c r="A665" s="132"/>
      <c r="B665" s="132"/>
      <c r="C665" s="132"/>
      <c r="D665" s="132"/>
      <c r="E665" s="133"/>
      <c r="F665" s="133"/>
      <c r="G665" s="133"/>
      <c r="H665" s="133"/>
      <c r="I665" s="133"/>
      <c r="J665" s="133"/>
      <c r="K665" s="133"/>
      <c r="L665" s="133"/>
      <c r="M665" s="133"/>
      <c r="N665" s="133"/>
      <c r="O665" s="133"/>
      <c r="P665" s="133"/>
      <c r="Q665" s="133"/>
      <c r="R665" s="133"/>
      <c r="S665" s="133"/>
      <c r="T665" s="133"/>
      <c r="U665" s="133"/>
      <c r="V665" s="133"/>
      <c r="W665" s="133"/>
      <c r="X665" s="160"/>
      <c r="Y665" s="133"/>
      <c r="Z665" s="133"/>
      <c r="AA665" s="133"/>
      <c r="AB665" s="133"/>
      <c r="AC665" s="133"/>
      <c r="AD665" s="133"/>
      <c r="AE665" s="133"/>
      <c r="AF665" s="133"/>
      <c r="AG665" s="133"/>
      <c r="AH665" s="133"/>
      <c r="AI665" s="133"/>
      <c r="AJ665" s="133"/>
      <c r="AK665" s="133"/>
      <c r="AL665" s="132"/>
      <c r="AM665" s="132"/>
      <c r="AN665" s="104"/>
      <c r="AO665" s="104"/>
      <c r="AP665" s="104"/>
    </row>
    <row r="666">
      <c r="A666" s="132"/>
      <c r="B666" s="132"/>
      <c r="C666" s="132"/>
      <c r="D666" s="132"/>
      <c r="E666" s="133"/>
      <c r="F666" s="133"/>
      <c r="G666" s="133"/>
      <c r="H666" s="133"/>
      <c r="I666" s="133"/>
      <c r="J666" s="133"/>
      <c r="K666" s="133"/>
      <c r="L666" s="133"/>
      <c r="M666" s="133"/>
      <c r="N666" s="133"/>
      <c r="O666" s="133"/>
      <c r="P666" s="133"/>
      <c r="Q666" s="133"/>
      <c r="R666" s="133"/>
      <c r="S666" s="133"/>
      <c r="T666" s="133"/>
      <c r="U666" s="133"/>
      <c r="V666" s="133"/>
      <c r="W666" s="133"/>
      <c r="X666" s="160"/>
      <c r="Y666" s="133"/>
      <c r="Z666" s="133"/>
      <c r="AA666" s="133"/>
      <c r="AB666" s="133"/>
      <c r="AC666" s="133"/>
      <c r="AD666" s="133"/>
      <c r="AE666" s="133"/>
      <c r="AF666" s="133"/>
      <c r="AG666" s="133"/>
      <c r="AH666" s="133"/>
      <c r="AI666" s="133"/>
      <c r="AJ666" s="133"/>
      <c r="AK666" s="133"/>
      <c r="AL666" s="132"/>
      <c r="AM666" s="132"/>
      <c r="AN666" s="104"/>
      <c r="AO666" s="104"/>
      <c r="AP666" s="104"/>
    </row>
    <row r="667">
      <c r="A667" s="132"/>
      <c r="B667" s="132"/>
      <c r="C667" s="132"/>
      <c r="D667" s="132"/>
      <c r="E667" s="133"/>
      <c r="F667" s="133"/>
      <c r="G667" s="133"/>
      <c r="H667" s="133"/>
      <c r="I667" s="133"/>
      <c r="J667" s="133"/>
      <c r="K667" s="133"/>
      <c r="L667" s="133"/>
      <c r="M667" s="133"/>
      <c r="N667" s="133"/>
      <c r="O667" s="133"/>
      <c r="P667" s="133"/>
      <c r="Q667" s="133"/>
      <c r="R667" s="133"/>
      <c r="S667" s="133"/>
      <c r="T667" s="133"/>
      <c r="U667" s="133"/>
      <c r="V667" s="133"/>
      <c r="W667" s="133"/>
      <c r="X667" s="160"/>
      <c r="Y667" s="133"/>
      <c r="Z667" s="133"/>
      <c r="AA667" s="133"/>
      <c r="AB667" s="133"/>
      <c r="AC667" s="133"/>
      <c r="AD667" s="133"/>
      <c r="AE667" s="133"/>
      <c r="AF667" s="133"/>
      <c r="AG667" s="133"/>
      <c r="AH667" s="133"/>
      <c r="AI667" s="133"/>
      <c r="AJ667" s="133"/>
      <c r="AK667" s="133"/>
      <c r="AL667" s="132"/>
      <c r="AM667" s="132"/>
      <c r="AN667" s="104"/>
      <c r="AO667" s="104"/>
      <c r="AP667" s="104"/>
    </row>
    <row r="668">
      <c r="A668" s="132"/>
      <c r="B668" s="132"/>
      <c r="C668" s="132"/>
      <c r="D668" s="132"/>
      <c r="E668" s="133"/>
      <c r="F668" s="133"/>
      <c r="G668" s="133"/>
      <c r="H668" s="133"/>
      <c r="I668" s="133"/>
      <c r="J668" s="133"/>
      <c r="K668" s="133"/>
      <c r="L668" s="133"/>
      <c r="M668" s="133"/>
      <c r="N668" s="133"/>
      <c r="O668" s="133"/>
      <c r="P668" s="133"/>
      <c r="Q668" s="133"/>
      <c r="R668" s="133"/>
      <c r="S668" s="133"/>
      <c r="T668" s="133"/>
      <c r="U668" s="133"/>
      <c r="V668" s="133"/>
      <c r="W668" s="133"/>
      <c r="X668" s="160"/>
      <c r="Y668" s="133"/>
      <c r="Z668" s="133"/>
      <c r="AA668" s="133"/>
      <c r="AB668" s="133"/>
      <c r="AC668" s="133"/>
      <c r="AD668" s="133"/>
      <c r="AE668" s="133"/>
      <c r="AF668" s="133"/>
      <c r="AG668" s="133"/>
      <c r="AH668" s="133"/>
      <c r="AI668" s="133"/>
      <c r="AJ668" s="133"/>
      <c r="AK668" s="133"/>
      <c r="AL668" s="132"/>
      <c r="AM668" s="132"/>
      <c r="AN668" s="104"/>
      <c r="AO668" s="104"/>
      <c r="AP668" s="104"/>
    </row>
    <row r="669">
      <c r="A669" s="132"/>
      <c r="B669" s="132"/>
      <c r="C669" s="132"/>
      <c r="D669" s="132"/>
      <c r="E669" s="133"/>
      <c r="F669" s="133"/>
      <c r="G669" s="133"/>
      <c r="H669" s="133"/>
      <c r="I669" s="133"/>
      <c r="J669" s="133"/>
      <c r="K669" s="133"/>
      <c r="L669" s="133"/>
      <c r="M669" s="133"/>
      <c r="N669" s="133"/>
      <c r="O669" s="133"/>
      <c r="P669" s="133"/>
      <c r="Q669" s="133"/>
      <c r="R669" s="133"/>
      <c r="S669" s="133"/>
      <c r="T669" s="133"/>
      <c r="U669" s="133"/>
      <c r="V669" s="133"/>
      <c r="W669" s="133"/>
      <c r="X669" s="160"/>
      <c r="Y669" s="133"/>
      <c r="Z669" s="133"/>
      <c r="AA669" s="133"/>
      <c r="AB669" s="133"/>
      <c r="AC669" s="133"/>
      <c r="AD669" s="133"/>
      <c r="AE669" s="133"/>
      <c r="AF669" s="133"/>
      <c r="AG669" s="133"/>
      <c r="AH669" s="133"/>
      <c r="AI669" s="133"/>
      <c r="AJ669" s="133"/>
      <c r="AK669" s="133"/>
      <c r="AL669" s="132"/>
      <c r="AM669" s="132"/>
      <c r="AN669" s="104"/>
      <c r="AO669" s="104"/>
      <c r="AP669" s="104"/>
    </row>
    <row r="670">
      <c r="A670" s="132"/>
      <c r="B670" s="132"/>
      <c r="C670" s="132"/>
      <c r="D670" s="132"/>
      <c r="E670" s="133"/>
      <c r="F670" s="133"/>
      <c r="G670" s="133"/>
      <c r="H670" s="133"/>
      <c r="I670" s="133"/>
      <c r="J670" s="133"/>
      <c r="K670" s="133"/>
      <c r="L670" s="133"/>
      <c r="M670" s="133"/>
      <c r="N670" s="133"/>
      <c r="O670" s="133"/>
      <c r="P670" s="133"/>
      <c r="Q670" s="133"/>
      <c r="R670" s="133"/>
      <c r="S670" s="133"/>
      <c r="T670" s="133"/>
      <c r="U670" s="133"/>
      <c r="V670" s="133"/>
      <c r="W670" s="133"/>
      <c r="X670" s="160"/>
      <c r="Y670" s="133"/>
      <c r="Z670" s="133"/>
      <c r="AA670" s="133"/>
      <c r="AB670" s="133"/>
      <c r="AC670" s="133"/>
      <c r="AD670" s="133"/>
      <c r="AE670" s="133"/>
      <c r="AF670" s="133"/>
      <c r="AG670" s="133"/>
      <c r="AH670" s="133"/>
      <c r="AI670" s="133"/>
      <c r="AJ670" s="133"/>
      <c r="AK670" s="133"/>
      <c r="AL670" s="132"/>
      <c r="AM670" s="132"/>
      <c r="AN670" s="104"/>
      <c r="AO670" s="104"/>
      <c r="AP670" s="104"/>
    </row>
    <row r="671">
      <c r="A671" s="132"/>
      <c r="B671" s="132"/>
      <c r="C671" s="132"/>
      <c r="D671" s="132"/>
      <c r="E671" s="133"/>
      <c r="F671" s="133"/>
      <c r="G671" s="133"/>
      <c r="H671" s="133"/>
      <c r="I671" s="133"/>
      <c r="J671" s="133"/>
      <c r="K671" s="133"/>
      <c r="L671" s="133"/>
      <c r="M671" s="133"/>
      <c r="N671" s="133"/>
      <c r="O671" s="133"/>
      <c r="P671" s="133"/>
      <c r="Q671" s="133"/>
      <c r="R671" s="133"/>
      <c r="S671" s="133"/>
      <c r="T671" s="133"/>
      <c r="U671" s="133"/>
      <c r="V671" s="133"/>
      <c r="W671" s="133"/>
      <c r="X671" s="160"/>
      <c r="Y671" s="133"/>
      <c r="Z671" s="133"/>
      <c r="AA671" s="133"/>
      <c r="AB671" s="133"/>
      <c r="AC671" s="133"/>
      <c r="AD671" s="133"/>
      <c r="AE671" s="133"/>
      <c r="AF671" s="133"/>
      <c r="AG671" s="133"/>
      <c r="AH671" s="133"/>
      <c r="AI671" s="133"/>
      <c r="AJ671" s="133"/>
      <c r="AK671" s="133"/>
      <c r="AL671" s="132"/>
      <c r="AM671" s="132"/>
      <c r="AN671" s="104"/>
      <c r="AO671" s="104"/>
      <c r="AP671" s="104"/>
    </row>
    <row r="672">
      <c r="A672" s="132"/>
      <c r="B672" s="132"/>
      <c r="C672" s="132"/>
      <c r="D672" s="132"/>
      <c r="E672" s="133"/>
      <c r="F672" s="133"/>
      <c r="G672" s="133"/>
      <c r="H672" s="133"/>
      <c r="I672" s="133"/>
      <c r="J672" s="133"/>
      <c r="K672" s="133"/>
      <c r="L672" s="133"/>
      <c r="M672" s="133"/>
      <c r="N672" s="133"/>
      <c r="O672" s="133"/>
      <c r="P672" s="133"/>
      <c r="Q672" s="133"/>
      <c r="R672" s="133"/>
      <c r="S672" s="133"/>
      <c r="T672" s="133"/>
      <c r="U672" s="133"/>
      <c r="V672" s="133"/>
      <c r="W672" s="133"/>
      <c r="X672" s="160"/>
      <c r="Y672" s="133"/>
      <c r="Z672" s="133"/>
      <c r="AA672" s="133"/>
      <c r="AB672" s="133"/>
      <c r="AC672" s="133"/>
      <c r="AD672" s="133"/>
      <c r="AE672" s="133"/>
      <c r="AF672" s="133"/>
      <c r="AG672" s="133"/>
      <c r="AH672" s="133"/>
      <c r="AI672" s="133"/>
      <c r="AJ672" s="133"/>
      <c r="AK672" s="133"/>
      <c r="AL672" s="132"/>
      <c r="AM672" s="132"/>
      <c r="AN672" s="104"/>
      <c r="AO672" s="104"/>
      <c r="AP672" s="104"/>
    </row>
    <row r="673">
      <c r="A673" s="132"/>
      <c r="B673" s="132"/>
      <c r="C673" s="132"/>
      <c r="D673" s="132"/>
      <c r="E673" s="133"/>
      <c r="F673" s="133"/>
      <c r="G673" s="133"/>
      <c r="H673" s="133"/>
      <c r="I673" s="133"/>
      <c r="J673" s="133"/>
      <c r="K673" s="133"/>
      <c r="L673" s="133"/>
      <c r="M673" s="133"/>
      <c r="N673" s="133"/>
      <c r="O673" s="133"/>
      <c r="P673" s="133"/>
      <c r="Q673" s="133"/>
      <c r="R673" s="133"/>
      <c r="S673" s="133"/>
      <c r="T673" s="133"/>
      <c r="U673" s="133"/>
      <c r="V673" s="133"/>
      <c r="W673" s="133"/>
      <c r="X673" s="160"/>
      <c r="Y673" s="133"/>
      <c r="Z673" s="133"/>
      <c r="AA673" s="133"/>
      <c r="AB673" s="133"/>
      <c r="AC673" s="133"/>
      <c r="AD673" s="133"/>
      <c r="AE673" s="133"/>
      <c r="AF673" s="133"/>
      <c r="AG673" s="133"/>
      <c r="AH673" s="133"/>
      <c r="AI673" s="133"/>
      <c r="AJ673" s="133"/>
      <c r="AK673" s="133"/>
      <c r="AL673" s="132"/>
      <c r="AM673" s="132"/>
      <c r="AN673" s="104"/>
      <c r="AO673" s="104"/>
      <c r="AP673" s="104"/>
    </row>
    <row r="674">
      <c r="A674" s="132"/>
      <c r="B674" s="132"/>
      <c r="C674" s="132"/>
      <c r="D674" s="132"/>
      <c r="E674" s="133"/>
      <c r="F674" s="133"/>
      <c r="G674" s="133"/>
      <c r="H674" s="133"/>
      <c r="I674" s="133"/>
      <c r="J674" s="133"/>
      <c r="K674" s="133"/>
      <c r="L674" s="133"/>
      <c r="M674" s="133"/>
      <c r="N674" s="133"/>
      <c r="O674" s="133"/>
      <c r="P674" s="133"/>
      <c r="Q674" s="133"/>
      <c r="R674" s="133"/>
      <c r="S674" s="133"/>
      <c r="T674" s="133"/>
      <c r="U674" s="133"/>
      <c r="V674" s="133"/>
      <c r="W674" s="133"/>
      <c r="X674" s="160"/>
      <c r="Y674" s="133"/>
      <c r="Z674" s="133"/>
      <c r="AA674" s="133"/>
      <c r="AB674" s="133"/>
      <c r="AC674" s="133"/>
      <c r="AD674" s="133"/>
      <c r="AE674" s="133"/>
      <c r="AF674" s="133"/>
      <c r="AG674" s="133"/>
      <c r="AH674" s="133"/>
      <c r="AI674" s="133"/>
      <c r="AJ674" s="133"/>
      <c r="AK674" s="133"/>
      <c r="AL674" s="132"/>
      <c r="AM674" s="132"/>
      <c r="AN674" s="104"/>
      <c r="AO674" s="104"/>
      <c r="AP674" s="104"/>
    </row>
    <row r="675">
      <c r="A675" s="132"/>
      <c r="B675" s="132"/>
      <c r="C675" s="132"/>
      <c r="D675" s="132"/>
      <c r="E675" s="133"/>
      <c r="F675" s="133"/>
      <c r="G675" s="133"/>
      <c r="H675" s="133"/>
      <c r="I675" s="133"/>
      <c r="J675" s="133"/>
      <c r="K675" s="133"/>
      <c r="L675" s="133"/>
      <c r="M675" s="133"/>
      <c r="N675" s="133"/>
      <c r="O675" s="133"/>
      <c r="P675" s="133"/>
      <c r="Q675" s="133"/>
      <c r="R675" s="133"/>
      <c r="S675" s="133"/>
      <c r="T675" s="133"/>
      <c r="U675" s="133"/>
      <c r="V675" s="133"/>
      <c r="W675" s="133"/>
      <c r="X675" s="160"/>
      <c r="Y675" s="133"/>
      <c r="Z675" s="133"/>
      <c r="AA675" s="133"/>
      <c r="AB675" s="133"/>
      <c r="AC675" s="133"/>
      <c r="AD675" s="133"/>
      <c r="AE675" s="133"/>
      <c r="AF675" s="133"/>
      <c r="AG675" s="133"/>
      <c r="AH675" s="133"/>
      <c r="AI675" s="133"/>
      <c r="AJ675" s="133"/>
      <c r="AK675" s="133"/>
      <c r="AL675" s="132"/>
      <c r="AM675" s="132"/>
      <c r="AN675" s="104"/>
      <c r="AO675" s="104"/>
      <c r="AP675" s="104"/>
    </row>
    <row r="676">
      <c r="A676" s="132"/>
      <c r="B676" s="132"/>
      <c r="C676" s="132"/>
      <c r="D676" s="132"/>
      <c r="E676" s="133"/>
      <c r="F676" s="133"/>
      <c r="G676" s="133"/>
      <c r="H676" s="133"/>
      <c r="I676" s="133"/>
      <c r="J676" s="133"/>
      <c r="K676" s="133"/>
      <c r="L676" s="133"/>
      <c r="M676" s="133"/>
      <c r="N676" s="133"/>
      <c r="O676" s="133"/>
      <c r="P676" s="133"/>
      <c r="Q676" s="133"/>
      <c r="R676" s="133"/>
      <c r="S676" s="133"/>
      <c r="T676" s="133"/>
      <c r="U676" s="133"/>
      <c r="V676" s="133"/>
      <c r="W676" s="133"/>
      <c r="X676" s="160"/>
      <c r="Y676" s="133"/>
      <c r="Z676" s="133"/>
      <c r="AA676" s="133"/>
      <c r="AB676" s="133"/>
      <c r="AC676" s="133"/>
      <c r="AD676" s="133"/>
      <c r="AE676" s="133"/>
      <c r="AF676" s="133"/>
      <c r="AG676" s="133"/>
      <c r="AH676" s="133"/>
      <c r="AI676" s="133"/>
      <c r="AJ676" s="133"/>
      <c r="AK676" s="133"/>
      <c r="AL676" s="132"/>
      <c r="AM676" s="132"/>
      <c r="AN676" s="104"/>
      <c r="AO676" s="104"/>
      <c r="AP676" s="104"/>
    </row>
    <row r="677">
      <c r="A677" s="132"/>
      <c r="B677" s="132"/>
      <c r="C677" s="132"/>
      <c r="D677" s="132"/>
      <c r="E677" s="133"/>
      <c r="F677" s="133"/>
      <c r="G677" s="133"/>
      <c r="H677" s="133"/>
      <c r="I677" s="133"/>
      <c r="J677" s="133"/>
      <c r="K677" s="133"/>
      <c r="L677" s="133"/>
      <c r="M677" s="133"/>
      <c r="N677" s="133"/>
      <c r="O677" s="133"/>
      <c r="P677" s="133"/>
      <c r="Q677" s="133"/>
      <c r="R677" s="133"/>
      <c r="S677" s="133"/>
      <c r="T677" s="133"/>
      <c r="U677" s="133"/>
      <c r="V677" s="133"/>
      <c r="W677" s="133"/>
      <c r="X677" s="160"/>
      <c r="Y677" s="133"/>
      <c r="Z677" s="133"/>
      <c r="AA677" s="133"/>
      <c r="AB677" s="133"/>
      <c r="AC677" s="133"/>
      <c r="AD677" s="133"/>
      <c r="AE677" s="133"/>
      <c r="AF677" s="133"/>
      <c r="AG677" s="133"/>
      <c r="AH677" s="133"/>
      <c r="AI677" s="133"/>
      <c r="AJ677" s="133"/>
      <c r="AK677" s="133"/>
      <c r="AL677" s="132"/>
      <c r="AM677" s="132"/>
      <c r="AN677" s="104"/>
      <c r="AO677" s="104"/>
      <c r="AP677" s="104"/>
    </row>
    <row r="678">
      <c r="A678" s="132"/>
      <c r="B678" s="132"/>
      <c r="C678" s="132"/>
      <c r="D678" s="132"/>
      <c r="E678" s="133"/>
      <c r="F678" s="133"/>
      <c r="G678" s="133"/>
      <c r="H678" s="133"/>
      <c r="I678" s="133"/>
      <c r="J678" s="133"/>
      <c r="K678" s="133"/>
      <c r="L678" s="133"/>
      <c r="M678" s="133"/>
      <c r="N678" s="133"/>
      <c r="O678" s="133"/>
      <c r="P678" s="133"/>
      <c r="Q678" s="133"/>
      <c r="R678" s="133"/>
      <c r="S678" s="133"/>
      <c r="T678" s="133"/>
      <c r="U678" s="133"/>
      <c r="V678" s="133"/>
      <c r="W678" s="133"/>
      <c r="X678" s="160"/>
      <c r="Y678" s="133"/>
      <c r="Z678" s="133"/>
      <c r="AA678" s="133"/>
      <c r="AB678" s="133"/>
      <c r="AC678" s="133"/>
      <c r="AD678" s="133"/>
      <c r="AE678" s="133"/>
      <c r="AF678" s="133"/>
      <c r="AG678" s="133"/>
      <c r="AH678" s="133"/>
      <c r="AI678" s="133"/>
      <c r="AJ678" s="133"/>
      <c r="AK678" s="133"/>
      <c r="AL678" s="132"/>
      <c r="AM678" s="132"/>
      <c r="AN678" s="104"/>
      <c r="AO678" s="104"/>
      <c r="AP678" s="104"/>
    </row>
    <row r="679">
      <c r="A679" s="132"/>
      <c r="B679" s="132"/>
      <c r="C679" s="132"/>
      <c r="D679" s="132"/>
      <c r="E679" s="133"/>
      <c r="F679" s="133"/>
      <c r="G679" s="133"/>
      <c r="H679" s="133"/>
      <c r="I679" s="133"/>
      <c r="J679" s="133"/>
      <c r="K679" s="133"/>
      <c r="L679" s="133"/>
      <c r="M679" s="133"/>
      <c r="N679" s="133"/>
      <c r="O679" s="133"/>
      <c r="P679" s="133"/>
      <c r="Q679" s="133"/>
      <c r="R679" s="133"/>
      <c r="S679" s="133"/>
      <c r="T679" s="133"/>
      <c r="U679" s="133"/>
      <c r="V679" s="133"/>
      <c r="W679" s="133"/>
      <c r="X679" s="160"/>
      <c r="Y679" s="133"/>
      <c r="Z679" s="133"/>
      <c r="AA679" s="133"/>
      <c r="AB679" s="133"/>
      <c r="AC679" s="133"/>
      <c r="AD679" s="133"/>
      <c r="AE679" s="133"/>
      <c r="AF679" s="133"/>
      <c r="AG679" s="133"/>
      <c r="AH679" s="133"/>
      <c r="AI679" s="133"/>
      <c r="AJ679" s="133"/>
      <c r="AK679" s="133"/>
      <c r="AL679" s="132"/>
      <c r="AM679" s="132"/>
      <c r="AN679" s="104"/>
      <c r="AO679" s="104"/>
      <c r="AP679" s="104"/>
    </row>
    <row r="680">
      <c r="A680" s="132"/>
      <c r="B680" s="132"/>
      <c r="C680" s="132"/>
      <c r="D680" s="132"/>
      <c r="E680" s="133"/>
      <c r="F680" s="133"/>
      <c r="G680" s="133"/>
      <c r="H680" s="133"/>
      <c r="I680" s="133"/>
      <c r="J680" s="133"/>
      <c r="K680" s="133"/>
      <c r="L680" s="133"/>
      <c r="M680" s="133"/>
      <c r="N680" s="133"/>
      <c r="O680" s="133"/>
      <c r="P680" s="133"/>
      <c r="Q680" s="133"/>
      <c r="R680" s="133"/>
      <c r="S680" s="133"/>
      <c r="T680" s="133"/>
      <c r="U680" s="133"/>
      <c r="V680" s="133"/>
      <c r="W680" s="133"/>
      <c r="X680" s="160"/>
      <c r="Y680" s="133"/>
      <c r="Z680" s="133"/>
      <c r="AA680" s="133"/>
      <c r="AB680" s="133"/>
      <c r="AC680" s="133"/>
      <c r="AD680" s="133"/>
      <c r="AE680" s="133"/>
      <c r="AF680" s="133"/>
      <c r="AG680" s="133"/>
      <c r="AH680" s="133"/>
      <c r="AI680" s="133"/>
      <c r="AJ680" s="133"/>
      <c r="AK680" s="133"/>
      <c r="AL680" s="132"/>
      <c r="AM680" s="132"/>
      <c r="AN680" s="104"/>
      <c r="AO680" s="104"/>
      <c r="AP680" s="104"/>
    </row>
    <row r="681">
      <c r="A681" s="132"/>
      <c r="B681" s="132"/>
      <c r="C681" s="132"/>
      <c r="D681" s="132"/>
      <c r="E681" s="133"/>
      <c r="F681" s="133"/>
      <c r="G681" s="133"/>
      <c r="H681" s="133"/>
      <c r="I681" s="133"/>
      <c r="J681" s="133"/>
      <c r="K681" s="133"/>
      <c r="L681" s="133"/>
      <c r="M681" s="133"/>
      <c r="N681" s="133"/>
      <c r="O681" s="133"/>
      <c r="P681" s="133"/>
      <c r="Q681" s="133"/>
      <c r="R681" s="133"/>
      <c r="S681" s="133"/>
      <c r="T681" s="133"/>
      <c r="U681" s="133"/>
      <c r="V681" s="133"/>
      <c r="W681" s="133"/>
      <c r="X681" s="160"/>
      <c r="Y681" s="133"/>
      <c r="Z681" s="133"/>
      <c r="AA681" s="133"/>
      <c r="AB681" s="133"/>
      <c r="AC681" s="133"/>
      <c r="AD681" s="133"/>
      <c r="AE681" s="133"/>
      <c r="AF681" s="133"/>
      <c r="AG681" s="133"/>
      <c r="AH681" s="133"/>
      <c r="AI681" s="133"/>
      <c r="AJ681" s="133"/>
      <c r="AK681" s="133"/>
      <c r="AL681" s="132"/>
      <c r="AM681" s="132"/>
      <c r="AN681" s="104"/>
      <c r="AO681" s="104"/>
      <c r="AP681" s="104"/>
    </row>
    <row r="682">
      <c r="A682" s="132"/>
      <c r="B682" s="132"/>
      <c r="C682" s="132"/>
      <c r="D682" s="132"/>
      <c r="E682" s="133"/>
      <c r="F682" s="133"/>
      <c r="G682" s="133"/>
      <c r="H682" s="133"/>
      <c r="I682" s="133"/>
      <c r="J682" s="133"/>
      <c r="K682" s="133"/>
      <c r="L682" s="133"/>
      <c r="M682" s="133"/>
      <c r="N682" s="133"/>
      <c r="O682" s="133"/>
      <c r="P682" s="133"/>
      <c r="Q682" s="133"/>
      <c r="R682" s="133"/>
      <c r="S682" s="133"/>
      <c r="T682" s="133"/>
      <c r="U682" s="133"/>
      <c r="V682" s="133"/>
      <c r="W682" s="133"/>
      <c r="X682" s="160"/>
      <c r="Y682" s="133"/>
      <c r="Z682" s="133"/>
      <c r="AA682" s="133"/>
      <c r="AB682" s="133"/>
      <c r="AC682" s="133"/>
      <c r="AD682" s="133"/>
      <c r="AE682" s="133"/>
      <c r="AF682" s="133"/>
      <c r="AG682" s="133"/>
      <c r="AH682" s="133"/>
      <c r="AI682" s="133"/>
      <c r="AJ682" s="133"/>
      <c r="AK682" s="133"/>
      <c r="AL682" s="132"/>
      <c r="AM682" s="132"/>
      <c r="AN682" s="104"/>
      <c r="AO682" s="104"/>
      <c r="AP682" s="104"/>
    </row>
    <row r="683">
      <c r="A683" s="132"/>
      <c r="B683" s="132"/>
      <c r="C683" s="132"/>
      <c r="D683" s="132"/>
      <c r="E683" s="133"/>
      <c r="F683" s="133"/>
      <c r="G683" s="133"/>
      <c r="H683" s="133"/>
      <c r="I683" s="133"/>
      <c r="J683" s="133"/>
      <c r="K683" s="133"/>
      <c r="L683" s="133"/>
      <c r="M683" s="133"/>
      <c r="N683" s="133"/>
      <c r="O683" s="133"/>
      <c r="P683" s="133"/>
      <c r="Q683" s="133"/>
      <c r="R683" s="133"/>
      <c r="S683" s="133"/>
      <c r="T683" s="133"/>
      <c r="U683" s="133"/>
      <c r="V683" s="133"/>
      <c r="W683" s="133"/>
      <c r="X683" s="160"/>
      <c r="Y683" s="133"/>
      <c r="Z683" s="133"/>
      <c r="AA683" s="133"/>
      <c r="AB683" s="133"/>
      <c r="AC683" s="133"/>
      <c r="AD683" s="133"/>
      <c r="AE683" s="133"/>
      <c r="AF683" s="133"/>
      <c r="AG683" s="133"/>
      <c r="AH683" s="133"/>
      <c r="AI683" s="133"/>
      <c r="AJ683" s="133"/>
      <c r="AK683" s="133"/>
      <c r="AL683" s="132"/>
      <c r="AM683" s="132"/>
      <c r="AN683" s="104"/>
      <c r="AO683" s="104"/>
      <c r="AP683" s="104"/>
    </row>
    <row r="684">
      <c r="A684" s="132"/>
      <c r="B684" s="132"/>
      <c r="C684" s="132"/>
      <c r="D684" s="132"/>
      <c r="E684" s="133"/>
      <c r="F684" s="133"/>
      <c r="G684" s="133"/>
      <c r="H684" s="133"/>
      <c r="I684" s="133"/>
      <c r="J684" s="133"/>
      <c r="K684" s="133"/>
      <c r="L684" s="133"/>
      <c r="M684" s="133"/>
      <c r="N684" s="133"/>
      <c r="O684" s="133"/>
      <c r="P684" s="133"/>
      <c r="Q684" s="133"/>
      <c r="R684" s="133"/>
      <c r="S684" s="133"/>
      <c r="T684" s="133"/>
      <c r="U684" s="133"/>
      <c r="V684" s="133"/>
      <c r="W684" s="133"/>
      <c r="X684" s="160"/>
      <c r="Y684" s="133"/>
      <c r="Z684" s="133"/>
      <c r="AA684" s="133"/>
      <c r="AB684" s="133"/>
      <c r="AC684" s="133"/>
      <c r="AD684" s="133"/>
      <c r="AE684" s="133"/>
      <c r="AF684" s="133"/>
      <c r="AG684" s="133"/>
      <c r="AH684" s="133"/>
      <c r="AI684" s="133"/>
      <c r="AJ684" s="133"/>
      <c r="AK684" s="133"/>
      <c r="AL684" s="132"/>
      <c r="AM684" s="132"/>
      <c r="AN684" s="104"/>
      <c r="AO684" s="104"/>
      <c r="AP684" s="104"/>
    </row>
    <row r="685">
      <c r="A685" s="132"/>
      <c r="B685" s="132"/>
      <c r="C685" s="132"/>
      <c r="D685" s="132"/>
      <c r="E685" s="133"/>
      <c r="F685" s="133"/>
      <c r="G685" s="133"/>
      <c r="H685" s="133"/>
      <c r="I685" s="133"/>
      <c r="J685" s="133"/>
      <c r="K685" s="133"/>
      <c r="L685" s="133"/>
      <c r="M685" s="133"/>
      <c r="N685" s="133"/>
      <c r="O685" s="133"/>
      <c r="P685" s="133"/>
      <c r="Q685" s="133"/>
      <c r="R685" s="133"/>
      <c r="S685" s="133"/>
      <c r="T685" s="133"/>
      <c r="U685" s="133"/>
      <c r="V685" s="133"/>
      <c r="W685" s="133"/>
      <c r="X685" s="160"/>
      <c r="Y685" s="133"/>
      <c r="Z685" s="133"/>
      <c r="AA685" s="133"/>
      <c r="AB685" s="133"/>
      <c r="AC685" s="133"/>
      <c r="AD685" s="133"/>
      <c r="AE685" s="133"/>
      <c r="AF685" s="133"/>
      <c r="AG685" s="133"/>
      <c r="AH685" s="133"/>
      <c r="AI685" s="133"/>
      <c r="AJ685" s="133"/>
      <c r="AK685" s="133"/>
      <c r="AL685" s="132"/>
      <c r="AM685" s="132"/>
      <c r="AN685" s="104"/>
      <c r="AO685" s="104"/>
      <c r="AP685" s="104"/>
    </row>
    <row r="686">
      <c r="A686" s="132"/>
      <c r="B686" s="132"/>
      <c r="C686" s="132"/>
      <c r="D686" s="132"/>
      <c r="E686" s="133"/>
      <c r="F686" s="133"/>
      <c r="G686" s="133"/>
      <c r="H686" s="133"/>
      <c r="I686" s="133"/>
      <c r="J686" s="133"/>
      <c r="K686" s="133"/>
      <c r="L686" s="133"/>
      <c r="M686" s="133"/>
      <c r="N686" s="133"/>
      <c r="O686" s="133"/>
      <c r="P686" s="133"/>
      <c r="Q686" s="133"/>
      <c r="R686" s="133"/>
      <c r="S686" s="133"/>
      <c r="T686" s="133"/>
      <c r="U686" s="133"/>
      <c r="V686" s="133"/>
      <c r="W686" s="133"/>
      <c r="X686" s="160"/>
      <c r="Y686" s="133"/>
      <c r="Z686" s="133"/>
      <c r="AA686" s="133"/>
      <c r="AB686" s="133"/>
      <c r="AC686" s="133"/>
      <c r="AD686" s="133"/>
      <c r="AE686" s="133"/>
      <c r="AF686" s="133"/>
      <c r="AG686" s="133"/>
      <c r="AH686" s="133"/>
      <c r="AI686" s="133"/>
      <c r="AJ686" s="133"/>
      <c r="AK686" s="133"/>
      <c r="AL686" s="132"/>
      <c r="AM686" s="132"/>
      <c r="AN686" s="104"/>
      <c r="AO686" s="104"/>
      <c r="AP686" s="104"/>
    </row>
    <row r="687">
      <c r="A687" s="132"/>
      <c r="B687" s="132"/>
      <c r="C687" s="132"/>
      <c r="D687" s="132"/>
      <c r="E687" s="133"/>
      <c r="F687" s="133"/>
      <c r="G687" s="133"/>
      <c r="H687" s="133"/>
      <c r="I687" s="133"/>
      <c r="J687" s="133"/>
      <c r="K687" s="133"/>
      <c r="L687" s="133"/>
      <c r="M687" s="133"/>
      <c r="N687" s="133"/>
      <c r="O687" s="133"/>
      <c r="P687" s="133"/>
      <c r="Q687" s="133"/>
      <c r="R687" s="133"/>
      <c r="S687" s="133"/>
      <c r="T687" s="133"/>
      <c r="U687" s="133"/>
      <c r="V687" s="133"/>
      <c r="W687" s="133"/>
      <c r="X687" s="160"/>
      <c r="Y687" s="133"/>
      <c r="Z687" s="133"/>
      <c r="AA687" s="133"/>
      <c r="AB687" s="133"/>
      <c r="AC687" s="133"/>
      <c r="AD687" s="133"/>
      <c r="AE687" s="133"/>
      <c r="AF687" s="133"/>
      <c r="AG687" s="133"/>
      <c r="AH687" s="133"/>
      <c r="AI687" s="133"/>
      <c r="AJ687" s="133"/>
      <c r="AK687" s="133"/>
      <c r="AL687" s="132"/>
      <c r="AM687" s="132"/>
      <c r="AN687" s="104"/>
      <c r="AO687" s="104"/>
      <c r="AP687" s="104"/>
    </row>
    <row r="688">
      <c r="A688" s="132"/>
      <c r="B688" s="132"/>
      <c r="C688" s="132"/>
      <c r="D688" s="132"/>
      <c r="E688" s="133"/>
      <c r="F688" s="133"/>
      <c r="G688" s="133"/>
      <c r="H688" s="133"/>
      <c r="I688" s="133"/>
      <c r="J688" s="133"/>
      <c r="K688" s="133"/>
      <c r="L688" s="133"/>
      <c r="M688" s="133"/>
      <c r="N688" s="133"/>
      <c r="O688" s="133"/>
      <c r="P688" s="133"/>
      <c r="Q688" s="133"/>
      <c r="R688" s="133"/>
      <c r="S688" s="133"/>
      <c r="T688" s="133"/>
      <c r="U688" s="133"/>
      <c r="V688" s="133"/>
      <c r="W688" s="133"/>
      <c r="X688" s="160"/>
      <c r="Y688" s="133"/>
      <c r="Z688" s="133"/>
      <c r="AA688" s="133"/>
      <c r="AB688" s="133"/>
      <c r="AC688" s="133"/>
      <c r="AD688" s="133"/>
      <c r="AE688" s="133"/>
      <c r="AF688" s="133"/>
      <c r="AG688" s="133"/>
      <c r="AH688" s="133"/>
      <c r="AI688" s="133"/>
      <c r="AJ688" s="133"/>
      <c r="AK688" s="133"/>
      <c r="AL688" s="132"/>
      <c r="AM688" s="132"/>
      <c r="AN688" s="104"/>
      <c r="AO688" s="104"/>
      <c r="AP688" s="104"/>
    </row>
    <row r="689">
      <c r="A689" s="132"/>
      <c r="B689" s="132"/>
      <c r="C689" s="132"/>
      <c r="D689" s="132"/>
      <c r="E689" s="133"/>
      <c r="F689" s="133"/>
      <c r="G689" s="133"/>
      <c r="H689" s="133"/>
      <c r="I689" s="133"/>
      <c r="J689" s="133"/>
      <c r="K689" s="133"/>
      <c r="L689" s="133"/>
      <c r="M689" s="133"/>
      <c r="N689" s="133"/>
      <c r="O689" s="133"/>
      <c r="P689" s="133"/>
      <c r="Q689" s="133"/>
      <c r="R689" s="133"/>
      <c r="S689" s="133"/>
      <c r="T689" s="133"/>
      <c r="U689" s="133"/>
      <c r="V689" s="133"/>
      <c r="W689" s="133"/>
      <c r="X689" s="160"/>
      <c r="Y689" s="133"/>
      <c r="Z689" s="133"/>
      <c r="AA689" s="133"/>
      <c r="AB689" s="133"/>
      <c r="AC689" s="133"/>
      <c r="AD689" s="133"/>
      <c r="AE689" s="133"/>
      <c r="AF689" s="133"/>
      <c r="AG689" s="133"/>
      <c r="AH689" s="133"/>
      <c r="AI689" s="133"/>
      <c r="AJ689" s="133"/>
      <c r="AK689" s="133"/>
      <c r="AL689" s="132"/>
      <c r="AM689" s="132"/>
      <c r="AN689" s="104"/>
      <c r="AO689" s="104"/>
      <c r="AP689" s="104"/>
    </row>
    <row r="690">
      <c r="A690" s="132"/>
      <c r="B690" s="132"/>
      <c r="C690" s="132"/>
      <c r="D690" s="132"/>
      <c r="E690" s="133"/>
      <c r="F690" s="133"/>
      <c r="G690" s="133"/>
      <c r="H690" s="133"/>
      <c r="I690" s="133"/>
      <c r="J690" s="133"/>
      <c r="K690" s="133"/>
      <c r="L690" s="133"/>
      <c r="M690" s="133"/>
      <c r="N690" s="133"/>
      <c r="O690" s="133"/>
      <c r="P690" s="133"/>
      <c r="Q690" s="133"/>
      <c r="R690" s="133"/>
      <c r="S690" s="133"/>
      <c r="T690" s="133"/>
      <c r="U690" s="133"/>
      <c r="V690" s="133"/>
      <c r="W690" s="133"/>
      <c r="X690" s="160"/>
      <c r="Y690" s="133"/>
      <c r="Z690" s="133"/>
      <c r="AA690" s="133"/>
      <c r="AB690" s="133"/>
      <c r="AC690" s="133"/>
      <c r="AD690" s="133"/>
      <c r="AE690" s="133"/>
      <c r="AF690" s="133"/>
      <c r="AG690" s="133"/>
      <c r="AH690" s="133"/>
      <c r="AI690" s="133"/>
      <c r="AJ690" s="133"/>
      <c r="AK690" s="133"/>
      <c r="AL690" s="132"/>
      <c r="AM690" s="132"/>
      <c r="AN690" s="104"/>
      <c r="AO690" s="104"/>
      <c r="AP690" s="104"/>
    </row>
    <row r="691">
      <c r="A691" s="132"/>
      <c r="B691" s="132"/>
      <c r="C691" s="132"/>
      <c r="D691" s="132"/>
      <c r="E691" s="133"/>
      <c r="F691" s="133"/>
      <c r="G691" s="133"/>
      <c r="H691" s="133"/>
      <c r="I691" s="133"/>
      <c r="J691" s="133"/>
      <c r="K691" s="133"/>
      <c r="L691" s="133"/>
      <c r="M691" s="133"/>
      <c r="N691" s="133"/>
      <c r="O691" s="133"/>
      <c r="P691" s="133"/>
      <c r="Q691" s="133"/>
      <c r="R691" s="133"/>
      <c r="S691" s="133"/>
      <c r="T691" s="133"/>
      <c r="U691" s="133"/>
      <c r="V691" s="133"/>
      <c r="W691" s="133"/>
      <c r="X691" s="160"/>
      <c r="Y691" s="133"/>
      <c r="Z691" s="133"/>
      <c r="AA691" s="133"/>
      <c r="AB691" s="133"/>
      <c r="AC691" s="133"/>
      <c r="AD691" s="133"/>
      <c r="AE691" s="133"/>
      <c r="AF691" s="133"/>
      <c r="AG691" s="133"/>
      <c r="AH691" s="133"/>
      <c r="AI691" s="133"/>
      <c r="AJ691" s="133"/>
      <c r="AK691" s="133"/>
      <c r="AL691" s="132"/>
      <c r="AM691" s="132"/>
      <c r="AN691" s="104"/>
      <c r="AO691" s="104"/>
      <c r="AP691" s="104"/>
    </row>
    <row r="692">
      <c r="A692" s="132"/>
      <c r="B692" s="132"/>
      <c r="C692" s="132"/>
      <c r="D692" s="132"/>
      <c r="E692" s="133"/>
      <c r="F692" s="133"/>
      <c r="G692" s="133"/>
      <c r="H692" s="133"/>
      <c r="I692" s="133"/>
      <c r="J692" s="133"/>
      <c r="K692" s="133"/>
      <c r="L692" s="133"/>
      <c r="M692" s="133"/>
      <c r="N692" s="133"/>
      <c r="O692" s="133"/>
      <c r="P692" s="133"/>
      <c r="Q692" s="133"/>
      <c r="R692" s="133"/>
      <c r="S692" s="133"/>
      <c r="T692" s="133"/>
      <c r="U692" s="133"/>
      <c r="V692" s="133"/>
      <c r="W692" s="133"/>
      <c r="X692" s="160"/>
      <c r="Y692" s="133"/>
      <c r="Z692" s="133"/>
      <c r="AA692" s="133"/>
      <c r="AB692" s="133"/>
      <c r="AC692" s="133"/>
      <c r="AD692" s="133"/>
      <c r="AE692" s="133"/>
      <c r="AF692" s="133"/>
      <c r="AG692" s="133"/>
      <c r="AH692" s="133"/>
      <c r="AI692" s="133"/>
      <c r="AJ692" s="133"/>
      <c r="AK692" s="133"/>
      <c r="AL692" s="132"/>
      <c r="AM692" s="132"/>
      <c r="AN692" s="104"/>
      <c r="AO692" s="104"/>
      <c r="AP692" s="104"/>
    </row>
    <row r="693">
      <c r="A693" s="132"/>
      <c r="B693" s="132"/>
      <c r="C693" s="132"/>
      <c r="D693" s="132"/>
      <c r="E693" s="133"/>
      <c r="F693" s="133"/>
      <c r="G693" s="133"/>
      <c r="H693" s="133"/>
      <c r="I693" s="133"/>
      <c r="J693" s="133"/>
      <c r="K693" s="133"/>
      <c r="L693" s="133"/>
      <c r="M693" s="133"/>
      <c r="N693" s="133"/>
      <c r="O693" s="133"/>
      <c r="P693" s="133"/>
      <c r="Q693" s="133"/>
      <c r="R693" s="133"/>
      <c r="S693" s="133"/>
      <c r="T693" s="133"/>
      <c r="U693" s="133"/>
      <c r="V693" s="133"/>
      <c r="W693" s="133"/>
      <c r="X693" s="160"/>
      <c r="Y693" s="133"/>
      <c r="Z693" s="133"/>
      <c r="AA693" s="133"/>
      <c r="AB693" s="133"/>
      <c r="AC693" s="133"/>
      <c r="AD693" s="133"/>
      <c r="AE693" s="133"/>
      <c r="AF693" s="133"/>
      <c r="AG693" s="133"/>
      <c r="AH693" s="133"/>
      <c r="AI693" s="133"/>
      <c r="AJ693" s="133"/>
      <c r="AK693" s="133"/>
      <c r="AL693" s="132"/>
      <c r="AM693" s="132"/>
      <c r="AN693" s="104"/>
      <c r="AO693" s="104"/>
      <c r="AP693" s="104"/>
    </row>
    <row r="694">
      <c r="A694" s="132"/>
      <c r="B694" s="132"/>
      <c r="C694" s="132"/>
      <c r="D694" s="132"/>
      <c r="E694" s="133"/>
      <c r="F694" s="133"/>
      <c r="G694" s="133"/>
      <c r="H694" s="133"/>
      <c r="I694" s="133"/>
      <c r="J694" s="133"/>
      <c r="K694" s="133"/>
      <c r="L694" s="133"/>
      <c r="M694" s="133"/>
      <c r="N694" s="133"/>
      <c r="O694" s="133"/>
      <c r="P694" s="133"/>
      <c r="Q694" s="133"/>
      <c r="R694" s="133"/>
      <c r="S694" s="133"/>
      <c r="T694" s="133"/>
      <c r="U694" s="133"/>
      <c r="V694" s="133"/>
      <c r="W694" s="133"/>
      <c r="X694" s="160"/>
      <c r="Y694" s="133"/>
      <c r="Z694" s="133"/>
      <c r="AA694" s="133"/>
      <c r="AB694" s="133"/>
      <c r="AC694" s="133"/>
      <c r="AD694" s="133"/>
      <c r="AE694" s="133"/>
      <c r="AF694" s="133"/>
      <c r="AG694" s="133"/>
      <c r="AH694" s="133"/>
      <c r="AI694" s="133"/>
      <c r="AJ694" s="133"/>
      <c r="AK694" s="133"/>
      <c r="AL694" s="132"/>
      <c r="AM694" s="132"/>
      <c r="AN694" s="104"/>
      <c r="AO694" s="104"/>
      <c r="AP694" s="104"/>
    </row>
    <row r="695">
      <c r="A695" s="132"/>
      <c r="B695" s="132"/>
      <c r="C695" s="132"/>
      <c r="D695" s="132"/>
      <c r="E695" s="133"/>
      <c r="F695" s="133"/>
      <c r="G695" s="133"/>
      <c r="H695" s="133"/>
      <c r="I695" s="133"/>
      <c r="J695" s="133"/>
      <c r="K695" s="133"/>
      <c r="L695" s="133"/>
      <c r="M695" s="133"/>
      <c r="N695" s="133"/>
      <c r="O695" s="133"/>
      <c r="P695" s="133"/>
      <c r="Q695" s="133"/>
      <c r="R695" s="133"/>
      <c r="S695" s="133"/>
      <c r="T695" s="133"/>
      <c r="U695" s="133"/>
      <c r="V695" s="133"/>
      <c r="W695" s="133"/>
      <c r="X695" s="160"/>
      <c r="Y695" s="133"/>
      <c r="Z695" s="133"/>
      <c r="AA695" s="133"/>
      <c r="AB695" s="133"/>
      <c r="AC695" s="133"/>
      <c r="AD695" s="133"/>
      <c r="AE695" s="133"/>
      <c r="AF695" s="133"/>
      <c r="AG695" s="133"/>
      <c r="AH695" s="133"/>
      <c r="AI695" s="133"/>
      <c r="AJ695" s="133"/>
      <c r="AK695" s="133"/>
      <c r="AL695" s="132"/>
      <c r="AM695" s="132"/>
      <c r="AN695" s="104"/>
      <c r="AO695" s="104"/>
      <c r="AP695" s="104"/>
    </row>
    <row r="696">
      <c r="A696" s="132"/>
      <c r="B696" s="132"/>
      <c r="C696" s="132"/>
      <c r="D696" s="132"/>
      <c r="E696" s="133"/>
      <c r="F696" s="133"/>
      <c r="G696" s="133"/>
      <c r="H696" s="133"/>
      <c r="I696" s="133"/>
      <c r="J696" s="133"/>
      <c r="K696" s="133"/>
      <c r="L696" s="133"/>
      <c r="M696" s="133"/>
      <c r="N696" s="133"/>
      <c r="O696" s="133"/>
      <c r="P696" s="133"/>
      <c r="Q696" s="133"/>
      <c r="R696" s="133"/>
      <c r="S696" s="133"/>
      <c r="T696" s="133"/>
      <c r="U696" s="133"/>
      <c r="V696" s="133"/>
      <c r="W696" s="133"/>
      <c r="X696" s="160"/>
      <c r="Y696" s="133"/>
      <c r="Z696" s="133"/>
      <c r="AA696" s="133"/>
      <c r="AB696" s="133"/>
      <c r="AC696" s="133"/>
      <c r="AD696" s="133"/>
      <c r="AE696" s="133"/>
      <c r="AF696" s="133"/>
      <c r="AG696" s="133"/>
      <c r="AH696" s="133"/>
      <c r="AI696" s="133"/>
      <c r="AJ696" s="133"/>
      <c r="AK696" s="133"/>
      <c r="AL696" s="132"/>
      <c r="AM696" s="132"/>
      <c r="AN696" s="104"/>
      <c r="AO696" s="104"/>
      <c r="AP696" s="104"/>
    </row>
    <row r="697">
      <c r="A697" s="132"/>
      <c r="B697" s="132"/>
      <c r="C697" s="132"/>
      <c r="D697" s="132"/>
      <c r="E697" s="133"/>
      <c r="F697" s="133"/>
      <c r="G697" s="133"/>
      <c r="H697" s="133"/>
      <c r="I697" s="133"/>
      <c r="J697" s="133"/>
      <c r="K697" s="133"/>
      <c r="L697" s="133"/>
      <c r="M697" s="133"/>
      <c r="N697" s="133"/>
      <c r="O697" s="133"/>
      <c r="P697" s="133"/>
      <c r="Q697" s="133"/>
      <c r="R697" s="133"/>
      <c r="S697" s="133"/>
      <c r="T697" s="133"/>
      <c r="U697" s="133"/>
      <c r="V697" s="133"/>
      <c r="W697" s="133"/>
      <c r="X697" s="160"/>
      <c r="Y697" s="133"/>
      <c r="Z697" s="133"/>
      <c r="AA697" s="133"/>
      <c r="AB697" s="133"/>
      <c r="AC697" s="133"/>
      <c r="AD697" s="133"/>
      <c r="AE697" s="133"/>
      <c r="AF697" s="133"/>
      <c r="AG697" s="133"/>
      <c r="AH697" s="133"/>
      <c r="AI697" s="133"/>
      <c r="AJ697" s="133"/>
      <c r="AK697" s="133"/>
      <c r="AL697" s="132"/>
      <c r="AM697" s="132"/>
      <c r="AN697" s="104"/>
      <c r="AO697" s="104"/>
      <c r="AP697" s="104"/>
    </row>
    <row r="698">
      <c r="A698" s="132"/>
      <c r="B698" s="132"/>
      <c r="C698" s="132"/>
      <c r="D698" s="132"/>
      <c r="E698" s="133"/>
      <c r="F698" s="133"/>
      <c r="G698" s="133"/>
      <c r="H698" s="133"/>
      <c r="I698" s="133"/>
      <c r="J698" s="133"/>
      <c r="K698" s="133"/>
      <c r="L698" s="133"/>
      <c r="M698" s="133"/>
      <c r="N698" s="133"/>
      <c r="O698" s="133"/>
      <c r="P698" s="133"/>
      <c r="Q698" s="133"/>
      <c r="R698" s="133"/>
      <c r="S698" s="133"/>
      <c r="T698" s="133"/>
      <c r="U698" s="133"/>
      <c r="V698" s="133"/>
      <c r="W698" s="133"/>
      <c r="X698" s="160"/>
      <c r="Y698" s="133"/>
      <c r="Z698" s="133"/>
      <c r="AA698" s="133"/>
      <c r="AB698" s="133"/>
      <c r="AC698" s="133"/>
      <c r="AD698" s="133"/>
      <c r="AE698" s="133"/>
      <c r="AF698" s="133"/>
      <c r="AG698" s="133"/>
      <c r="AH698" s="133"/>
      <c r="AI698" s="133"/>
      <c r="AJ698" s="133"/>
      <c r="AK698" s="133"/>
      <c r="AL698" s="132"/>
      <c r="AM698" s="132"/>
      <c r="AN698" s="104"/>
      <c r="AO698" s="104"/>
      <c r="AP698" s="104"/>
    </row>
    <row r="699">
      <c r="A699" s="132"/>
      <c r="B699" s="132"/>
      <c r="C699" s="132"/>
      <c r="D699" s="132"/>
      <c r="E699" s="133"/>
      <c r="F699" s="133"/>
      <c r="G699" s="133"/>
      <c r="H699" s="133"/>
      <c r="I699" s="133"/>
      <c r="J699" s="133"/>
      <c r="K699" s="133"/>
      <c r="L699" s="133"/>
      <c r="M699" s="133"/>
      <c r="N699" s="133"/>
      <c r="O699" s="133"/>
      <c r="P699" s="133"/>
      <c r="Q699" s="133"/>
      <c r="R699" s="133"/>
      <c r="S699" s="133"/>
      <c r="T699" s="133"/>
      <c r="U699" s="133"/>
      <c r="V699" s="133"/>
      <c r="W699" s="133"/>
      <c r="X699" s="160"/>
      <c r="Y699" s="133"/>
      <c r="Z699" s="133"/>
      <c r="AA699" s="133"/>
      <c r="AB699" s="133"/>
      <c r="AC699" s="133"/>
      <c r="AD699" s="133"/>
      <c r="AE699" s="133"/>
      <c r="AF699" s="133"/>
      <c r="AG699" s="133"/>
      <c r="AH699" s="133"/>
      <c r="AI699" s="133"/>
      <c r="AJ699" s="133"/>
      <c r="AK699" s="133"/>
      <c r="AL699" s="132"/>
      <c r="AM699" s="132"/>
      <c r="AN699" s="104"/>
      <c r="AO699" s="104"/>
      <c r="AP699" s="104"/>
    </row>
    <row r="700">
      <c r="A700" s="132"/>
      <c r="B700" s="132"/>
      <c r="C700" s="132"/>
      <c r="D700" s="132"/>
      <c r="E700" s="133"/>
      <c r="F700" s="133"/>
      <c r="G700" s="133"/>
      <c r="H700" s="133"/>
      <c r="I700" s="133"/>
      <c r="J700" s="133"/>
      <c r="K700" s="133"/>
      <c r="L700" s="133"/>
      <c r="M700" s="133"/>
      <c r="N700" s="133"/>
      <c r="O700" s="133"/>
      <c r="P700" s="133"/>
      <c r="Q700" s="133"/>
      <c r="R700" s="133"/>
      <c r="S700" s="133"/>
      <c r="T700" s="133"/>
      <c r="U700" s="133"/>
      <c r="V700" s="133"/>
      <c r="W700" s="133"/>
      <c r="X700" s="160"/>
      <c r="Y700" s="133"/>
      <c r="Z700" s="133"/>
      <c r="AA700" s="133"/>
      <c r="AB700" s="133"/>
      <c r="AC700" s="133"/>
      <c r="AD700" s="133"/>
      <c r="AE700" s="133"/>
      <c r="AF700" s="133"/>
      <c r="AG700" s="133"/>
      <c r="AH700" s="133"/>
      <c r="AI700" s="133"/>
      <c r="AJ700" s="133"/>
      <c r="AK700" s="133"/>
      <c r="AL700" s="132"/>
      <c r="AM700" s="132"/>
      <c r="AN700" s="104"/>
      <c r="AO700" s="104"/>
      <c r="AP700" s="104"/>
    </row>
    <row r="701">
      <c r="A701" s="132"/>
      <c r="B701" s="132"/>
      <c r="C701" s="132"/>
      <c r="D701" s="132"/>
      <c r="E701" s="133"/>
      <c r="F701" s="133"/>
      <c r="G701" s="133"/>
      <c r="H701" s="133"/>
      <c r="I701" s="133"/>
      <c r="J701" s="133"/>
      <c r="K701" s="133"/>
      <c r="L701" s="133"/>
      <c r="M701" s="133"/>
      <c r="N701" s="133"/>
      <c r="O701" s="133"/>
      <c r="P701" s="133"/>
      <c r="Q701" s="133"/>
      <c r="R701" s="133"/>
      <c r="S701" s="133"/>
      <c r="T701" s="133"/>
      <c r="U701" s="133"/>
      <c r="V701" s="133"/>
      <c r="W701" s="133"/>
      <c r="X701" s="160"/>
      <c r="Y701" s="133"/>
      <c r="Z701" s="133"/>
      <c r="AA701" s="133"/>
      <c r="AB701" s="133"/>
      <c r="AC701" s="133"/>
      <c r="AD701" s="133"/>
      <c r="AE701" s="133"/>
      <c r="AF701" s="133"/>
      <c r="AG701" s="133"/>
      <c r="AH701" s="133"/>
      <c r="AI701" s="133"/>
      <c r="AJ701" s="133"/>
      <c r="AK701" s="133"/>
      <c r="AL701" s="132"/>
      <c r="AM701" s="132"/>
      <c r="AN701" s="104"/>
      <c r="AO701" s="104"/>
      <c r="AP701" s="104"/>
    </row>
    <row r="702">
      <c r="A702" s="132"/>
      <c r="B702" s="132"/>
      <c r="C702" s="132"/>
      <c r="D702" s="132"/>
      <c r="E702" s="133"/>
      <c r="F702" s="133"/>
      <c r="G702" s="133"/>
      <c r="H702" s="133"/>
      <c r="I702" s="133"/>
      <c r="J702" s="133"/>
      <c r="K702" s="133"/>
      <c r="L702" s="133"/>
      <c r="M702" s="133"/>
      <c r="N702" s="133"/>
      <c r="O702" s="133"/>
      <c r="P702" s="133"/>
      <c r="Q702" s="133"/>
      <c r="R702" s="133"/>
      <c r="S702" s="133"/>
      <c r="T702" s="133"/>
      <c r="U702" s="133"/>
      <c r="V702" s="133"/>
      <c r="W702" s="133"/>
      <c r="X702" s="160"/>
      <c r="Y702" s="133"/>
      <c r="Z702" s="133"/>
      <c r="AA702" s="133"/>
      <c r="AB702" s="133"/>
      <c r="AC702" s="133"/>
      <c r="AD702" s="133"/>
      <c r="AE702" s="133"/>
      <c r="AF702" s="133"/>
      <c r="AG702" s="133"/>
      <c r="AH702" s="133"/>
      <c r="AI702" s="133"/>
      <c r="AJ702" s="133"/>
      <c r="AK702" s="133"/>
      <c r="AL702" s="132"/>
      <c r="AM702" s="132"/>
      <c r="AN702" s="104"/>
      <c r="AO702" s="104"/>
      <c r="AP702" s="104"/>
    </row>
    <row r="703">
      <c r="A703" s="132"/>
      <c r="B703" s="132"/>
      <c r="C703" s="132"/>
      <c r="D703" s="132"/>
      <c r="E703" s="133"/>
      <c r="F703" s="133"/>
      <c r="G703" s="133"/>
      <c r="H703" s="133"/>
      <c r="I703" s="133"/>
      <c r="J703" s="133"/>
      <c r="K703" s="133"/>
      <c r="L703" s="133"/>
      <c r="M703" s="133"/>
      <c r="N703" s="133"/>
      <c r="O703" s="133"/>
      <c r="P703" s="133"/>
      <c r="Q703" s="133"/>
      <c r="R703" s="133"/>
      <c r="S703" s="133"/>
      <c r="T703" s="133"/>
      <c r="U703" s="133"/>
      <c r="V703" s="133"/>
      <c r="W703" s="133"/>
      <c r="X703" s="160"/>
      <c r="Y703" s="133"/>
      <c r="Z703" s="133"/>
      <c r="AA703" s="133"/>
      <c r="AB703" s="133"/>
      <c r="AC703" s="133"/>
      <c r="AD703" s="133"/>
      <c r="AE703" s="133"/>
      <c r="AF703" s="133"/>
      <c r="AG703" s="133"/>
      <c r="AH703" s="133"/>
      <c r="AI703" s="133"/>
      <c r="AJ703" s="133"/>
      <c r="AK703" s="133"/>
      <c r="AL703" s="132"/>
      <c r="AM703" s="132"/>
      <c r="AN703" s="104"/>
      <c r="AO703" s="104"/>
      <c r="AP703" s="104"/>
    </row>
    <row r="704">
      <c r="A704" s="132"/>
      <c r="B704" s="132"/>
      <c r="C704" s="132"/>
      <c r="D704" s="132"/>
      <c r="E704" s="133"/>
      <c r="F704" s="133"/>
      <c r="G704" s="133"/>
      <c r="H704" s="133"/>
      <c r="I704" s="133"/>
      <c r="J704" s="133"/>
      <c r="K704" s="133"/>
      <c r="L704" s="133"/>
      <c r="M704" s="133"/>
      <c r="N704" s="133"/>
      <c r="O704" s="133"/>
      <c r="P704" s="133"/>
      <c r="Q704" s="133"/>
      <c r="R704" s="133"/>
      <c r="S704" s="133"/>
      <c r="T704" s="133"/>
      <c r="U704" s="133"/>
      <c r="V704" s="133"/>
      <c r="W704" s="133"/>
      <c r="X704" s="160"/>
      <c r="Y704" s="133"/>
      <c r="Z704" s="133"/>
      <c r="AA704" s="133"/>
      <c r="AB704" s="133"/>
      <c r="AC704" s="133"/>
      <c r="AD704" s="133"/>
      <c r="AE704" s="133"/>
      <c r="AF704" s="133"/>
      <c r="AG704" s="133"/>
      <c r="AH704" s="133"/>
      <c r="AI704" s="133"/>
      <c r="AJ704" s="133"/>
      <c r="AK704" s="133"/>
      <c r="AL704" s="132"/>
      <c r="AM704" s="132"/>
      <c r="AN704" s="104"/>
      <c r="AO704" s="104"/>
      <c r="AP704" s="104"/>
    </row>
    <row r="705">
      <c r="A705" s="132"/>
      <c r="B705" s="132"/>
      <c r="C705" s="132"/>
      <c r="D705" s="132"/>
      <c r="E705" s="133"/>
      <c r="F705" s="133"/>
      <c r="G705" s="133"/>
      <c r="H705" s="133"/>
      <c r="I705" s="133"/>
      <c r="J705" s="133"/>
      <c r="K705" s="133"/>
      <c r="L705" s="133"/>
      <c r="M705" s="133"/>
      <c r="N705" s="133"/>
      <c r="O705" s="133"/>
      <c r="P705" s="133"/>
      <c r="Q705" s="133"/>
      <c r="R705" s="133"/>
      <c r="S705" s="133"/>
      <c r="T705" s="133"/>
      <c r="U705" s="133"/>
      <c r="V705" s="133"/>
      <c r="W705" s="133"/>
      <c r="X705" s="160"/>
      <c r="Y705" s="133"/>
      <c r="Z705" s="133"/>
      <c r="AA705" s="133"/>
      <c r="AB705" s="133"/>
      <c r="AC705" s="133"/>
      <c r="AD705" s="133"/>
      <c r="AE705" s="133"/>
      <c r="AF705" s="133"/>
      <c r="AG705" s="133"/>
      <c r="AH705" s="133"/>
      <c r="AI705" s="133"/>
      <c r="AJ705" s="133"/>
      <c r="AK705" s="133"/>
      <c r="AL705" s="132"/>
      <c r="AM705" s="132"/>
      <c r="AN705" s="104"/>
      <c r="AO705" s="104"/>
      <c r="AP705" s="104"/>
    </row>
    <row r="706">
      <c r="A706" s="132"/>
      <c r="B706" s="132"/>
      <c r="C706" s="132"/>
      <c r="D706" s="132"/>
      <c r="E706" s="133"/>
      <c r="F706" s="133"/>
      <c r="G706" s="133"/>
      <c r="H706" s="133"/>
      <c r="I706" s="133"/>
      <c r="J706" s="133"/>
      <c r="K706" s="133"/>
      <c r="L706" s="133"/>
      <c r="M706" s="133"/>
      <c r="N706" s="133"/>
      <c r="O706" s="133"/>
      <c r="P706" s="133"/>
      <c r="Q706" s="133"/>
      <c r="R706" s="133"/>
      <c r="S706" s="133"/>
      <c r="T706" s="133"/>
      <c r="U706" s="133"/>
      <c r="V706" s="133"/>
      <c r="W706" s="133"/>
      <c r="X706" s="160"/>
      <c r="Y706" s="133"/>
      <c r="Z706" s="133"/>
      <c r="AA706" s="133"/>
      <c r="AB706" s="133"/>
      <c r="AC706" s="133"/>
      <c r="AD706" s="133"/>
      <c r="AE706" s="133"/>
      <c r="AF706" s="133"/>
      <c r="AG706" s="133"/>
      <c r="AH706" s="133"/>
      <c r="AI706" s="133"/>
      <c r="AJ706" s="133"/>
      <c r="AK706" s="133"/>
      <c r="AL706" s="132"/>
      <c r="AM706" s="132"/>
      <c r="AN706" s="104"/>
      <c r="AO706" s="104"/>
      <c r="AP706" s="104"/>
    </row>
    <row r="707">
      <c r="A707" s="132"/>
      <c r="B707" s="132"/>
      <c r="C707" s="132"/>
      <c r="D707" s="132"/>
      <c r="E707" s="133"/>
      <c r="F707" s="133"/>
      <c r="G707" s="133"/>
      <c r="H707" s="133"/>
      <c r="I707" s="133"/>
      <c r="J707" s="133"/>
      <c r="K707" s="133"/>
      <c r="L707" s="133"/>
      <c r="M707" s="133"/>
      <c r="N707" s="133"/>
      <c r="O707" s="133"/>
      <c r="P707" s="133"/>
      <c r="Q707" s="133"/>
      <c r="R707" s="133"/>
      <c r="S707" s="133"/>
      <c r="T707" s="133"/>
      <c r="U707" s="133"/>
      <c r="V707" s="133"/>
      <c r="W707" s="133"/>
      <c r="X707" s="160"/>
      <c r="Y707" s="133"/>
      <c r="Z707" s="133"/>
      <c r="AA707" s="133"/>
      <c r="AB707" s="133"/>
      <c r="AC707" s="133"/>
      <c r="AD707" s="133"/>
      <c r="AE707" s="133"/>
      <c r="AF707" s="133"/>
      <c r="AG707" s="133"/>
      <c r="AH707" s="133"/>
      <c r="AI707" s="133"/>
      <c r="AJ707" s="133"/>
      <c r="AK707" s="133"/>
      <c r="AL707" s="132"/>
      <c r="AM707" s="132"/>
      <c r="AN707" s="104"/>
      <c r="AO707" s="104"/>
      <c r="AP707" s="104"/>
    </row>
    <row r="708">
      <c r="A708" s="132"/>
      <c r="B708" s="132"/>
      <c r="C708" s="132"/>
      <c r="D708" s="132"/>
      <c r="E708" s="133"/>
      <c r="F708" s="133"/>
      <c r="G708" s="133"/>
      <c r="H708" s="133"/>
      <c r="I708" s="133"/>
      <c r="J708" s="133"/>
      <c r="K708" s="133"/>
      <c r="L708" s="133"/>
      <c r="M708" s="133"/>
      <c r="N708" s="133"/>
      <c r="O708" s="133"/>
      <c r="P708" s="133"/>
      <c r="Q708" s="133"/>
      <c r="R708" s="133"/>
      <c r="S708" s="133"/>
      <c r="T708" s="133"/>
      <c r="U708" s="133"/>
      <c r="V708" s="133"/>
      <c r="W708" s="133"/>
      <c r="X708" s="160"/>
      <c r="Y708" s="133"/>
      <c r="Z708" s="133"/>
      <c r="AA708" s="133"/>
      <c r="AB708" s="133"/>
      <c r="AC708" s="133"/>
      <c r="AD708" s="133"/>
      <c r="AE708" s="133"/>
      <c r="AF708" s="133"/>
      <c r="AG708" s="133"/>
      <c r="AH708" s="133"/>
      <c r="AI708" s="133"/>
      <c r="AJ708" s="133"/>
      <c r="AK708" s="133"/>
      <c r="AL708" s="132"/>
      <c r="AM708" s="132"/>
      <c r="AN708" s="104"/>
      <c r="AO708" s="104"/>
      <c r="AP708" s="104"/>
    </row>
    <row r="709">
      <c r="A709" s="132"/>
      <c r="B709" s="132"/>
      <c r="C709" s="132"/>
      <c r="D709" s="132"/>
      <c r="E709" s="133"/>
      <c r="F709" s="133"/>
      <c r="G709" s="133"/>
      <c r="H709" s="133"/>
      <c r="I709" s="133"/>
      <c r="J709" s="133"/>
      <c r="K709" s="133"/>
      <c r="L709" s="133"/>
      <c r="M709" s="133"/>
      <c r="N709" s="133"/>
      <c r="O709" s="133"/>
      <c r="P709" s="133"/>
      <c r="Q709" s="133"/>
      <c r="R709" s="133"/>
      <c r="S709" s="133"/>
      <c r="T709" s="133"/>
      <c r="U709" s="133"/>
      <c r="V709" s="133"/>
      <c r="W709" s="133"/>
      <c r="X709" s="160"/>
      <c r="Y709" s="133"/>
      <c r="Z709" s="133"/>
      <c r="AA709" s="133"/>
      <c r="AB709" s="133"/>
      <c r="AC709" s="133"/>
      <c r="AD709" s="133"/>
      <c r="AE709" s="133"/>
      <c r="AF709" s="133"/>
      <c r="AG709" s="133"/>
      <c r="AH709" s="133"/>
      <c r="AI709" s="133"/>
      <c r="AJ709" s="133"/>
      <c r="AK709" s="133"/>
      <c r="AL709" s="132"/>
      <c r="AM709" s="132"/>
      <c r="AN709" s="104"/>
      <c r="AO709" s="104"/>
      <c r="AP709" s="104"/>
    </row>
    <row r="710">
      <c r="A710" s="132"/>
      <c r="B710" s="132"/>
      <c r="C710" s="132"/>
      <c r="D710" s="132"/>
      <c r="E710" s="133"/>
      <c r="F710" s="133"/>
      <c r="G710" s="133"/>
      <c r="H710" s="133"/>
      <c r="I710" s="133"/>
      <c r="J710" s="133"/>
      <c r="K710" s="133"/>
      <c r="L710" s="133"/>
      <c r="M710" s="133"/>
      <c r="N710" s="133"/>
      <c r="O710" s="133"/>
      <c r="P710" s="133"/>
      <c r="Q710" s="133"/>
      <c r="R710" s="133"/>
      <c r="S710" s="133"/>
      <c r="T710" s="133"/>
      <c r="U710" s="133"/>
      <c r="V710" s="133"/>
      <c r="W710" s="133"/>
      <c r="X710" s="160"/>
      <c r="Y710" s="133"/>
      <c r="Z710" s="133"/>
      <c r="AA710" s="133"/>
      <c r="AB710" s="133"/>
      <c r="AC710" s="133"/>
      <c r="AD710" s="133"/>
      <c r="AE710" s="133"/>
      <c r="AF710" s="133"/>
      <c r="AG710" s="133"/>
      <c r="AH710" s="133"/>
      <c r="AI710" s="133"/>
      <c r="AJ710" s="133"/>
      <c r="AK710" s="133"/>
      <c r="AL710" s="132"/>
      <c r="AM710" s="132"/>
      <c r="AN710" s="104"/>
      <c r="AO710" s="104"/>
      <c r="AP710" s="104"/>
    </row>
    <row r="711">
      <c r="A711" s="132"/>
      <c r="B711" s="132"/>
      <c r="C711" s="132"/>
      <c r="D711" s="132"/>
      <c r="E711" s="133"/>
      <c r="F711" s="133"/>
      <c r="G711" s="133"/>
      <c r="H711" s="133"/>
      <c r="I711" s="133"/>
      <c r="J711" s="133"/>
      <c r="K711" s="133"/>
      <c r="L711" s="133"/>
      <c r="M711" s="133"/>
      <c r="N711" s="133"/>
      <c r="O711" s="133"/>
      <c r="P711" s="133"/>
      <c r="Q711" s="133"/>
      <c r="R711" s="133"/>
      <c r="S711" s="133"/>
      <c r="T711" s="133"/>
      <c r="U711" s="133"/>
      <c r="V711" s="133"/>
      <c r="W711" s="133"/>
      <c r="X711" s="160"/>
      <c r="Y711" s="133"/>
      <c r="Z711" s="133"/>
      <c r="AA711" s="133"/>
      <c r="AB711" s="133"/>
      <c r="AC711" s="133"/>
      <c r="AD711" s="133"/>
      <c r="AE711" s="133"/>
      <c r="AF711" s="133"/>
      <c r="AG711" s="133"/>
      <c r="AH711" s="133"/>
      <c r="AI711" s="133"/>
      <c r="AJ711" s="133"/>
      <c r="AK711" s="133"/>
      <c r="AL711" s="132"/>
      <c r="AM711" s="132"/>
      <c r="AN711" s="104"/>
      <c r="AO711" s="104"/>
      <c r="AP711" s="104"/>
    </row>
    <row r="712">
      <c r="A712" s="132"/>
      <c r="B712" s="132"/>
      <c r="C712" s="132"/>
      <c r="D712" s="132"/>
      <c r="E712" s="133"/>
      <c r="F712" s="133"/>
      <c r="G712" s="133"/>
      <c r="H712" s="133"/>
      <c r="I712" s="133"/>
      <c r="J712" s="133"/>
      <c r="K712" s="133"/>
      <c r="L712" s="133"/>
      <c r="M712" s="133"/>
      <c r="N712" s="133"/>
      <c r="O712" s="133"/>
      <c r="P712" s="133"/>
      <c r="Q712" s="133"/>
      <c r="R712" s="133"/>
      <c r="S712" s="133"/>
      <c r="T712" s="133"/>
      <c r="U712" s="133"/>
      <c r="V712" s="133"/>
      <c r="W712" s="133"/>
      <c r="X712" s="160"/>
      <c r="Y712" s="133"/>
      <c r="Z712" s="133"/>
      <c r="AA712" s="133"/>
      <c r="AB712" s="133"/>
      <c r="AC712" s="133"/>
      <c r="AD712" s="133"/>
      <c r="AE712" s="133"/>
      <c r="AF712" s="133"/>
      <c r="AG712" s="133"/>
      <c r="AH712" s="133"/>
      <c r="AI712" s="133"/>
      <c r="AJ712" s="133"/>
      <c r="AK712" s="133"/>
      <c r="AL712" s="132"/>
      <c r="AM712" s="132"/>
      <c r="AN712" s="104"/>
      <c r="AO712" s="104"/>
      <c r="AP712" s="104"/>
    </row>
    <row r="713">
      <c r="A713" s="132"/>
      <c r="B713" s="132"/>
      <c r="C713" s="132"/>
      <c r="D713" s="132"/>
      <c r="E713" s="133"/>
      <c r="F713" s="133"/>
      <c r="G713" s="133"/>
      <c r="H713" s="133"/>
      <c r="I713" s="133"/>
      <c r="J713" s="133"/>
      <c r="K713" s="133"/>
      <c r="L713" s="133"/>
      <c r="M713" s="133"/>
      <c r="N713" s="133"/>
      <c r="O713" s="133"/>
      <c r="P713" s="133"/>
      <c r="Q713" s="133"/>
      <c r="R713" s="133"/>
      <c r="S713" s="133"/>
      <c r="T713" s="133"/>
      <c r="U713" s="133"/>
      <c r="V713" s="133"/>
      <c r="W713" s="133"/>
      <c r="X713" s="160"/>
      <c r="Y713" s="133"/>
      <c r="Z713" s="133"/>
      <c r="AA713" s="133"/>
      <c r="AB713" s="133"/>
      <c r="AC713" s="133"/>
      <c r="AD713" s="133"/>
      <c r="AE713" s="133"/>
      <c r="AF713" s="133"/>
      <c r="AG713" s="133"/>
      <c r="AH713" s="133"/>
      <c r="AI713" s="133"/>
      <c r="AJ713" s="133"/>
      <c r="AK713" s="133"/>
      <c r="AL713" s="132"/>
      <c r="AM713" s="132"/>
      <c r="AN713" s="104"/>
      <c r="AO713" s="104"/>
      <c r="AP713" s="104"/>
    </row>
    <row r="714">
      <c r="A714" s="132"/>
      <c r="B714" s="132"/>
      <c r="C714" s="132"/>
      <c r="D714" s="132"/>
      <c r="E714" s="133"/>
      <c r="F714" s="133"/>
      <c r="G714" s="133"/>
      <c r="H714" s="133"/>
      <c r="I714" s="133"/>
      <c r="J714" s="133"/>
      <c r="K714" s="133"/>
      <c r="L714" s="133"/>
      <c r="M714" s="133"/>
      <c r="N714" s="133"/>
      <c r="O714" s="133"/>
      <c r="P714" s="133"/>
      <c r="Q714" s="133"/>
      <c r="R714" s="133"/>
      <c r="S714" s="133"/>
      <c r="T714" s="133"/>
      <c r="U714" s="133"/>
      <c r="V714" s="133"/>
      <c r="W714" s="133"/>
      <c r="X714" s="160"/>
      <c r="Y714" s="133"/>
      <c r="Z714" s="133"/>
      <c r="AA714" s="133"/>
      <c r="AB714" s="133"/>
      <c r="AC714" s="133"/>
      <c r="AD714" s="133"/>
      <c r="AE714" s="133"/>
      <c r="AF714" s="133"/>
      <c r="AG714" s="133"/>
      <c r="AH714" s="133"/>
      <c r="AI714" s="133"/>
      <c r="AJ714" s="133"/>
      <c r="AK714" s="133"/>
      <c r="AL714" s="132"/>
      <c r="AM714" s="132"/>
      <c r="AN714" s="104"/>
      <c r="AO714" s="104"/>
      <c r="AP714" s="104"/>
    </row>
    <row r="715">
      <c r="A715" s="132"/>
      <c r="B715" s="132"/>
      <c r="C715" s="132"/>
      <c r="D715" s="132"/>
      <c r="E715" s="133"/>
      <c r="F715" s="133"/>
      <c r="G715" s="133"/>
      <c r="H715" s="133"/>
      <c r="I715" s="133"/>
      <c r="J715" s="133"/>
      <c r="K715" s="133"/>
      <c r="L715" s="133"/>
      <c r="M715" s="133"/>
      <c r="N715" s="133"/>
      <c r="O715" s="133"/>
      <c r="P715" s="133"/>
      <c r="Q715" s="133"/>
      <c r="R715" s="133"/>
      <c r="S715" s="133"/>
      <c r="T715" s="133"/>
      <c r="U715" s="133"/>
      <c r="V715" s="133"/>
      <c r="W715" s="133"/>
      <c r="X715" s="160"/>
      <c r="Y715" s="133"/>
      <c r="Z715" s="133"/>
      <c r="AA715" s="133"/>
      <c r="AB715" s="133"/>
      <c r="AC715" s="133"/>
      <c r="AD715" s="133"/>
      <c r="AE715" s="133"/>
      <c r="AF715" s="133"/>
      <c r="AG715" s="133"/>
      <c r="AH715" s="133"/>
      <c r="AI715" s="133"/>
      <c r="AJ715" s="133"/>
      <c r="AK715" s="133"/>
      <c r="AL715" s="132"/>
      <c r="AM715" s="132"/>
      <c r="AN715" s="104"/>
      <c r="AO715" s="104"/>
      <c r="AP715" s="104"/>
    </row>
    <row r="716">
      <c r="A716" s="132"/>
      <c r="B716" s="132"/>
      <c r="C716" s="132"/>
      <c r="D716" s="132"/>
      <c r="E716" s="133"/>
      <c r="F716" s="133"/>
      <c r="G716" s="133"/>
      <c r="H716" s="133"/>
      <c r="I716" s="133"/>
      <c r="J716" s="133"/>
      <c r="K716" s="133"/>
      <c r="L716" s="133"/>
      <c r="M716" s="133"/>
      <c r="N716" s="133"/>
      <c r="O716" s="133"/>
      <c r="P716" s="133"/>
      <c r="Q716" s="133"/>
      <c r="R716" s="133"/>
      <c r="S716" s="133"/>
      <c r="T716" s="133"/>
      <c r="U716" s="133"/>
      <c r="V716" s="133"/>
      <c r="W716" s="133"/>
      <c r="X716" s="160"/>
      <c r="Y716" s="133"/>
      <c r="Z716" s="133"/>
      <c r="AA716" s="133"/>
      <c r="AB716" s="133"/>
      <c r="AC716" s="133"/>
      <c r="AD716" s="133"/>
      <c r="AE716" s="133"/>
      <c r="AF716" s="133"/>
      <c r="AG716" s="133"/>
      <c r="AH716" s="133"/>
      <c r="AI716" s="133"/>
      <c r="AJ716" s="133"/>
      <c r="AK716" s="133"/>
      <c r="AL716" s="132"/>
      <c r="AM716" s="132"/>
      <c r="AN716" s="104"/>
      <c r="AO716" s="104"/>
      <c r="AP716" s="104"/>
    </row>
    <row r="717">
      <c r="A717" s="132"/>
      <c r="B717" s="132"/>
      <c r="C717" s="132"/>
      <c r="D717" s="132"/>
      <c r="E717" s="133"/>
      <c r="F717" s="133"/>
      <c r="G717" s="133"/>
      <c r="H717" s="133"/>
      <c r="I717" s="133"/>
      <c r="J717" s="133"/>
      <c r="K717" s="133"/>
      <c r="L717" s="133"/>
      <c r="M717" s="133"/>
      <c r="N717" s="133"/>
      <c r="O717" s="133"/>
      <c r="P717" s="133"/>
      <c r="Q717" s="133"/>
      <c r="R717" s="133"/>
      <c r="S717" s="133"/>
      <c r="T717" s="133"/>
      <c r="U717" s="133"/>
      <c r="V717" s="133"/>
      <c r="W717" s="133"/>
      <c r="X717" s="160"/>
      <c r="Y717" s="133"/>
      <c r="Z717" s="133"/>
      <c r="AA717" s="133"/>
      <c r="AB717" s="133"/>
      <c r="AC717" s="133"/>
      <c r="AD717" s="133"/>
      <c r="AE717" s="133"/>
      <c r="AF717" s="133"/>
      <c r="AG717" s="133"/>
      <c r="AH717" s="133"/>
      <c r="AI717" s="133"/>
      <c r="AJ717" s="133"/>
      <c r="AK717" s="133"/>
      <c r="AL717" s="132"/>
      <c r="AM717" s="132"/>
      <c r="AN717" s="104"/>
      <c r="AO717" s="104"/>
      <c r="AP717" s="104"/>
    </row>
    <row r="718">
      <c r="A718" s="132"/>
      <c r="B718" s="132"/>
      <c r="C718" s="132"/>
      <c r="D718" s="132"/>
      <c r="E718" s="133"/>
      <c r="F718" s="133"/>
      <c r="G718" s="133"/>
      <c r="H718" s="133"/>
      <c r="I718" s="133"/>
      <c r="J718" s="133"/>
      <c r="K718" s="133"/>
      <c r="L718" s="133"/>
      <c r="M718" s="133"/>
      <c r="N718" s="133"/>
      <c r="O718" s="133"/>
      <c r="P718" s="133"/>
      <c r="Q718" s="133"/>
      <c r="R718" s="133"/>
      <c r="S718" s="133"/>
      <c r="T718" s="133"/>
      <c r="U718" s="133"/>
      <c r="V718" s="133"/>
      <c r="W718" s="133"/>
      <c r="X718" s="160"/>
      <c r="Y718" s="133"/>
      <c r="Z718" s="133"/>
      <c r="AA718" s="133"/>
      <c r="AB718" s="133"/>
      <c r="AC718" s="133"/>
      <c r="AD718" s="133"/>
      <c r="AE718" s="133"/>
      <c r="AF718" s="133"/>
      <c r="AG718" s="133"/>
      <c r="AH718" s="133"/>
      <c r="AI718" s="133"/>
      <c r="AJ718" s="133"/>
      <c r="AK718" s="133"/>
      <c r="AL718" s="132"/>
      <c r="AM718" s="132"/>
      <c r="AN718" s="104"/>
      <c r="AO718" s="104"/>
      <c r="AP718" s="104"/>
    </row>
    <row r="719">
      <c r="A719" s="132"/>
      <c r="B719" s="132"/>
      <c r="C719" s="132"/>
      <c r="D719" s="132"/>
      <c r="E719" s="133"/>
      <c r="F719" s="133"/>
      <c r="G719" s="133"/>
      <c r="H719" s="133"/>
      <c r="I719" s="133"/>
      <c r="J719" s="133"/>
      <c r="K719" s="133"/>
      <c r="L719" s="133"/>
      <c r="M719" s="133"/>
      <c r="N719" s="133"/>
      <c r="O719" s="133"/>
      <c r="P719" s="133"/>
      <c r="Q719" s="133"/>
      <c r="R719" s="133"/>
      <c r="S719" s="133"/>
      <c r="T719" s="133"/>
      <c r="U719" s="133"/>
      <c r="V719" s="133"/>
      <c r="W719" s="133"/>
      <c r="X719" s="160"/>
      <c r="Y719" s="133"/>
      <c r="Z719" s="133"/>
      <c r="AA719" s="133"/>
      <c r="AB719" s="133"/>
      <c r="AC719" s="133"/>
      <c r="AD719" s="133"/>
      <c r="AE719" s="133"/>
      <c r="AF719" s="133"/>
      <c r="AG719" s="133"/>
      <c r="AH719" s="133"/>
      <c r="AI719" s="133"/>
      <c r="AJ719" s="133"/>
      <c r="AK719" s="133"/>
      <c r="AL719" s="132"/>
      <c r="AM719" s="132"/>
      <c r="AN719" s="104"/>
      <c r="AO719" s="104"/>
      <c r="AP719" s="104"/>
    </row>
    <row r="720">
      <c r="A720" s="132"/>
      <c r="B720" s="132"/>
      <c r="C720" s="132"/>
      <c r="D720" s="132"/>
      <c r="E720" s="133"/>
      <c r="F720" s="133"/>
      <c r="G720" s="133"/>
      <c r="H720" s="133"/>
      <c r="I720" s="133"/>
      <c r="J720" s="133"/>
      <c r="K720" s="133"/>
      <c r="L720" s="133"/>
      <c r="M720" s="133"/>
      <c r="N720" s="133"/>
      <c r="O720" s="133"/>
      <c r="P720" s="133"/>
      <c r="Q720" s="133"/>
      <c r="R720" s="133"/>
      <c r="S720" s="133"/>
      <c r="T720" s="133"/>
      <c r="U720" s="133"/>
      <c r="V720" s="133"/>
      <c r="W720" s="133"/>
      <c r="X720" s="160"/>
      <c r="Y720" s="133"/>
      <c r="Z720" s="133"/>
      <c r="AA720" s="133"/>
      <c r="AB720" s="133"/>
      <c r="AC720" s="133"/>
      <c r="AD720" s="133"/>
      <c r="AE720" s="133"/>
      <c r="AF720" s="133"/>
      <c r="AG720" s="133"/>
      <c r="AH720" s="133"/>
      <c r="AI720" s="133"/>
      <c r="AJ720" s="133"/>
      <c r="AK720" s="133"/>
      <c r="AL720" s="132"/>
      <c r="AM720" s="132"/>
      <c r="AN720" s="104"/>
      <c r="AO720" s="104"/>
      <c r="AP720" s="104"/>
    </row>
    <row r="721">
      <c r="A721" s="132"/>
      <c r="B721" s="132"/>
      <c r="C721" s="132"/>
      <c r="D721" s="132"/>
      <c r="E721" s="133"/>
      <c r="F721" s="133"/>
      <c r="G721" s="133"/>
      <c r="H721" s="133"/>
      <c r="I721" s="133"/>
      <c r="J721" s="133"/>
      <c r="K721" s="133"/>
      <c r="L721" s="133"/>
      <c r="M721" s="133"/>
      <c r="N721" s="133"/>
      <c r="O721" s="133"/>
      <c r="P721" s="133"/>
      <c r="Q721" s="133"/>
      <c r="R721" s="133"/>
      <c r="S721" s="133"/>
      <c r="T721" s="133"/>
      <c r="U721" s="133"/>
      <c r="V721" s="133"/>
      <c r="W721" s="133"/>
      <c r="X721" s="160"/>
      <c r="Y721" s="133"/>
      <c r="Z721" s="133"/>
      <c r="AA721" s="133"/>
      <c r="AB721" s="133"/>
      <c r="AC721" s="133"/>
      <c r="AD721" s="133"/>
      <c r="AE721" s="133"/>
      <c r="AF721" s="133"/>
      <c r="AG721" s="133"/>
      <c r="AH721" s="133"/>
      <c r="AI721" s="133"/>
      <c r="AJ721" s="133"/>
      <c r="AK721" s="133"/>
      <c r="AL721" s="132"/>
      <c r="AM721" s="132"/>
      <c r="AN721" s="104"/>
      <c r="AO721" s="104"/>
      <c r="AP721" s="104"/>
    </row>
    <row r="722">
      <c r="A722" s="132"/>
      <c r="B722" s="132"/>
      <c r="C722" s="132"/>
      <c r="D722" s="132"/>
      <c r="E722" s="133"/>
      <c r="F722" s="133"/>
      <c r="G722" s="133"/>
      <c r="H722" s="133"/>
      <c r="I722" s="133"/>
      <c r="J722" s="133"/>
      <c r="K722" s="133"/>
      <c r="L722" s="133"/>
      <c r="M722" s="133"/>
      <c r="N722" s="133"/>
      <c r="O722" s="133"/>
      <c r="P722" s="133"/>
      <c r="Q722" s="133"/>
      <c r="R722" s="133"/>
      <c r="S722" s="133"/>
      <c r="T722" s="133"/>
      <c r="U722" s="133"/>
      <c r="V722" s="133"/>
      <c r="W722" s="133"/>
      <c r="X722" s="160"/>
      <c r="Y722" s="133"/>
      <c r="Z722" s="133"/>
      <c r="AA722" s="133"/>
      <c r="AB722" s="133"/>
      <c r="AC722" s="133"/>
      <c r="AD722" s="133"/>
      <c r="AE722" s="133"/>
      <c r="AF722" s="133"/>
      <c r="AG722" s="133"/>
      <c r="AH722" s="133"/>
      <c r="AI722" s="133"/>
      <c r="AJ722" s="133"/>
      <c r="AK722" s="133"/>
      <c r="AL722" s="132"/>
      <c r="AM722" s="132"/>
      <c r="AN722" s="104"/>
      <c r="AO722" s="104"/>
      <c r="AP722" s="104"/>
    </row>
    <row r="723">
      <c r="A723" s="132"/>
      <c r="B723" s="132"/>
      <c r="C723" s="132"/>
      <c r="D723" s="132"/>
      <c r="E723" s="133"/>
      <c r="F723" s="133"/>
      <c r="G723" s="133"/>
      <c r="H723" s="133"/>
      <c r="I723" s="133"/>
      <c r="J723" s="133"/>
      <c r="K723" s="133"/>
      <c r="L723" s="133"/>
      <c r="M723" s="133"/>
      <c r="N723" s="133"/>
      <c r="O723" s="133"/>
      <c r="P723" s="133"/>
      <c r="Q723" s="133"/>
      <c r="R723" s="133"/>
      <c r="S723" s="133"/>
      <c r="T723" s="133"/>
      <c r="U723" s="133"/>
      <c r="V723" s="133"/>
      <c r="W723" s="133"/>
      <c r="X723" s="160"/>
      <c r="Y723" s="133"/>
      <c r="Z723" s="133"/>
      <c r="AA723" s="133"/>
      <c r="AB723" s="133"/>
      <c r="AC723" s="133"/>
      <c r="AD723" s="133"/>
      <c r="AE723" s="133"/>
      <c r="AF723" s="133"/>
      <c r="AG723" s="133"/>
      <c r="AH723" s="133"/>
      <c r="AI723" s="133"/>
      <c r="AJ723" s="133"/>
      <c r="AK723" s="133"/>
      <c r="AL723" s="132"/>
      <c r="AM723" s="132"/>
      <c r="AN723" s="104"/>
      <c r="AO723" s="104"/>
      <c r="AP723" s="104"/>
    </row>
    <row r="724">
      <c r="A724" s="132"/>
      <c r="B724" s="132"/>
      <c r="C724" s="132"/>
      <c r="D724" s="132"/>
      <c r="E724" s="133"/>
      <c r="F724" s="133"/>
      <c r="G724" s="133"/>
      <c r="H724" s="133"/>
      <c r="I724" s="133"/>
      <c r="J724" s="133"/>
      <c r="K724" s="133"/>
      <c r="L724" s="133"/>
      <c r="M724" s="133"/>
      <c r="N724" s="133"/>
      <c r="O724" s="133"/>
      <c r="P724" s="133"/>
      <c r="Q724" s="133"/>
      <c r="R724" s="133"/>
      <c r="S724" s="133"/>
      <c r="T724" s="133"/>
      <c r="U724" s="133"/>
      <c r="V724" s="133"/>
      <c r="W724" s="133"/>
      <c r="X724" s="160"/>
      <c r="Y724" s="133"/>
      <c r="Z724" s="133"/>
      <c r="AA724" s="133"/>
      <c r="AB724" s="133"/>
      <c r="AC724" s="133"/>
      <c r="AD724" s="133"/>
      <c r="AE724" s="133"/>
      <c r="AF724" s="133"/>
      <c r="AG724" s="133"/>
      <c r="AH724" s="133"/>
      <c r="AI724" s="133"/>
      <c r="AJ724" s="133"/>
      <c r="AK724" s="133"/>
      <c r="AL724" s="132"/>
      <c r="AM724" s="132"/>
      <c r="AN724" s="104"/>
      <c r="AO724" s="104"/>
      <c r="AP724" s="104"/>
    </row>
    <row r="725">
      <c r="A725" s="132"/>
      <c r="B725" s="132"/>
      <c r="C725" s="132"/>
      <c r="D725" s="132"/>
      <c r="E725" s="133"/>
      <c r="F725" s="133"/>
      <c r="G725" s="133"/>
      <c r="H725" s="133"/>
      <c r="I725" s="133"/>
      <c r="J725" s="133"/>
      <c r="K725" s="133"/>
      <c r="L725" s="133"/>
      <c r="M725" s="133"/>
      <c r="N725" s="133"/>
      <c r="O725" s="133"/>
      <c r="P725" s="133"/>
      <c r="Q725" s="133"/>
      <c r="R725" s="133"/>
      <c r="S725" s="133"/>
      <c r="T725" s="133"/>
      <c r="U725" s="133"/>
      <c r="V725" s="133"/>
      <c r="W725" s="133"/>
      <c r="X725" s="160"/>
      <c r="Y725" s="133"/>
      <c r="Z725" s="133"/>
      <c r="AA725" s="133"/>
      <c r="AB725" s="133"/>
      <c r="AC725" s="133"/>
      <c r="AD725" s="133"/>
      <c r="AE725" s="133"/>
      <c r="AF725" s="133"/>
      <c r="AG725" s="133"/>
      <c r="AH725" s="133"/>
      <c r="AI725" s="133"/>
      <c r="AJ725" s="133"/>
      <c r="AK725" s="133"/>
      <c r="AL725" s="132"/>
      <c r="AM725" s="132"/>
      <c r="AN725" s="104"/>
      <c r="AO725" s="104"/>
      <c r="AP725" s="104"/>
    </row>
    <row r="726">
      <c r="A726" s="132"/>
      <c r="B726" s="132"/>
      <c r="C726" s="132"/>
      <c r="D726" s="132"/>
      <c r="E726" s="133"/>
      <c r="F726" s="133"/>
      <c r="G726" s="133"/>
      <c r="H726" s="133"/>
      <c r="I726" s="133"/>
      <c r="J726" s="133"/>
      <c r="K726" s="133"/>
      <c r="L726" s="133"/>
      <c r="M726" s="133"/>
      <c r="N726" s="133"/>
      <c r="O726" s="133"/>
      <c r="P726" s="133"/>
      <c r="Q726" s="133"/>
      <c r="R726" s="133"/>
      <c r="S726" s="133"/>
      <c r="T726" s="133"/>
      <c r="U726" s="133"/>
      <c r="V726" s="133"/>
      <c r="W726" s="133"/>
      <c r="X726" s="160"/>
      <c r="Y726" s="133"/>
      <c r="Z726" s="133"/>
      <c r="AA726" s="133"/>
      <c r="AB726" s="133"/>
      <c r="AC726" s="133"/>
      <c r="AD726" s="133"/>
      <c r="AE726" s="133"/>
      <c r="AF726" s="133"/>
      <c r="AG726" s="133"/>
      <c r="AH726" s="133"/>
      <c r="AI726" s="133"/>
      <c r="AJ726" s="133"/>
      <c r="AK726" s="133"/>
      <c r="AL726" s="132"/>
      <c r="AM726" s="132"/>
      <c r="AN726" s="104"/>
      <c r="AO726" s="104"/>
      <c r="AP726" s="104"/>
    </row>
    <row r="727">
      <c r="A727" s="132"/>
      <c r="B727" s="132"/>
      <c r="C727" s="132"/>
      <c r="D727" s="132"/>
      <c r="E727" s="133"/>
      <c r="F727" s="133"/>
      <c r="G727" s="133"/>
      <c r="H727" s="133"/>
      <c r="I727" s="133"/>
      <c r="J727" s="133"/>
      <c r="K727" s="133"/>
      <c r="L727" s="133"/>
      <c r="M727" s="133"/>
      <c r="N727" s="133"/>
      <c r="O727" s="133"/>
      <c r="P727" s="133"/>
      <c r="Q727" s="133"/>
      <c r="R727" s="133"/>
      <c r="S727" s="133"/>
      <c r="T727" s="133"/>
      <c r="U727" s="133"/>
      <c r="V727" s="133"/>
      <c r="W727" s="133"/>
      <c r="X727" s="160"/>
      <c r="Y727" s="133"/>
      <c r="Z727" s="133"/>
      <c r="AA727" s="133"/>
      <c r="AB727" s="133"/>
      <c r="AC727" s="133"/>
      <c r="AD727" s="133"/>
      <c r="AE727" s="133"/>
      <c r="AF727" s="133"/>
      <c r="AG727" s="133"/>
      <c r="AH727" s="133"/>
      <c r="AI727" s="133"/>
      <c r="AJ727" s="133"/>
      <c r="AK727" s="133"/>
      <c r="AL727" s="132"/>
      <c r="AM727" s="132"/>
      <c r="AN727" s="104"/>
      <c r="AO727" s="104"/>
      <c r="AP727" s="104"/>
    </row>
    <row r="728">
      <c r="A728" s="132"/>
      <c r="B728" s="132"/>
      <c r="C728" s="132"/>
      <c r="D728" s="132"/>
      <c r="E728" s="133"/>
      <c r="F728" s="133"/>
      <c r="G728" s="133"/>
      <c r="H728" s="133"/>
      <c r="I728" s="133"/>
      <c r="J728" s="133"/>
      <c r="K728" s="133"/>
      <c r="L728" s="133"/>
      <c r="M728" s="133"/>
      <c r="N728" s="133"/>
      <c r="O728" s="133"/>
      <c r="P728" s="133"/>
      <c r="Q728" s="133"/>
      <c r="R728" s="133"/>
      <c r="S728" s="133"/>
      <c r="T728" s="133"/>
      <c r="U728" s="133"/>
      <c r="V728" s="133"/>
      <c r="W728" s="133"/>
      <c r="X728" s="160"/>
      <c r="Y728" s="133"/>
      <c r="Z728" s="133"/>
      <c r="AA728" s="133"/>
      <c r="AB728" s="133"/>
      <c r="AC728" s="133"/>
      <c r="AD728" s="133"/>
      <c r="AE728" s="133"/>
      <c r="AF728" s="133"/>
      <c r="AG728" s="133"/>
      <c r="AH728" s="133"/>
      <c r="AI728" s="133"/>
      <c r="AJ728" s="133"/>
      <c r="AK728" s="133"/>
      <c r="AL728" s="132"/>
      <c r="AM728" s="132"/>
      <c r="AN728" s="104"/>
      <c r="AO728" s="104"/>
      <c r="AP728" s="104"/>
    </row>
    <row r="729">
      <c r="A729" s="132"/>
      <c r="B729" s="132"/>
      <c r="C729" s="132"/>
      <c r="D729" s="132"/>
      <c r="E729" s="133"/>
      <c r="F729" s="133"/>
      <c r="G729" s="133"/>
      <c r="H729" s="133"/>
      <c r="I729" s="133"/>
      <c r="J729" s="133"/>
      <c r="K729" s="133"/>
      <c r="L729" s="133"/>
      <c r="M729" s="133"/>
      <c r="N729" s="133"/>
      <c r="O729" s="133"/>
      <c r="P729" s="133"/>
      <c r="Q729" s="133"/>
      <c r="R729" s="133"/>
      <c r="S729" s="133"/>
      <c r="T729" s="133"/>
      <c r="U729" s="133"/>
      <c r="V729" s="133"/>
      <c r="W729" s="133"/>
      <c r="X729" s="160"/>
      <c r="Y729" s="133"/>
      <c r="Z729" s="133"/>
      <c r="AA729" s="133"/>
      <c r="AB729" s="133"/>
      <c r="AC729" s="133"/>
      <c r="AD729" s="133"/>
      <c r="AE729" s="133"/>
      <c r="AF729" s="133"/>
      <c r="AG729" s="133"/>
      <c r="AH729" s="133"/>
      <c r="AI729" s="133"/>
      <c r="AJ729" s="133"/>
      <c r="AK729" s="133"/>
      <c r="AL729" s="132"/>
      <c r="AM729" s="132"/>
      <c r="AN729" s="104"/>
      <c r="AO729" s="104"/>
      <c r="AP729" s="104"/>
    </row>
    <row r="730">
      <c r="A730" s="132"/>
      <c r="B730" s="132"/>
      <c r="C730" s="132"/>
      <c r="D730" s="132"/>
      <c r="E730" s="133"/>
      <c r="F730" s="133"/>
      <c r="G730" s="133"/>
      <c r="H730" s="133"/>
      <c r="I730" s="133"/>
      <c r="J730" s="133"/>
      <c r="K730" s="133"/>
      <c r="L730" s="133"/>
      <c r="M730" s="133"/>
      <c r="N730" s="133"/>
      <c r="O730" s="133"/>
      <c r="P730" s="133"/>
      <c r="Q730" s="133"/>
      <c r="R730" s="133"/>
      <c r="S730" s="133"/>
      <c r="T730" s="133"/>
      <c r="U730" s="133"/>
      <c r="V730" s="133"/>
      <c r="W730" s="133"/>
      <c r="X730" s="160"/>
      <c r="Y730" s="133"/>
      <c r="Z730" s="133"/>
      <c r="AA730" s="133"/>
      <c r="AB730" s="133"/>
      <c r="AC730" s="133"/>
      <c r="AD730" s="133"/>
      <c r="AE730" s="133"/>
      <c r="AF730" s="133"/>
      <c r="AG730" s="133"/>
      <c r="AH730" s="133"/>
      <c r="AI730" s="133"/>
      <c r="AJ730" s="133"/>
      <c r="AK730" s="133"/>
      <c r="AL730" s="132"/>
      <c r="AM730" s="132"/>
      <c r="AN730" s="104"/>
      <c r="AO730" s="104"/>
      <c r="AP730" s="104"/>
    </row>
    <row r="731">
      <c r="A731" s="132"/>
      <c r="B731" s="132"/>
      <c r="C731" s="132"/>
      <c r="D731" s="132"/>
      <c r="E731" s="133"/>
      <c r="F731" s="133"/>
      <c r="G731" s="133"/>
      <c r="H731" s="133"/>
      <c r="I731" s="133"/>
      <c r="J731" s="133"/>
      <c r="K731" s="133"/>
      <c r="L731" s="133"/>
      <c r="M731" s="133"/>
      <c r="N731" s="133"/>
      <c r="O731" s="133"/>
      <c r="P731" s="133"/>
      <c r="Q731" s="133"/>
      <c r="R731" s="133"/>
      <c r="S731" s="133"/>
      <c r="T731" s="133"/>
      <c r="U731" s="133"/>
      <c r="V731" s="133"/>
      <c r="W731" s="133"/>
      <c r="X731" s="160"/>
      <c r="Y731" s="133"/>
      <c r="Z731" s="133"/>
      <c r="AA731" s="133"/>
      <c r="AB731" s="133"/>
      <c r="AC731" s="133"/>
      <c r="AD731" s="133"/>
      <c r="AE731" s="133"/>
      <c r="AF731" s="133"/>
      <c r="AG731" s="133"/>
      <c r="AH731" s="133"/>
      <c r="AI731" s="133"/>
      <c r="AJ731" s="133"/>
      <c r="AK731" s="133"/>
      <c r="AL731" s="132"/>
      <c r="AM731" s="132"/>
      <c r="AN731" s="104"/>
      <c r="AO731" s="104"/>
      <c r="AP731" s="104"/>
    </row>
    <row r="732">
      <c r="A732" s="132"/>
      <c r="B732" s="132"/>
      <c r="C732" s="132"/>
      <c r="D732" s="132"/>
      <c r="E732" s="133"/>
      <c r="F732" s="133"/>
      <c r="G732" s="133"/>
      <c r="H732" s="133"/>
      <c r="I732" s="133"/>
      <c r="J732" s="133"/>
      <c r="K732" s="133"/>
      <c r="L732" s="133"/>
      <c r="M732" s="133"/>
      <c r="N732" s="133"/>
      <c r="O732" s="133"/>
      <c r="P732" s="133"/>
      <c r="Q732" s="133"/>
      <c r="R732" s="133"/>
      <c r="S732" s="133"/>
      <c r="T732" s="133"/>
      <c r="U732" s="133"/>
      <c r="V732" s="133"/>
      <c r="W732" s="133"/>
      <c r="X732" s="160"/>
      <c r="Y732" s="133"/>
      <c r="Z732" s="133"/>
      <c r="AA732" s="133"/>
      <c r="AB732" s="133"/>
      <c r="AC732" s="133"/>
      <c r="AD732" s="133"/>
      <c r="AE732" s="133"/>
      <c r="AF732" s="133"/>
      <c r="AG732" s="133"/>
      <c r="AH732" s="133"/>
      <c r="AI732" s="133"/>
      <c r="AJ732" s="133"/>
      <c r="AK732" s="133"/>
      <c r="AL732" s="132"/>
      <c r="AM732" s="132"/>
      <c r="AN732" s="104"/>
      <c r="AO732" s="104"/>
      <c r="AP732" s="104"/>
    </row>
    <row r="733">
      <c r="A733" s="132"/>
      <c r="B733" s="132"/>
      <c r="C733" s="132"/>
      <c r="D733" s="132"/>
      <c r="E733" s="133"/>
      <c r="F733" s="133"/>
      <c r="G733" s="133"/>
      <c r="H733" s="133"/>
      <c r="I733" s="133"/>
      <c r="J733" s="133"/>
      <c r="K733" s="133"/>
      <c r="L733" s="133"/>
      <c r="M733" s="133"/>
      <c r="N733" s="133"/>
      <c r="O733" s="133"/>
      <c r="P733" s="133"/>
      <c r="Q733" s="133"/>
      <c r="R733" s="133"/>
      <c r="S733" s="133"/>
      <c r="T733" s="133"/>
      <c r="U733" s="133"/>
      <c r="V733" s="133"/>
      <c r="W733" s="133"/>
      <c r="X733" s="160"/>
      <c r="Y733" s="133"/>
      <c r="Z733" s="133"/>
      <c r="AA733" s="133"/>
      <c r="AB733" s="133"/>
      <c r="AC733" s="133"/>
      <c r="AD733" s="133"/>
      <c r="AE733" s="133"/>
      <c r="AF733" s="133"/>
      <c r="AG733" s="133"/>
      <c r="AH733" s="133"/>
      <c r="AI733" s="133"/>
      <c r="AJ733" s="133"/>
      <c r="AK733" s="133"/>
      <c r="AL733" s="132"/>
      <c r="AM733" s="132"/>
      <c r="AN733" s="104"/>
      <c r="AO733" s="104"/>
      <c r="AP733" s="104"/>
    </row>
    <row r="734">
      <c r="A734" s="132"/>
      <c r="B734" s="132"/>
      <c r="C734" s="132"/>
      <c r="D734" s="132"/>
      <c r="E734" s="133"/>
      <c r="F734" s="133"/>
      <c r="G734" s="133"/>
      <c r="H734" s="133"/>
      <c r="I734" s="133"/>
      <c r="J734" s="133"/>
      <c r="K734" s="133"/>
      <c r="L734" s="133"/>
      <c r="M734" s="133"/>
      <c r="N734" s="133"/>
      <c r="O734" s="133"/>
      <c r="P734" s="133"/>
      <c r="Q734" s="133"/>
      <c r="R734" s="133"/>
      <c r="S734" s="133"/>
      <c r="T734" s="133"/>
      <c r="U734" s="133"/>
      <c r="V734" s="133"/>
      <c r="W734" s="133"/>
      <c r="X734" s="160"/>
      <c r="Y734" s="133"/>
      <c r="Z734" s="133"/>
      <c r="AA734" s="133"/>
      <c r="AB734" s="133"/>
      <c r="AC734" s="133"/>
      <c r="AD734" s="133"/>
      <c r="AE734" s="133"/>
      <c r="AF734" s="133"/>
      <c r="AG734" s="133"/>
      <c r="AH734" s="133"/>
      <c r="AI734" s="133"/>
      <c r="AJ734" s="133"/>
      <c r="AK734" s="133"/>
      <c r="AL734" s="132"/>
      <c r="AM734" s="132"/>
      <c r="AN734" s="104"/>
      <c r="AO734" s="104"/>
      <c r="AP734" s="104"/>
    </row>
    <row r="735">
      <c r="A735" s="132"/>
      <c r="B735" s="132"/>
      <c r="C735" s="132"/>
      <c r="D735" s="132"/>
      <c r="E735" s="133"/>
      <c r="F735" s="133"/>
      <c r="G735" s="133"/>
      <c r="H735" s="133"/>
      <c r="I735" s="133"/>
      <c r="J735" s="133"/>
      <c r="K735" s="133"/>
      <c r="L735" s="133"/>
      <c r="M735" s="133"/>
      <c r="N735" s="133"/>
      <c r="O735" s="133"/>
      <c r="P735" s="133"/>
      <c r="Q735" s="133"/>
      <c r="R735" s="133"/>
      <c r="S735" s="133"/>
      <c r="T735" s="133"/>
      <c r="U735" s="133"/>
      <c r="V735" s="133"/>
      <c r="W735" s="133"/>
      <c r="X735" s="160"/>
      <c r="Y735" s="133"/>
      <c r="Z735" s="133"/>
      <c r="AA735" s="133"/>
      <c r="AB735" s="133"/>
      <c r="AC735" s="133"/>
      <c r="AD735" s="133"/>
      <c r="AE735" s="133"/>
      <c r="AF735" s="133"/>
      <c r="AG735" s="133"/>
      <c r="AH735" s="133"/>
      <c r="AI735" s="133"/>
      <c r="AJ735" s="133"/>
      <c r="AK735" s="133"/>
      <c r="AL735" s="132"/>
      <c r="AM735" s="132"/>
      <c r="AN735" s="104"/>
      <c r="AO735" s="104"/>
      <c r="AP735" s="104"/>
    </row>
    <row r="736">
      <c r="A736" s="132"/>
      <c r="B736" s="132"/>
      <c r="C736" s="132"/>
      <c r="D736" s="132"/>
      <c r="E736" s="133"/>
      <c r="F736" s="133"/>
      <c r="G736" s="133"/>
      <c r="H736" s="133"/>
      <c r="I736" s="133"/>
      <c r="J736" s="133"/>
      <c r="K736" s="133"/>
      <c r="L736" s="133"/>
      <c r="M736" s="133"/>
      <c r="N736" s="133"/>
      <c r="O736" s="133"/>
      <c r="P736" s="133"/>
      <c r="Q736" s="133"/>
      <c r="R736" s="133"/>
      <c r="S736" s="133"/>
      <c r="T736" s="133"/>
      <c r="U736" s="133"/>
      <c r="V736" s="133"/>
      <c r="W736" s="133"/>
      <c r="X736" s="160"/>
      <c r="Y736" s="133"/>
      <c r="Z736" s="133"/>
      <c r="AA736" s="133"/>
      <c r="AB736" s="133"/>
      <c r="AC736" s="133"/>
      <c r="AD736" s="133"/>
      <c r="AE736" s="133"/>
      <c r="AF736" s="133"/>
      <c r="AG736" s="133"/>
      <c r="AH736" s="133"/>
      <c r="AI736" s="133"/>
      <c r="AJ736" s="133"/>
      <c r="AK736" s="133"/>
      <c r="AL736" s="132"/>
      <c r="AM736" s="132"/>
      <c r="AN736" s="104"/>
      <c r="AO736" s="104"/>
      <c r="AP736" s="104"/>
    </row>
    <row r="737">
      <c r="A737" s="132"/>
      <c r="B737" s="132"/>
      <c r="C737" s="132"/>
      <c r="D737" s="132"/>
      <c r="E737" s="133"/>
      <c r="F737" s="133"/>
      <c r="G737" s="133"/>
      <c r="H737" s="133"/>
      <c r="I737" s="133"/>
      <c r="J737" s="133"/>
      <c r="K737" s="133"/>
      <c r="L737" s="133"/>
      <c r="M737" s="133"/>
      <c r="N737" s="133"/>
      <c r="O737" s="133"/>
      <c r="P737" s="133"/>
      <c r="Q737" s="133"/>
      <c r="R737" s="133"/>
      <c r="S737" s="133"/>
      <c r="T737" s="133"/>
      <c r="U737" s="133"/>
      <c r="V737" s="133"/>
      <c r="W737" s="133"/>
      <c r="X737" s="160"/>
      <c r="Y737" s="133"/>
      <c r="Z737" s="133"/>
      <c r="AA737" s="133"/>
      <c r="AB737" s="133"/>
      <c r="AC737" s="133"/>
      <c r="AD737" s="133"/>
      <c r="AE737" s="133"/>
      <c r="AF737" s="133"/>
      <c r="AG737" s="133"/>
      <c r="AH737" s="133"/>
      <c r="AI737" s="133"/>
      <c r="AJ737" s="133"/>
      <c r="AK737" s="133"/>
      <c r="AL737" s="132"/>
      <c r="AM737" s="132"/>
      <c r="AN737" s="104"/>
      <c r="AO737" s="104"/>
      <c r="AP737" s="104"/>
    </row>
    <row r="738">
      <c r="A738" s="132"/>
      <c r="B738" s="132"/>
      <c r="C738" s="132"/>
      <c r="D738" s="132"/>
      <c r="E738" s="133"/>
      <c r="F738" s="133"/>
      <c r="G738" s="133"/>
      <c r="H738" s="133"/>
      <c r="I738" s="133"/>
      <c r="J738" s="133"/>
      <c r="K738" s="133"/>
      <c r="L738" s="133"/>
      <c r="M738" s="133"/>
      <c r="N738" s="133"/>
      <c r="O738" s="133"/>
      <c r="P738" s="133"/>
      <c r="Q738" s="133"/>
      <c r="R738" s="133"/>
      <c r="S738" s="133"/>
      <c r="T738" s="133"/>
      <c r="U738" s="133"/>
      <c r="V738" s="133"/>
      <c r="W738" s="133"/>
      <c r="X738" s="160"/>
      <c r="Y738" s="133"/>
      <c r="Z738" s="133"/>
      <c r="AA738" s="133"/>
      <c r="AB738" s="133"/>
      <c r="AC738" s="133"/>
      <c r="AD738" s="133"/>
      <c r="AE738" s="133"/>
      <c r="AF738" s="133"/>
      <c r="AG738" s="133"/>
      <c r="AH738" s="133"/>
      <c r="AI738" s="133"/>
      <c r="AJ738" s="133"/>
      <c r="AK738" s="133"/>
      <c r="AL738" s="132"/>
      <c r="AM738" s="132"/>
      <c r="AN738" s="104"/>
      <c r="AO738" s="104"/>
      <c r="AP738" s="104"/>
    </row>
    <row r="739">
      <c r="A739" s="132"/>
      <c r="B739" s="132"/>
      <c r="C739" s="132"/>
      <c r="D739" s="132"/>
      <c r="E739" s="133"/>
      <c r="F739" s="133"/>
      <c r="G739" s="133"/>
      <c r="H739" s="133"/>
      <c r="I739" s="133"/>
      <c r="J739" s="133"/>
      <c r="K739" s="133"/>
      <c r="L739" s="133"/>
      <c r="M739" s="133"/>
      <c r="N739" s="133"/>
      <c r="O739" s="133"/>
      <c r="P739" s="133"/>
      <c r="Q739" s="133"/>
      <c r="R739" s="133"/>
      <c r="S739" s="133"/>
      <c r="T739" s="133"/>
      <c r="U739" s="133"/>
      <c r="V739" s="133"/>
      <c r="W739" s="133"/>
      <c r="X739" s="160"/>
      <c r="Y739" s="133"/>
      <c r="Z739" s="133"/>
      <c r="AA739" s="133"/>
      <c r="AB739" s="133"/>
      <c r="AC739" s="133"/>
      <c r="AD739" s="133"/>
      <c r="AE739" s="133"/>
      <c r="AF739" s="133"/>
      <c r="AG739" s="133"/>
      <c r="AH739" s="133"/>
      <c r="AI739" s="133"/>
      <c r="AJ739" s="133"/>
      <c r="AK739" s="133"/>
      <c r="AL739" s="132"/>
      <c r="AM739" s="132"/>
      <c r="AN739" s="104"/>
      <c r="AO739" s="104"/>
      <c r="AP739" s="104"/>
    </row>
    <row r="740">
      <c r="A740" s="132"/>
      <c r="B740" s="132"/>
      <c r="C740" s="132"/>
      <c r="D740" s="132"/>
      <c r="E740" s="133"/>
      <c r="F740" s="133"/>
      <c r="G740" s="133"/>
      <c r="H740" s="133"/>
      <c r="I740" s="133"/>
      <c r="J740" s="133"/>
      <c r="K740" s="133"/>
      <c r="L740" s="133"/>
      <c r="M740" s="133"/>
      <c r="N740" s="133"/>
      <c r="O740" s="133"/>
      <c r="P740" s="133"/>
      <c r="Q740" s="133"/>
      <c r="R740" s="133"/>
      <c r="S740" s="133"/>
      <c r="T740" s="133"/>
      <c r="U740" s="133"/>
      <c r="V740" s="133"/>
      <c r="W740" s="133"/>
      <c r="X740" s="160"/>
      <c r="Y740" s="133"/>
      <c r="Z740" s="133"/>
      <c r="AA740" s="133"/>
      <c r="AB740" s="133"/>
      <c r="AC740" s="133"/>
      <c r="AD740" s="133"/>
      <c r="AE740" s="133"/>
      <c r="AF740" s="133"/>
      <c r="AG740" s="133"/>
      <c r="AH740" s="133"/>
      <c r="AI740" s="133"/>
      <c r="AJ740" s="133"/>
      <c r="AK740" s="133"/>
      <c r="AL740" s="132"/>
      <c r="AM740" s="132"/>
      <c r="AN740" s="104"/>
      <c r="AO740" s="104"/>
      <c r="AP740" s="104"/>
    </row>
    <row r="741">
      <c r="A741" s="132"/>
      <c r="B741" s="132"/>
      <c r="C741" s="132"/>
      <c r="D741" s="132"/>
      <c r="E741" s="133"/>
      <c r="F741" s="133"/>
      <c r="G741" s="133"/>
      <c r="H741" s="133"/>
      <c r="I741" s="133"/>
      <c r="J741" s="133"/>
      <c r="K741" s="133"/>
      <c r="L741" s="133"/>
      <c r="M741" s="133"/>
      <c r="N741" s="133"/>
      <c r="O741" s="133"/>
      <c r="P741" s="133"/>
      <c r="Q741" s="133"/>
      <c r="R741" s="133"/>
      <c r="S741" s="133"/>
      <c r="T741" s="133"/>
      <c r="U741" s="133"/>
      <c r="V741" s="133"/>
      <c r="W741" s="133"/>
      <c r="X741" s="160"/>
      <c r="Y741" s="133"/>
      <c r="Z741" s="133"/>
      <c r="AA741" s="133"/>
      <c r="AB741" s="133"/>
      <c r="AC741" s="133"/>
      <c r="AD741" s="133"/>
      <c r="AE741" s="133"/>
      <c r="AF741" s="133"/>
      <c r="AG741" s="133"/>
      <c r="AH741" s="133"/>
      <c r="AI741" s="133"/>
      <c r="AJ741" s="133"/>
      <c r="AK741" s="133"/>
      <c r="AL741" s="132"/>
      <c r="AM741" s="132"/>
      <c r="AN741" s="104"/>
      <c r="AO741" s="104"/>
      <c r="AP741" s="104"/>
    </row>
    <row r="742">
      <c r="A742" s="132"/>
      <c r="B742" s="132"/>
      <c r="C742" s="132"/>
      <c r="D742" s="132"/>
      <c r="E742" s="133"/>
      <c r="F742" s="133"/>
      <c r="G742" s="133"/>
      <c r="H742" s="133"/>
      <c r="I742" s="133"/>
      <c r="J742" s="133"/>
      <c r="K742" s="133"/>
      <c r="L742" s="133"/>
      <c r="M742" s="133"/>
      <c r="N742" s="133"/>
      <c r="O742" s="133"/>
      <c r="P742" s="133"/>
      <c r="Q742" s="133"/>
      <c r="R742" s="133"/>
      <c r="S742" s="133"/>
      <c r="T742" s="133"/>
      <c r="U742" s="133"/>
      <c r="V742" s="133"/>
      <c r="W742" s="133"/>
      <c r="X742" s="160"/>
      <c r="Y742" s="133"/>
      <c r="Z742" s="133"/>
      <c r="AA742" s="133"/>
      <c r="AB742" s="133"/>
      <c r="AC742" s="133"/>
      <c r="AD742" s="133"/>
      <c r="AE742" s="133"/>
      <c r="AF742" s="133"/>
      <c r="AG742" s="133"/>
      <c r="AH742" s="133"/>
      <c r="AI742" s="133"/>
      <c r="AJ742" s="133"/>
      <c r="AK742" s="133"/>
      <c r="AL742" s="132"/>
      <c r="AM742" s="132"/>
      <c r="AN742" s="104"/>
      <c r="AO742" s="104"/>
      <c r="AP742" s="104"/>
    </row>
    <row r="743">
      <c r="A743" s="132"/>
      <c r="B743" s="132"/>
      <c r="C743" s="132"/>
      <c r="D743" s="132"/>
      <c r="E743" s="133"/>
      <c r="F743" s="133"/>
      <c r="G743" s="133"/>
      <c r="H743" s="133"/>
      <c r="I743" s="133"/>
      <c r="J743" s="133"/>
      <c r="K743" s="133"/>
      <c r="L743" s="133"/>
      <c r="M743" s="133"/>
      <c r="N743" s="133"/>
      <c r="O743" s="133"/>
      <c r="P743" s="133"/>
      <c r="Q743" s="133"/>
      <c r="R743" s="133"/>
      <c r="S743" s="133"/>
      <c r="T743" s="133"/>
      <c r="U743" s="133"/>
      <c r="V743" s="133"/>
      <c r="W743" s="133"/>
      <c r="X743" s="160"/>
      <c r="Y743" s="133"/>
      <c r="Z743" s="133"/>
      <c r="AA743" s="133"/>
      <c r="AB743" s="133"/>
      <c r="AC743" s="133"/>
      <c r="AD743" s="133"/>
      <c r="AE743" s="133"/>
      <c r="AF743" s="133"/>
      <c r="AG743" s="133"/>
      <c r="AH743" s="133"/>
      <c r="AI743" s="133"/>
      <c r="AJ743" s="133"/>
      <c r="AK743" s="133"/>
      <c r="AL743" s="132"/>
      <c r="AM743" s="132"/>
      <c r="AN743" s="104"/>
      <c r="AO743" s="104"/>
      <c r="AP743" s="104"/>
    </row>
    <row r="744">
      <c r="A744" s="132"/>
      <c r="B744" s="132"/>
      <c r="C744" s="132"/>
      <c r="D744" s="132"/>
      <c r="E744" s="133"/>
      <c r="F744" s="133"/>
      <c r="G744" s="133"/>
      <c r="H744" s="133"/>
      <c r="I744" s="133"/>
      <c r="J744" s="133"/>
      <c r="K744" s="133"/>
      <c r="L744" s="133"/>
      <c r="M744" s="133"/>
      <c r="N744" s="133"/>
      <c r="O744" s="133"/>
      <c r="P744" s="133"/>
      <c r="Q744" s="133"/>
      <c r="R744" s="133"/>
      <c r="S744" s="133"/>
      <c r="T744" s="133"/>
      <c r="U744" s="133"/>
      <c r="V744" s="133"/>
      <c r="W744" s="133"/>
      <c r="X744" s="160"/>
      <c r="Y744" s="133"/>
      <c r="Z744" s="133"/>
      <c r="AA744" s="133"/>
      <c r="AB744" s="133"/>
      <c r="AC744" s="133"/>
      <c r="AD744" s="133"/>
      <c r="AE744" s="133"/>
      <c r="AF744" s="133"/>
      <c r="AG744" s="133"/>
      <c r="AH744" s="133"/>
      <c r="AI744" s="133"/>
      <c r="AJ744" s="133"/>
      <c r="AK744" s="133"/>
      <c r="AL744" s="132"/>
      <c r="AM744" s="132"/>
      <c r="AN744" s="104"/>
      <c r="AO744" s="104"/>
      <c r="AP744" s="104"/>
    </row>
    <row r="745">
      <c r="A745" s="132"/>
      <c r="B745" s="132"/>
      <c r="C745" s="132"/>
      <c r="D745" s="132"/>
      <c r="E745" s="133"/>
      <c r="F745" s="133"/>
      <c r="G745" s="133"/>
      <c r="H745" s="133"/>
      <c r="I745" s="133"/>
      <c r="J745" s="133"/>
      <c r="K745" s="133"/>
      <c r="L745" s="133"/>
      <c r="M745" s="133"/>
      <c r="N745" s="133"/>
      <c r="O745" s="133"/>
      <c r="P745" s="133"/>
      <c r="Q745" s="133"/>
      <c r="R745" s="133"/>
      <c r="S745" s="133"/>
      <c r="T745" s="133"/>
      <c r="U745" s="133"/>
      <c r="V745" s="133"/>
      <c r="W745" s="133"/>
      <c r="X745" s="160"/>
      <c r="Y745" s="133"/>
      <c r="Z745" s="133"/>
      <c r="AA745" s="133"/>
      <c r="AB745" s="133"/>
      <c r="AC745" s="133"/>
      <c r="AD745" s="133"/>
      <c r="AE745" s="133"/>
      <c r="AF745" s="133"/>
      <c r="AG745" s="133"/>
      <c r="AH745" s="133"/>
      <c r="AI745" s="133"/>
      <c r="AJ745" s="133"/>
      <c r="AK745" s="133"/>
      <c r="AL745" s="132"/>
      <c r="AM745" s="132"/>
      <c r="AN745" s="104"/>
      <c r="AO745" s="104"/>
      <c r="AP745" s="104"/>
    </row>
    <row r="746">
      <c r="A746" s="132"/>
      <c r="B746" s="132"/>
      <c r="C746" s="132"/>
      <c r="D746" s="132"/>
      <c r="E746" s="133"/>
      <c r="F746" s="133"/>
      <c r="G746" s="133"/>
      <c r="H746" s="133"/>
      <c r="I746" s="133"/>
      <c r="J746" s="133"/>
      <c r="K746" s="133"/>
      <c r="L746" s="133"/>
      <c r="M746" s="133"/>
      <c r="N746" s="133"/>
      <c r="O746" s="133"/>
      <c r="P746" s="133"/>
      <c r="Q746" s="133"/>
      <c r="R746" s="133"/>
      <c r="S746" s="133"/>
      <c r="T746" s="133"/>
      <c r="U746" s="133"/>
      <c r="V746" s="133"/>
      <c r="W746" s="133"/>
      <c r="X746" s="160"/>
      <c r="Y746" s="133"/>
      <c r="Z746" s="133"/>
      <c r="AA746" s="133"/>
      <c r="AB746" s="133"/>
      <c r="AC746" s="133"/>
      <c r="AD746" s="133"/>
      <c r="AE746" s="133"/>
      <c r="AF746" s="133"/>
      <c r="AG746" s="133"/>
      <c r="AH746" s="133"/>
      <c r="AI746" s="133"/>
      <c r="AJ746" s="133"/>
      <c r="AK746" s="133"/>
      <c r="AL746" s="132"/>
      <c r="AM746" s="132"/>
      <c r="AN746" s="104"/>
      <c r="AO746" s="104"/>
      <c r="AP746" s="104"/>
    </row>
    <row r="747">
      <c r="A747" s="132"/>
      <c r="B747" s="132"/>
      <c r="C747" s="132"/>
      <c r="D747" s="132"/>
      <c r="E747" s="133"/>
      <c r="F747" s="133"/>
      <c r="G747" s="133"/>
      <c r="H747" s="133"/>
      <c r="I747" s="133"/>
      <c r="J747" s="133"/>
      <c r="K747" s="133"/>
      <c r="L747" s="133"/>
      <c r="M747" s="133"/>
      <c r="N747" s="133"/>
      <c r="O747" s="133"/>
      <c r="P747" s="133"/>
      <c r="Q747" s="133"/>
      <c r="R747" s="133"/>
      <c r="S747" s="133"/>
      <c r="T747" s="133"/>
      <c r="U747" s="133"/>
      <c r="V747" s="133"/>
      <c r="W747" s="133"/>
      <c r="X747" s="160"/>
      <c r="Y747" s="133"/>
      <c r="Z747" s="133"/>
      <c r="AA747" s="133"/>
      <c r="AB747" s="133"/>
      <c r="AC747" s="133"/>
      <c r="AD747" s="133"/>
      <c r="AE747" s="133"/>
      <c r="AF747" s="133"/>
      <c r="AG747" s="133"/>
      <c r="AH747" s="133"/>
      <c r="AI747" s="133"/>
      <c r="AJ747" s="133"/>
      <c r="AK747" s="133"/>
      <c r="AL747" s="132"/>
      <c r="AM747" s="132"/>
      <c r="AN747" s="104"/>
      <c r="AO747" s="104"/>
      <c r="AP747" s="104"/>
    </row>
    <row r="748">
      <c r="A748" s="132"/>
      <c r="B748" s="132"/>
      <c r="C748" s="132"/>
      <c r="D748" s="132"/>
      <c r="E748" s="133"/>
      <c r="F748" s="133"/>
      <c r="G748" s="133"/>
      <c r="H748" s="133"/>
      <c r="I748" s="133"/>
      <c r="J748" s="133"/>
      <c r="K748" s="133"/>
      <c r="L748" s="133"/>
      <c r="M748" s="133"/>
      <c r="N748" s="133"/>
      <c r="O748" s="133"/>
      <c r="P748" s="133"/>
      <c r="Q748" s="133"/>
      <c r="R748" s="133"/>
      <c r="S748" s="133"/>
      <c r="T748" s="133"/>
      <c r="U748" s="133"/>
      <c r="V748" s="133"/>
      <c r="W748" s="133"/>
      <c r="X748" s="160"/>
      <c r="Y748" s="133"/>
      <c r="Z748" s="133"/>
      <c r="AA748" s="133"/>
      <c r="AB748" s="133"/>
      <c r="AC748" s="133"/>
      <c r="AD748" s="133"/>
      <c r="AE748" s="133"/>
      <c r="AF748" s="133"/>
      <c r="AG748" s="133"/>
      <c r="AH748" s="133"/>
      <c r="AI748" s="133"/>
      <c r="AJ748" s="133"/>
      <c r="AK748" s="133"/>
      <c r="AL748" s="132"/>
      <c r="AM748" s="132"/>
      <c r="AN748" s="104"/>
      <c r="AO748" s="104"/>
      <c r="AP748" s="104"/>
    </row>
    <row r="749">
      <c r="A749" s="132"/>
      <c r="B749" s="132"/>
      <c r="C749" s="132"/>
      <c r="D749" s="132"/>
      <c r="E749" s="133"/>
      <c r="F749" s="133"/>
      <c r="G749" s="133"/>
      <c r="H749" s="133"/>
      <c r="I749" s="133"/>
      <c r="J749" s="133"/>
      <c r="K749" s="133"/>
      <c r="L749" s="133"/>
      <c r="M749" s="133"/>
      <c r="N749" s="133"/>
      <c r="O749" s="133"/>
      <c r="P749" s="133"/>
      <c r="Q749" s="133"/>
      <c r="R749" s="133"/>
      <c r="S749" s="133"/>
      <c r="T749" s="133"/>
      <c r="U749" s="133"/>
      <c r="V749" s="133"/>
      <c r="W749" s="133"/>
      <c r="X749" s="160"/>
      <c r="Y749" s="133"/>
      <c r="Z749" s="133"/>
      <c r="AA749" s="133"/>
      <c r="AB749" s="133"/>
      <c r="AC749" s="133"/>
      <c r="AD749" s="133"/>
      <c r="AE749" s="133"/>
      <c r="AF749" s="133"/>
      <c r="AG749" s="133"/>
      <c r="AH749" s="133"/>
      <c r="AI749" s="133"/>
      <c r="AJ749" s="133"/>
      <c r="AK749" s="133"/>
      <c r="AL749" s="132"/>
      <c r="AM749" s="132"/>
      <c r="AN749" s="104"/>
      <c r="AO749" s="104"/>
      <c r="AP749" s="104"/>
    </row>
    <row r="750">
      <c r="A750" s="132"/>
      <c r="B750" s="132"/>
      <c r="C750" s="132"/>
      <c r="D750" s="132"/>
      <c r="E750" s="133"/>
      <c r="F750" s="133"/>
      <c r="G750" s="133"/>
      <c r="H750" s="133"/>
      <c r="I750" s="133"/>
      <c r="J750" s="133"/>
      <c r="K750" s="133"/>
      <c r="L750" s="133"/>
      <c r="M750" s="133"/>
      <c r="N750" s="133"/>
      <c r="O750" s="133"/>
      <c r="P750" s="133"/>
      <c r="Q750" s="133"/>
      <c r="R750" s="133"/>
      <c r="S750" s="133"/>
      <c r="T750" s="133"/>
      <c r="U750" s="133"/>
      <c r="V750" s="133"/>
      <c r="W750" s="133"/>
      <c r="X750" s="160"/>
      <c r="Y750" s="133"/>
      <c r="Z750" s="133"/>
      <c r="AA750" s="133"/>
      <c r="AB750" s="133"/>
      <c r="AC750" s="133"/>
      <c r="AD750" s="133"/>
      <c r="AE750" s="133"/>
      <c r="AF750" s="133"/>
      <c r="AG750" s="133"/>
      <c r="AH750" s="133"/>
      <c r="AI750" s="133"/>
      <c r="AJ750" s="133"/>
      <c r="AK750" s="133"/>
      <c r="AL750" s="132"/>
      <c r="AM750" s="132"/>
      <c r="AN750" s="104"/>
      <c r="AO750" s="104"/>
      <c r="AP750" s="104"/>
    </row>
    <row r="751">
      <c r="A751" s="132"/>
      <c r="B751" s="132"/>
      <c r="C751" s="132"/>
      <c r="D751" s="132"/>
      <c r="E751" s="133"/>
      <c r="F751" s="133"/>
      <c r="G751" s="133"/>
      <c r="H751" s="133"/>
      <c r="I751" s="133"/>
      <c r="J751" s="133"/>
      <c r="K751" s="133"/>
      <c r="L751" s="133"/>
      <c r="M751" s="133"/>
      <c r="N751" s="133"/>
      <c r="O751" s="133"/>
      <c r="P751" s="133"/>
      <c r="Q751" s="133"/>
      <c r="R751" s="133"/>
      <c r="S751" s="133"/>
      <c r="T751" s="133"/>
      <c r="U751" s="133"/>
      <c r="V751" s="133"/>
      <c r="W751" s="133"/>
      <c r="X751" s="160"/>
      <c r="Y751" s="133"/>
      <c r="Z751" s="133"/>
      <c r="AA751" s="133"/>
      <c r="AB751" s="133"/>
      <c r="AC751" s="133"/>
      <c r="AD751" s="133"/>
      <c r="AE751" s="133"/>
      <c r="AF751" s="133"/>
      <c r="AG751" s="133"/>
      <c r="AH751" s="133"/>
      <c r="AI751" s="133"/>
      <c r="AJ751" s="133"/>
      <c r="AK751" s="133"/>
      <c r="AL751" s="132"/>
      <c r="AM751" s="132"/>
      <c r="AN751" s="104"/>
      <c r="AO751" s="104"/>
      <c r="AP751" s="104"/>
    </row>
    <row r="752">
      <c r="A752" s="132"/>
      <c r="B752" s="132"/>
      <c r="C752" s="132"/>
      <c r="D752" s="132"/>
      <c r="E752" s="133"/>
      <c r="F752" s="133"/>
      <c r="G752" s="133"/>
      <c r="H752" s="133"/>
      <c r="I752" s="133"/>
      <c r="J752" s="133"/>
      <c r="K752" s="133"/>
      <c r="L752" s="133"/>
      <c r="M752" s="133"/>
      <c r="N752" s="133"/>
      <c r="O752" s="133"/>
      <c r="P752" s="133"/>
      <c r="Q752" s="133"/>
      <c r="R752" s="133"/>
      <c r="S752" s="133"/>
      <c r="T752" s="133"/>
      <c r="U752" s="133"/>
      <c r="V752" s="133"/>
      <c r="W752" s="133"/>
      <c r="X752" s="160"/>
      <c r="Y752" s="133"/>
      <c r="Z752" s="133"/>
      <c r="AA752" s="133"/>
      <c r="AB752" s="133"/>
      <c r="AC752" s="133"/>
      <c r="AD752" s="133"/>
      <c r="AE752" s="133"/>
      <c r="AF752" s="133"/>
      <c r="AG752" s="133"/>
      <c r="AH752" s="133"/>
      <c r="AI752" s="133"/>
      <c r="AJ752" s="133"/>
      <c r="AK752" s="133"/>
      <c r="AL752" s="132"/>
      <c r="AM752" s="132"/>
      <c r="AN752" s="104"/>
      <c r="AO752" s="104"/>
      <c r="AP752" s="104"/>
    </row>
    <row r="753">
      <c r="A753" s="132"/>
      <c r="B753" s="132"/>
      <c r="C753" s="132"/>
      <c r="D753" s="132"/>
      <c r="E753" s="133"/>
      <c r="F753" s="133"/>
      <c r="G753" s="133"/>
      <c r="H753" s="133"/>
      <c r="I753" s="133"/>
      <c r="J753" s="133"/>
      <c r="K753" s="133"/>
      <c r="L753" s="133"/>
      <c r="M753" s="133"/>
      <c r="N753" s="133"/>
      <c r="O753" s="133"/>
      <c r="P753" s="133"/>
      <c r="Q753" s="133"/>
      <c r="R753" s="133"/>
      <c r="S753" s="133"/>
      <c r="T753" s="133"/>
      <c r="U753" s="133"/>
      <c r="V753" s="133"/>
      <c r="W753" s="133"/>
      <c r="X753" s="160"/>
      <c r="Y753" s="133"/>
      <c r="Z753" s="133"/>
      <c r="AA753" s="133"/>
      <c r="AB753" s="133"/>
      <c r="AC753" s="133"/>
      <c r="AD753" s="133"/>
      <c r="AE753" s="133"/>
      <c r="AF753" s="133"/>
      <c r="AG753" s="133"/>
      <c r="AH753" s="133"/>
      <c r="AI753" s="133"/>
      <c r="AJ753" s="133"/>
      <c r="AK753" s="133"/>
      <c r="AL753" s="132"/>
      <c r="AM753" s="132"/>
      <c r="AN753" s="104"/>
      <c r="AO753" s="104"/>
      <c r="AP753" s="104"/>
    </row>
    <row r="754">
      <c r="A754" s="132"/>
      <c r="B754" s="132"/>
      <c r="C754" s="132"/>
      <c r="D754" s="132"/>
      <c r="E754" s="133"/>
      <c r="F754" s="133"/>
      <c r="G754" s="133"/>
      <c r="H754" s="133"/>
      <c r="I754" s="133"/>
      <c r="J754" s="133"/>
      <c r="K754" s="133"/>
      <c r="L754" s="133"/>
      <c r="M754" s="133"/>
      <c r="N754" s="133"/>
      <c r="O754" s="133"/>
      <c r="P754" s="133"/>
      <c r="Q754" s="133"/>
      <c r="R754" s="133"/>
      <c r="S754" s="133"/>
      <c r="T754" s="133"/>
      <c r="U754" s="133"/>
      <c r="V754" s="133"/>
      <c r="W754" s="133"/>
      <c r="X754" s="160"/>
      <c r="Y754" s="133"/>
      <c r="Z754" s="133"/>
      <c r="AA754" s="133"/>
      <c r="AB754" s="133"/>
      <c r="AC754" s="133"/>
      <c r="AD754" s="133"/>
      <c r="AE754" s="133"/>
      <c r="AF754" s="133"/>
      <c r="AG754" s="133"/>
      <c r="AH754" s="133"/>
      <c r="AI754" s="133"/>
      <c r="AJ754" s="133"/>
      <c r="AK754" s="133"/>
      <c r="AL754" s="132"/>
      <c r="AM754" s="132"/>
      <c r="AN754" s="104"/>
      <c r="AO754" s="104"/>
      <c r="AP754" s="104"/>
    </row>
    <row r="755">
      <c r="A755" s="132"/>
      <c r="B755" s="132"/>
      <c r="C755" s="132"/>
      <c r="D755" s="132"/>
      <c r="E755" s="133"/>
      <c r="F755" s="133"/>
      <c r="G755" s="133"/>
      <c r="H755" s="133"/>
      <c r="I755" s="133"/>
      <c r="J755" s="133"/>
      <c r="K755" s="133"/>
      <c r="L755" s="133"/>
      <c r="M755" s="133"/>
      <c r="N755" s="133"/>
      <c r="O755" s="133"/>
      <c r="P755" s="133"/>
      <c r="Q755" s="133"/>
      <c r="R755" s="133"/>
      <c r="S755" s="133"/>
      <c r="T755" s="133"/>
      <c r="U755" s="133"/>
      <c r="V755" s="133"/>
      <c r="W755" s="133"/>
      <c r="X755" s="160"/>
      <c r="Y755" s="133"/>
      <c r="Z755" s="133"/>
      <c r="AA755" s="133"/>
      <c r="AB755" s="133"/>
      <c r="AC755" s="133"/>
      <c r="AD755" s="133"/>
      <c r="AE755" s="133"/>
      <c r="AF755" s="133"/>
      <c r="AG755" s="133"/>
      <c r="AH755" s="133"/>
      <c r="AI755" s="133"/>
      <c r="AJ755" s="133"/>
      <c r="AK755" s="133"/>
      <c r="AL755" s="132"/>
      <c r="AM755" s="132"/>
      <c r="AN755" s="104"/>
      <c r="AO755" s="104"/>
      <c r="AP755" s="104"/>
    </row>
    <row r="756">
      <c r="A756" s="132"/>
      <c r="B756" s="132"/>
      <c r="C756" s="132"/>
      <c r="D756" s="132"/>
      <c r="E756" s="133"/>
      <c r="F756" s="133"/>
      <c r="G756" s="133"/>
      <c r="H756" s="133"/>
      <c r="I756" s="133"/>
      <c r="J756" s="133"/>
      <c r="K756" s="133"/>
      <c r="L756" s="133"/>
      <c r="M756" s="133"/>
      <c r="N756" s="133"/>
      <c r="O756" s="133"/>
      <c r="P756" s="133"/>
      <c r="Q756" s="133"/>
      <c r="R756" s="133"/>
      <c r="S756" s="133"/>
      <c r="T756" s="133"/>
      <c r="U756" s="133"/>
      <c r="V756" s="133"/>
      <c r="W756" s="133"/>
      <c r="X756" s="160"/>
      <c r="Y756" s="133"/>
      <c r="Z756" s="133"/>
      <c r="AA756" s="133"/>
      <c r="AB756" s="133"/>
      <c r="AC756" s="133"/>
      <c r="AD756" s="133"/>
      <c r="AE756" s="133"/>
      <c r="AF756" s="133"/>
      <c r="AG756" s="133"/>
      <c r="AH756" s="133"/>
      <c r="AI756" s="133"/>
      <c r="AJ756" s="133"/>
      <c r="AK756" s="133"/>
      <c r="AL756" s="132"/>
      <c r="AM756" s="132"/>
      <c r="AN756" s="104"/>
      <c r="AO756" s="104"/>
      <c r="AP756" s="104"/>
    </row>
    <row r="757">
      <c r="A757" s="132"/>
      <c r="B757" s="132"/>
      <c r="C757" s="132"/>
      <c r="D757" s="132"/>
      <c r="E757" s="133"/>
      <c r="F757" s="133"/>
      <c r="G757" s="133"/>
      <c r="H757" s="133"/>
      <c r="I757" s="133"/>
      <c r="J757" s="133"/>
      <c r="K757" s="133"/>
      <c r="L757" s="133"/>
      <c r="M757" s="133"/>
      <c r="N757" s="133"/>
      <c r="O757" s="133"/>
      <c r="P757" s="133"/>
      <c r="Q757" s="133"/>
      <c r="R757" s="133"/>
      <c r="S757" s="133"/>
      <c r="T757" s="133"/>
      <c r="U757" s="133"/>
      <c r="V757" s="133"/>
      <c r="W757" s="133"/>
      <c r="X757" s="160"/>
      <c r="Y757" s="133"/>
      <c r="Z757" s="133"/>
      <c r="AA757" s="133"/>
      <c r="AB757" s="133"/>
      <c r="AC757" s="133"/>
      <c r="AD757" s="133"/>
      <c r="AE757" s="133"/>
      <c r="AF757" s="133"/>
      <c r="AG757" s="133"/>
      <c r="AH757" s="133"/>
      <c r="AI757" s="133"/>
      <c r="AJ757" s="133"/>
      <c r="AK757" s="133"/>
      <c r="AL757" s="132"/>
      <c r="AM757" s="132"/>
      <c r="AN757" s="104"/>
      <c r="AO757" s="104"/>
      <c r="AP757" s="104"/>
    </row>
    <row r="758">
      <c r="A758" s="132"/>
      <c r="B758" s="132"/>
      <c r="C758" s="132"/>
      <c r="D758" s="132"/>
      <c r="E758" s="133"/>
      <c r="F758" s="133"/>
      <c r="G758" s="133"/>
      <c r="H758" s="133"/>
      <c r="I758" s="133"/>
      <c r="J758" s="133"/>
      <c r="K758" s="133"/>
      <c r="L758" s="133"/>
      <c r="M758" s="133"/>
      <c r="N758" s="133"/>
      <c r="O758" s="133"/>
      <c r="P758" s="133"/>
      <c r="Q758" s="133"/>
      <c r="R758" s="133"/>
      <c r="S758" s="133"/>
      <c r="T758" s="133"/>
      <c r="U758" s="133"/>
      <c r="V758" s="133"/>
      <c r="W758" s="133"/>
      <c r="X758" s="160"/>
      <c r="Y758" s="133"/>
      <c r="Z758" s="133"/>
      <c r="AA758" s="133"/>
      <c r="AB758" s="133"/>
      <c r="AC758" s="133"/>
      <c r="AD758" s="133"/>
      <c r="AE758" s="133"/>
      <c r="AF758" s="133"/>
      <c r="AG758" s="133"/>
      <c r="AH758" s="133"/>
      <c r="AI758" s="133"/>
      <c r="AJ758" s="133"/>
      <c r="AK758" s="133"/>
      <c r="AL758" s="132"/>
      <c r="AM758" s="132"/>
      <c r="AN758" s="104"/>
      <c r="AO758" s="104"/>
      <c r="AP758" s="104"/>
    </row>
    <row r="759">
      <c r="A759" s="132"/>
      <c r="B759" s="132"/>
      <c r="C759" s="132"/>
      <c r="D759" s="132"/>
      <c r="E759" s="133"/>
      <c r="F759" s="133"/>
      <c r="G759" s="133"/>
      <c r="H759" s="133"/>
      <c r="I759" s="133"/>
      <c r="J759" s="133"/>
      <c r="K759" s="133"/>
      <c r="L759" s="133"/>
      <c r="M759" s="133"/>
      <c r="N759" s="133"/>
      <c r="O759" s="133"/>
      <c r="P759" s="133"/>
      <c r="Q759" s="133"/>
      <c r="R759" s="133"/>
      <c r="S759" s="133"/>
      <c r="T759" s="133"/>
      <c r="U759" s="133"/>
      <c r="V759" s="133"/>
      <c r="W759" s="133"/>
      <c r="X759" s="160"/>
      <c r="Y759" s="133"/>
      <c r="Z759" s="133"/>
      <c r="AA759" s="133"/>
      <c r="AB759" s="133"/>
      <c r="AC759" s="133"/>
      <c r="AD759" s="133"/>
      <c r="AE759" s="133"/>
      <c r="AF759" s="133"/>
      <c r="AG759" s="133"/>
      <c r="AH759" s="133"/>
      <c r="AI759" s="133"/>
      <c r="AJ759" s="133"/>
      <c r="AK759" s="133"/>
      <c r="AL759" s="132"/>
      <c r="AM759" s="132"/>
      <c r="AN759" s="104"/>
      <c r="AO759" s="104"/>
      <c r="AP759" s="104"/>
    </row>
    <row r="760">
      <c r="A760" s="132"/>
      <c r="B760" s="132"/>
      <c r="C760" s="132"/>
      <c r="D760" s="132"/>
      <c r="E760" s="133"/>
      <c r="F760" s="133"/>
      <c r="G760" s="133"/>
      <c r="H760" s="133"/>
      <c r="I760" s="133"/>
      <c r="J760" s="133"/>
      <c r="K760" s="133"/>
      <c r="L760" s="133"/>
      <c r="M760" s="133"/>
      <c r="N760" s="133"/>
      <c r="O760" s="133"/>
      <c r="P760" s="133"/>
      <c r="Q760" s="133"/>
      <c r="R760" s="133"/>
      <c r="S760" s="133"/>
      <c r="T760" s="133"/>
      <c r="U760" s="133"/>
      <c r="V760" s="133"/>
      <c r="W760" s="133"/>
      <c r="X760" s="160"/>
      <c r="Y760" s="133"/>
      <c r="Z760" s="133"/>
      <c r="AA760" s="133"/>
      <c r="AB760" s="133"/>
      <c r="AC760" s="133"/>
      <c r="AD760" s="133"/>
      <c r="AE760" s="133"/>
      <c r="AF760" s="133"/>
      <c r="AG760" s="133"/>
      <c r="AH760" s="133"/>
      <c r="AI760" s="133"/>
      <c r="AJ760" s="133"/>
      <c r="AK760" s="133"/>
      <c r="AL760" s="132"/>
      <c r="AM760" s="132"/>
      <c r="AN760" s="104"/>
      <c r="AO760" s="104"/>
      <c r="AP760" s="104"/>
    </row>
    <row r="761">
      <c r="A761" s="132"/>
      <c r="B761" s="132"/>
      <c r="C761" s="132"/>
      <c r="D761" s="132"/>
      <c r="E761" s="133"/>
      <c r="F761" s="133"/>
      <c r="G761" s="133"/>
      <c r="H761" s="133"/>
      <c r="I761" s="133"/>
      <c r="J761" s="133"/>
      <c r="K761" s="133"/>
      <c r="L761" s="133"/>
      <c r="M761" s="133"/>
      <c r="N761" s="133"/>
      <c r="O761" s="133"/>
      <c r="P761" s="133"/>
      <c r="Q761" s="133"/>
      <c r="R761" s="133"/>
      <c r="S761" s="133"/>
      <c r="T761" s="133"/>
      <c r="U761" s="133"/>
      <c r="V761" s="133"/>
      <c r="W761" s="133"/>
      <c r="X761" s="160"/>
      <c r="Y761" s="133"/>
      <c r="Z761" s="133"/>
      <c r="AA761" s="133"/>
      <c r="AB761" s="133"/>
      <c r="AC761" s="133"/>
      <c r="AD761" s="133"/>
      <c r="AE761" s="133"/>
      <c r="AF761" s="133"/>
      <c r="AG761" s="133"/>
      <c r="AH761" s="133"/>
      <c r="AI761" s="133"/>
      <c r="AJ761" s="133"/>
      <c r="AK761" s="133"/>
      <c r="AL761" s="132"/>
      <c r="AM761" s="132"/>
      <c r="AN761" s="104"/>
      <c r="AO761" s="104"/>
      <c r="AP761" s="104"/>
    </row>
    <row r="762">
      <c r="A762" s="132"/>
      <c r="B762" s="132"/>
      <c r="C762" s="132"/>
      <c r="D762" s="132"/>
      <c r="E762" s="133"/>
      <c r="F762" s="133"/>
      <c r="G762" s="133"/>
      <c r="H762" s="133"/>
      <c r="I762" s="133"/>
      <c r="J762" s="133"/>
      <c r="K762" s="133"/>
      <c r="L762" s="133"/>
      <c r="M762" s="133"/>
      <c r="N762" s="133"/>
      <c r="O762" s="133"/>
      <c r="P762" s="133"/>
      <c r="Q762" s="133"/>
      <c r="R762" s="133"/>
      <c r="S762" s="133"/>
      <c r="T762" s="133"/>
      <c r="U762" s="133"/>
      <c r="V762" s="133"/>
      <c r="W762" s="133"/>
      <c r="X762" s="160"/>
      <c r="Y762" s="133"/>
      <c r="Z762" s="133"/>
      <c r="AA762" s="133"/>
      <c r="AB762" s="133"/>
      <c r="AC762" s="133"/>
      <c r="AD762" s="133"/>
      <c r="AE762" s="133"/>
      <c r="AF762" s="133"/>
      <c r="AG762" s="133"/>
      <c r="AH762" s="133"/>
      <c r="AI762" s="133"/>
      <c r="AJ762" s="133"/>
      <c r="AK762" s="133"/>
      <c r="AL762" s="132"/>
      <c r="AM762" s="132"/>
      <c r="AN762" s="104"/>
      <c r="AO762" s="104"/>
      <c r="AP762" s="104"/>
    </row>
    <row r="763">
      <c r="A763" s="132"/>
      <c r="B763" s="132"/>
      <c r="C763" s="132"/>
      <c r="D763" s="132"/>
      <c r="E763" s="133"/>
      <c r="F763" s="133"/>
      <c r="G763" s="133"/>
      <c r="H763" s="133"/>
      <c r="I763" s="133"/>
      <c r="J763" s="133"/>
      <c r="K763" s="133"/>
      <c r="L763" s="133"/>
      <c r="M763" s="133"/>
      <c r="N763" s="133"/>
      <c r="O763" s="133"/>
      <c r="P763" s="133"/>
      <c r="Q763" s="133"/>
      <c r="R763" s="133"/>
      <c r="S763" s="133"/>
      <c r="T763" s="133"/>
      <c r="U763" s="133"/>
      <c r="V763" s="133"/>
      <c r="W763" s="133"/>
      <c r="X763" s="160"/>
      <c r="Y763" s="133"/>
      <c r="Z763" s="133"/>
      <c r="AA763" s="133"/>
      <c r="AB763" s="133"/>
      <c r="AC763" s="133"/>
      <c r="AD763" s="133"/>
      <c r="AE763" s="133"/>
      <c r="AF763" s="133"/>
      <c r="AG763" s="133"/>
      <c r="AH763" s="133"/>
      <c r="AI763" s="133"/>
      <c r="AJ763" s="133"/>
      <c r="AK763" s="133"/>
      <c r="AL763" s="132"/>
      <c r="AM763" s="132"/>
      <c r="AN763" s="104"/>
      <c r="AO763" s="104"/>
      <c r="AP763" s="104"/>
    </row>
    <row r="764">
      <c r="A764" s="132"/>
      <c r="B764" s="132"/>
      <c r="C764" s="132"/>
      <c r="D764" s="132"/>
      <c r="E764" s="133"/>
      <c r="F764" s="133"/>
      <c r="G764" s="133"/>
      <c r="H764" s="133"/>
      <c r="I764" s="133"/>
      <c r="J764" s="133"/>
      <c r="K764" s="133"/>
      <c r="L764" s="133"/>
      <c r="M764" s="133"/>
      <c r="N764" s="133"/>
      <c r="O764" s="133"/>
      <c r="P764" s="133"/>
      <c r="Q764" s="133"/>
      <c r="R764" s="133"/>
      <c r="S764" s="133"/>
      <c r="T764" s="133"/>
      <c r="U764" s="133"/>
      <c r="V764" s="133"/>
      <c r="W764" s="133"/>
      <c r="X764" s="160"/>
      <c r="Y764" s="133"/>
      <c r="Z764" s="133"/>
      <c r="AA764" s="133"/>
      <c r="AB764" s="133"/>
      <c r="AC764" s="133"/>
      <c r="AD764" s="133"/>
      <c r="AE764" s="133"/>
      <c r="AF764" s="133"/>
      <c r="AG764" s="133"/>
      <c r="AH764" s="133"/>
      <c r="AI764" s="133"/>
      <c r="AJ764" s="133"/>
      <c r="AK764" s="133"/>
      <c r="AL764" s="132"/>
      <c r="AM764" s="132"/>
      <c r="AN764" s="104"/>
      <c r="AO764" s="104"/>
      <c r="AP764" s="104"/>
    </row>
    <row r="765">
      <c r="A765" s="132"/>
      <c r="B765" s="132"/>
      <c r="C765" s="132"/>
      <c r="D765" s="132"/>
      <c r="E765" s="133"/>
      <c r="F765" s="133"/>
      <c r="G765" s="133"/>
      <c r="H765" s="133"/>
      <c r="I765" s="133"/>
      <c r="J765" s="133"/>
      <c r="K765" s="133"/>
      <c r="L765" s="133"/>
      <c r="M765" s="133"/>
      <c r="N765" s="133"/>
      <c r="O765" s="133"/>
      <c r="P765" s="133"/>
      <c r="Q765" s="133"/>
      <c r="R765" s="133"/>
      <c r="S765" s="133"/>
      <c r="T765" s="133"/>
      <c r="U765" s="133"/>
      <c r="V765" s="133"/>
      <c r="W765" s="133"/>
      <c r="X765" s="160"/>
      <c r="Y765" s="133"/>
      <c r="Z765" s="133"/>
      <c r="AA765" s="133"/>
      <c r="AB765" s="133"/>
      <c r="AC765" s="133"/>
      <c r="AD765" s="133"/>
      <c r="AE765" s="133"/>
      <c r="AF765" s="133"/>
      <c r="AG765" s="133"/>
      <c r="AH765" s="133"/>
      <c r="AI765" s="133"/>
      <c r="AJ765" s="133"/>
      <c r="AK765" s="133"/>
      <c r="AL765" s="132"/>
      <c r="AM765" s="132"/>
      <c r="AN765" s="104"/>
      <c r="AO765" s="104"/>
      <c r="AP765" s="104"/>
    </row>
    <row r="766">
      <c r="A766" s="132"/>
      <c r="B766" s="132"/>
      <c r="C766" s="132"/>
      <c r="D766" s="132"/>
      <c r="E766" s="133"/>
      <c r="F766" s="133"/>
      <c r="G766" s="133"/>
      <c r="H766" s="133"/>
      <c r="I766" s="133"/>
      <c r="J766" s="133"/>
      <c r="K766" s="133"/>
      <c r="L766" s="133"/>
      <c r="M766" s="133"/>
      <c r="N766" s="133"/>
      <c r="O766" s="133"/>
      <c r="P766" s="133"/>
      <c r="Q766" s="133"/>
      <c r="R766" s="133"/>
      <c r="S766" s="133"/>
      <c r="T766" s="133"/>
      <c r="U766" s="133"/>
      <c r="V766" s="133"/>
      <c r="W766" s="133"/>
      <c r="X766" s="160"/>
      <c r="Y766" s="133"/>
      <c r="Z766" s="133"/>
      <c r="AA766" s="133"/>
      <c r="AB766" s="133"/>
      <c r="AC766" s="133"/>
      <c r="AD766" s="133"/>
      <c r="AE766" s="133"/>
      <c r="AF766" s="133"/>
      <c r="AG766" s="133"/>
      <c r="AH766" s="133"/>
      <c r="AI766" s="133"/>
      <c r="AJ766" s="133"/>
      <c r="AK766" s="133"/>
      <c r="AL766" s="132"/>
      <c r="AM766" s="132"/>
      <c r="AN766" s="104"/>
      <c r="AO766" s="104"/>
      <c r="AP766" s="104"/>
    </row>
    <row r="767">
      <c r="A767" s="132"/>
      <c r="B767" s="132"/>
      <c r="C767" s="132"/>
      <c r="D767" s="132"/>
      <c r="E767" s="133"/>
      <c r="F767" s="133"/>
      <c r="G767" s="133"/>
      <c r="H767" s="133"/>
      <c r="I767" s="133"/>
      <c r="J767" s="133"/>
      <c r="K767" s="133"/>
      <c r="L767" s="133"/>
      <c r="M767" s="133"/>
      <c r="N767" s="133"/>
      <c r="O767" s="133"/>
      <c r="P767" s="133"/>
      <c r="Q767" s="133"/>
      <c r="R767" s="133"/>
      <c r="S767" s="133"/>
      <c r="T767" s="133"/>
      <c r="U767" s="133"/>
      <c r="V767" s="133"/>
      <c r="W767" s="133"/>
      <c r="X767" s="160"/>
      <c r="Y767" s="133"/>
      <c r="Z767" s="133"/>
      <c r="AA767" s="133"/>
      <c r="AB767" s="133"/>
      <c r="AC767" s="133"/>
      <c r="AD767" s="133"/>
      <c r="AE767" s="133"/>
      <c r="AF767" s="133"/>
      <c r="AG767" s="133"/>
      <c r="AH767" s="133"/>
      <c r="AI767" s="133"/>
      <c r="AJ767" s="133"/>
      <c r="AK767" s="133"/>
      <c r="AL767" s="132"/>
      <c r="AM767" s="132"/>
      <c r="AN767" s="104"/>
      <c r="AO767" s="104"/>
      <c r="AP767" s="104"/>
    </row>
    <row r="768">
      <c r="A768" s="132"/>
      <c r="B768" s="132"/>
      <c r="C768" s="132"/>
      <c r="D768" s="132"/>
      <c r="E768" s="133"/>
      <c r="F768" s="133"/>
      <c r="G768" s="133"/>
      <c r="H768" s="133"/>
      <c r="I768" s="133"/>
      <c r="J768" s="133"/>
      <c r="K768" s="133"/>
      <c r="L768" s="133"/>
      <c r="M768" s="133"/>
      <c r="N768" s="133"/>
      <c r="O768" s="133"/>
      <c r="P768" s="133"/>
      <c r="Q768" s="133"/>
      <c r="R768" s="133"/>
      <c r="S768" s="133"/>
      <c r="T768" s="133"/>
      <c r="U768" s="133"/>
      <c r="V768" s="133"/>
      <c r="W768" s="133"/>
      <c r="X768" s="160"/>
      <c r="Y768" s="133"/>
      <c r="Z768" s="133"/>
      <c r="AA768" s="133"/>
      <c r="AB768" s="133"/>
      <c r="AC768" s="133"/>
      <c r="AD768" s="133"/>
      <c r="AE768" s="133"/>
      <c r="AF768" s="133"/>
      <c r="AG768" s="133"/>
      <c r="AH768" s="133"/>
      <c r="AI768" s="133"/>
      <c r="AJ768" s="133"/>
      <c r="AK768" s="133"/>
      <c r="AL768" s="132"/>
      <c r="AM768" s="132"/>
      <c r="AN768" s="104"/>
      <c r="AO768" s="104"/>
      <c r="AP768" s="104"/>
    </row>
    <row r="769">
      <c r="A769" s="132"/>
      <c r="B769" s="132"/>
      <c r="C769" s="132"/>
      <c r="D769" s="132"/>
      <c r="E769" s="133"/>
      <c r="F769" s="133"/>
      <c r="G769" s="133"/>
      <c r="H769" s="133"/>
      <c r="I769" s="133"/>
      <c r="J769" s="133"/>
      <c r="K769" s="133"/>
      <c r="L769" s="133"/>
      <c r="M769" s="133"/>
      <c r="N769" s="133"/>
      <c r="O769" s="133"/>
      <c r="P769" s="133"/>
      <c r="Q769" s="133"/>
      <c r="R769" s="133"/>
      <c r="S769" s="133"/>
      <c r="T769" s="133"/>
      <c r="U769" s="133"/>
      <c r="V769" s="133"/>
      <c r="W769" s="133"/>
      <c r="X769" s="160"/>
      <c r="Y769" s="133"/>
      <c r="Z769" s="133"/>
      <c r="AA769" s="133"/>
      <c r="AB769" s="133"/>
      <c r="AC769" s="133"/>
      <c r="AD769" s="133"/>
      <c r="AE769" s="133"/>
      <c r="AF769" s="133"/>
      <c r="AG769" s="133"/>
      <c r="AH769" s="133"/>
      <c r="AI769" s="133"/>
      <c r="AJ769" s="133"/>
      <c r="AK769" s="133"/>
      <c r="AL769" s="132"/>
      <c r="AM769" s="132"/>
      <c r="AN769" s="104"/>
      <c r="AO769" s="104"/>
      <c r="AP769" s="104"/>
    </row>
    <row r="770">
      <c r="A770" s="132"/>
      <c r="B770" s="132"/>
      <c r="C770" s="132"/>
      <c r="D770" s="132"/>
      <c r="E770" s="133"/>
      <c r="F770" s="133"/>
      <c r="G770" s="133"/>
      <c r="H770" s="133"/>
      <c r="I770" s="133"/>
      <c r="J770" s="133"/>
      <c r="K770" s="133"/>
      <c r="L770" s="133"/>
      <c r="M770" s="133"/>
      <c r="N770" s="133"/>
      <c r="O770" s="133"/>
      <c r="P770" s="133"/>
      <c r="Q770" s="133"/>
      <c r="R770" s="133"/>
      <c r="S770" s="133"/>
      <c r="T770" s="133"/>
      <c r="U770" s="133"/>
      <c r="V770" s="133"/>
      <c r="W770" s="133"/>
      <c r="X770" s="160"/>
      <c r="Y770" s="133"/>
      <c r="Z770" s="133"/>
      <c r="AA770" s="133"/>
      <c r="AB770" s="133"/>
      <c r="AC770" s="133"/>
      <c r="AD770" s="133"/>
      <c r="AE770" s="133"/>
      <c r="AF770" s="133"/>
      <c r="AG770" s="133"/>
      <c r="AH770" s="133"/>
      <c r="AI770" s="133"/>
      <c r="AJ770" s="133"/>
      <c r="AK770" s="133"/>
      <c r="AL770" s="132"/>
      <c r="AM770" s="132"/>
      <c r="AN770" s="104"/>
      <c r="AO770" s="104"/>
      <c r="AP770" s="104"/>
    </row>
    <row r="771">
      <c r="A771" s="132"/>
      <c r="B771" s="132"/>
      <c r="C771" s="132"/>
      <c r="D771" s="132"/>
      <c r="E771" s="133"/>
      <c r="F771" s="133"/>
      <c r="G771" s="133"/>
      <c r="H771" s="133"/>
      <c r="I771" s="133"/>
      <c r="J771" s="133"/>
      <c r="K771" s="133"/>
      <c r="L771" s="133"/>
      <c r="M771" s="133"/>
      <c r="N771" s="133"/>
      <c r="O771" s="133"/>
      <c r="P771" s="133"/>
      <c r="Q771" s="133"/>
      <c r="R771" s="133"/>
      <c r="S771" s="133"/>
      <c r="T771" s="133"/>
      <c r="U771" s="133"/>
      <c r="V771" s="133"/>
      <c r="W771" s="133"/>
      <c r="X771" s="160"/>
      <c r="Y771" s="133"/>
      <c r="Z771" s="133"/>
      <c r="AA771" s="133"/>
      <c r="AB771" s="133"/>
      <c r="AC771" s="133"/>
      <c r="AD771" s="133"/>
      <c r="AE771" s="133"/>
      <c r="AF771" s="133"/>
      <c r="AG771" s="133"/>
      <c r="AH771" s="133"/>
      <c r="AI771" s="133"/>
      <c r="AJ771" s="133"/>
      <c r="AK771" s="133"/>
      <c r="AL771" s="132"/>
      <c r="AM771" s="132"/>
      <c r="AN771" s="104"/>
      <c r="AO771" s="104"/>
      <c r="AP771" s="104"/>
    </row>
    <row r="772">
      <c r="A772" s="132"/>
      <c r="B772" s="132"/>
      <c r="C772" s="132"/>
      <c r="D772" s="132"/>
      <c r="E772" s="133"/>
      <c r="F772" s="133"/>
      <c r="G772" s="133"/>
      <c r="H772" s="133"/>
      <c r="I772" s="133"/>
      <c r="J772" s="133"/>
      <c r="K772" s="133"/>
      <c r="L772" s="133"/>
      <c r="M772" s="133"/>
      <c r="N772" s="133"/>
      <c r="O772" s="133"/>
      <c r="P772" s="133"/>
      <c r="Q772" s="133"/>
      <c r="R772" s="133"/>
      <c r="S772" s="133"/>
      <c r="T772" s="133"/>
      <c r="U772" s="133"/>
      <c r="V772" s="133"/>
      <c r="W772" s="133"/>
      <c r="X772" s="160"/>
      <c r="Y772" s="133"/>
      <c r="Z772" s="133"/>
      <c r="AA772" s="133"/>
      <c r="AB772" s="133"/>
      <c r="AC772" s="133"/>
      <c r="AD772" s="133"/>
      <c r="AE772" s="133"/>
      <c r="AF772" s="133"/>
      <c r="AG772" s="133"/>
      <c r="AH772" s="133"/>
      <c r="AI772" s="133"/>
      <c r="AJ772" s="133"/>
      <c r="AK772" s="133"/>
      <c r="AL772" s="132"/>
      <c r="AM772" s="132"/>
      <c r="AN772" s="104"/>
      <c r="AO772" s="104"/>
      <c r="AP772" s="104"/>
    </row>
    <row r="773">
      <c r="A773" s="132"/>
      <c r="B773" s="132"/>
      <c r="C773" s="132"/>
      <c r="D773" s="132"/>
      <c r="E773" s="133"/>
      <c r="F773" s="133"/>
      <c r="G773" s="133"/>
      <c r="H773" s="133"/>
      <c r="I773" s="133"/>
      <c r="J773" s="133"/>
      <c r="K773" s="133"/>
      <c r="L773" s="133"/>
      <c r="M773" s="133"/>
      <c r="N773" s="133"/>
      <c r="O773" s="133"/>
      <c r="P773" s="133"/>
      <c r="Q773" s="133"/>
      <c r="R773" s="133"/>
      <c r="S773" s="133"/>
      <c r="T773" s="133"/>
      <c r="U773" s="133"/>
      <c r="V773" s="133"/>
      <c r="W773" s="133"/>
      <c r="X773" s="160"/>
      <c r="Y773" s="133"/>
      <c r="Z773" s="133"/>
      <c r="AA773" s="133"/>
      <c r="AB773" s="133"/>
      <c r="AC773" s="133"/>
      <c r="AD773" s="133"/>
      <c r="AE773" s="133"/>
      <c r="AF773" s="133"/>
      <c r="AG773" s="133"/>
      <c r="AH773" s="133"/>
      <c r="AI773" s="133"/>
      <c r="AJ773" s="133"/>
      <c r="AK773" s="133"/>
      <c r="AL773" s="132"/>
      <c r="AM773" s="132"/>
      <c r="AN773" s="104"/>
      <c r="AO773" s="104"/>
      <c r="AP773" s="104"/>
    </row>
    <row r="774">
      <c r="A774" s="132"/>
      <c r="B774" s="132"/>
      <c r="C774" s="132"/>
      <c r="D774" s="132"/>
      <c r="E774" s="133"/>
      <c r="F774" s="133"/>
      <c r="G774" s="133"/>
      <c r="H774" s="133"/>
      <c r="I774" s="133"/>
      <c r="J774" s="133"/>
      <c r="K774" s="133"/>
      <c r="L774" s="133"/>
      <c r="M774" s="133"/>
      <c r="N774" s="133"/>
      <c r="O774" s="133"/>
      <c r="P774" s="133"/>
      <c r="Q774" s="133"/>
      <c r="R774" s="133"/>
      <c r="S774" s="133"/>
      <c r="T774" s="133"/>
      <c r="U774" s="133"/>
      <c r="V774" s="133"/>
      <c r="W774" s="133"/>
      <c r="X774" s="160"/>
      <c r="Y774" s="133"/>
      <c r="Z774" s="133"/>
      <c r="AA774" s="133"/>
      <c r="AB774" s="133"/>
      <c r="AC774" s="133"/>
      <c r="AD774" s="133"/>
      <c r="AE774" s="133"/>
      <c r="AF774" s="133"/>
      <c r="AG774" s="133"/>
      <c r="AH774" s="133"/>
      <c r="AI774" s="133"/>
      <c r="AJ774" s="133"/>
      <c r="AK774" s="133"/>
      <c r="AL774" s="132"/>
      <c r="AM774" s="132"/>
      <c r="AN774" s="104"/>
      <c r="AO774" s="104"/>
      <c r="AP774" s="104"/>
    </row>
    <row r="775">
      <c r="A775" s="132"/>
      <c r="B775" s="132"/>
      <c r="C775" s="132"/>
      <c r="D775" s="132"/>
      <c r="E775" s="133"/>
      <c r="F775" s="133"/>
      <c r="G775" s="133"/>
      <c r="H775" s="133"/>
      <c r="I775" s="133"/>
      <c r="J775" s="133"/>
      <c r="K775" s="133"/>
      <c r="L775" s="133"/>
      <c r="M775" s="133"/>
      <c r="N775" s="133"/>
      <c r="O775" s="133"/>
      <c r="P775" s="133"/>
      <c r="Q775" s="133"/>
      <c r="R775" s="133"/>
      <c r="S775" s="133"/>
      <c r="T775" s="133"/>
      <c r="U775" s="133"/>
      <c r="V775" s="133"/>
      <c r="W775" s="133"/>
      <c r="X775" s="160"/>
      <c r="Y775" s="133"/>
      <c r="Z775" s="133"/>
      <c r="AA775" s="133"/>
      <c r="AB775" s="133"/>
      <c r="AC775" s="133"/>
      <c r="AD775" s="133"/>
      <c r="AE775" s="133"/>
      <c r="AF775" s="133"/>
      <c r="AG775" s="133"/>
      <c r="AH775" s="133"/>
      <c r="AI775" s="133"/>
      <c r="AJ775" s="133"/>
      <c r="AK775" s="133"/>
      <c r="AL775" s="132"/>
      <c r="AM775" s="132"/>
      <c r="AN775" s="104"/>
      <c r="AO775" s="104"/>
      <c r="AP775" s="104"/>
    </row>
    <row r="776">
      <c r="A776" s="132"/>
      <c r="B776" s="132"/>
      <c r="C776" s="132"/>
      <c r="D776" s="132"/>
      <c r="E776" s="133"/>
      <c r="F776" s="133"/>
      <c r="G776" s="133"/>
      <c r="H776" s="133"/>
      <c r="I776" s="133"/>
      <c r="J776" s="133"/>
      <c r="K776" s="133"/>
      <c r="L776" s="133"/>
      <c r="M776" s="133"/>
      <c r="N776" s="133"/>
      <c r="O776" s="133"/>
      <c r="P776" s="133"/>
      <c r="Q776" s="133"/>
      <c r="R776" s="133"/>
      <c r="S776" s="133"/>
      <c r="T776" s="133"/>
      <c r="U776" s="133"/>
      <c r="V776" s="133"/>
      <c r="W776" s="133"/>
      <c r="X776" s="160"/>
      <c r="Y776" s="133"/>
      <c r="Z776" s="133"/>
      <c r="AA776" s="133"/>
      <c r="AB776" s="133"/>
      <c r="AC776" s="133"/>
      <c r="AD776" s="133"/>
      <c r="AE776" s="133"/>
      <c r="AF776" s="133"/>
      <c r="AG776" s="133"/>
      <c r="AH776" s="133"/>
      <c r="AI776" s="133"/>
      <c r="AJ776" s="133"/>
      <c r="AK776" s="133"/>
      <c r="AL776" s="132"/>
      <c r="AM776" s="132"/>
      <c r="AN776" s="104"/>
      <c r="AO776" s="104"/>
      <c r="AP776" s="104"/>
    </row>
    <row r="777">
      <c r="A777" s="132"/>
      <c r="B777" s="132"/>
      <c r="C777" s="132"/>
      <c r="D777" s="132"/>
      <c r="E777" s="133"/>
      <c r="F777" s="133"/>
      <c r="G777" s="133"/>
      <c r="H777" s="133"/>
      <c r="I777" s="133"/>
      <c r="J777" s="133"/>
      <c r="K777" s="133"/>
      <c r="L777" s="133"/>
      <c r="M777" s="133"/>
      <c r="N777" s="133"/>
      <c r="O777" s="133"/>
      <c r="P777" s="133"/>
      <c r="Q777" s="133"/>
      <c r="R777" s="133"/>
      <c r="S777" s="133"/>
      <c r="T777" s="133"/>
      <c r="U777" s="133"/>
      <c r="V777" s="133"/>
      <c r="W777" s="133"/>
      <c r="X777" s="160"/>
      <c r="Y777" s="133"/>
      <c r="Z777" s="133"/>
      <c r="AA777" s="133"/>
      <c r="AB777" s="133"/>
      <c r="AC777" s="133"/>
      <c r="AD777" s="133"/>
      <c r="AE777" s="133"/>
      <c r="AF777" s="133"/>
      <c r="AG777" s="133"/>
      <c r="AH777" s="133"/>
      <c r="AI777" s="133"/>
      <c r="AJ777" s="133"/>
      <c r="AK777" s="133"/>
      <c r="AL777" s="132"/>
      <c r="AM777" s="132"/>
      <c r="AN777" s="104"/>
      <c r="AO777" s="104"/>
      <c r="AP777" s="104"/>
    </row>
    <row r="778">
      <c r="A778" s="132"/>
      <c r="B778" s="132"/>
      <c r="C778" s="132"/>
      <c r="D778" s="132"/>
      <c r="E778" s="133"/>
      <c r="F778" s="133"/>
      <c r="G778" s="133"/>
      <c r="H778" s="133"/>
      <c r="I778" s="133"/>
      <c r="J778" s="133"/>
      <c r="K778" s="133"/>
      <c r="L778" s="133"/>
      <c r="M778" s="133"/>
      <c r="N778" s="133"/>
      <c r="O778" s="133"/>
      <c r="P778" s="133"/>
      <c r="Q778" s="133"/>
      <c r="R778" s="133"/>
      <c r="S778" s="133"/>
      <c r="T778" s="133"/>
      <c r="U778" s="133"/>
      <c r="V778" s="133"/>
      <c r="W778" s="133"/>
      <c r="X778" s="160"/>
      <c r="Y778" s="133"/>
      <c r="Z778" s="133"/>
      <c r="AA778" s="133"/>
      <c r="AB778" s="133"/>
      <c r="AC778" s="133"/>
      <c r="AD778" s="133"/>
      <c r="AE778" s="133"/>
      <c r="AF778" s="133"/>
      <c r="AG778" s="133"/>
      <c r="AH778" s="133"/>
      <c r="AI778" s="133"/>
      <c r="AJ778" s="133"/>
      <c r="AK778" s="133"/>
      <c r="AL778" s="132"/>
      <c r="AM778" s="132"/>
      <c r="AN778" s="104"/>
      <c r="AO778" s="104"/>
      <c r="AP778" s="104"/>
    </row>
    <row r="779">
      <c r="A779" s="132"/>
      <c r="B779" s="132"/>
      <c r="C779" s="132"/>
      <c r="D779" s="132"/>
      <c r="E779" s="133"/>
      <c r="F779" s="133"/>
      <c r="G779" s="133"/>
      <c r="H779" s="133"/>
      <c r="I779" s="133"/>
      <c r="J779" s="133"/>
      <c r="K779" s="133"/>
      <c r="L779" s="133"/>
      <c r="M779" s="133"/>
      <c r="N779" s="133"/>
      <c r="O779" s="133"/>
      <c r="P779" s="133"/>
      <c r="Q779" s="133"/>
      <c r="R779" s="133"/>
      <c r="S779" s="133"/>
      <c r="T779" s="133"/>
      <c r="U779" s="133"/>
      <c r="V779" s="133"/>
      <c r="W779" s="133"/>
      <c r="X779" s="160"/>
      <c r="Y779" s="133"/>
      <c r="Z779" s="133"/>
      <c r="AA779" s="133"/>
      <c r="AB779" s="133"/>
      <c r="AC779" s="133"/>
      <c r="AD779" s="133"/>
      <c r="AE779" s="133"/>
      <c r="AF779" s="133"/>
      <c r="AG779" s="133"/>
      <c r="AH779" s="133"/>
      <c r="AI779" s="133"/>
      <c r="AJ779" s="133"/>
      <c r="AK779" s="133"/>
      <c r="AL779" s="132"/>
      <c r="AM779" s="132"/>
      <c r="AN779" s="104"/>
      <c r="AO779" s="104"/>
      <c r="AP779" s="104"/>
    </row>
    <row r="780">
      <c r="A780" s="132"/>
      <c r="B780" s="132"/>
      <c r="C780" s="132"/>
      <c r="D780" s="132"/>
      <c r="E780" s="133"/>
      <c r="F780" s="133"/>
      <c r="G780" s="133"/>
      <c r="H780" s="133"/>
      <c r="I780" s="133"/>
      <c r="J780" s="133"/>
      <c r="K780" s="133"/>
      <c r="L780" s="133"/>
      <c r="M780" s="133"/>
      <c r="N780" s="133"/>
      <c r="O780" s="133"/>
      <c r="P780" s="133"/>
      <c r="Q780" s="133"/>
      <c r="R780" s="133"/>
      <c r="S780" s="133"/>
      <c r="T780" s="133"/>
      <c r="U780" s="133"/>
      <c r="V780" s="133"/>
      <c r="W780" s="133"/>
      <c r="X780" s="160"/>
      <c r="Y780" s="133"/>
      <c r="Z780" s="133"/>
      <c r="AA780" s="133"/>
      <c r="AB780" s="133"/>
      <c r="AC780" s="133"/>
      <c r="AD780" s="133"/>
      <c r="AE780" s="133"/>
      <c r="AF780" s="133"/>
      <c r="AG780" s="133"/>
      <c r="AH780" s="133"/>
      <c r="AI780" s="133"/>
      <c r="AJ780" s="133"/>
      <c r="AK780" s="133"/>
      <c r="AL780" s="132"/>
      <c r="AM780" s="132"/>
      <c r="AN780" s="104"/>
      <c r="AO780" s="104"/>
      <c r="AP780" s="104"/>
    </row>
    <row r="781">
      <c r="A781" s="132"/>
      <c r="B781" s="132"/>
      <c r="C781" s="132"/>
      <c r="D781" s="132"/>
      <c r="E781" s="133"/>
      <c r="F781" s="133"/>
      <c r="G781" s="133"/>
      <c r="H781" s="133"/>
      <c r="I781" s="133"/>
      <c r="J781" s="133"/>
      <c r="K781" s="133"/>
      <c r="L781" s="133"/>
      <c r="M781" s="133"/>
      <c r="N781" s="133"/>
      <c r="O781" s="133"/>
      <c r="P781" s="133"/>
      <c r="Q781" s="133"/>
      <c r="R781" s="133"/>
      <c r="S781" s="133"/>
      <c r="T781" s="133"/>
      <c r="U781" s="133"/>
      <c r="V781" s="133"/>
      <c r="W781" s="133"/>
      <c r="X781" s="160"/>
      <c r="Y781" s="133"/>
      <c r="Z781" s="133"/>
      <c r="AA781" s="133"/>
      <c r="AB781" s="133"/>
      <c r="AC781" s="133"/>
      <c r="AD781" s="133"/>
      <c r="AE781" s="133"/>
      <c r="AF781" s="133"/>
      <c r="AG781" s="133"/>
      <c r="AH781" s="133"/>
      <c r="AI781" s="133"/>
      <c r="AJ781" s="133"/>
      <c r="AK781" s="133"/>
      <c r="AL781" s="132"/>
      <c r="AM781" s="132"/>
      <c r="AN781" s="104"/>
      <c r="AO781" s="104"/>
      <c r="AP781" s="104"/>
    </row>
    <row r="782">
      <c r="A782" s="132"/>
      <c r="B782" s="132"/>
      <c r="C782" s="132"/>
      <c r="D782" s="132"/>
      <c r="E782" s="133"/>
      <c r="F782" s="133"/>
      <c r="G782" s="133"/>
      <c r="H782" s="133"/>
      <c r="I782" s="133"/>
      <c r="J782" s="133"/>
      <c r="K782" s="133"/>
      <c r="L782" s="133"/>
      <c r="M782" s="133"/>
      <c r="N782" s="133"/>
      <c r="O782" s="133"/>
      <c r="P782" s="133"/>
      <c r="Q782" s="133"/>
      <c r="R782" s="133"/>
      <c r="S782" s="133"/>
      <c r="T782" s="133"/>
      <c r="U782" s="133"/>
      <c r="V782" s="133"/>
      <c r="W782" s="133"/>
      <c r="X782" s="160"/>
      <c r="Y782" s="133"/>
      <c r="Z782" s="133"/>
      <c r="AA782" s="133"/>
      <c r="AB782" s="133"/>
      <c r="AC782" s="133"/>
      <c r="AD782" s="133"/>
      <c r="AE782" s="133"/>
      <c r="AF782" s="133"/>
      <c r="AG782" s="133"/>
      <c r="AH782" s="133"/>
      <c r="AI782" s="133"/>
      <c r="AJ782" s="133"/>
      <c r="AK782" s="133"/>
      <c r="AL782" s="132"/>
      <c r="AM782" s="132"/>
      <c r="AN782" s="104"/>
      <c r="AO782" s="104"/>
      <c r="AP782" s="104"/>
    </row>
    <row r="783">
      <c r="A783" s="132"/>
      <c r="B783" s="132"/>
      <c r="C783" s="132"/>
      <c r="D783" s="132"/>
      <c r="E783" s="133"/>
      <c r="F783" s="133"/>
      <c r="G783" s="133"/>
      <c r="H783" s="133"/>
      <c r="I783" s="133"/>
      <c r="J783" s="133"/>
      <c r="K783" s="133"/>
      <c r="L783" s="133"/>
      <c r="M783" s="133"/>
      <c r="N783" s="133"/>
      <c r="O783" s="133"/>
      <c r="P783" s="133"/>
      <c r="Q783" s="133"/>
      <c r="R783" s="133"/>
      <c r="S783" s="133"/>
      <c r="T783" s="133"/>
      <c r="U783" s="133"/>
      <c r="V783" s="133"/>
      <c r="W783" s="133"/>
      <c r="X783" s="160"/>
      <c r="Y783" s="133"/>
      <c r="Z783" s="133"/>
      <c r="AA783" s="133"/>
      <c r="AB783" s="133"/>
      <c r="AC783" s="133"/>
      <c r="AD783" s="133"/>
      <c r="AE783" s="133"/>
      <c r="AF783" s="133"/>
      <c r="AG783" s="133"/>
      <c r="AH783" s="133"/>
      <c r="AI783" s="133"/>
      <c r="AJ783" s="133"/>
      <c r="AK783" s="133"/>
      <c r="AL783" s="132"/>
      <c r="AM783" s="132"/>
      <c r="AN783" s="104"/>
      <c r="AO783" s="104"/>
      <c r="AP783" s="104"/>
    </row>
    <row r="784">
      <c r="A784" s="132"/>
      <c r="B784" s="132"/>
      <c r="C784" s="132"/>
      <c r="D784" s="132"/>
      <c r="E784" s="133"/>
      <c r="F784" s="133"/>
      <c r="G784" s="133"/>
      <c r="H784" s="133"/>
      <c r="I784" s="133"/>
      <c r="J784" s="133"/>
      <c r="K784" s="133"/>
      <c r="L784" s="133"/>
      <c r="M784" s="133"/>
      <c r="N784" s="133"/>
      <c r="O784" s="133"/>
      <c r="P784" s="133"/>
      <c r="Q784" s="133"/>
      <c r="R784" s="133"/>
      <c r="S784" s="133"/>
      <c r="T784" s="133"/>
      <c r="U784" s="133"/>
      <c r="V784" s="133"/>
      <c r="W784" s="133"/>
      <c r="X784" s="160"/>
      <c r="Y784" s="133"/>
      <c r="Z784" s="133"/>
      <c r="AA784" s="133"/>
      <c r="AB784" s="133"/>
      <c r="AC784" s="133"/>
      <c r="AD784" s="133"/>
      <c r="AE784" s="133"/>
      <c r="AF784" s="133"/>
      <c r="AG784" s="133"/>
      <c r="AH784" s="133"/>
      <c r="AI784" s="133"/>
      <c r="AJ784" s="133"/>
      <c r="AK784" s="133"/>
      <c r="AL784" s="132"/>
      <c r="AM784" s="132"/>
      <c r="AN784" s="104"/>
      <c r="AO784" s="104"/>
      <c r="AP784" s="104"/>
    </row>
    <row r="785">
      <c r="A785" s="132"/>
      <c r="B785" s="132"/>
      <c r="C785" s="132"/>
      <c r="D785" s="132"/>
      <c r="E785" s="133"/>
      <c r="F785" s="133"/>
      <c r="G785" s="133"/>
      <c r="H785" s="133"/>
      <c r="I785" s="133"/>
      <c r="J785" s="133"/>
      <c r="K785" s="133"/>
      <c r="L785" s="133"/>
      <c r="M785" s="133"/>
      <c r="N785" s="133"/>
      <c r="O785" s="133"/>
      <c r="P785" s="133"/>
      <c r="Q785" s="133"/>
      <c r="R785" s="133"/>
      <c r="S785" s="133"/>
      <c r="T785" s="133"/>
      <c r="U785" s="133"/>
      <c r="V785" s="133"/>
      <c r="W785" s="133"/>
      <c r="X785" s="160"/>
      <c r="Y785" s="133"/>
      <c r="Z785" s="133"/>
      <c r="AA785" s="133"/>
      <c r="AB785" s="133"/>
      <c r="AC785" s="133"/>
      <c r="AD785" s="133"/>
      <c r="AE785" s="133"/>
      <c r="AF785" s="133"/>
      <c r="AG785" s="133"/>
      <c r="AH785" s="133"/>
      <c r="AI785" s="133"/>
      <c r="AJ785" s="133"/>
      <c r="AK785" s="133"/>
      <c r="AL785" s="132"/>
      <c r="AM785" s="132"/>
      <c r="AN785" s="104"/>
      <c r="AO785" s="104"/>
      <c r="AP785" s="104"/>
    </row>
    <row r="786">
      <c r="A786" s="132"/>
      <c r="B786" s="132"/>
      <c r="C786" s="132"/>
      <c r="D786" s="132"/>
      <c r="E786" s="133"/>
      <c r="F786" s="133"/>
      <c r="G786" s="133"/>
      <c r="H786" s="133"/>
      <c r="I786" s="133"/>
      <c r="J786" s="133"/>
      <c r="K786" s="133"/>
      <c r="L786" s="133"/>
      <c r="M786" s="133"/>
      <c r="N786" s="133"/>
      <c r="O786" s="133"/>
      <c r="P786" s="133"/>
      <c r="Q786" s="133"/>
      <c r="R786" s="133"/>
      <c r="S786" s="133"/>
      <c r="T786" s="133"/>
      <c r="U786" s="133"/>
      <c r="V786" s="133"/>
      <c r="W786" s="133"/>
      <c r="X786" s="160"/>
      <c r="Y786" s="133"/>
      <c r="Z786" s="133"/>
      <c r="AA786" s="133"/>
      <c r="AB786" s="133"/>
      <c r="AC786" s="133"/>
      <c r="AD786" s="133"/>
      <c r="AE786" s="133"/>
      <c r="AF786" s="133"/>
      <c r="AG786" s="133"/>
      <c r="AH786" s="133"/>
      <c r="AI786" s="133"/>
      <c r="AJ786" s="133"/>
      <c r="AK786" s="133"/>
      <c r="AL786" s="132"/>
      <c r="AM786" s="132"/>
      <c r="AN786" s="104"/>
      <c r="AO786" s="104"/>
      <c r="AP786" s="104"/>
    </row>
    <row r="787">
      <c r="A787" s="132"/>
      <c r="B787" s="132"/>
      <c r="C787" s="132"/>
      <c r="D787" s="132"/>
      <c r="E787" s="133"/>
      <c r="F787" s="133"/>
      <c r="G787" s="133"/>
      <c r="H787" s="133"/>
      <c r="I787" s="133"/>
      <c r="J787" s="133"/>
      <c r="K787" s="133"/>
      <c r="L787" s="133"/>
      <c r="M787" s="133"/>
      <c r="N787" s="133"/>
      <c r="O787" s="133"/>
      <c r="P787" s="133"/>
      <c r="Q787" s="133"/>
      <c r="R787" s="133"/>
      <c r="S787" s="133"/>
      <c r="T787" s="133"/>
      <c r="U787" s="133"/>
      <c r="V787" s="133"/>
      <c r="W787" s="133"/>
      <c r="X787" s="160"/>
      <c r="Y787" s="133"/>
      <c r="Z787" s="133"/>
      <c r="AA787" s="133"/>
      <c r="AB787" s="133"/>
      <c r="AC787" s="133"/>
      <c r="AD787" s="133"/>
      <c r="AE787" s="133"/>
      <c r="AF787" s="133"/>
      <c r="AG787" s="133"/>
      <c r="AH787" s="133"/>
      <c r="AI787" s="133"/>
      <c r="AJ787" s="133"/>
      <c r="AK787" s="133"/>
      <c r="AL787" s="132"/>
      <c r="AM787" s="132"/>
      <c r="AN787" s="104"/>
      <c r="AO787" s="104"/>
      <c r="AP787" s="104"/>
    </row>
    <row r="788">
      <c r="A788" s="132"/>
      <c r="B788" s="132"/>
      <c r="C788" s="132"/>
      <c r="D788" s="132"/>
      <c r="E788" s="133"/>
      <c r="F788" s="133"/>
      <c r="G788" s="133"/>
      <c r="H788" s="133"/>
      <c r="I788" s="133"/>
      <c r="J788" s="133"/>
      <c r="K788" s="133"/>
      <c r="L788" s="133"/>
      <c r="M788" s="133"/>
      <c r="N788" s="133"/>
      <c r="O788" s="133"/>
      <c r="P788" s="133"/>
      <c r="Q788" s="133"/>
      <c r="R788" s="133"/>
      <c r="S788" s="133"/>
      <c r="T788" s="133"/>
      <c r="U788" s="133"/>
      <c r="V788" s="133"/>
      <c r="W788" s="133"/>
      <c r="X788" s="160"/>
      <c r="Y788" s="133"/>
      <c r="Z788" s="133"/>
      <c r="AA788" s="133"/>
      <c r="AB788" s="133"/>
      <c r="AC788" s="133"/>
      <c r="AD788" s="133"/>
      <c r="AE788" s="133"/>
      <c r="AF788" s="133"/>
      <c r="AG788" s="133"/>
      <c r="AH788" s="133"/>
      <c r="AI788" s="133"/>
      <c r="AJ788" s="133"/>
      <c r="AK788" s="133"/>
      <c r="AL788" s="132"/>
      <c r="AM788" s="132"/>
      <c r="AN788" s="104"/>
      <c r="AO788" s="104"/>
      <c r="AP788" s="104"/>
    </row>
    <row r="789">
      <c r="A789" s="132"/>
      <c r="B789" s="132"/>
      <c r="C789" s="132"/>
      <c r="D789" s="132"/>
      <c r="E789" s="133"/>
      <c r="F789" s="133"/>
      <c r="G789" s="133"/>
      <c r="H789" s="133"/>
      <c r="I789" s="133"/>
      <c r="J789" s="133"/>
      <c r="K789" s="133"/>
      <c r="L789" s="133"/>
      <c r="M789" s="133"/>
      <c r="N789" s="133"/>
      <c r="O789" s="133"/>
      <c r="P789" s="133"/>
      <c r="Q789" s="133"/>
      <c r="R789" s="133"/>
      <c r="S789" s="133"/>
      <c r="T789" s="133"/>
      <c r="U789" s="133"/>
      <c r="V789" s="133"/>
      <c r="W789" s="133"/>
      <c r="X789" s="160"/>
      <c r="Y789" s="133"/>
      <c r="Z789" s="133"/>
      <c r="AA789" s="133"/>
      <c r="AB789" s="133"/>
      <c r="AC789" s="133"/>
      <c r="AD789" s="133"/>
      <c r="AE789" s="133"/>
      <c r="AF789" s="133"/>
      <c r="AG789" s="133"/>
      <c r="AH789" s="133"/>
      <c r="AI789" s="133"/>
      <c r="AJ789" s="133"/>
      <c r="AK789" s="133"/>
      <c r="AL789" s="132"/>
      <c r="AM789" s="132"/>
      <c r="AN789" s="104"/>
      <c r="AO789" s="104"/>
      <c r="AP789" s="104"/>
    </row>
    <row r="790">
      <c r="A790" s="132"/>
      <c r="B790" s="132"/>
      <c r="C790" s="132"/>
      <c r="D790" s="132"/>
      <c r="E790" s="133"/>
      <c r="F790" s="133"/>
      <c r="G790" s="133"/>
      <c r="H790" s="133"/>
      <c r="I790" s="133"/>
      <c r="J790" s="133"/>
      <c r="K790" s="133"/>
      <c r="L790" s="133"/>
      <c r="M790" s="133"/>
      <c r="N790" s="133"/>
      <c r="O790" s="133"/>
      <c r="P790" s="133"/>
      <c r="Q790" s="133"/>
      <c r="R790" s="133"/>
      <c r="S790" s="133"/>
      <c r="T790" s="133"/>
      <c r="U790" s="133"/>
      <c r="V790" s="133"/>
      <c r="W790" s="133"/>
      <c r="X790" s="160"/>
      <c r="Y790" s="133"/>
      <c r="Z790" s="133"/>
      <c r="AA790" s="133"/>
      <c r="AB790" s="133"/>
      <c r="AC790" s="133"/>
      <c r="AD790" s="133"/>
      <c r="AE790" s="133"/>
      <c r="AF790" s="133"/>
      <c r="AG790" s="133"/>
      <c r="AH790" s="133"/>
      <c r="AI790" s="133"/>
      <c r="AJ790" s="133"/>
      <c r="AK790" s="133"/>
      <c r="AL790" s="132"/>
      <c r="AM790" s="132"/>
      <c r="AN790" s="104"/>
      <c r="AO790" s="104"/>
      <c r="AP790" s="104"/>
    </row>
    <row r="791">
      <c r="A791" s="132"/>
      <c r="B791" s="132"/>
      <c r="C791" s="132"/>
      <c r="D791" s="132"/>
      <c r="E791" s="133"/>
      <c r="F791" s="133"/>
      <c r="G791" s="133"/>
      <c r="H791" s="133"/>
      <c r="I791" s="133"/>
      <c r="J791" s="133"/>
      <c r="K791" s="133"/>
      <c r="L791" s="133"/>
      <c r="M791" s="133"/>
      <c r="N791" s="133"/>
      <c r="O791" s="133"/>
      <c r="P791" s="133"/>
      <c r="Q791" s="133"/>
      <c r="R791" s="133"/>
      <c r="S791" s="133"/>
      <c r="T791" s="133"/>
      <c r="U791" s="133"/>
      <c r="V791" s="133"/>
      <c r="W791" s="133"/>
      <c r="X791" s="160"/>
      <c r="Y791" s="133"/>
      <c r="Z791" s="133"/>
      <c r="AA791" s="133"/>
      <c r="AB791" s="133"/>
      <c r="AC791" s="133"/>
      <c r="AD791" s="133"/>
      <c r="AE791" s="133"/>
      <c r="AF791" s="133"/>
      <c r="AG791" s="133"/>
      <c r="AH791" s="133"/>
      <c r="AI791" s="133"/>
      <c r="AJ791" s="133"/>
      <c r="AK791" s="133"/>
      <c r="AL791" s="132"/>
      <c r="AM791" s="132"/>
      <c r="AN791" s="104"/>
      <c r="AO791" s="104"/>
      <c r="AP791" s="104"/>
    </row>
    <row r="792">
      <c r="A792" s="132"/>
      <c r="B792" s="132"/>
      <c r="C792" s="132"/>
      <c r="D792" s="132"/>
      <c r="E792" s="133"/>
      <c r="F792" s="133"/>
      <c r="G792" s="133"/>
      <c r="H792" s="133"/>
      <c r="I792" s="133"/>
      <c r="J792" s="133"/>
      <c r="K792" s="133"/>
      <c r="L792" s="133"/>
      <c r="M792" s="133"/>
      <c r="N792" s="133"/>
      <c r="O792" s="133"/>
      <c r="P792" s="133"/>
      <c r="Q792" s="133"/>
      <c r="R792" s="133"/>
      <c r="S792" s="133"/>
      <c r="T792" s="133"/>
      <c r="U792" s="133"/>
      <c r="V792" s="133"/>
      <c r="W792" s="133"/>
      <c r="X792" s="160"/>
      <c r="Y792" s="133"/>
      <c r="Z792" s="133"/>
      <c r="AA792" s="133"/>
      <c r="AB792" s="133"/>
      <c r="AC792" s="133"/>
      <c r="AD792" s="133"/>
      <c r="AE792" s="133"/>
      <c r="AF792" s="133"/>
      <c r="AG792" s="133"/>
      <c r="AH792" s="133"/>
      <c r="AI792" s="133"/>
      <c r="AJ792" s="133"/>
      <c r="AK792" s="133"/>
      <c r="AL792" s="132"/>
      <c r="AM792" s="132"/>
      <c r="AN792" s="104"/>
      <c r="AO792" s="104"/>
      <c r="AP792" s="104"/>
    </row>
    <row r="793">
      <c r="A793" s="132"/>
      <c r="B793" s="132"/>
      <c r="C793" s="132"/>
      <c r="D793" s="132"/>
      <c r="E793" s="133"/>
      <c r="F793" s="133"/>
      <c r="G793" s="133"/>
      <c r="H793" s="133"/>
      <c r="I793" s="133"/>
      <c r="J793" s="133"/>
      <c r="K793" s="133"/>
      <c r="L793" s="133"/>
      <c r="M793" s="133"/>
      <c r="N793" s="133"/>
      <c r="O793" s="133"/>
      <c r="P793" s="133"/>
      <c r="Q793" s="133"/>
      <c r="R793" s="133"/>
      <c r="S793" s="133"/>
      <c r="T793" s="133"/>
      <c r="U793" s="133"/>
      <c r="V793" s="133"/>
      <c r="W793" s="133"/>
      <c r="X793" s="160"/>
      <c r="Y793" s="133"/>
      <c r="Z793" s="133"/>
      <c r="AA793" s="133"/>
      <c r="AB793" s="133"/>
      <c r="AC793" s="133"/>
      <c r="AD793" s="133"/>
      <c r="AE793" s="133"/>
      <c r="AF793" s="133"/>
      <c r="AG793" s="133"/>
      <c r="AH793" s="133"/>
      <c r="AI793" s="133"/>
      <c r="AJ793" s="133"/>
      <c r="AK793" s="133"/>
      <c r="AL793" s="132"/>
      <c r="AM793" s="132"/>
      <c r="AN793" s="104"/>
      <c r="AO793" s="104"/>
      <c r="AP793" s="104"/>
    </row>
    <row r="794">
      <c r="A794" s="132"/>
      <c r="B794" s="132"/>
      <c r="C794" s="132"/>
      <c r="D794" s="132"/>
      <c r="E794" s="133"/>
      <c r="F794" s="133"/>
      <c r="G794" s="133"/>
      <c r="H794" s="133"/>
      <c r="I794" s="133"/>
      <c r="J794" s="133"/>
      <c r="K794" s="133"/>
      <c r="L794" s="133"/>
      <c r="M794" s="133"/>
      <c r="N794" s="133"/>
      <c r="O794" s="133"/>
      <c r="P794" s="133"/>
      <c r="Q794" s="133"/>
      <c r="R794" s="133"/>
      <c r="S794" s="133"/>
      <c r="T794" s="133"/>
      <c r="U794" s="133"/>
      <c r="V794" s="133"/>
      <c r="W794" s="133"/>
      <c r="X794" s="160"/>
      <c r="Y794" s="133"/>
      <c r="Z794" s="133"/>
      <c r="AA794" s="133"/>
      <c r="AB794" s="133"/>
      <c r="AC794" s="133"/>
      <c r="AD794" s="133"/>
      <c r="AE794" s="133"/>
      <c r="AF794" s="133"/>
      <c r="AG794" s="133"/>
      <c r="AH794" s="133"/>
      <c r="AI794" s="133"/>
      <c r="AJ794" s="133"/>
      <c r="AK794" s="133"/>
      <c r="AL794" s="132"/>
      <c r="AM794" s="132"/>
      <c r="AN794" s="104"/>
      <c r="AO794" s="104"/>
      <c r="AP794" s="104"/>
    </row>
    <row r="795">
      <c r="A795" s="132"/>
      <c r="B795" s="132"/>
      <c r="C795" s="132"/>
      <c r="D795" s="132"/>
      <c r="E795" s="133"/>
      <c r="F795" s="133"/>
      <c r="G795" s="133"/>
      <c r="H795" s="133"/>
      <c r="I795" s="133"/>
      <c r="J795" s="133"/>
      <c r="K795" s="133"/>
      <c r="L795" s="133"/>
      <c r="M795" s="133"/>
      <c r="N795" s="133"/>
      <c r="O795" s="133"/>
      <c r="P795" s="133"/>
      <c r="Q795" s="133"/>
      <c r="R795" s="133"/>
      <c r="S795" s="133"/>
      <c r="T795" s="133"/>
      <c r="U795" s="133"/>
      <c r="V795" s="133"/>
      <c r="W795" s="133"/>
      <c r="X795" s="160"/>
      <c r="Y795" s="133"/>
      <c r="Z795" s="133"/>
      <c r="AA795" s="133"/>
      <c r="AB795" s="133"/>
      <c r="AC795" s="133"/>
      <c r="AD795" s="133"/>
      <c r="AE795" s="133"/>
      <c r="AF795" s="133"/>
      <c r="AG795" s="133"/>
      <c r="AH795" s="133"/>
      <c r="AI795" s="133"/>
      <c r="AJ795" s="133"/>
      <c r="AK795" s="133"/>
      <c r="AL795" s="132"/>
      <c r="AM795" s="132"/>
      <c r="AN795" s="104"/>
      <c r="AO795" s="104"/>
      <c r="AP795" s="104"/>
    </row>
    <row r="796">
      <c r="A796" s="132"/>
      <c r="B796" s="132"/>
      <c r="C796" s="132"/>
      <c r="D796" s="132"/>
      <c r="E796" s="133"/>
      <c r="F796" s="133"/>
      <c r="G796" s="133"/>
      <c r="H796" s="133"/>
      <c r="I796" s="133"/>
      <c r="J796" s="133"/>
      <c r="K796" s="133"/>
      <c r="L796" s="133"/>
      <c r="M796" s="133"/>
      <c r="N796" s="133"/>
      <c r="O796" s="133"/>
      <c r="P796" s="133"/>
      <c r="Q796" s="133"/>
      <c r="R796" s="133"/>
      <c r="S796" s="133"/>
      <c r="T796" s="133"/>
      <c r="U796" s="133"/>
      <c r="V796" s="133"/>
      <c r="W796" s="133"/>
      <c r="X796" s="160"/>
      <c r="Y796" s="133"/>
      <c r="Z796" s="133"/>
      <c r="AA796" s="133"/>
      <c r="AB796" s="133"/>
      <c r="AC796" s="133"/>
      <c r="AD796" s="133"/>
      <c r="AE796" s="133"/>
      <c r="AF796" s="133"/>
      <c r="AG796" s="133"/>
      <c r="AH796" s="133"/>
      <c r="AI796" s="133"/>
      <c r="AJ796" s="133"/>
      <c r="AK796" s="133"/>
      <c r="AL796" s="132"/>
      <c r="AM796" s="132"/>
      <c r="AN796" s="104"/>
      <c r="AO796" s="104"/>
      <c r="AP796" s="104"/>
    </row>
    <row r="797">
      <c r="A797" s="132"/>
      <c r="B797" s="132"/>
      <c r="C797" s="132"/>
      <c r="D797" s="132"/>
      <c r="E797" s="133"/>
      <c r="F797" s="133"/>
      <c r="G797" s="133"/>
      <c r="H797" s="133"/>
      <c r="I797" s="133"/>
      <c r="J797" s="133"/>
      <c r="K797" s="133"/>
      <c r="L797" s="133"/>
      <c r="M797" s="133"/>
      <c r="N797" s="133"/>
      <c r="O797" s="133"/>
      <c r="P797" s="133"/>
      <c r="Q797" s="133"/>
      <c r="R797" s="133"/>
      <c r="S797" s="133"/>
      <c r="T797" s="133"/>
      <c r="U797" s="133"/>
      <c r="V797" s="133"/>
      <c r="W797" s="133"/>
      <c r="X797" s="160"/>
      <c r="Y797" s="133"/>
      <c r="Z797" s="133"/>
      <c r="AA797" s="133"/>
      <c r="AB797" s="133"/>
      <c r="AC797" s="133"/>
      <c r="AD797" s="133"/>
      <c r="AE797" s="133"/>
      <c r="AF797" s="133"/>
      <c r="AG797" s="133"/>
      <c r="AH797" s="133"/>
      <c r="AI797" s="133"/>
      <c r="AJ797" s="133"/>
      <c r="AK797" s="133"/>
      <c r="AL797" s="132"/>
      <c r="AM797" s="132"/>
      <c r="AN797" s="104"/>
      <c r="AO797" s="104"/>
      <c r="AP797" s="104"/>
    </row>
    <row r="798">
      <c r="A798" s="132"/>
      <c r="B798" s="132"/>
      <c r="C798" s="132"/>
      <c r="D798" s="132"/>
      <c r="E798" s="133"/>
      <c r="F798" s="133"/>
      <c r="G798" s="133"/>
      <c r="H798" s="133"/>
      <c r="I798" s="133"/>
      <c r="J798" s="133"/>
      <c r="K798" s="133"/>
      <c r="L798" s="133"/>
      <c r="M798" s="133"/>
      <c r="N798" s="133"/>
      <c r="O798" s="133"/>
      <c r="P798" s="133"/>
      <c r="Q798" s="133"/>
      <c r="R798" s="133"/>
      <c r="S798" s="133"/>
      <c r="T798" s="133"/>
      <c r="U798" s="133"/>
      <c r="V798" s="133"/>
      <c r="W798" s="133"/>
      <c r="X798" s="160"/>
      <c r="Y798" s="133"/>
      <c r="Z798" s="133"/>
      <c r="AA798" s="133"/>
      <c r="AB798" s="133"/>
      <c r="AC798" s="133"/>
      <c r="AD798" s="133"/>
      <c r="AE798" s="133"/>
      <c r="AF798" s="133"/>
      <c r="AG798" s="133"/>
      <c r="AH798" s="133"/>
      <c r="AI798" s="133"/>
      <c r="AJ798" s="133"/>
      <c r="AK798" s="133"/>
      <c r="AL798" s="132"/>
      <c r="AM798" s="132"/>
      <c r="AN798" s="104"/>
      <c r="AO798" s="104"/>
      <c r="AP798" s="104"/>
    </row>
    <row r="799">
      <c r="A799" s="132"/>
      <c r="B799" s="132"/>
      <c r="C799" s="132"/>
      <c r="D799" s="132"/>
      <c r="E799" s="133"/>
      <c r="F799" s="133"/>
      <c r="G799" s="133"/>
      <c r="H799" s="133"/>
      <c r="I799" s="133"/>
      <c r="J799" s="133"/>
      <c r="K799" s="133"/>
      <c r="L799" s="133"/>
      <c r="M799" s="133"/>
      <c r="N799" s="133"/>
      <c r="O799" s="133"/>
      <c r="P799" s="133"/>
      <c r="Q799" s="133"/>
      <c r="R799" s="133"/>
      <c r="S799" s="133"/>
      <c r="T799" s="133"/>
      <c r="U799" s="133"/>
      <c r="V799" s="133"/>
      <c r="W799" s="133"/>
      <c r="X799" s="160"/>
      <c r="Y799" s="133"/>
      <c r="Z799" s="133"/>
      <c r="AA799" s="133"/>
      <c r="AB799" s="133"/>
      <c r="AC799" s="133"/>
      <c r="AD799" s="133"/>
      <c r="AE799" s="133"/>
      <c r="AF799" s="133"/>
      <c r="AG799" s="133"/>
      <c r="AH799" s="133"/>
      <c r="AI799" s="133"/>
      <c r="AJ799" s="133"/>
      <c r="AK799" s="133"/>
      <c r="AL799" s="132"/>
      <c r="AM799" s="132"/>
      <c r="AN799" s="104"/>
      <c r="AO799" s="104"/>
      <c r="AP799" s="104"/>
    </row>
    <row r="800">
      <c r="A800" s="132"/>
      <c r="B800" s="132"/>
      <c r="C800" s="132"/>
      <c r="D800" s="132"/>
      <c r="E800" s="133"/>
      <c r="F800" s="133"/>
      <c r="G800" s="133"/>
      <c r="H800" s="133"/>
      <c r="I800" s="133"/>
      <c r="J800" s="133"/>
      <c r="K800" s="133"/>
      <c r="L800" s="133"/>
      <c r="M800" s="133"/>
      <c r="N800" s="133"/>
      <c r="O800" s="133"/>
      <c r="P800" s="133"/>
      <c r="Q800" s="133"/>
      <c r="R800" s="133"/>
      <c r="S800" s="133"/>
      <c r="T800" s="133"/>
      <c r="U800" s="133"/>
      <c r="V800" s="133"/>
      <c r="W800" s="133"/>
      <c r="X800" s="160"/>
      <c r="Y800" s="133"/>
      <c r="Z800" s="133"/>
      <c r="AA800" s="133"/>
      <c r="AB800" s="133"/>
      <c r="AC800" s="133"/>
      <c r="AD800" s="133"/>
      <c r="AE800" s="133"/>
      <c r="AF800" s="133"/>
      <c r="AG800" s="133"/>
      <c r="AH800" s="133"/>
      <c r="AI800" s="133"/>
      <c r="AJ800" s="133"/>
      <c r="AK800" s="133"/>
      <c r="AL800" s="132"/>
      <c r="AM800" s="132"/>
      <c r="AN800" s="104"/>
      <c r="AO800" s="104"/>
      <c r="AP800" s="104"/>
    </row>
    <row r="801">
      <c r="A801" s="132"/>
      <c r="B801" s="132"/>
      <c r="C801" s="132"/>
      <c r="D801" s="132"/>
      <c r="E801" s="133"/>
      <c r="F801" s="133"/>
      <c r="G801" s="133"/>
      <c r="H801" s="133"/>
      <c r="I801" s="133"/>
      <c r="J801" s="133"/>
      <c r="K801" s="133"/>
      <c r="L801" s="133"/>
      <c r="M801" s="133"/>
      <c r="N801" s="133"/>
      <c r="O801" s="133"/>
      <c r="P801" s="133"/>
      <c r="Q801" s="133"/>
      <c r="R801" s="133"/>
      <c r="S801" s="133"/>
      <c r="T801" s="133"/>
      <c r="U801" s="133"/>
      <c r="V801" s="133"/>
      <c r="W801" s="133"/>
      <c r="X801" s="160"/>
      <c r="Y801" s="133"/>
      <c r="Z801" s="133"/>
      <c r="AA801" s="133"/>
      <c r="AB801" s="133"/>
      <c r="AC801" s="133"/>
      <c r="AD801" s="133"/>
      <c r="AE801" s="133"/>
      <c r="AF801" s="133"/>
      <c r="AG801" s="133"/>
      <c r="AH801" s="133"/>
      <c r="AI801" s="133"/>
      <c r="AJ801" s="133"/>
      <c r="AK801" s="133"/>
      <c r="AL801" s="132"/>
      <c r="AM801" s="132"/>
      <c r="AN801" s="104"/>
      <c r="AO801" s="104"/>
      <c r="AP801" s="104"/>
    </row>
    <row r="802">
      <c r="A802" s="132"/>
      <c r="B802" s="132"/>
      <c r="C802" s="132"/>
      <c r="D802" s="132"/>
      <c r="E802" s="133"/>
      <c r="F802" s="133"/>
      <c r="G802" s="133"/>
      <c r="H802" s="133"/>
      <c r="I802" s="133"/>
      <c r="J802" s="133"/>
      <c r="K802" s="133"/>
      <c r="L802" s="133"/>
      <c r="M802" s="133"/>
      <c r="N802" s="133"/>
      <c r="O802" s="133"/>
      <c r="P802" s="133"/>
      <c r="Q802" s="133"/>
      <c r="R802" s="133"/>
      <c r="S802" s="133"/>
      <c r="T802" s="133"/>
      <c r="U802" s="133"/>
      <c r="V802" s="133"/>
      <c r="W802" s="133"/>
      <c r="X802" s="160"/>
      <c r="Y802" s="133"/>
      <c r="Z802" s="133"/>
      <c r="AA802" s="133"/>
      <c r="AB802" s="133"/>
      <c r="AC802" s="133"/>
      <c r="AD802" s="133"/>
      <c r="AE802" s="133"/>
      <c r="AF802" s="133"/>
      <c r="AG802" s="133"/>
      <c r="AH802" s="133"/>
      <c r="AI802" s="133"/>
      <c r="AJ802" s="133"/>
      <c r="AK802" s="133"/>
      <c r="AL802" s="132"/>
      <c r="AM802" s="132"/>
      <c r="AN802" s="104"/>
      <c r="AO802" s="104"/>
      <c r="AP802" s="104"/>
    </row>
    <row r="803">
      <c r="A803" s="132"/>
      <c r="B803" s="132"/>
      <c r="C803" s="132"/>
      <c r="D803" s="132"/>
      <c r="E803" s="133"/>
      <c r="F803" s="133"/>
      <c r="G803" s="133"/>
      <c r="H803" s="133"/>
      <c r="I803" s="133"/>
      <c r="J803" s="133"/>
      <c r="K803" s="133"/>
      <c r="L803" s="133"/>
      <c r="M803" s="133"/>
      <c r="N803" s="133"/>
      <c r="O803" s="133"/>
      <c r="P803" s="133"/>
      <c r="Q803" s="133"/>
      <c r="R803" s="133"/>
      <c r="S803" s="133"/>
      <c r="T803" s="133"/>
      <c r="U803" s="133"/>
      <c r="V803" s="133"/>
      <c r="W803" s="133"/>
      <c r="X803" s="160"/>
      <c r="Y803" s="133"/>
      <c r="Z803" s="133"/>
      <c r="AA803" s="133"/>
      <c r="AB803" s="133"/>
      <c r="AC803" s="133"/>
      <c r="AD803" s="133"/>
      <c r="AE803" s="133"/>
      <c r="AF803" s="133"/>
      <c r="AG803" s="133"/>
      <c r="AH803" s="133"/>
      <c r="AI803" s="133"/>
      <c r="AJ803" s="133"/>
      <c r="AK803" s="133"/>
      <c r="AL803" s="132"/>
      <c r="AM803" s="132"/>
      <c r="AN803" s="104"/>
      <c r="AO803" s="104"/>
      <c r="AP803" s="104"/>
    </row>
    <row r="804">
      <c r="A804" s="132"/>
      <c r="B804" s="132"/>
      <c r="C804" s="132"/>
      <c r="D804" s="132"/>
      <c r="E804" s="133"/>
      <c r="F804" s="133"/>
      <c r="G804" s="133"/>
      <c r="H804" s="133"/>
      <c r="I804" s="133"/>
      <c r="J804" s="133"/>
      <c r="K804" s="133"/>
      <c r="L804" s="133"/>
      <c r="M804" s="133"/>
      <c r="N804" s="133"/>
      <c r="O804" s="133"/>
      <c r="P804" s="133"/>
      <c r="Q804" s="133"/>
      <c r="R804" s="133"/>
      <c r="S804" s="133"/>
      <c r="T804" s="133"/>
      <c r="U804" s="133"/>
      <c r="V804" s="133"/>
      <c r="W804" s="133"/>
      <c r="X804" s="160"/>
      <c r="Y804" s="133"/>
      <c r="Z804" s="133"/>
      <c r="AA804" s="133"/>
      <c r="AB804" s="133"/>
      <c r="AC804" s="133"/>
      <c r="AD804" s="133"/>
      <c r="AE804" s="133"/>
      <c r="AF804" s="133"/>
      <c r="AG804" s="133"/>
      <c r="AH804" s="133"/>
      <c r="AI804" s="133"/>
      <c r="AJ804" s="133"/>
      <c r="AK804" s="133"/>
      <c r="AL804" s="132"/>
      <c r="AM804" s="132"/>
      <c r="AN804" s="104"/>
      <c r="AO804" s="104"/>
      <c r="AP804" s="104"/>
    </row>
    <row r="805">
      <c r="A805" s="132"/>
      <c r="B805" s="132"/>
      <c r="C805" s="132"/>
      <c r="D805" s="132"/>
      <c r="E805" s="133"/>
      <c r="F805" s="133"/>
      <c r="G805" s="133"/>
      <c r="H805" s="133"/>
      <c r="I805" s="133"/>
      <c r="J805" s="133"/>
      <c r="K805" s="133"/>
      <c r="L805" s="133"/>
      <c r="M805" s="133"/>
      <c r="N805" s="133"/>
      <c r="O805" s="133"/>
      <c r="P805" s="133"/>
      <c r="Q805" s="133"/>
      <c r="R805" s="133"/>
      <c r="S805" s="133"/>
      <c r="T805" s="133"/>
      <c r="U805" s="133"/>
      <c r="V805" s="133"/>
      <c r="W805" s="133"/>
      <c r="X805" s="160"/>
      <c r="Y805" s="133"/>
      <c r="Z805" s="133"/>
      <c r="AA805" s="133"/>
      <c r="AB805" s="133"/>
      <c r="AC805" s="133"/>
      <c r="AD805" s="133"/>
      <c r="AE805" s="133"/>
      <c r="AF805" s="133"/>
      <c r="AG805" s="133"/>
      <c r="AH805" s="133"/>
      <c r="AI805" s="133"/>
      <c r="AJ805" s="133"/>
      <c r="AK805" s="133"/>
      <c r="AL805" s="132"/>
      <c r="AM805" s="132"/>
      <c r="AN805" s="104"/>
      <c r="AO805" s="104"/>
      <c r="AP805" s="104"/>
    </row>
    <row r="806">
      <c r="A806" s="132"/>
      <c r="B806" s="132"/>
      <c r="C806" s="132"/>
      <c r="D806" s="132"/>
      <c r="E806" s="133"/>
      <c r="F806" s="133"/>
      <c r="G806" s="133"/>
      <c r="H806" s="133"/>
      <c r="I806" s="133"/>
      <c r="J806" s="133"/>
      <c r="K806" s="133"/>
      <c r="L806" s="133"/>
      <c r="M806" s="133"/>
      <c r="N806" s="133"/>
      <c r="O806" s="133"/>
      <c r="P806" s="133"/>
      <c r="Q806" s="133"/>
      <c r="R806" s="133"/>
      <c r="S806" s="133"/>
      <c r="T806" s="133"/>
      <c r="U806" s="133"/>
      <c r="V806" s="133"/>
      <c r="W806" s="133"/>
      <c r="X806" s="160"/>
      <c r="Y806" s="133"/>
      <c r="Z806" s="133"/>
      <c r="AA806" s="133"/>
      <c r="AB806" s="133"/>
      <c r="AC806" s="133"/>
      <c r="AD806" s="133"/>
      <c r="AE806" s="133"/>
      <c r="AF806" s="133"/>
      <c r="AG806" s="133"/>
      <c r="AH806" s="133"/>
      <c r="AI806" s="133"/>
      <c r="AJ806" s="133"/>
      <c r="AK806" s="133"/>
      <c r="AL806" s="132"/>
      <c r="AM806" s="132"/>
      <c r="AN806" s="104"/>
      <c r="AO806" s="104"/>
      <c r="AP806" s="104"/>
    </row>
    <row r="807">
      <c r="A807" s="132"/>
      <c r="B807" s="132"/>
      <c r="C807" s="132"/>
      <c r="D807" s="132"/>
      <c r="E807" s="133"/>
      <c r="F807" s="133"/>
      <c r="G807" s="133"/>
      <c r="H807" s="133"/>
      <c r="I807" s="133"/>
      <c r="J807" s="133"/>
      <c r="K807" s="133"/>
      <c r="L807" s="133"/>
      <c r="M807" s="133"/>
      <c r="N807" s="133"/>
      <c r="O807" s="133"/>
      <c r="P807" s="133"/>
      <c r="Q807" s="133"/>
      <c r="R807" s="133"/>
      <c r="S807" s="133"/>
      <c r="T807" s="133"/>
      <c r="U807" s="133"/>
      <c r="V807" s="133"/>
      <c r="W807" s="133"/>
      <c r="X807" s="160"/>
      <c r="Y807" s="133"/>
      <c r="Z807" s="133"/>
      <c r="AA807" s="133"/>
      <c r="AB807" s="133"/>
      <c r="AC807" s="133"/>
      <c r="AD807" s="133"/>
      <c r="AE807" s="133"/>
      <c r="AF807" s="133"/>
      <c r="AG807" s="133"/>
      <c r="AH807" s="133"/>
      <c r="AI807" s="133"/>
      <c r="AJ807" s="133"/>
      <c r="AK807" s="133"/>
      <c r="AL807" s="132"/>
      <c r="AM807" s="132"/>
      <c r="AN807" s="104"/>
      <c r="AO807" s="104"/>
      <c r="AP807" s="104"/>
    </row>
    <row r="808">
      <c r="A808" s="132"/>
      <c r="B808" s="132"/>
      <c r="C808" s="132"/>
      <c r="D808" s="132"/>
      <c r="E808" s="133"/>
      <c r="F808" s="133"/>
      <c r="G808" s="133"/>
      <c r="H808" s="133"/>
      <c r="I808" s="133"/>
      <c r="J808" s="133"/>
      <c r="K808" s="133"/>
      <c r="L808" s="133"/>
      <c r="M808" s="133"/>
      <c r="N808" s="133"/>
      <c r="O808" s="133"/>
      <c r="P808" s="133"/>
      <c r="Q808" s="133"/>
      <c r="R808" s="133"/>
      <c r="S808" s="133"/>
      <c r="T808" s="133"/>
      <c r="U808" s="133"/>
      <c r="V808" s="133"/>
      <c r="W808" s="133"/>
      <c r="X808" s="160"/>
      <c r="Y808" s="133"/>
      <c r="Z808" s="133"/>
      <c r="AA808" s="133"/>
      <c r="AB808" s="133"/>
      <c r="AC808" s="133"/>
      <c r="AD808" s="133"/>
      <c r="AE808" s="133"/>
      <c r="AF808" s="133"/>
      <c r="AG808" s="133"/>
      <c r="AH808" s="133"/>
      <c r="AI808" s="133"/>
      <c r="AJ808" s="133"/>
      <c r="AK808" s="133"/>
      <c r="AL808" s="132"/>
      <c r="AM808" s="132"/>
      <c r="AN808" s="104"/>
      <c r="AO808" s="104"/>
      <c r="AP808" s="104"/>
    </row>
    <row r="809">
      <c r="A809" s="132"/>
      <c r="B809" s="132"/>
      <c r="C809" s="132"/>
      <c r="D809" s="132"/>
      <c r="E809" s="133"/>
      <c r="F809" s="133"/>
      <c r="G809" s="133"/>
      <c r="H809" s="133"/>
      <c r="I809" s="133"/>
      <c r="J809" s="133"/>
      <c r="K809" s="133"/>
      <c r="L809" s="133"/>
      <c r="M809" s="133"/>
      <c r="N809" s="133"/>
      <c r="O809" s="133"/>
      <c r="P809" s="133"/>
      <c r="Q809" s="133"/>
      <c r="R809" s="133"/>
      <c r="S809" s="133"/>
      <c r="T809" s="133"/>
      <c r="U809" s="133"/>
      <c r="V809" s="133"/>
      <c r="W809" s="133"/>
      <c r="X809" s="160"/>
      <c r="Y809" s="133"/>
      <c r="Z809" s="133"/>
      <c r="AA809" s="133"/>
      <c r="AB809" s="133"/>
      <c r="AC809" s="133"/>
      <c r="AD809" s="133"/>
      <c r="AE809" s="133"/>
      <c r="AF809" s="133"/>
      <c r="AG809" s="133"/>
      <c r="AH809" s="133"/>
      <c r="AI809" s="133"/>
      <c r="AJ809" s="133"/>
      <c r="AK809" s="133"/>
      <c r="AL809" s="132"/>
      <c r="AM809" s="132"/>
      <c r="AN809" s="104"/>
      <c r="AO809" s="104"/>
      <c r="AP809" s="104"/>
    </row>
    <row r="810">
      <c r="A810" s="132"/>
      <c r="B810" s="132"/>
      <c r="C810" s="132"/>
      <c r="D810" s="132"/>
      <c r="E810" s="133"/>
      <c r="F810" s="133"/>
      <c r="G810" s="133"/>
      <c r="H810" s="133"/>
      <c r="I810" s="133"/>
      <c r="J810" s="133"/>
      <c r="K810" s="133"/>
      <c r="L810" s="133"/>
      <c r="M810" s="133"/>
      <c r="N810" s="133"/>
      <c r="O810" s="133"/>
      <c r="P810" s="133"/>
      <c r="Q810" s="133"/>
      <c r="R810" s="133"/>
      <c r="S810" s="133"/>
      <c r="T810" s="133"/>
      <c r="U810" s="133"/>
      <c r="V810" s="133"/>
      <c r="W810" s="133"/>
      <c r="X810" s="160"/>
      <c r="Y810" s="133"/>
      <c r="Z810" s="133"/>
      <c r="AA810" s="133"/>
      <c r="AB810" s="133"/>
      <c r="AC810" s="133"/>
      <c r="AD810" s="133"/>
      <c r="AE810" s="133"/>
      <c r="AF810" s="133"/>
      <c r="AG810" s="133"/>
      <c r="AH810" s="133"/>
      <c r="AI810" s="133"/>
      <c r="AJ810" s="133"/>
      <c r="AK810" s="133"/>
      <c r="AL810" s="132"/>
      <c r="AM810" s="132"/>
      <c r="AN810" s="104"/>
      <c r="AO810" s="104"/>
      <c r="AP810" s="104"/>
    </row>
    <row r="811">
      <c r="A811" s="132"/>
      <c r="B811" s="132"/>
      <c r="C811" s="132"/>
      <c r="D811" s="132"/>
      <c r="E811" s="133"/>
      <c r="F811" s="133"/>
      <c r="G811" s="133"/>
      <c r="H811" s="133"/>
      <c r="I811" s="133"/>
      <c r="J811" s="133"/>
      <c r="K811" s="133"/>
      <c r="L811" s="133"/>
      <c r="M811" s="133"/>
      <c r="N811" s="133"/>
      <c r="O811" s="133"/>
      <c r="P811" s="133"/>
      <c r="Q811" s="133"/>
      <c r="R811" s="133"/>
      <c r="S811" s="133"/>
      <c r="T811" s="133"/>
      <c r="U811" s="133"/>
      <c r="V811" s="133"/>
      <c r="W811" s="133"/>
      <c r="X811" s="160"/>
      <c r="Y811" s="133"/>
      <c r="Z811" s="133"/>
      <c r="AA811" s="133"/>
      <c r="AB811" s="133"/>
      <c r="AC811" s="133"/>
      <c r="AD811" s="133"/>
      <c r="AE811" s="133"/>
      <c r="AF811" s="133"/>
      <c r="AG811" s="133"/>
      <c r="AH811" s="133"/>
      <c r="AI811" s="133"/>
      <c r="AJ811" s="133"/>
      <c r="AK811" s="133"/>
      <c r="AL811" s="132"/>
      <c r="AM811" s="132"/>
      <c r="AN811" s="104"/>
      <c r="AO811" s="104"/>
      <c r="AP811" s="104"/>
    </row>
    <row r="812">
      <c r="A812" s="132"/>
      <c r="B812" s="132"/>
      <c r="C812" s="132"/>
      <c r="D812" s="132"/>
      <c r="E812" s="133"/>
      <c r="F812" s="133"/>
      <c r="G812" s="133"/>
      <c r="H812" s="133"/>
      <c r="I812" s="133"/>
      <c r="J812" s="133"/>
      <c r="K812" s="133"/>
      <c r="L812" s="133"/>
      <c r="M812" s="133"/>
      <c r="N812" s="133"/>
      <c r="O812" s="133"/>
      <c r="P812" s="133"/>
      <c r="Q812" s="133"/>
      <c r="R812" s="133"/>
      <c r="S812" s="133"/>
      <c r="T812" s="133"/>
      <c r="U812" s="133"/>
      <c r="V812" s="133"/>
      <c r="W812" s="133"/>
      <c r="X812" s="160"/>
      <c r="Y812" s="133"/>
      <c r="Z812" s="133"/>
      <c r="AA812" s="133"/>
      <c r="AB812" s="133"/>
      <c r="AC812" s="133"/>
      <c r="AD812" s="133"/>
      <c r="AE812" s="133"/>
      <c r="AF812" s="133"/>
      <c r="AG812" s="133"/>
      <c r="AH812" s="133"/>
      <c r="AI812" s="133"/>
      <c r="AJ812" s="133"/>
      <c r="AK812" s="133"/>
      <c r="AL812" s="132"/>
      <c r="AM812" s="132"/>
      <c r="AN812" s="104"/>
      <c r="AO812" s="104"/>
      <c r="AP812" s="104"/>
    </row>
    <row r="813">
      <c r="A813" s="132"/>
      <c r="B813" s="132"/>
      <c r="C813" s="132"/>
      <c r="D813" s="132"/>
      <c r="E813" s="133"/>
      <c r="F813" s="133"/>
      <c r="G813" s="133"/>
      <c r="H813" s="133"/>
      <c r="I813" s="133"/>
      <c r="J813" s="133"/>
      <c r="K813" s="133"/>
      <c r="L813" s="133"/>
      <c r="M813" s="133"/>
      <c r="N813" s="133"/>
      <c r="O813" s="133"/>
      <c r="P813" s="133"/>
      <c r="Q813" s="133"/>
      <c r="R813" s="133"/>
      <c r="S813" s="133"/>
      <c r="T813" s="133"/>
      <c r="U813" s="133"/>
      <c r="V813" s="133"/>
      <c r="W813" s="133"/>
      <c r="X813" s="160"/>
      <c r="Y813" s="133"/>
      <c r="Z813" s="133"/>
      <c r="AA813" s="133"/>
      <c r="AB813" s="133"/>
      <c r="AC813" s="133"/>
      <c r="AD813" s="133"/>
      <c r="AE813" s="133"/>
      <c r="AF813" s="133"/>
      <c r="AG813" s="133"/>
      <c r="AH813" s="133"/>
      <c r="AI813" s="133"/>
      <c r="AJ813" s="133"/>
      <c r="AK813" s="133"/>
      <c r="AL813" s="132"/>
      <c r="AM813" s="132"/>
      <c r="AN813" s="104"/>
      <c r="AO813" s="104"/>
      <c r="AP813" s="104"/>
    </row>
    <row r="814">
      <c r="A814" s="132"/>
      <c r="B814" s="132"/>
      <c r="C814" s="132"/>
      <c r="D814" s="132"/>
      <c r="E814" s="133"/>
      <c r="F814" s="133"/>
      <c r="G814" s="133"/>
      <c r="H814" s="133"/>
      <c r="I814" s="133"/>
      <c r="J814" s="133"/>
      <c r="K814" s="133"/>
      <c r="L814" s="133"/>
      <c r="M814" s="133"/>
      <c r="N814" s="133"/>
      <c r="O814" s="133"/>
      <c r="P814" s="133"/>
      <c r="Q814" s="133"/>
      <c r="R814" s="133"/>
      <c r="S814" s="133"/>
      <c r="T814" s="133"/>
      <c r="U814" s="133"/>
      <c r="V814" s="133"/>
      <c r="W814" s="133"/>
      <c r="X814" s="160"/>
      <c r="Y814" s="133"/>
      <c r="Z814" s="133"/>
      <c r="AA814" s="133"/>
      <c r="AB814" s="133"/>
      <c r="AC814" s="133"/>
      <c r="AD814" s="133"/>
      <c r="AE814" s="133"/>
      <c r="AF814" s="133"/>
      <c r="AG814" s="133"/>
      <c r="AH814" s="133"/>
      <c r="AI814" s="133"/>
      <c r="AJ814" s="133"/>
      <c r="AK814" s="133"/>
      <c r="AL814" s="132"/>
      <c r="AM814" s="132"/>
      <c r="AN814" s="104"/>
      <c r="AO814" s="104"/>
      <c r="AP814" s="104"/>
    </row>
    <row r="815">
      <c r="A815" s="132"/>
      <c r="B815" s="132"/>
      <c r="C815" s="132"/>
      <c r="D815" s="132"/>
      <c r="E815" s="133"/>
      <c r="F815" s="133"/>
      <c r="G815" s="133"/>
      <c r="H815" s="133"/>
      <c r="I815" s="133"/>
      <c r="J815" s="133"/>
      <c r="K815" s="133"/>
      <c r="L815" s="133"/>
      <c r="M815" s="133"/>
      <c r="N815" s="133"/>
      <c r="O815" s="133"/>
      <c r="P815" s="133"/>
      <c r="Q815" s="133"/>
      <c r="R815" s="133"/>
      <c r="S815" s="133"/>
      <c r="T815" s="133"/>
      <c r="U815" s="133"/>
      <c r="V815" s="133"/>
      <c r="W815" s="133"/>
      <c r="X815" s="160"/>
      <c r="Y815" s="133"/>
      <c r="Z815" s="133"/>
      <c r="AA815" s="133"/>
      <c r="AB815" s="133"/>
      <c r="AC815" s="133"/>
      <c r="AD815" s="133"/>
      <c r="AE815" s="133"/>
      <c r="AF815" s="133"/>
      <c r="AG815" s="133"/>
      <c r="AH815" s="133"/>
      <c r="AI815" s="133"/>
      <c r="AJ815" s="133"/>
      <c r="AK815" s="133"/>
      <c r="AL815" s="132"/>
      <c r="AM815" s="132"/>
      <c r="AN815" s="104"/>
      <c r="AO815" s="104"/>
      <c r="AP815" s="104"/>
    </row>
    <row r="816">
      <c r="A816" s="132"/>
      <c r="B816" s="132"/>
      <c r="C816" s="132"/>
      <c r="D816" s="132"/>
      <c r="E816" s="133"/>
      <c r="F816" s="133"/>
      <c r="G816" s="133"/>
      <c r="H816" s="133"/>
      <c r="I816" s="133"/>
      <c r="J816" s="133"/>
      <c r="K816" s="133"/>
      <c r="L816" s="133"/>
      <c r="M816" s="133"/>
      <c r="N816" s="133"/>
      <c r="O816" s="133"/>
      <c r="P816" s="133"/>
      <c r="Q816" s="133"/>
      <c r="R816" s="133"/>
      <c r="S816" s="133"/>
      <c r="T816" s="133"/>
      <c r="U816" s="133"/>
      <c r="V816" s="133"/>
      <c r="W816" s="133"/>
      <c r="X816" s="160"/>
      <c r="Y816" s="133"/>
      <c r="Z816" s="133"/>
      <c r="AA816" s="133"/>
      <c r="AB816" s="133"/>
      <c r="AC816" s="133"/>
      <c r="AD816" s="133"/>
      <c r="AE816" s="133"/>
      <c r="AF816" s="133"/>
      <c r="AG816" s="133"/>
      <c r="AH816" s="133"/>
      <c r="AI816" s="133"/>
      <c r="AJ816" s="133"/>
      <c r="AK816" s="133"/>
      <c r="AL816" s="132"/>
      <c r="AM816" s="132"/>
      <c r="AN816" s="104"/>
      <c r="AO816" s="104"/>
      <c r="AP816" s="104"/>
    </row>
    <row r="817">
      <c r="A817" s="132"/>
      <c r="B817" s="132"/>
      <c r="C817" s="132"/>
      <c r="D817" s="132"/>
      <c r="E817" s="133"/>
      <c r="F817" s="133"/>
      <c r="G817" s="133"/>
      <c r="H817" s="133"/>
      <c r="I817" s="133"/>
      <c r="J817" s="133"/>
      <c r="K817" s="133"/>
      <c r="L817" s="133"/>
      <c r="M817" s="133"/>
      <c r="N817" s="133"/>
      <c r="O817" s="133"/>
      <c r="P817" s="133"/>
      <c r="Q817" s="133"/>
      <c r="R817" s="133"/>
      <c r="S817" s="133"/>
      <c r="T817" s="133"/>
      <c r="U817" s="133"/>
      <c r="V817" s="133"/>
      <c r="W817" s="133"/>
      <c r="X817" s="160"/>
      <c r="Y817" s="133"/>
      <c r="Z817" s="133"/>
      <c r="AA817" s="133"/>
      <c r="AB817" s="133"/>
      <c r="AC817" s="133"/>
      <c r="AD817" s="133"/>
      <c r="AE817" s="133"/>
      <c r="AF817" s="133"/>
      <c r="AG817" s="133"/>
      <c r="AH817" s="133"/>
      <c r="AI817" s="133"/>
      <c r="AJ817" s="133"/>
      <c r="AK817" s="133"/>
      <c r="AL817" s="132"/>
      <c r="AM817" s="132"/>
      <c r="AN817" s="104"/>
      <c r="AO817" s="104"/>
      <c r="AP817" s="104"/>
    </row>
    <row r="818">
      <c r="A818" s="132"/>
      <c r="B818" s="132"/>
      <c r="C818" s="132"/>
      <c r="D818" s="132"/>
      <c r="E818" s="133"/>
      <c r="F818" s="133"/>
      <c r="G818" s="133"/>
      <c r="H818" s="133"/>
      <c r="I818" s="133"/>
      <c r="J818" s="133"/>
      <c r="K818" s="133"/>
      <c r="L818" s="133"/>
      <c r="M818" s="133"/>
      <c r="N818" s="133"/>
      <c r="O818" s="133"/>
      <c r="P818" s="133"/>
      <c r="Q818" s="133"/>
      <c r="R818" s="133"/>
      <c r="S818" s="133"/>
      <c r="T818" s="133"/>
      <c r="U818" s="133"/>
      <c r="V818" s="133"/>
      <c r="W818" s="133"/>
      <c r="X818" s="160"/>
      <c r="Y818" s="133"/>
      <c r="Z818" s="133"/>
      <c r="AA818" s="133"/>
      <c r="AB818" s="133"/>
      <c r="AC818" s="133"/>
      <c r="AD818" s="133"/>
      <c r="AE818" s="133"/>
      <c r="AF818" s="133"/>
      <c r="AG818" s="133"/>
      <c r="AH818" s="133"/>
      <c r="AI818" s="133"/>
      <c r="AJ818" s="133"/>
      <c r="AK818" s="133"/>
      <c r="AL818" s="132"/>
      <c r="AM818" s="132"/>
      <c r="AN818" s="104"/>
      <c r="AO818" s="104"/>
      <c r="AP818" s="104"/>
    </row>
    <row r="819">
      <c r="A819" s="132"/>
      <c r="B819" s="132"/>
      <c r="C819" s="132"/>
      <c r="D819" s="132"/>
      <c r="E819" s="133"/>
      <c r="F819" s="133"/>
      <c r="G819" s="133"/>
      <c r="H819" s="133"/>
      <c r="I819" s="133"/>
      <c r="J819" s="133"/>
      <c r="K819" s="133"/>
      <c r="L819" s="133"/>
      <c r="M819" s="133"/>
      <c r="N819" s="133"/>
      <c r="O819" s="133"/>
      <c r="P819" s="133"/>
      <c r="Q819" s="133"/>
      <c r="R819" s="133"/>
      <c r="S819" s="133"/>
      <c r="T819" s="133"/>
      <c r="U819" s="133"/>
      <c r="V819" s="133"/>
      <c r="W819" s="133"/>
      <c r="X819" s="160"/>
      <c r="Y819" s="133"/>
      <c r="Z819" s="133"/>
      <c r="AA819" s="133"/>
      <c r="AB819" s="133"/>
      <c r="AC819" s="133"/>
      <c r="AD819" s="133"/>
      <c r="AE819" s="133"/>
      <c r="AF819" s="133"/>
      <c r="AG819" s="133"/>
      <c r="AH819" s="133"/>
      <c r="AI819" s="133"/>
      <c r="AJ819" s="133"/>
      <c r="AK819" s="133"/>
      <c r="AL819" s="132"/>
      <c r="AM819" s="132"/>
      <c r="AN819" s="104"/>
      <c r="AO819" s="104"/>
      <c r="AP819" s="104"/>
    </row>
    <row r="820">
      <c r="A820" s="132"/>
      <c r="B820" s="132"/>
      <c r="C820" s="132"/>
      <c r="D820" s="132"/>
      <c r="E820" s="133"/>
      <c r="F820" s="133"/>
      <c r="G820" s="133"/>
      <c r="H820" s="133"/>
      <c r="I820" s="133"/>
      <c r="J820" s="133"/>
      <c r="K820" s="133"/>
      <c r="L820" s="133"/>
      <c r="M820" s="133"/>
      <c r="N820" s="133"/>
      <c r="O820" s="133"/>
      <c r="P820" s="133"/>
      <c r="Q820" s="133"/>
      <c r="R820" s="133"/>
      <c r="S820" s="133"/>
      <c r="T820" s="133"/>
      <c r="U820" s="133"/>
      <c r="V820" s="133"/>
      <c r="W820" s="133"/>
      <c r="X820" s="160"/>
      <c r="Y820" s="133"/>
      <c r="Z820" s="133"/>
      <c r="AA820" s="133"/>
      <c r="AB820" s="133"/>
      <c r="AC820" s="133"/>
      <c r="AD820" s="133"/>
      <c r="AE820" s="133"/>
      <c r="AF820" s="133"/>
      <c r="AG820" s="133"/>
      <c r="AH820" s="133"/>
      <c r="AI820" s="133"/>
      <c r="AJ820" s="133"/>
      <c r="AK820" s="133"/>
      <c r="AL820" s="132"/>
      <c r="AM820" s="132"/>
      <c r="AN820" s="104"/>
      <c r="AO820" s="104"/>
      <c r="AP820" s="104"/>
    </row>
    <row r="821">
      <c r="A821" s="132"/>
      <c r="B821" s="132"/>
      <c r="C821" s="132"/>
      <c r="D821" s="132"/>
      <c r="E821" s="133"/>
      <c r="F821" s="133"/>
      <c r="G821" s="133"/>
      <c r="H821" s="133"/>
      <c r="I821" s="133"/>
      <c r="J821" s="133"/>
      <c r="K821" s="133"/>
      <c r="L821" s="133"/>
      <c r="M821" s="133"/>
      <c r="N821" s="133"/>
      <c r="O821" s="133"/>
      <c r="P821" s="133"/>
      <c r="Q821" s="133"/>
      <c r="R821" s="133"/>
      <c r="S821" s="133"/>
      <c r="T821" s="133"/>
      <c r="U821" s="133"/>
      <c r="V821" s="133"/>
      <c r="W821" s="133"/>
      <c r="X821" s="160"/>
      <c r="Y821" s="133"/>
      <c r="Z821" s="133"/>
      <c r="AA821" s="133"/>
      <c r="AB821" s="133"/>
      <c r="AC821" s="133"/>
      <c r="AD821" s="133"/>
      <c r="AE821" s="133"/>
      <c r="AF821" s="133"/>
      <c r="AG821" s="133"/>
      <c r="AH821" s="133"/>
      <c r="AI821" s="133"/>
      <c r="AJ821" s="133"/>
      <c r="AK821" s="133"/>
      <c r="AL821" s="132"/>
      <c r="AM821" s="132"/>
      <c r="AN821" s="104"/>
      <c r="AO821" s="104"/>
      <c r="AP821" s="104"/>
    </row>
    <row r="822">
      <c r="A822" s="132"/>
      <c r="B822" s="132"/>
      <c r="C822" s="132"/>
      <c r="D822" s="132"/>
      <c r="E822" s="133"/>
      <c r="F822" s="133"/>
      <c r="G822" s="133"/>
      <c r="H822" s="133"/>
      <c r="I822" s="133"/>
      <c r="J822" s="133"/>
      <c r="K822" s="133"/>
      <c r="L822" s="133"/>
      <c r="M822" s="133"/>
      <c r="N822" s="133"/>
      <c r="O822" s="133"/>
      <c r="P822" s="133"/>
      <c r="Q822" s="133"/>
      <c r="R822" s="133"/>
      <c r="S822" s="133"/>
      <c r="T822" s="133"/>
      <c r="U822" s="133"/>
      <c r="V822" s="133"/>
      <c r="W822" s="133"/>
      <c r="X822" s="160"/>
      <c r="Y822" s="133"/>
      <c r="Z822" s="133"/>
      <c r="AA822" s="133"/>
      <c r="AB822" s="133"/>
      <c r="AC822" s="133"/>
      <c r="AD822" s="133"/>
      <c r="AE822" s="133"/>
      <c r="AF822" s="133"/>
      <c r="AG822" s="133"/>
      <c r="AH822" s="133"/>
      <c r="AI822" s="133"/>
      <c r="AJ822" s="133"/>
      <c r="AK822" s="133"/>
      <c r="AL822" s="132"/>
      <c r="AM822" s="132"/>
      <c r="AN822" s="104"/>
      <c r="AO822" s="104"/>
      <c r="AP822" s="104"/>
    </row>
    <row r="823">
      <c r="A823" s="132"/>
      <c r="B823" s="132"/>
      <c r="C823" s="132"/>
      <c r="D823" s="132"/>
      <c r="E823" s="133"/>
      <c r="F823" s="133"/>
      <c r="G823" s="133"/>
      <c r="H823" s="133"/>
      <c r="I823" s="133"/>
      <c r="J823" s="133"/>
      <c r="K823" s="133"/>
      <c r="L823" s="133"/>
      <c r="M823" s="133"/>
      <c r="N823" s="133"/>
      <c r="O823" s="133"/>
      <c r="P823" s="133"/>
      <c r="Q823" s="133"/>
      <c r="R823" s="133"/>
      <c r="S823" s="133"/>
      <c r="T823" s="133"/>
      <c r="U823" s="133"/>
      <c r="V823" s="133"/>
      <c r="W823" s="133"/>
      <c r="X823" s="160"/>
      <c r="Y823" s="133"/>
      <c r="Z823" s="133"/>
      <c r="AA823" s="133"/>
      <c r="AB823" s="133"/>
      <c r="AC823" s="133"/>
      <c r="AD823" s="133"/>
      <c r="AE823" s="133"/>
      <c r="AF823" s="133"/>
      <c r="AG823" s="133"/>
      <c r="AH823" s="133"/>
      <c r="AI823" s="133"/>
      <c r="AJ823" s="133"/>
      <c r="AK823" s="133"/>
      <c r="AL823" s="132"/>
      <c r="AM823" s="132"/>
      <c r="AN823" s="104"/>
      <c r="AO823" s="104"/>
      <c r="AP823" s="104"/>
    </row>
    <row r="824">
      <c r="A824" s="132"/>
      <c r="B824" s="132"/>
      <c r="C824" s="132"/>
      <c r="D824" s="132"/>
      <c r="E824" s="133"/>
      <c r="F824" s="133"/>
      <c r="G824" s="133"/>
      <c r="H824" s="133"/>
      <c r="I824" s="133"/>
      <c r="J824" s="133"/>
      <c r="K824" s="133"/>
      <c r="L824" s="133"/>
      <c r="M824" s="133"/>
      <c r="N824" s="133"/>
      <c r="O824" s="133"/>
      <c r="P824" s="133"/>
      <c r="Q824" s="133"/>
      <c r="R824" s="133"/>
      <c r="S824" s="133"/>
      <c r="T824" s="133"/>
      <c r="U824" s="133"/>
      <c r="V824" s="133"/>
      <c r="W824" s="133"/>
      <c r="X824" s="160"/>
      <c r="Y824" s="133"/>
      <c r="Z824" s="133"/>
      <c r="AA824" s="133"/>
      <c r="AB824" s="133"/>
      <c r="AC824" s="133"/>
      <c r="AD824" s="133"/>
      <c r="AE824" s="133"/>
      <c r="AF824" s="133"/>
      <c r="AG824" s="133"/>
      <c r="AH824" s="133"/>
      <c r="AI824" s="133"/>
      <c r="AJ824" s="133"/>
      <c r="AK824" s="133"/>
      <c r="AL824" s="132"/>
      <c r="AM824" s="132"/>
      <c r="AN824" s="104"/>
      <c r="AO824" s="104"/>
      <c r="AP824" s="104"/>
    </row>
    <row r="825">
      <c r="A825" s="132"/>
      <c r="B825" s="132"/>
      <c r="C825" s="132"/>
      <c r="D825" s="132"/>
      <c r="E825" s="133"/>
      <c r="F825" s="133"/>
      <c r="G825" s="133"/>
      <c r="H825" s="133"/>
      <c r="I825" s="133"/>
      <c r="J825" s="133"/>
      <c r="K825" s="133"/>
      <c r="L825" s="133"/>
      <c r="M825" s="133"/>
      <c r="N825" s="133"/>
      <c r="O825" s="133"/>
      <c r="P825" s="133"/>
      <c r="Q825" s="133"/>
      <c r="R825" s="133"/>
      <c r="S825" s="133"/>
      <c r="T825" s="133"/>
      <c r="U825" s="133"/>
      <c r="V825" s="133"/>
      <c r="W825" s="133"/>
      <c r="X825" s="160"/>
      <c r="Y825" s="133"/>
      <c r="Z825" s="133"/>
      <c r="AA825" s="133"/>
      <c r="AB825" s="133"/>
      <c r="AC825" s="133"/>
      <c r="AD825" s="133"/>
      <c r="AE825" s="133"/>
      <c r="AF825" s="133"/>
      <c r="AG825" s="133"/>
      <c r="AH825" s="133"/>
      <c r="AI825" s="133"/>
      <c r="AJ825" s="133"/>
      <c r="AK825" s="133"/>
      <c r="AL825" s="132"/>
      <c r="AM825" s="132"/>
      <c r="AN825" s="104"/>
      <c r="AO825" s="104"/>
      <c r="AP825" s="104"/>
    </row>
    <row r="826">
      <c r="A826" s="132"/>
      <c r="B826" s="132"/>
      <c r="C826" s="132"/>
      <c r="D826" s="132"/>
      <c r="E826" s="133"/>
      <c r="F826" s="133"/>
      <c r="G826" s="133"/>
      <c r="H826" s="133"/>
      <c r="I826" s="133"/>
      <c r="J826" s="133"/>
      <c r="K826" s="133"/>
      <c r="L826" s="133"/>
      <c r="M826" s="133"/>
      <c r="N826" s="133"/>
      <c r="O826" s="133"/>
      <c r="P826" s="133"/>
      <c r="Q826" s="133"/>
      <c r="R826" s="133"/>
      <c r="S826" s="133"/>
      <c r="T826" s="133"/>
      <c r="U826" s="133"/>
      <c r="V826" s="133"/>
      <c r="W826" s="133"/>
      <c r="X826" s="160"/>
      <c r="Y826" s="133"/>
      <c r="Z826" s="133"/>
      <c r="AA826" s="133"/>
      <c r="AB826" s="133"/>
      <c r="AC826" s="133"/>
      <c r="AD826" s="133"/>
      <c r="AE826" s="133"/>
      <c r="AF826" s="133"/>
      <c r="AG826" s="133"/>
      <c r="AH826" s="133"/>
      <c r="AI826" s="133"/>
      <c r="AJ826" s="133"/>
      <c r="AK826" s="133"/>
      <c r="AL826" s="132"/>
      <c r="AM826" s="132"/>
      <c r="AN826" s="104"/>
      <c r="AO826" s="104"/>
      <c r="AP826" s="104"/>
    </row>
    <row r="827">
      <c r="A827" s="132"/>
      <c r="B827" s="132"/>
      <c r="C827" s="132"/>
      <c r="D827" s="132"/>
      <c r="E827" s="133"/>
      <c r="F827" s="133"/>
      <c r="G827" s="133"/>
      <c r="H827" s="133"/>
      <c r="I827" s="133"/>
      <c r="J827" s="133"/>
      <c r="K827" s="133"/>
      <c r="L827" s="133"/>
      <c r="M827" s="133"/>
      <c r="N827" s="133"/>
      <c r="O827" s="133"/>
      <c r="P827" s="133"/>
      <c r="Q827" s="133"/>
      <c r="R827" s="133"/>
      <c r="S827" s="133"/>
      <c r="T827" s="133"/>
      <c r="U827" s="133"/>
      <c r="V827" s="133"/>
      <c r="W827" s="133"/>
      <c r="X827" s="160"/>
      <c r="Y827" s="133"/>
      <c r="Z827" s="133"/>
      <c r="AA827" s="133"/>
      <c r="AB827" s="133"/>
      <c r="AC827" s="133"/>
      <c r="AD827" s="133"/>
      <c r="AE827" s="133"/>
      <c r="AF827" s="133"/>
      <c r="AG827" s="133"/>
      <c r="AH827" s="133"/>
      <c r="AI827" s="133"/>
      <c r="AJ827" s="133"/>
      <c r="AK827" s="133"/>
      <c r="AL827" s="132"/>
      <c r="AM827" s="132"/>
      <c r="AN827" s="104"/>
      <c r="AO827" s="104"/>
      <c r="AP827" s="104"/>
    </row>
    <row r="828">
      <c r="A828" s="132"/>
      <c r="B828" s="132"/>
      <c r="C828" s="132"/>
      <c r="D828" s="132"/>
      <c r="E828" s="133"/>
      <c r="F828" s="133"/>
      <c r="G828" s="133"/>
      <c r="H828" s="133"/>
      <c r="I828" s="133"/>
      <c r="J828" s="133"/>
      <c r="K828" s="133"/>
      <c r="L828" s="133"/>
      <c r="M828" s="133"/>
      <c r="N828" s="133"/>
      <c r="O828" s="133"/>
      <c r="P828" s="133"/>
      <c r="Q828" s="133"/>
      <c r="R828" s="133"/>
      <c r="S828" s="133"/>
      <c r="T828" s="133"/>
      <c r="U828" s="133"/>
      <c r="V828" s="133"/>
      <c r="W828" s="133"/>
      <c r="X828" s="160"/>
      <c r="Y828" s="133"/>
      <c r="Z828" s="133"/>
      <c r="AA828" s="133"/>
      <c r="AB828" s="133"/>
      <c r="AC828" s="133"/>
      <c r="AD828" s="133"/>
      <c r="AE828" s="133"/>
      <c r="AF828" s="133"/>
      <c r="AG828" s="133"/>
      <c r="AH828" s="133"/>
      <c r="AI828" s="133"/>
      <c r="AJ828" s="133"/>
      <c r="AK828" s="133"/>
      <c r="AL828" s="132"/>
      <c r="AM828" s="132"/>
      <c r="AN828" s="104"/>
      <c r="AO828" s="104"/>
      <c r="AP828" s="104"/>
    </row>
    <row r="829">
      <c r="A829" s="132"/>
      <c r="B829" s="132"/>
      <c r="C829" s="132"/>
      <c r="D829" s="132"/>
      <c r="E829" s="133"/>
      <c r="F829" s="133"/>
      <c r="G829" s="133"/>
      <c r="H829" s="133"/>
      <c r="I829" s="133"/>
      <c r="J829" s="133"/>
      <c r="K829" s="133"/>
      <c r="L829" s="133"/>
      <c r="M829" s="133"/>
      <c r="N829" s="133"/>
      <c r="O829" s="133"/>
      <c r="P829" s="133"/>
      <c r="Q829" s="133"/>
      <c r="R829" s="133"/>
      <c r="S829" s="133"/>
      <c r="T829" s="133"/>
      <c r="U829" s="133"/>
      <c r="V829" s="133"/>
      <c r="W829" s="133"/>
      <c r="X829" s="160"/>
      <c r="Y829" s="133"/>
      <c r="Z829" s="133"/>
      <c r="AA829" s="133"/>
      <c r="AB829" s="133"/>
      <c r="AC829" s="133"/>
      <c r="AD829" s="133"/>
      <c r="AE829" s="133"/>
      <c r="AF829" s="133"/>
      <c r="AG829" s="133"/>
      <c r="AH829" s="133"/>
      <c r="AI829" s="133"/>
      <c r="AJ829" s="133"/>
      <c r="AK829" s="133"/>
      <c r="AL829" s="132"/>
      <c r="AM829" s="132"/>
      <c r="AN829" s="104"/>
      <c r="AO829" s="104"/>
      <c r="AP829" s="104"/>
    </row>
    <row r="830">
      <c r="A830" s="132"/>
      <c r="B830" s="132"/>
      <c r="C830" s="132"/>
      <c r="D830" s="132"/>
      <c r="E830" s="133"/>
      <c r="F830" s="133"/>
      <c r="G830" s="133"/>
      <c r="H830" s="133"/>
      <c r="I830" s="133"/>
      <c r="J830" s="133"/>
      <c r="K830" s="133"/>
      <c r="L830" s="133"/>
      <c r="M830" s="133"/>
      <c r="N830" s="133"/>
      <c r="O830" s="133"/>
      <c r="P830" s="133"/>
      <c r="Q830" s="133"/>
      <c r="R830" s="133"/>
      <c r="S830" s="133"/>
      <c r="T830" s="133"/>
      <c r="U830" s="133"/>
      <c r="V830" s="133"/>
      <c r="W830" s="133"/>
      <c r="X830" s="160"/>
      <c r="Y830" s="133"/>
      <c r="Z830" s="133"/>
      <c r="AA830" s="133"/>
      <c r="AB830" s="133"/>
      <c r="AC830" s="133"/>
      <c r="AD830" s="133"/>
      <c r="AE830" s="133"/>
      <c r="AF830" s="133"/>
      <c r="AG830" s="133"/>
      <c r="AH830" s="133"/>
      <c r="AI830" s="133"/>
      <c r="AJ830" s="133"/>
      <c r="AK830" s="133"/>
      <c r="AL830" s="132"/>
      <c r="AM830" s="132"/>
      <c r="AN830" s="104"/>
      <c r="AO830" s="104"/>
      <c r="AP830" s="104"/>
    </row>
    <row r="831">
      <c r="A831" s="132"/>
      <c r="B831" s="132"/>
      <c r="C831" s="132"/>
      <c r="D831" s="132"/>
      <c r="E831" s="133"/>
      <c r="F831" s="133"/>
      <c r="G831" s="133"/>
      <c r="H831" s="133"/>
      <c r="I831" s="133"/>
      <c r="J831" s="133"/>
      <c r="K831" s="133"/>
      <c r="L831" s="133"/>
      <c r="M831" s="133"/>
      <c r="N831" s="133"/>
      <c r="O831" s="133"/>
      <c r="P831" s="133"/>
      <c r="Q831" s="133"/>
      <c r="R831" s="133"/>
      <c r="S831" s="133"/>
      <c r="T831" s="133"/>
      <c r="U831" s="133"/>
      <c r="V831" s="133"/>
      <c r="W831" s="133"/>
      <c r="X831" s="160"/>
      <c r="Y831" s="133"/>
      <c r="Z831" s="133"/>
      <c r="AA831" s="133"/>
      <c r="AB831" s="133"/>
      <c r="AC831" s="133"/>
      <c r="AD831" s="133"/>
      <c r="AE831" s="133"/>
      <c r="AF831" s="133"/>
      <c r="AG831" s="133"/>
      <c r="AH831" s="133"/>
      <c r="AI831" s="133"/>
      <c r="AJ831" s="133"/>
      <c r="AK831" s="133"/>
      <c r="AL831" s="132"/>
      <c r="AM831" s="132"/>
      <c r="AN831" s="104"/>
      <c r="AO831" s="104"/>
      <c r="AP831" s="104"/>
    </row>
    <row r="832">
      <c r="A832" s="132"/>
      <c r="B832" s="132"/>
      <c r="C832" s="132"/>
      <c r="D832" s="132"/>
      <c r="E832" s="133"/>
      <c r="F832" s="133"/>
      <c r="G832" s="133"/>
      <c r="H832" s="133"/>
      <c r="I832" s="133"/>
      <c r="J832" s="133"/>
      <c r="K832" s="133"/>
      <c r="L832" s="133"/>
      <c r="M832" s="133"/>
      <c r="N832" s="133"/>
      <c r="O832" s="133"/>
      <c r="P832" s="133"/>
      <c r="Q832" s="133"/>
      <c r="R832" s="133"/>
      <c r="S832" s="133"/>
      <c r="T832" s="133"/>
      <c r="U832" s="133"/>
      <c r="V832" s="133"/>
      <c r="W832" s="133"/>
      <c r="X832" s="160"/>
      <c r="Y832" s="133"/>
      <c r="Z832" s="133"/>
      <c r="AA832" s="133"/>
      <c r="AB832" s="133"/>
      <c r="AC832" s="133"/>
      <c r="AD832" s="133"/>
      <c r="AE832" s="133"/>
      <c r="AF832" s="133"/>
      <c r="AG832" s="133"/>
      <c r="AH832" s="133"/>
      <c r="AI832" s="133"/>
      <c r="AJ832" s="133"/>
      <c r="AK832" s="133"/>
      <c r="AL832" s="132"/>
      <c r="AM832" s="132"/>
      <c r="AN832" s="104"/>
      <c r="AO832" s="104"/>
      <c r="AP832" s="104"/>
    </row>
    <row r="833">
      <c r="A833" s="132"/>
      <c r="B833" s="132"/>
      <c r="C833" s="132"/>
      <c r="D833" s="132"/>
      <c r="E833" s="133"/>
      <c r="F833" s="133"/>
      <c r="G833" s="133"/>
      <c r="H833" s="133"/>
      <c r="I833" s="133"/>
      <c r="J833" s="133"/>
      <c r="K833" s="133"/>
      <c r="L833" s="133"/>
      <c r="M833" s="133"/>
      <c r="N833" s="133"/>
      <c r="O833" s="133"/>
      <c r="P833" s="133"/>
      <c r="Q833" s="133"/>
      <c r="R833" s="133"/>
      <c r="S833" s="133"/>
      <c r="T833" s="133"/>
      <c r="U833" s="133"/>
      <c r="V833" s="133"/>
      <c r="W833" s="133"/>
      <c r="X833" s="160"/>
      <c r="Y833" s="133"/>
      <c r="Z833" s="133"/>
      <c r="AA833" s="133"/>
      <c r="AB833" s="133"/>
      <c r="AC833" s="133"/>
      <c r="AD833" s="133"/>
      <c r="AE833" s="133"/>
      <c r="AF833" s="133"/>
      <c r="AG833" s="133"/>
      <c r="AH833" s="133"/>
      <c r="AI833" s="133"/>
      <c r="AJ833" s="133"/>
      <c r="AK833" s="133"/>
      <c r="AL833" s="132"/>
      <c r="AM833" s="132"/>
      <c r="AN833" s="104"/>
      <c r="AO833" s="104"/>
      <c r="AP833" s="104"/>
    </row>
    <row r="834">
      <c r="A834" s="132"/>
      <c r="B834" s="132"/>
      <c r="C834" s="132"/>
      <c r="D834" s="132"/>
      <c r="E834" s="133"/>
      <c r="F834" s="133"/>
      <c r="G834" s="133"/>
      <c r="H834" s="133"/>
      <c r="I834" s="133"/>
      <c r="J834" s="133"/>
      <c r="K834" s="133"/>
      <c r="L834" s="133"/>
      <c r="M834" s="133"/>
      <c r="N834" s="133"/>
      <c r="O834" s="133"/>
      <c r="P834" s="133"/>
      <c r="Q834" s="133"/>
      <c r="R834" s="133"/>
      <c r="S834" s="133"/>
      <c r="T834" s="133"/>
      <c r="U834" s="133"/>
      <c r="V834" s="133"/>
      <c r="W834" s="133"/>
      <c r="X834" s="160"/>
      <c r="Y834" s="133"/>
      <c r="Z834" s="133"/>
      <c r="AA834" s="133"/>
      <c r="AB834" s="133"/>
      <c r="AC834" s="133"/>
      <c r="AD834" s="133"/>
      <c r="AE834" s="133"/>
      <c r="AF834" s="133"/>
      <c r="AG834" s="133"/>
      <c r="AH834" s="133"/>
      <c r="AI834" s="133"/>
      <c r="AJ834" s="133"/>
      <c r="AK834" s="133"/>
      <c r="AL834" s="132"/>
      <c r="AM834" s="132"/>
      <c r="AN834" s="104"/>
      <c r="AO834" s="104"/>
      <c r="AP834" s="104"/>
    </row>
    <row r="835">
      <c r="A835" s="132"/>
      <c r="B835" s="132"/>
      <c r="C835" s="132"/>
      <c r="D835" s="132"/>
      <c r="E835" s="133"/>
      <c r="F835" s="133"/>
      <c r="G835" s="133"/>
      <c r="H835" s="133"/>
      <c r="I835" s="133"/>
      <c r="J835" s="133"/>
      <c r="K835" s="133"/>
      <c r="L835" s="133"/>
      <c r="M835" s="133"/>
      <c r="N835" s="133"/>
      <c r="O835" s="133"/>
      <c r="P835" s="133"/>
      <c r="Q835" s="133"/>
      <c r="R835" s="133"/>
      <c r="S835" s="133"/>
      <c r="T835" s="133"/>
      <c r="U835" s="133"/>
      <c r="V835" s="133"/>
      <c r="W835" s="133"/>
      <c r="X835" s="160"/>
      <c r="Y835" s="133"/>
      <c r="Z835" s="133"/>
      <c r="AA835" s="133"/>
      <c r="AB835" s="133"/>
      <c r="AC835" s="133"/>
      <c r="AD835" s="133"/>
      <c r="AE835" s="133"/>
      <c r="AF835" s="133"/>
      <c r="AG835" s="133"/>
      <c r="AH835" s="133"/>
      <c r="AI835" s="133"/>
      <c r="AJ835" s="133"/>
      <c r="AK835" s="133"/>
      <c r="AL835" s="132"/>
      <c r="AM835" s="132"/>
      <c r="AN835" s="104"/>
      <c r="AO835" s="104"/>
      <c r="AP835" s="104"/>
    </row>
    <row r="836">
      <c r="A836" s="132"/>
      <c r="B836" s="132"/>
      <c r="C836" s="132"/>
      <c r="D836" s="132"/>
      <c r="E836" s="133"/>
      <c r="F836" s="133"/>
      <c r="G836" s="133"/>
      <c r="H836" s="133"/>
      <c r="I836" s="133"/>
      <c r="J836" s="133"/>
      <c r="K836" s="133"/>
      <c r="L836" s="133"/>
      <c r="M836" s="133"/>
      <c r="N836" s="133"/>
      <c r="O836" s="133"/>
      <c r="P836" s="133"/>
      <c r="Q836" s="133"/>
      <c r="R836" s="133"/>
      <c r="S836" s="133"/>
      <c r="T836" s="133"/>
      <c r="U836" s="133"/>
      <c r="V836" s="133"/>
      <c r="W836" s="133"/>
      <c r="X836" s="160"/>
      <c r="Y836" s="133"/>
      <c r="Z836" s="133"/>
      <c r="AA836" s="133"/>
      <c r="AB836" s="133"/>
      <c r="AC836" s="133"/>
      <c r="AD836" s="133"/>
      <c r="AE836" s="133"/>
      <c r="AF836" s="133"/>
      <c r="AG836" s="133"/>
      <c r="AH836" s="133"/>
      <c r="AI836" s="133"/>
      <c r="AJ836" s="133"/>
      <c r="AK836" s="133"/>
      <c r="AL836" s="132"/>
      <c r="AM836" s="132"/>
      <c r="AN836" s="104"/>
      <c r="AO836" s="104"/>
      <c r="AP836" s="104"/>
    </row>
    <row r="837">
      <c r="A837" s="132"/>
      <c r="B837" s="132"/>
      <c r="C837" s="132"/>
      <c r="D837" s="132"/>
      <c r="E837" s="133"/>
      <c r="F837" s="133"/>
      <c r="G837" s="133"/>
      <c r="H837" s="133"/>
      <c r="I837" s="133"/>
      <c r="J837" s="133"/>
      <c r="K837" s="133"/>
      <c r="L837" s="133"/>
      <c r="M837" s="133"/>
      <c r="N837" s="133"/>
      <c r="O837" s="133"/>
      <c r="P837" s="133"/>
      <c r="Q837" s="133"/>
      <c r="R837" s="133"/>
      <c r="S837" s="133"/>
      <c r="T837" s="133"/>
      <c r="U837" s="133"/>
      <c r="V837" s="133"/>
      <c r="W837" s="133"/>
      <c r="X837" s="160"/>
      <c r="Y837" s="133"/>
      <c r="Z837" s="133"/>
      <c r="AA837" s="133"/>
      <c r="AB837" s="133"/>
      <c r="AC837" s="133"/>
      <c r="AD837" s="133"/>
      <c r="AE837" s="133"/>
      <c r="AF837" s="133"/>
      <c r="AG837" s="133"/>
      <c r="AH837" s="133"/>
      <c r="AI837" s="133"/>
      <c r="AJ837" s="133"/>
      <c r="AK837" s="133"/>
      <c r="AL837" s="132"/>
      <c r="AM837" s="132"/>
      <c r="AN837" s="104"/>
      <c r="AO837" s="104"/>
      <c r="AP837" s="104"/>
    </row>
    <row r="838">
      <c r="A838" s="132"/>
      <c r="B838" s="132"/>
      <c r="C838" s="132"/>
      <c r="D838" s="132"/>
      <c r="E838" s="133"/>
      <c r="F838" s="133"/>
      <c r="G838" s="133"/>
      <c r="H838" s="133"/>
      <c r="I838" s="133"/>
      <c r="J838" s="133"/>
      <c r="K838" s="133"/>
      <c r="L838" s="133"/>
      <c r="M838" s="133"/>
      <c r="N838" s="133"/>
      <c r="O838" s="133"/>
      <c r="P838" s="133"/>
      <c r="Q838" s="133"/>
      <c r="R838" s="133"/>
      <c r="S838" s="133"/>
      <c r="T838" s="133"/>
      <c r="U838" s="133"/>
      <c r="V838" s="133"/>
      <c r="W838" s="133"/>
      <c r="X838" s="160"/>
      <c r="Y838" s="133"/>
      <c r="Z838" s="133"/>
      <c r="AA838" s="133"/>
      <c r="AB838" s="133"/>
      <c r="AC838" s="133"/>
      <c r="AD838" s="133"/>
      <c r="AE838" s="133"/>
      <c r="AF838" s="133"/>
      <c r="AG838" s="133"/>
      <c r="AH838" s="133"/>
      <c r="AI838" s="133"/>
      <c r="AJ838" s="133"/>
      <c r="AK838" s="133"/>
      <c r="AL838" s="132"/>
      <c r="AM838" s="132"/>
      <c r="AN838" s="104"/>
      <c r="AO838" s="104"/>
      <c r="AP838" s="104"/>
    </row>
    <row r="839">
      <c r="A839" s="132"/>
      <c r="B839" s="132"/>
      <c r="C839" s="132"/>
      <c r="D839" s="132"/>
      <c r="E839" s="133"/>
      <c r="F839" s="133"/>
      <c r="G839" s="133"/>
      <c r="H839" s="133"/>
      <c r="I839" s="133"/>
      <c r="J839" s="133"/>
      <c r="K839" s="133"/>
      <c r="L839" s="133"/>
      <c r="M839" s="133"/>
      <c r="N839" s="133"/>
      <c r="O839" s="133"/>
      <c r="P839" s="133"/>
      <c r="Q839" s="133"/>
      <c r="R839" s="133"/>
      <c r="S839" s="133"/>
      <c r="T839" s="133"/>
      <c r="U839" s="133"/>
      <c r="V839" s="133"/>
      <c r="W839" s="133"/>
      <c r="X839" s="160"/>
      <c r="Y839" s="133"/>
      <c r="Z839" s="133"/>
      <c r="AA839" s="133"/>
      <c r="AB839" s="133"/>
      <c r="AC839" s="133"/>
      <c r="AD839" s="133"/>
      <c r="AE839" s="133"/>
      <c r="AF839" s="133"/>
      <c r="AG839" s="133"/>
      <c r="AH839" s="133"/>
      <c r="AI839" s="133"/>
      <c r="AJ839" s="133"/>
      <c r="AK839" s="133"/>
      <c r="AL839" s="132"/>
      <c r="AM839" s="132"/>
      <c r="AN839" s="104"/>
      <c r="AO839" s="104"/>
      <c r="AP839" s="104"/>
    </row>
    <row r="840">
      <c r="A840" s="132"/>
      <c r="B840" s="132"/>
      <c r="C840" s="132"/>
      <c r="D840" s="132"/>
      <c r="E840" s="133"/>
      <c r="F840" s="133"/>
      <c r="G840" s="133"/>
      <c r="H840" s="133"/>
      <c r="I840" s="133"/>
      <c r="J840" s="133"/>
      <c r="K840" s="133"/>
      <c r="L840" s="133"/>
      <c r="M840" s="133"/>
      <c r="N840" s="133"/>
      <c r="O840" s="133"/>
      <c r="P840" s="133"/>
      <c r="Q840" s="133"/>
      <c r="R840" s="133"/>
      <c r="S840" s="133"/>
      <c r="T840" s="133"/>
      <c r="U840" s="133"/>
      <c r="V840" s="133"/>
      <c r="W840" s="133"/>
      <c r="X840" s="160"/>
      <c r="Y840" s="133"/>
      <c r="Z840" s="133"/>
      <c r="AA840" s="133"/>
      <c r="AB840" s="133"/>
      <c r="AC840" s="133"/>
      <c r="AD840" s="133"/>
      <c r="AE840" s="133"/>
      <c r="AF840" s="133"/>
      <c r="AG840" s="133"/>
      <c r="AH840" s="133"/>
      <c r="AI840" s="133"/>
      <c r="AJ840" s="133"/>
      <c r="AK840" s="133"/>
      <c r="AL840" s="132"/>
      <c r="AM840" s="132"/>
      <c r="AN840" s="104"/>
      <c r="AO840" s="104"/>
      <c r="AP840" s="104"/>
    </row>
    <row r="841">
      <c r="A841" s="132"/>
      <c r="B841" s="132"/>
      <c r="C841" s="132"/>
      <c r="D841" s="132"/>
      <c r="E841" s="133"/>
      <c r="F841" s="133"/>
      <c r="G841" s="133"/>
      <c r="H841" s="133"/>
      <c r="I841" s="133"/>
      <c r="J841" s="133"/>
      <c r="K841" s="133"/>
      <c r="L841" s="133"/>
      <c r="M841" s="133"/>
      <c r="N841" s="133"/>
      <c r="O841" s="133"/>
      <c r="P841" s="133"/>
      <c r="Q841" s="133"/>
      <c r="R841" s="133"/>
      <c r="S841" s="133"/>
      <c r="T841" s="133"/>
      <c r="U841" s="133"/>
      <c r="V841" s="133"/>
      <c r="W841" s="133"/>
      <c r="X841" s="160"/>
      <c r="Y841" s="133"/>
      <c r="Z841" s="133"/>
      <c r="AA841" s="133"/>
      <c r="AB841" s="133"/>
      <c r="AC841" s="133"/>
      <c r="AD841" s="133"/>
      <c r="AE841" s="133"/>
      <c r="AF841" s="133"/>
      <c r="AG841" s="133"/>
      <c r="AH841" s="133"/>
      <c r="AI841" s="133"/>
      <c r="AJ841" s="133"/>
      <c r="AK841" s="133"/>
      <c r="AL841" s="132"/>
      <c r="AM841" s="132"/>
      <c r="AN841" s="104"/>
      <c r="AO841" s="104"/>
      <c r="AP841" s="104"/>
    </row>
    <row r="842">
      <c r="A842" s="132"/>
      <c r="B842" s="132"/>
      <c r="C842" s="132"/>
      <c r="D842" s="132"/>
      <c r="E842" s="133"/>
      <c r="F842" s="133"/>
      <c r="G842" s="133"/>
      <c r="H842" s="133"/>
      <c r="I842" s="133"/>
      <c r="J842" s="133"/>
      <c r="K842" s="133"/>
      <c r="L842" s="133"/>
      <c r="M842" s="133"/>
      <c r="N842" s="133"/>
      <c r="O842" s="133"/>
      <c r="P842" s="133"/>
      <c r="Q842" s="133"/>
      <c r="R842" s="133"/>
      <c r="S842" s="133"/>
      <c r="T842" s="133"/>
      <c r="U842" s="133"/>
      <c r="V842" s="133"/>
      <c r="W842" s="133"/>
      <c r="X842" s="160"/>
      <c r="Y842" s="133"/>
      <c r="Z842" s="133"/>
      <c r="AA842" s="133"/>
      <c r="AB842" s="133"/>
      <c r="AC842" s="133"/>
      <c r="AD842" s="133"/>
      <c r="AE842" s="133"/>
      <c r="AF842" s="133"/>
      <c r="AG842" s="133"/>
      <c r="AH842" s="133"/>
      <c r="AI842" s="133"/>
      <c r="AJ842" s="133"/>
      <c r="AK842" s="133"/>
      <c r="AL842" s="132"/>
      <c r="AM842" s="132"/>
      <c r="AN842" s="104"/>
      <c r="AO842" s="104"/>
      <c r="AP842" s="104"/>
    </row>
    <row r="843">
      <c r="A843" s="132"/>
      <c r="B843" s="132"/>
      <c r="C843" s="132"/>
      <c r="D843" s="132"/>
      <c r="E843" s="133"/>
      <c r="F843" s="133"/>
      <c r="G843" s="133"/>
      <c r="H843" s="133"/>
      <c r="I843" s="133"/>
      <c r="J843" s="133"/>
      <c r="K843" s="133"/>
      <c r="L843" s="133"/>
      <c r="M843" s="133"/>
      <c r="N843" s="133"/>
      <c r="O843" s="133"/>
      <c r="P843" s="133"/>
      <c r="Q843" s="133"/>
      <c r="R843" s="133"/>
      <c r="S843" s="133"/>
      <c r="T843" s="133"/>
      <c r="U843" s="133"/>
      <c r="V843" s="133"/>
      <c r="W843" s="133"/>
      <c r="X843" s="160"/>
      <c r="Y843" s="133"/>
      <c r="Z843" s="133"/>
      <c r="AA843" s="133"/>
      <c r="AB843" s="133"/>
      <c r="AC843" s="133"/>
      <c r="AD843" s="133"/>
      <c r="AE843" s="133"/>
      <c r="AF843" s="133"/>
      <c r="AG843" s="133"/>
      <c r="AH843" s="133"/>
      <c r="AI843" s="133"/>
      <c r="AJ843" s="133"/>
      <c r="AK843" s="133"/>
      <c r="AL843" s="132"/>
      <c r="AM843" s="132"/>
      <c r="AN843" s="104"/>
      <c r="AO843" s="104"/>
      <c r="AP843" s="104"/>
    </row>
    <row r="844">
      <c r="A844" s="132"/>
      <c r="B844" s="132"/>
      <c r="C844" s="132"/>
      <c r="D844" s="132"/>
      <c r="E844" s="133"/>
      <c r="F844" s="133"/>
      <c r="G844" s="133"/>
      <c r="H844" s="133"/>
      <c r="I844" s="133"/>
      <c r="J844" s="133"/>
      <c r="K844" s="133"/>
      <c r="L844" s="133"/>
      <c r="M844" s="133"/>
      <c r="N844" s="133"/>
      <c r="O844" s="133"/>
      <c r="P844" s="133"/>
      <c r="Q844" s="133"/>
      <c r="R844" s="133"/>
      <c r="S844" s="133"/>
      <c r="T844" s="133"/>
      <c r="U844" s="133"/>
      <c r="V844" s="133"/>
      <c r="W844" s="133"/>
      <c r="X844" s="160"/>
      <c r="Y844" s="133"/>
      <c r="Z844" s="133"/>
      <c r="AA844" s="133"/>
      <c r="AB844" s="133"/>
      <c r="AC844" s="133"/>
      <c r="AD844" s="133"/>
      <c r="AE844" s="133"/>
      <c r="AF844" s="133"/>
      <c r="AG844" s="133"/>
      <c r="AH844" s="133"/>
      <c r="AI844" s="133"/>
      <c r="AJ844" s="133"/>
      <c r="AK844" s="133"/>
      <c r="AL844" s="132"/>
      <c r="AM844" s="132"/>
      <c r="AN844" s="104"/>
      <c r="AO844" s="104"/>
      <c r="AP844" s="104"/>
    </row>
    <row r="845">
      <c r="A845" s="132"/>
      <c r="B845" s="132"/>
      <c r="C845" s="132"/>
      <c r="D845" s="132"/>
      <c r="E845" s="133"/>
      <c r="F845" s="133"/>
      <c r="G845" s="133"/>
      <c r="H845" s="133"/>
      <c r="I845" s="133"/>
      <c r="J845" s="133"/>
      <c r="K845" s="133"/>
      <c r="L845" s="133"/>
      <c r="M845" s="133"/>
      <c r="N845" s="133"/>
      <c r="O845" s="133"/>
      <c r="P845" s="133"/>
      <c r="Q845" s="133"/>
      <c r="R845" s="133"/>
      <c r="S845" s="133"/>
      <c r="T845" s="133"/>
      <c r="U845" s="133"/>
      <c r="V845" s="133"/>
      <c r="W845" s="133"/>
      <c r="X845" s="160"/>
      <c r="Y845" s="133"/>
      <c r="Z845" s="133"/>
      <c r="AA845" s="133"/>
      <c r="AB845" s="133"/>
      <c r="AC845" s="133"/>
      <c r="AD845" s="133"/>
      <c r="AE845" s="133"/>
      <c r="AF845" s="133"/>
      <c r="AG845" s="133"/>
      <c r="AH845" s="133"/>
      <c r="AI845" s="133"/>
      <c r="AJ845" s="133"/>
      <c r="AK845" s="133"/>
      <c r="AL845" s="132"/>
      <c r="AM845" s="132"/>
      <c r="AN845" s="104"/>
      <c r="AO845" s="104"/>
      <c r="AP845" s="104"/>
    </row>
    <row r="846">
      <c r="A846" s="132"/>
      <c r="B846" s="132"/>
      <c r="C846" s="132"/>
      <c r="D846" s="132"/>
      <c r="E846" s="133"/>
      <c r="F846" s="133"/>
      <c r="G846" s="133"/>
      <c r="H846" s="133"/>
      <c r="I846" s="133"/>
      <c r="J846" s="133"/>
      <c r="K846" s="133"/>
      <c r="L846" s="133"/>
      <c r="M846" s="133"/>
      <c r="N846" s="133"/>
      <c r="O846" s="133"/>
      <c r="P846" s="133"/>
      <c r="Q846" s="133"/>
      <c r="R846" s="133"/>
      <c r="S846" s="133"/>
      <c r="T846" s="133"/>
      <c r="U846" s="133"/>
      <c r="V846" s="133"/>
      <c r="W846" s="133"/>
      <c r="X846" s="160"/>
      <c r="Y846" s="133"/>
      <c r="Z846" s="133"/>
      <c r="AA846" s="133"/>
      <c r="AB846" s="133"/>
      <c r="AC846" s="133"/>
      <c r="AD846" s="133"/>
      <c r="AE846" s="133"/>
      <c r="AF846" s="133"/>
      <c r="AG846" s="133"/>
      <c r="AH846" s="133"/>
      <c r="AI846" s="133"/>
      <c r="AJ846" s="133"/>
      <c r="AK846" s="133"/>
      <c r="AL846" s="132"/>
      <c r="AM846" s="132"/>
      <c r="AN846" s="104"/>
      <c r="AO846" s="104"/>
      <c r="AP846" s="104"/>
    </row>
    <row r="847">
      <c r="A847" s="132"/>
      <c r="B847" s="132"/>
      <c r="C847" s="132"/>
      <c r="D847" s="132"/>
      <c r="E847" s="133"/>
      <c r="F847" s="133"/>
      <c r="G847" s="133"/>
      <c r="H847" s="133"/>
      <c r="I847" s="133"/>
      <c r="J847" s="133"/>
      <c r="K847" s="133"/>
      <c r="L847" s="133"/>
      <c r="M847" s="133"/>
      <c r="N847" s="133"/>
      <c r="O847" s="133"/>
      <c r="P847" s="133"/>
      <c r="Q847" s="133"/>
      <c r="R847" s="133"/>
      <c r="S847" s="133"/>
      <c r="T847" s="133"/>
      <c r="U847" s="133"/>
      <c r="V847" s="133"/>
      <c r="W847" s="133"/>
      <c r="X847" s="160"/>
      <c r="Y847" s="133"/>
      <c r="Z847" s="133"/>
      <c r="AA847" s="133"/>
      <c r="AB847" s="133"/>
      <c r="AC847" s="133"/>
      <c r="AD847" s="133"/>
      <c r="AE847" s="133"/>
      <c r="AF847" s="133"/>
      <c r="AG847" s="133"/>
      <c r="AH847" s="133"/>
      <c r="AI847" s="133"/>
      <c r="AJ847" s="133"/>
      <c r="AK847" s="133"/>
      <c r="AL847" s="132"/>
      <c r="AM847" s="132"/>
      <c r="AN847" s="104"/>
      <c r="AO847" s="104"/>
      <c r="AP847" s="104"/>
    </row>
    <row r="848">
      <c r="A848" s="132"/>
      <c r="B848" s="132"/>
      <c r="C848" s="132"/>
      <c r="D848" s="132"/>
      <c r="E848" s="133"/>
      <c r="F848" s="133"/>
      <c r="G848" s="133"/>
      <c r="H848" s="133"/>
      <c r="I848" s="133"/>
      <c r="J848" s="133"/>
      <c r="K848" s="133"/>
      <c r="L848" s="133"/>
      <c r="M848" s="133"/>
      <c r="N848" s="133"/>
      <c r="O848" s="133"/>
      <c r="P848" s="133"/>
      <c r="Q848" s="133"/>
      <c r="R848" s="133"/>
      <c r="S848" s="133"/>
      <c r="T848" s="133"/>
      <c r="U848" s="133"/>
      <c r="V848" s="133"/>
      <c r="W848" s="133"/>
      <c r="X848" s="160"/>
      <c r="Y848" s="133"/>
      <c r="Z848" s="133"/>
      <c r="AA848" s="133"/>
      <c r="AB848" s="133"/>
      <c r="AC848" s="133"/>
      <c r="AD848" s="133"/>
      <c r="AE848" s="133"/>
      <c r="AF848" s="133"/>
      <c r="AG848" s="133"/>
      <c r="AH848" s="133"/>
      <c r="AI848" s="133"/>
      <c r="AJ848" s="133"/>
      <c r="AK848" s="133"/>
      <c r="AL848" s="132"/>
      <c r="AM848" s="132"/>
      <c r="AN848" s="104"/>
      <c r="AO848" s="104"/>
      <c r="AP848" s="104"/>
    </row>
    <row r="849">
      <c r="A849" s="132"/>
      <c r="B849" s="132"/>
      <c r="C849" s="132"/>
      <c r="D849" s="132"/>
      <c r="E849" s="133"/>
      <c r="F849" s="133"/>
      <c r="G849" s="133"/>
      <c r="H849" s="133"/>
      <c r="I849" s="133"/>
      <c r="J849" s="133"/>
      <c r="K849" s="133"/>
      <c r="L849" s="133"/>
      <c r="M849" s="133"/>
      <c r="N849" s="133"/>
      <c r="O849" s="133"/>
      <c r="P849" s="133"/>
      <c r="Q849" s="133"/>
      <c r="R849" s="133"/>
      <c r="S849" s="133"/>
      <c r="T849" s="133"/>
      <c r="U849" s="133"/>
      <c r="V849" s="133"/>
      <c r="W849" s="133"/>
      <c r="X849" s="160"/>
      <c r="Y849" s="133"/>
      <c r="Z849" s="133"/>
      <c r="AA849" s="133"/>
      <c r="AB849" s="133"/>
      <c r="AC849" s="133"/>
      <c r="AD849" s="133"/>
      <c r="AE849" s="133"/>
      <c r="AF849" s="133"/>
      <c r="AG849" s="133"/>
      <c r="AH849" s="133"/>
      <c r="AI849" s="133"/>
      <c r="AJ849" s="133"/>
      <c r="AK849" s="133"/>
      <c r="AL849" s="132"/>
      <c r="AM849" s="132"/>
      <c r="AN849" s="104"/>
      <c r="AO849" s="104"/>
      <c r="AP849" s="104"/>
    </row>
    <row r="850">
      <c r="A850" s="132"/>
      <c r="B850" s="132"/>
      <c r="C850" s="132"/>
      <c r="D850" s="132"/>
      <c r="E850" s="133"/>
      <c r="F850" s="133"/>
      <c r="G850" s="133"/>
      <c r="H850" s="133"/>
      <c r="I850" s="133"/>
      <c r="J850" s="133"/>
      <c r="K850" s="133"/>
      <c r="L850" s="133"/>
      <c r="M850" s="133"/>
      <c r="N850" s="133"/>
      <c r="O850" s="133"/>
      <c r="P850" s="133"/>
      <c r="Q850" s="133"/>
      <c r="R850" s="133"/>
      <c r="S850" s="133"/>
      <c r="T850" s="133"/>
      <c r="U850" s="133"/>
      <c r="V850" s="133"/>
      <c r="W850" s="133"/>
      <c r="X850" s="160"/>
      <c r="Y850" s="133"/>
      <c r="Z850" s="133"/>
      <c r="AA850" s="133"/>
      <c r="AB850" s="133"/>
      <c r="AC850" s="133"/>
      <c r="AD850" s="133"/>
      <c r="AE850" s="133"/>
      <c r="AF850" s="133"/>
      <c r="AG850" s="133"/>
      <c r="AH850" s="133"/>
      <c r="AI850" s="133"/>
      <c r="AJ850" s="133"/>
      <c r="AK850" s="133"/>
      <c r="AL850" s="132"/>
      <c r="AM850" s="132"/>
      <c r="AN850" s="104"/>
      <c r="AO850" s="104"/>
      <c r="AP850" s="104"/>
    </row>
    <row r="851">
      <c r="A851" s="132"/>
      <c r="B851" s="132"/>
      <c r="C851" s="132"/>
      <c r="D851" s="132"/>
      <c r="E851" s="133"/>
      <c r="F851" s="133"/>
      <c r="G851" s="133"/>
      <c r="H851" s="133"/>
      <c r="I851" s="133"/>
      <c r="J851" s="133"/>
      <c r="K851" s="133"/>
      <c r="L851" s="133"/>
      <c r="M851" s="133"/>
      <c r="N851" s="133"/>
      <c r="O851" s="133"/>
      <c r="P851" s="133"/>
      <c r="Q851" s="133"/>
      <c r="R851" s="133"/>
      <c r="S851" s="133"/>
      <c r="T851" s="133"/>
      <c r="U851" s="133"/>
      <c r="V851" s="133"/>
      <c r="W851" s="133"/>
      <c r="X851" s="160"/>
      <c r="Y851" s="133"/>
      <c r="Z851" s="133"/>
      <c r="AA851" s="133"/>
      <c r="AB851" s="133"/>
      <c r="AC851" s="133"/>
      <c r="AD851" s="133"/>
      <c r="AE851" s="133"/>
      <c r="AF851" s="133"/>
      <c r="AG851" s="133"/>
      <c r="AH851" s="133"/>
      <c r="AI851" s="133"/>
      <c r="AJ851" s="133"/>
      <c r="AK851" s="133"/>
      <c r="AL851" s="132"/>
      <c r="AM851" s="132"/>
      <c r="AN851" s="104"/>
      <c r="AO851" s="104"/>
      <c r="AP851" s="104"/>
    </row>
    <row r="852">
      <c r="A852" s="132"/>
      <c r="B852" s="132"/>
      <c r="C852" s="132"/>
      <c r="D852" s="132"/>
      <c r="E852" s="133"/>
      <c r="F852" s="133"/>
      <c r="G852" s="133"/>
      <c r="H852" s="133"/>
      <c r="I852" s="133"/>
      <c r="J852" s="133"/>
      <c r="K852" s="133"/>
      <c r="L852" s="133"/>
      <c r="M852" s="133"/>
      <c r="N852" s="133"/>
      <c r="O852" s="133"/>
      <c r="P852" s="133"/>
      <c r="Q852" s="133"/>
      <c r="R852" s="133"/>
      <c r="S852" s="133"/>
      <c r="T852" s="133"/>
      <c r="U852" s="133"/>
      <c r="V852" s="133"/>
      <c r="W852" s="133"/>
      <c r="X852" s="160"/>
      <c r="Y852" s="133"/>
      <c r="Z852" s="133"/>
      <c r="AA852" s="133"/>
      <c r="AB852" s="133"/>
      <c r="AC852" s="133"/>
      <c r="AD852" s="133"/>
      <c r="AE852" s="133"/>
      <c r="AF852" s="133"/>
      <c r="AG852" s="133"/>
      <c r="AH852" s="133"/>
      <c r="AI852" s="133"/>
      <c r="AJ852" s="133"/>
      <c r="AK852" s="133"/>
      <c r="AL852" s="132"/>
      <c r="AM852" s="132"/>
      <c r="AN852" s="104"/>
      <c r="AO852" s="104"/>
      <c r="AP852" s="104"/>
    </row>
    <row r="853">
      <c r="A853" s="132"/>
      <c r="B853" s="132"/>
      <c r="C853" s="132"/>
      <c r="D853" s="132"/>
      <c r="E853" s="133"/>
      <c r="F853" s="133"/>
      <c r="G853" s="133"/>
      <c r="H853" s="133"/>
      <c r="I853" s="133"/>
      <c r="J853" s="133"/>
      <c r="K853" s="133"/>
      <c r="L853" s="133"/>
      <c r="M853" s="133"/>
      <c r="N853" s="133"/>
      <c r="O853" s="133"/>
      <c r="P853" s="133"/>
      <c r="Q853" s="133"/>
      <c r="R853" s="133"/>
      <c r="S853" s="133"/>
      <c r="T853" s="133"/>
      <c r="U853" s="133"/>
      <c r="V853" s="133"/>
      <c r="W853" s="133"/>
      <c r="X853" s="160"/>
      <c r="Y853" s="133"/>
      <c r="Z853" s="133"/>
      <c r="AA853" s="133"/>
      <c r="AB853" s="133"/>
      <c r="AC853" s="133"/>
      <c r="AD853" s="133"/>
      <c r="AE853" s="133"/>
      <c r="AF853" s="133"/>
      <c r="AG853" s="133"/>
      <c r="AH853" s="133"/>
      <c r="AI853" s="133"/>
      <c r="AJ853" s="133"/>
      <c r="AK853" s="133"/>
      <c r="AL853" s="132"/>
      <c r="AM853" s="132"/>
      <c r="AN853" s="104"/>
      <c r="AO853" s="104"/>
      <c r="AP853" s="104"/>
    </row>
    <row r="854">
      <c r="A854" s="132"/>
      <c r="B854" s="132"/>
      <c r="C854" s="132"/>
      <c r="D854" s="132"/>
      <c r="E854" s="133"/>
      <c r="F854" s="133"/>
      <c r="G854" s="133"/>
      <c r="H854" s="133"/>
      <c r="I854" s="133"/>
      <c r="J854" s="133"/>
      <c r="K854" s="133"/>
      <c r="L854" s="133"/>
      <c r="M854" s="133"/>
      <c r="N854" s="133"/>
      <c r="O854" s="133"/>
      <c r="P854" s="133"/>
      <c r="Q854" s="133"/>
      <c r="R854" s="133"/>
      <c r="S854" s="133"/>
      <c r="T854" s="133"/>
      <c r="U854" s="133"/>
      <c r="V854" s="133"/>
      <c r="W854" s="133"/>
      <c r="X854" s="160"/>
      <c r="Y854" s="133"/>
      <c r="Z854" s="133"/>
      <c r="AA854" s="133"/>
      <c r="AB854" s="133"/>
      <c r="AC854" s="133"/>
      <c r="AD854" s="133"/>
      <c r="AE854" s="133"/>
      <c r="AF854" s="133"/>
      <c r="AG854" s="133"/>
      <c r="AH854" s="133"/>
      <c r="AI854" s="133"/>
      <c r="AJ854" s="133"/>
      <c r="AK854" s="133"/>
      <c r="AL854" s="132"/>
      <c r="AM854" s="132"/>
      <c r="AN854" s="104"/>
      <c r="AO854" s="104"/>
      <c r="AP854" s="104"/>
    </row>
    <row r="855">
      <c r="A855" s="132"/>
      <c r="B855" s="132"/>
      <c r="C855" s="132"/>
      <c r="D855" s="132"/>
      <c r="E855" s="133"/>
      <c r="F855" s="133"/>
      <c r="G855" s="133"/>
      <c r="H855" s="133"/>
      <c r="I855" s="133"/>
      <c r="J855" s="133"/>
      <c r="K855" s="133"/>
      <c r="L855" s="133"/>
      <c r="M855" s="133"/>
      <c r="N855" s="133"/>
      <c r="O855" s="133"/>
      <c r="P855" s="133"/>
      <c r="Q855" s="133"/>
      <c r="R855" s="133"/>
      <c r="S855" s="133"/>
      <c r="T855" s="133"/>
      <c r="U855" s="133"/>
      <c r="V855" s="133"/>
      <c r="W855" s="133"/>
      <c r="X855" s="160"/>
      <c r="Y855" s="133"/>
      <c r="Z855" s="133"/>
      <c r="AA855" s="133"/>
      <c r="AB855" s="133"/>
      <c r="AC855" s="133"/>
      <c r="AD855" s="133"/>
      <c r="AE855" s="133"/>
      <c r="AF855" s="133"/>
      <c r="AG855" s="133"/>
      <c r="AH855" s="133"/>
      <c r="AI855" s="133"/>
      <c r="AJ855" s="133"/>
      <c r="AK855" s="133"/>
      <c r="AL855" s="132"/>
      <c r="AM855" s="132"/>
      <c r="AN855" s="104"/>
      <c r="AO855" s="104"/>
      <c r="AP855" s="104"/>
    </row>
    <row r="856">
      <c r="A856" s="132"/>
      <c r="B856" s="132"/>
      <c r="C856" s="132"/>
      <c r="D856" s="132"/>
      <c r="E856" s="133"/>
      <c r="F856" s="133"/>
      <c r="G856" s="133"/>
      <c r="H856" s="133"/>
      <c r="I856" s="133"/>
      <c r="J856" s="133"/>
      <c r="K856" s="133"/>
      <c r="L856" s="133"/>
      <c r="M856" s="133"/>
      <c r="N856" s="133"/>
      <c r="O856" s="133"/>
      <c r="P856" s="133"/>
      <c r="Q856" s="133"/>
      <c r="R856" s="133"/>
      <c r="S856" s="133"/>
      <c r="T856" s="133"/>
      <c r="U856" s="133"/>
      <c r="V856" s="133"/>
      <c r="W856" s="133"/>
      <c r="X856" s="160"/>
      <c r="Y856" s="133"/>
      <c r="Z856" s="133"/>
      <c r="AA856" s="133"/>
      <c r="AB856" s="133"/>
      <c r="AC856" s="133"/>
      <c r="AD856" s="133"/>
      <c r="AE856" s="133"/>
      <c r="AF856" s="133"/>
      <c r="AG856" s="133"/>
      <c r="AH856" s="133"/>
      <c r="AI856" s="133"/>
      <c r="AJ856" s="133"/>
      <c r="AK856" s="133"/>
      <c r="AL856" s="132"/>
      <c r="AM856" s="132"/>
      <c r="AN856" s="104"/>
      <c r="AO856" s="104"/>
      <c r="AP856" s="104"/>
    </row>
    <row r="857">
      <c r="A857" s="132"/>
      <c r="B857" s="132"/>
      <c r="C857" s="132"/>
      <c r="D857" s="132"/>
      <c r="E857" s="133"/>
      <c r="F857" s="133"/>
      <c r="G857" s="133"/>
      <c r="H857" s="133"/>
      <c r="I857" s="133"/>
      <c r="J857" s="133"/>
      <c r="K857" s="133"/>
      <c r="L857" s="133"/>
      <c r="M857" s="133"/>
      <c r="N857" s="133"/>
      <c r="O857" s="133"/>
      <c r="P857" s="133"/>
      <c r="Q857" s="133"/>
      <c r="R857" s="133"/>
      <c r="S857" s="133"/>
      <c r="T857" s="133"/>
      <c r="U857" s="133"/>
      <c r="V857" s="133"/>
      <c r="W857" s="133"/>
      <c r="X857" s="160"/>
      <c r="Y857" s="133"/>
      <c r="Z857" s="133"/>
      <c r="AA857" s="133"/>
      <c r="AB857" s="133"/>
      <c r="AC857" s="133"/>
      <c r="AD857" s="133"/>
      <c r="AE857" s="133"/>
      <c r="AF857" s="133"/>
      <c r="AG857" s="133"/>
      <c r="AH857" s="133"/>
      <c r="AI857" s="133"/>
      <c r="AJ857" s="133"/>
      <c r="AK857" s="133"/>
      <c r="AL857" s="132"/>
      <c r="AM857" s="132"/>
      <c r="AN857" s="104"/>
      <c r="AO857" s="104"/>
      <c r="AP857" s="104"/>
    </row>
    <row r="858">
      <c r="A858" s="132"/>
      <c r="B858" s="132"/>
      <c r="C858" s="132"/>
      <c r="D858" s="132"/>
      <c r="E858" s="133"/>
      <c r="F858" s="133"/>
      <c r="G858" s="133"/>
      <c r="H858" s="133"/>
      <c r="I858" s="133"/>
      <c r="J858" s="133"/>
      <c r="K858" s="133"/>
      <c r="L858" s="133"/>
      <c r="M858" s="133"/>
      <c r="N858" s="133"/>
      <c r="O858" s="133"/>
      <c r="P858" s="133"/>
      <c r="Q858" s="133"/>
      <c r="R858" s="133"/>
      <c r="S858" s="133"/>
      <c r="T858" s="133"/>
      <c r="U858" s="133"/>
      <c r="V858" s="133"/>
      <c r="W858" s="133"/>
      <c r="X858" s="160"/>
      <c r="Y858" s="133"/>
      <c r="Z858" s="133"/>
      <c r="AA858" s="133"/>
      <c r="AB858" s="133"/>
      <c r="AC858" s="133"/>
      <c r="AD858" s="133"/>
      <c r="AE858" s="133"/>
      <c r="AF858" s="133"/>
      <c r="AG858" s="133"/>
      <c r="AH858" s="133"/>
      <c r="AI858" s="133"/>
      <c r="AJ858" s="133"/>
      <c r="AK858" s="133"/>
      <c r="AL858" s="132"/>
      <c r="AM858" s="132"/>
      <c r="AN858" s="104"/>
      <c r="AO858" s="104"/>
      <c r="AP858" s="104"/>
    </row>
    <row r="859">
      <c r="A859" s="132"/>
      <c r="B859" s="132"/>
      <c r="C859" s="132"/>
      <c r="D859" s="132"/>
      <c r="E859" s="133"/>
      <c r="F859" s="133"/>
      <c r="G859" s="133"/>
      <c r="H859" s="133"/>
      <c r="I859" s="133"/>
      <c r="J859" s="133"/>
      <c r="K859" s="133"/>
      <c r="L859" s="133"/>
      <c r="M859" s="133"/>
      <c r="N859" s="133"/>
      <c r="O859" s="133"/>
      <c r="P859" s="133"/>
      <c r="Q859" s="133"/>
      <c r="R859" s="133"/>
      <c r="S859" s="133"/>
      <c r="T859" s="133"/>
      <c r="U859" s="133"/>
      <c r="V859" s="133"/>
      <c r="W859" s="133"/>
      <c r="X859" s="160"/>
      <c r="Y859" s="133"/>
      <c r="Z859" s="133"/>
      <c r="AA859" s="133"/>
      <c r="AB859" s="133"/>
      <c r="AC859" s="133"/>
      <c r="AD859" s="133"/>
      <c r="AE859" s="133"/>
      <c r="AF859" s="133"/>
      <c r="AG859" s="133"/>
      <c r="AH859" s="133"/>
      <c r="AI859" s="133"/>
      <c r="AJ859" s="133"/>
      <c r="AK859" s="133"/>
      <c r="AL859" s="132"/>
      <c r="AM859" s="132"/>
      <c r="AN859" s="104"/>
      <c r="AO859" s="104"/>
      <c r="AP859" s="104"/>
    </row>
    <row r="860">
      <c r="A860" s="132"/>
      <c r="B860" s="132"/>
      <c r="C860" s="132"/>
      <c r="D860" s="132"/>
      <c r="E860" s="133"/>
      <c r="F860" s="133"/>
      <c r="G860" s="133"/>
      <c r="H860" s="133"/>
      <c r="I860" s="133"/>
      <c r="J860" s="133"/>
      <c r="K860" s="133"/>
      <c r="L860" s="133"/>
      <c r="M860" s="133"/>
      <c r="N860" s="133"/>
      <c r="O860" s="133"/>
      <c r="P860" s="133"/>
      <c r="Q860" s="133"/>
      <c r="R860" s="133"/>
      <c r="S860" s="133"/>
      <c r="T860" s="133"/>
      <c r="U860" s="133"/>
      <c r="V860" s="133"/>
      <c r="W860" s="133"/>
      <c r="X860" s="160"/>
      <c r="Y860" s="133"/>
      <c r="Z860" s="133"/>
      <c r="AA860" s="133"/>
      <c r="AB860" s="133"/>
      <c r="AC860" s="133"/>
      <c r="AD860" s="133"/>
      <c r="AE860" s="133"/>
      <c r="AF860" s="133"/>
      <c r="AG860" s="133"/>
      <c r="AH860" s="133"/>
      <c r="AI860" s="133"/>
      <c r="AJ860" s="133"/>
      <c r="AK860" s="133"/>
      <c r="AL860" s="132"/>
      <c r="AM860" s="132"/>
      <c r="AN860" s="104"/>
      <c r="AO860" s="104"/>
      <c r="AP860" s="104"/>
    </row>
    <row r="861">
      <c r="A861" s="132"/>
      <c r="B861" s="132"/>
      <c r="C861" s="132"/>
      <c r="D861" s="132"/>
      <c r="E861" s="133"/>
      <c r="F861" s="133"/>
      <c r="G861" s="133"/>
      <c r="H861" s="133"/>
      <c r="I861" s="133"/>
      <c r="J861" s="133"/>
      <c r="K861" s="133"/>
      <c r="L861" s="133"/>
      <c r="M861" s="133"/>
      <c r="N861" s="133"/>
      <c r="O861" s="133"/>
      <c r="P861" s="133"/>
      <c r="Q861" s="133"/>
      <c r="R861" s="133"/>
      <c r="S861" s="133"/>
      <c r="T861" s="133"/>
      <c r="U861" s="133"/>
      <c r="V861" s="133"/>
      <c r="W861" s="133"/>
      <c r="X861" s="160"/>
      <c r="Y861" s="133"/>
      <c r="Z861" s="133"/>
      <c r="AA861" s="133"/>
      <c r="AB861" s="133"/>
      <c r="AC861" s="133"/>
      <c r="AD861" s="133"/>
      <c r="AE861" s="133"/>
      <c r="AF861" s="133"/>
      <c r="AG861" s="133"/>
      <c r="AH861" s="133"/>
      <c r="AI861" s="133"/>
      <c r="AJ861" s="133"/>
      <c r="AK861" s="133"/>
      <c r="AL861" s="132"/>
      <c r="AM861" s="132"/>
      <c r="AN861" s="104"/>
      <c r="AO861" s="104"/>
      <c r="AP861" s="104"/>
    </row>
    <row r="862">
      <c r="A862" s="132"/>
      <c r="B862" s="132"/>
      <c r="C862" s="132"/>
      <c r="D862" s="132"/>
      <c r="E862" s="133"/>
      <c r="F862" s="133"/>
      <c r="G862" s="133"/>
      <c r="H862" s="133"/>
      <c r="I862" s="133"/>
      <c r="J862" s="133"/>
      <c r="K862" s="133"/>
      <c r="L862" s="133"/>
      <c r="M862" s="133"/>
      <c r="N862" s="133"/>
      <c r="O862" s="133"/>
      <c r="P862" s="133"/>
      <c r="Q862" s="133"/>
      <c r="R862" s="133"/>
      <c r="S862" s="133"/>
      <c r="T862" s="133"/>
      <c r="U862" s="133"/>
      <c r="V862" s="133"/>
      <c r="W862" s="133"/>
      <c r="X862" s="160"/>
      <c r="Y862" s="133"/>
      <c r="Z862" s="133"/>
      <c r="AA862" s="133"/>
      <c r="AB862" s="133"/>
      <c r="AC862" s="133"/>
      <c r="AD862" s="133"/>
      <c r="AE862" s="133"/>
      <c r="AF862" s="133"/>
      <c r="AG862" s="133"/>
      <c r="AH862" s="133"/>
      <c r="AI862" s="133"/>
      <c r="AJ862" s="133"/>
      <c r="AK862" s="133"/>
      <c r="AL862" s="132"/>
      <c r="AM862" s="132"/>
      <c r="AN862" s="104"/>
      <c r="AO862" s="104"/>
      <c r="AP862" s="104"/>
    </row>
    <row r="863">
      <c r="A863" s="132"/>
      <c r="B863" s="132"/>
      <c r="C863" s="132"/>
      <c r="D863" s="132"/>
      <c r="E863" s="133"/>
      <c r="F863" s="133"/>
      <c r="G863" s="133"/>
      <c r="H863" s="133"/>
      <c r="I863" s="133"/>
      <c r="J863" s="133"/>
      <c r="K863" s="133"/>
      <c r="L863" s="133"/>
      <c r="M863" s="133"/>
      <c r="N863" s="133"/>
      <c r="O863" s="133"/>
      <c r="P863" s="133"/>
      <c r="Q863" s="133"/>
      <c r="R863" s="133"/>
      <c r="S863" s="133"/>
      <c r="T863" s="133"/>
      <c r="U863" s="133"/>
      <c r="V863" s="133"/>
      <c r="W863" s="133"/>
      <c r="X863" s="160"/>
      <c r="Y863" s="133"/>
      <c r="Z863" s="133"/>
      <c r="AA863" s="133"/>
      <c r="AB863" s="133"/>
      <c r="AC863" s="133"/>
      <c r="AD863" s="133"/>
      <c r="AE863" s="133"/>
      <c r="AF863" s="133"/>
      <c r="AG863" s="133"/>
      <c r="AH863" s="133"/>
      <c r="AI863" s="133"/>
      <c r="AJ863" s="133"/>
      <c r="AK863" s="133"/>
      <c r="AL863" s="132"/>
      <c r="AM863" s="132"/>
      <c r="AN863" s="104"/>
      <c r="AO863" s="104"/>
      <c r="AP863" s="104"/>
    </row>
    <row r="864">
      <c r="A864" s="132"/>
      <c r="B864" s="132"/>
      <c r="C864" s="132"/>
      <c r="D864" s="132"/>
      <c r="E864" s="133"/>
      <c r="F864" s="133"/>
      <c r="G864" s="133"/>
      <c r="H864" s="133"/>
      <c r="I864" s="133"/>
      <c r="J864" s="133"/>
      <c r="K864" s="133"/>
      <c r="L864" s="133"/>
      <c r="M864" s="133"/>
      <c r="N864" s="133"/>
      <c r="O864" s="133"/>
      <c r="P864" s="133"/>
      <c r="Q864" s="133"/>
      <c r="R864" s="133"/>
      <c r="S864" s="133"/>
      <c r="T864" s="133"/>
      <c r="U864" s="133"/>
      <c r="V864" s="133"/>
      <c r="W864" s="133"/>
      <c r="X864" s="160"/>
      <c r="Y864" s="133"/>
      <c r="Z864" s="133"/>
      <c r="AA864" s="133"/>
      <c r="AB864" s="133"/>
      <c r="AC864" s="133"/>
      <c r="AD864" s="133"/>
      <c r="AE864" s="133"/>
      <c r="AF864" s="133"/>
      <c r="AG864" s="133"/>
      <c r="AH864" s="133"/>
      <c r="AI864" s="133"/>
      <c r="AJ864" s="133"/>
      <c r="AK864" s="133"/>
      <c r="AL864" s="132"/>
      <c r="AM864" s="132"/>
      <c r="AN864" s="104"/>
      <c r="AO864" s="104"/>
      <c r="AP864" s="104"/>
    </row>
    <row r="865">
      <c r="A865" s="132"/>
      <c r="B865" s="132"/>
      <c r="C865" s="132"/>
      <c r="D865" s="132"/>
      <c r="E865" s="133"/>
      <c r="F865" s="133"/>
      <c r="G865" s="133"/>
      <c r="H865" s="133"/>
      <c r="I865" s="133"/>
      <c r="J865" s="133"/>
      <c r="K865" s="133"/>
      <c r="L865" s="133"/>
      <c r="M865" s="133"/>
      <c r="N865" s="133"/>
      <c r="O865" s="133"/>
      <c r="P865" s="133"/>
      <c r="Q865" s="133"/>
      <c r="R865" s="133"/>
      <c r="S865" s="133"/>
      <c r="T865" s="133"/>
      <c r="U865" s="133"/>
      <c r="V865" s="133"/>
      <c r="W865" s="133"/>
      <c r="X865" s="160"/>
      <c r="Y865" s="133"/>
      <c r="Z865" s="133"/>
      <c r="AA865" s="133"/>
      <c r="AB865" s="133"/>
      <c r="AC865" s="133"/>
      <c r="AD865" s="133"/>
      <c r="AE865" s="133"/>
      <c r="AF865" s="133"/>
      <c r="AG865" s="133"/>
      <c r="AH865" s="133"/>
      <c r="AI865" s="133"/>
      <c r="AJ865" s="133"/>
      <c r="AK865" s="133"/>
      <c r="AL865" s="132"/>
      <c r="AM865" s="132"/>
      <c r="AN865" s="104"/>
      <c r="AO865" s="104"/>
      <c r="AP865" s="104"/>
    </row>
    <row r="866">
      <c r="A866" s="132"/>
      <c r="B866" s="132"/>
      <c r="C866" s="132"/>
      <c r="D866" s="132"/>
      <c r="E866" s="133"/>
      <c r="F866" s="133"/>
      <c r="G866" s="133"/>
      <c r="H866" s="133"/>
      <c r="I866" s="133"/>
      <c r="J866" s="133"/>
      <c r="K866" s="133"/>
      <c r="L866" s="133"/>
      <c r="M866" s="133"/>
      <c r="N866" s="133"/>
      <c r="O866" s="133"/>
      <c r="P866" s="133"/>
      <c r="Q866" s="133"/>
      <c r="R866" s="133"/>
      <c r="S866" s="133"/>
      <c r="T866" s="133"/>
      <c r="U866" s="133"/>
      <c r="V866" s="133"/>
      <c r="W866" s="133"/>
      <c r="X866" s="160"/>
      <c r="Y866" s="133"/>
      <c r="Z866" s="133"/>
      <c r="AA866" s="133"/>
      <c r="AB866" s="133"/>
      <c r="AC866" s="133"/>
      <c r="AD866" s="133"/>
      <c r="AE866" s="133"/>
      <c r="AF866" s="133"/>
      <c r="AG866" s="133"/>
      <c r="AH866" s="133"/>
      <c r="AI866" s="133"/>
      <c r="AJ866" s="133"/>
      <c r="AK866" s="133"/>
      <c r="AL866" s="132"/>
      <c r="AM866" s="132"/>
      <c r="AN866" s="104"/>
      <c r="AO866" s="104"/>
      <c r="AP866" s="104"/>
    </row>
    <row r="867">
      <c r="A867" s="132"/>
      <c r="B867" s="132"/>
      <c r="C867" s="132"/>
      <c r="D867" s="132"/>
      <c r="E867" s="133"/>
      <c r="F867" s="133"/>
      <c r="G867" s="133"/>
      <c r="H867" s="133"/>
      <c r="I867" s="133"/>
      <c r="J867" s="133"/>
      <c r="K867" s="133"/>
      <c r="L867" s="133"/>
      <c r="M867" s="133"/>
      <c r="N867" s="133"/>
      <c r="O867" s="133"/>
      <c r="P867" s="133"/>
      <c r="Q867" s="133"/>
      <c r="R867" s="133"/>
      <c r="S867" s="133"/>
      <c r="T867" s="133"/>
      <c r="U867" s="133"/>
      <c r="V867" s="133"/>
      <c r="W867" s="133"/>
      <c r="X867" s="160"/>
      <c r="Y867" s="133"/>
      <c r="Z867" s="133"/>
      <c r="AA867" s="133"/>
      <c r="AB867" s="133"/>
      <c r="AC867" s="133"/>
      <c r="AD867" s="133"/>
      <c r="AE867" s="133"/>
      <c r="AF867" s="133"/>
      <c r="AG867" s="133"/>
      <c r="AH867" s="133"/>
      <c r="AI867" s="133"/>
      <c r="AJ867" s="133"/>
      <c r="AK867" s="133"/>
      <c r="AL867" s="132"/>
      <c r="AM867" s="132"/>
      <c r="AN867" s="104"/>
      <c r="AO867" s="104"/>
      <c r="AP867" s="104"/>
    </row>
    <row r="868">
      <c r="A868" s="132"/>
      <c r="B868" s="132"/>
      <c r="C868" s="132"/>
      <c r="D868" s="132"/>
      <c r="E868" s="133"/>
      <c r="F868" s="133"/>
      <c r="G868" s="133"/>
      <c r="H868" s="133"/>
      <c r="I868" s="133"/>
      <c r="J868" s="133"/>
      <c r="K868" s="133"/>
      <c r="L868" s="133"/>
      <c r="M868" s="133"/>
      <c r="N868" s="133"/>
      <c r="O868" s="133"/>
      <c r="P868" s="133"/>
      <c r="Q868" s="133"/>
      <c r="R868" s="133"/>
      <c r="S868" s="133"/>
      <c r="T868" s="133"/>
      <c r="U868" s="133"/>
      <c r="V868" s="133"/>
      <c r="W868" s="133"/>
      <c r="X868" s="160"/>
      <c r="Y868" s="133"/>
      <c r="Z868" s="133"/>
      <c r="AA868" s="133"/>
      <c r="AB868" s="133"/>
      <c r="AC868" s="133"/>
      <c r="AD868" s="133"/>
      <c r="AE868" s="133"/>
      <c r="AF868" s="133"/>
      <c r="AG868" s="133"/>
      <c r="AH868" s="133"/>
      <c r="AI868" s="133"/>
      <c r="AJ868" s="133"/>
      <c r="AK868" s="133"/>
      <c r="AL868" s="132"/>
      <c r="AM868" s="132"/>
      <c r="AN868" s="104"/>
      <c r="AO868" s="104"/>
      <c r="AP868" s="104"/>
    </row>
    <row r="869">
      <c r="A869" s="132"/>
      <c r="B869" s="132"/>
      <c r="C869" s="132"/>
      <c r="D869" s="132"/>
      <c r="E869" s="133"/>
      <c r="F869" s="133"/>
      <c r="G869" s="133"/>
      <c r="H869" s="133"/>
      <c r="I869" s="133"/>
      <c r="J869" s="133"/>
      <c r="K869" s="133"/>
      <c r="L869" s="133"/>
      <c r="M869" s="133"/>
      <c r="N869" s="133"/>
      <c r="O869" s="133"/>
      <c r="P869" s="133"/>
      <c r="Q869" s="133"/>
      <c r="R869" s="133"/>
      <c r="S869" s="133"/>
      <c r="T869" s="133"/>
      <c r="U869" s="133"/>
      <c r="V869" s="133"/>
      <c r="W869" s="133"/>
      <c r="X869" s="160"/>
      <c r="Y869" s="133"/>
      <c r="Z869" s="133"/>
      <c r="AA869" s="133"/>
      <c r="AB869" s="133"/>
      <c r="AC869" s="133"/>
      <c r="AD869" s="133"/>
      <c r="AE869" s="133"/>
      <c r="AF869" s="133"/>
      <c r="AG869" s="133"/>
      <c r="AH869" s="133"/>
      <c r="AI869" s="133"/>
      <c r="AJ869" s="133"/>
      <c r="AK869" s="133"/>
      <c r="AL869" s="132"/>
      <c r="AM869" s="132"/>
      <c r="AN869" s="104"/>
      <c r="AO869" s="104"/>
      <c r="AP869" s="104"/>
    </row>
    <row r="870">
      <c r="A870" s="132"/>
      <c r="B870" s="132"/>
      <c r="C870" s="132"/>
      <c r="D870" s="132"/>
      <c r="E870" s="133"/>
      <c r="F870" s="133"/>
      <c r="G870" s="133"/>
      <c r="H870" s="133"/>
      <c r="I870" s="133"/>
      <c r="J870" s="133"/>
      <c r="K870" s="133"/>
      <c r="L870" s="133"/>
      <c r="M870" s="133"/>
      <c r="N870" s="133"/>
      <c r="O870" s="133"/>
      <c r="P870" s="133"/>
      <c r="Q870" s="133"/>
      <c r="R870" s="133"/>
      <c r="S870" s="133"/>
      <c r="T870" s="133"/>
      <c r="U870" s="133"/>
      <c r="V870" s="133"/>
      <c r="W870" s="133"/>
      <c r="X870" s="160"/>
      <c r="Y870" s="133"/>
      <c r="Z870" s="133"/>
      <c r="AA870" s="133"/>
      <c r="AB870" s="133"/>
      <c r="AC870" s="133"/>
      <c r="AD870" s="133"/>
      <c r="AE870" s="133"/>
      <c r="AF870" s="133"/>
      <c r="AG870" s="133"/>
      <c r="AH870" s="133"/>
      <c r="AI870" s="133"/>
      <c r="AJ870" s="133"/>
      <c r="AK870" s="133"/>
      <c r="AL870" s="132"/>
      <c r="AM870" s="132"/>
      <c r="AN870" s="104"/>
      <c r="AO870" s="104"/>
      <c r="AP870" s="104"/>
    </row>
    <row r="871">
      <c r="A871" s="132"/>
      <c r="B871" s="132"/>
      <c r="C871" s="132"/>
      <c r="D871" s="132"/>
      <c r="E871" s="133"/>
      <c r="F871" s="133"/>
      <c r="G871" s="133"/>
      <c r="H871" s="133"/>
      <c r="I871" s="133"/>
      <c r="J871" s="133"/>
      <c r="K871" s="133"/>
      <c r="L871" s="133"/>
      <c r="M871" s="133"/>
      <c r="N871" s="133"/>
      <c r="O871" s="133"/>
      <c r="P871" s="133"/>
      <c r="Q871" s="133"/>
      <c r="R871" s="133"/>
      <c r="S871" s="133"/>
      <c r="T871" s="133"/>
      <c r="U871" s="133"/>
      <c r="V871" s="133"/>
      <c r="W871" s="133"/>
      <c r="X871" s="160"/>
      <c r="Y871" s="133"/>
      <c r="Z871" s="133"/>
      <c r="AA871" s="133"/>
      <c r="AB871" s="133"/>
      <c r="AC871" s="133"/>
      <c r="AD871" s="133"/>
      <c r="AE871" s="133"/>
      <c r="AF871" s="133"/>
      <c r="AG871" s="133"/>
      <c r="AH871" s="133"/>
      <c r="AI871" s="133"/>
      <c r="AJ871" s="133"/>
      <c r="AK871" s="133"/>
      <c r="AL871" s="132"/>
      <c r="AM871" s="132"/>
      <c r="AN871" s="104"/>
      <c r="AO871" s="104"/>
      <c r="AP871" s="104"/>
    </row>
    <row r="872">
      <c r="A872" s="132"/>
      <c r="B872" s="132"/>
      <c r="C872" s="132"/>
      <c r="D872" s="132"/>
      <c r="E872" s="133"/>
      <c r="F872" s="133"/>
      <c r="G872" s="133"/>
      <c r="H872" s="133"/>
      <c r="I872" s="133"/>
      <c r="J872" s="133"/>
      <c r="K872" s="133"/>
      <c r="L872" s="133"/>
      <c r="M872" s="133"/>
      <c r="N872" s="133"/>
      <c r="O872" s="133"/>
      <c r="P872" s="133"/>
      <c r="Q872" s="133"/>
      <c r="R872" s="133"/>
      <c r="S872" s="133"/>
      <c r="T872" s="133"/>
      <c r="U872" s="133"/>
      <c r="V872" s="133"/>
      <c r="W872" s="133"/>
      <c r="X872" s="160"/>
      <c r="Y872" s="133"/>
      <c r="Z872" s="133"/>
      <c r="AA872" s="133"/>
      <c r="AB872" s="133"/>
      <c r="AC872" s="133"/>
      <c r="AD872" s="133"/>
      <c r="AE872" s="133"/>
      <c r="AF872" s="133"/>
      <c r="AG872" s="133"/>
      <c r="AH872" s="133"/>
      <c r="AI872" s="133"/>
      <c r="AJ872" s="133"/>
      <c r="AK872" s="133"/>
      <c r="AL872" s="132"/>
      <c r="AM872" s="132"/>
      <c r="AN872" s="104"/>
      <c r="AO872" s="104"/>
      <c r="AP872" s="104"/>
    </row>
    <row r="873">
      <c r="A873" s="132"/>
      <c r="B873" s="132"/>
      <c r="C873" s="132"/>
      <c r="D873" s="132"/>
      <c r="E873" s="133"/>
      <c r="F873" s="133"/>
      <c r="G873" s="133"/>
      <c r="H873" s="133"/>
      <c r="I873" s="133"/>
      <c r="J873" s="133"/>
      <c r="K873" s="133"/>
      <c r="L873" s="133"/>
      <c r="M873" s="133"/>
      <c r="N873" s="133"/>
      <c r="O873" s="133"/>
      <c r="P873" s="133"/>
      <c r="Q873" s="133"/>
      <c r="R873" s="133"/>
      <c r="S873" s="133"/>
      <c r="T873" s="133"/>
      <c r="U873" s="133"/>
      <c r="V873" s="133"/>
      <c r="W873" s="133"/>
      <c r="X873" s="160"/>
      <c r="Y873" s="133"/>
      <c r="Z873" s="133"/>
      <c r="AA873" s="133"/>
      <c r="AB873" s="133"/>
      <c r="AC873" s="133"/>
      <c r="AD873" s="133"/>
      <c r="AE873" s="133"/>
      <c r="AF873" s="133"/>
      <c r="AG873" s="133"/>
      <c r="AH873" s="133"/>
      <c r="AI873" s="133"/>
      <c r="AJ873" s="133"/>
      <c r="AK873" s="133"/>
      <c r="AL873" s="132"/>
      <c r="AM873" s="132"/>
      <c r="AN873" s="104"/>
      <c r="AO873" s="104"/>
      <c r="AP873" s="104"/>
    </row>
    <row r="874">
      <c r="A874" s="132"/>
      <c r="B874" s="132"/>
      <c r="C874" s="132"/>
      <c r="D874" s="132"/>
      <c r="E874" s="133"/>
      <c r="F874" s="133"/>
      <c r="G874" s="133"/>
      <c r="H874" s="133"/>
      <c r="I874" s="133"/>
      <c r="J874" s="133"/>
      <c r="K874" s="133"/>
      <c r="L874" s="133"/>
      <c r="M874" s="133"/>
      <c r="N874" s="133"/>
      <c r="O874" s="133"/>
      <c r="P874" s="133"/>
      <c r="Q874" s="133"/>
      <c r="R874" s="133"/>
      <c r="S874" s="133"/>
      <c r="T874" s="133"/>
      <c r="U874" s="133"/>
      <c r="V874" s="133"/>
      <c r="W874" s="133"/>
      <c r="X874" s="160"/>
      <c r="Y874" s="133"/>
      <c r="Z874" s="133"/>
      <c r="AA874" s="133"/>
      <c r="AB874" s="133"/>
      <c r="AC874" s="133"/>
      <c r="AD874" s="133"/>
      <c r="AE874" s="133"/>
      <c r="AF874" s="133"/>
      <c r="AG874" s="133"/>
      <c r="AH874" s="133"/>
      <c r="AI874" s="133"/>
      <c r="AJ874" s="133"/>
      <c r="AK874" s="133"/>
      <c r="AL874" s="132"/>
      <c r="AM874" s="132"/>
      <c r="AN874" s="104"/>
      <c r="AO874" s="104"/>
      <c r="AP874" s="104"/>
    </row>
    <row r="875">
      <c r="A875" s="132"/>
      <c r="B875" s="132"/>
      <c r="C875" s="132"/>
      <c r="D875" s="132"/>
      <c r="E875" s="133"/>
      <c r="F875" s="133"/>
      <c r="G875" s="133"/>
      <c r="H875" s="133"/>
      <c r="I875" s="133"/>
      <c r="J875" s="133"/>
      <c r="K875" s="133"/>
      <c r="L875" s="133"/>
      <c r="M875" s="133"/>
      <c r="N875" s="133"/>
      <c r="O875" s="133"/>
      <c r="P875" s="133"/>
      <c r="Q875" s="133"/>
      <c r="R875" s="133"/>
      <c r="S875" s="133"/>
      <c r="T875" s="133"/>
      <c r="U875" s="133"/>
      <c r="V875" s="133"/>
      <c r="W875" s="133"/>
      <c r="X875" s="160"/>
      <c r="Y875" s="133"/>
      <c r="Z875" s="133"/>
      <c r="AA875" s="133"/>
      <c r="AB875" s="133"/>
      <c r="AC875" s="133"/>
      <c r="AD875" s="133"/>
      <c r="AE875" s="133"/>
      <c r="AF875" s="133"/>
      <c r="AG875" s="133"/>
      <c r="AH875" s="133"/>
      <c r="AI875" s="133"/>
      <c r="AJ875" s="133"/>
      <c r="AK875" s="133"/>
      <c r="AL875" s="132"/>
      <c r="AM875" s="132"/>
      <c r="AN875" s="104"/>
      <c r="AO875" s="104"/>
      <c r="AP875" s="104"/>
    </row>
    <row r="876">
      <c r="A876" s="132"/>
      <c r="B876" s="132"/>
      <c r="C876" s="132"/>
      <c r="D876" s="132"/>
      <c r="E876" s="133"/>
      <c r="F876" s="133"/>
      <c r="G876" s="133"/>
      <c r="H876" s="133"/>
      <c r="I876" s="133"/>
      <c r="J876" s="133"/>
      <c r="K876" s="133"/>
      <c r="L876" s="133"/>
      <c r="M876" s="133"/>
      <c r="N876" s="133"/>
      <c r="O876" s="133"/>
      <c r="P876" s="133"/>
      <c r="Q876" s="133"/>
      <c r="R876" s="133"/>
      <c r="S876" s="133"/>
      <c r="T876" s="133"/>
      <c r="U876" s="133"/>
      <c r="V876" s="133"/>
      <c r="W876" s="133"/>
      <c r="X876" s="160"/>
      <c r="Y876" s="133"/>
      <c r="Z876" s="133"/>
      <c r="AA876" s="133"/>
      <c r="AB876" s="133"/>
      <c r="AC876" s="133"/>
      <c r="AD876" s="133"/>
      <c r="AE876" s="133"/>
      <c r="AF876" s="133"/>
      <c r="AG876" s="133"/>
      <c r="AH876" s="133"/>
      <c r="AI876" s="133"/>
      <c r="AJ876" s="133"/>
      <c r="AK876" s="133"/>
      <c r="AL876" s="132"/>
      <c r="AM876" s="132"/>
      <c r="AN876" s="104"/>
      <c r="AO876" s="104"/>
      <c r="AP876" s="104"/>
    </row>
    <row r="877">
      <c r="A877" s="132"/>
      <c r="B877" s="132"/>
      <c r="C877" s="132"/>
      <c r="D877" s="132"/>
      <c r="E877" s="133"/>
      <c r="F877" s="133"/>
      <c r="G877" s="133"/>
      <c r="H877" s="133"/>
      <c r="I877" s="133"/>
      <c r="J877" s="133"/>
      <c r="K877" s="133"/>
      <c r="L877" s="133"/>
      <c r="M877" s="133"/>
      <c r="N877" s="133"/>
      <c r="O877" s="133"/>
      <c r="P877" s="133"/>
      <c r="Q877" s="133"/>
      <c r="R877" s="133"/>
      <c r="S877" s="133"/>
      <c r="T877" s="133"/>
      <c r="U877" s="133"/>
      <c r="V877" s="133"/>
      <c r="W877" s="133"/>
      <c r="X877" s="160"/>
      <c r="Y877" s="133"/>
      <c r="Z877" s="133"/>
      <c r="AA877" s="133"/>
      <c r="AB877" s="133"/>
      <c r="AC877" s="133"/>
      <c r="AD877" s="133"/>
      <c r="AE877" s="133"/>
      <c r="AF877" s="133"/>
      <c r="AG877" s="133"/>
      <c r="AH877" s="133"/>
      <c r="AI877" s="133"/>
      <c r="AJ877" s="133"/>
      <c r="AK877" s="133"/>
      <c r="AL877" s="132"/>
      <c r="AM877" s="132"/>
      <c r="AN877" s="104"/>
      <c r="AO877" s="104"/>
      <c r="AP877" s="104"/>
    </row>
    <row r="878">
      <c r="A878" s="132"/>
      <c r="B878" s="132"/>
      <c r="C878" s="132"/>
      <c r="D878" s="132"/>
      <c r="E878" s="133"/>
      <c r="F878" s="133"/>
      <c r="G878" s="133"/>
      <c r="H878" s="133"/>
      <c r="I878" s="133"/>
      <c r="J878" s="133"/>
      <c r="K878" s="133"/>
      <c r="L878" s="133"/>
      <c r="M878" s="133"/>
      <c r="N878" s="133"/>
      <c r="O878" s="133"/>
      <c r="P878" s="133"/>
      <c r="Q878" s="133"/>
      <c r="R878" s="133"/>
      <c r="S878" s="133"/>
      <c r="T878" s="133"/>
      <c r="U878" s="133"/>
      <c r="V878" s="133"/>
      <c r="W878" s="133"/>
      <c r="X878" s="160"/>
      <c r="Y878" s="133"/>
      <c r="Z878" s="133"/>
      <c r="AA878" s="133"/>
      <c r="AB878" s="133"/>
      <c r="AC878" s="133"/>
      <c r="AD878" s="133"/>
      <c r="AE878" s="133"/>
      <c r="AF878" s="133"/>
      <c r="AG878" s="133"/>
      <c r="AH878" s="133"/>
      <c r="AI878" s="133"/>
      <c r="AJ878" s="133"/>
      <c r="AK878" s="133"/>
      <c r="AL878" s="132"/>
      <c r="AM878" s="132"/>
      <c r="AN878" s="104"/>
      <c r="AO878" s="104"/>
      <c r="AP878" s="104"/>
    </row>
    <row r="879">
      <c r="A879" s="132"/>
      <c r="B879" s="132"/>
      <c r="C879" s="132"/>
      <c r="D879" s="132"/>
      <c r="E879" s="133"/>
      <c r="F879" s="133"/>
      <c r="G879" s="133"/>
      <c r="H879" s="133"/>
      <c r="I879" s="133"/>
      <c r="J879" s="133"/>
      <c r="K879" s="133"/>
      <c r="L879" s="133"/>
      <c r="M879" s="133"/>
      <c r="N879" s="133"/>
      <c r="O879" s="133"/>
      <c r="P879" s="133"/>
      <c r="Q879" s="133"/>
      <c r="R879" s="133"/>
      <c r="S879" s="133"/>
      <c r="T879" s="133"/>
      <c r="U879" s="133"/>
      <c r="V879" s="133"/>
      <c r="W879" s="133"/>
      <c r="X879" s="160"/>
      <c r="Y879" s="133"/>
      <c r="Z879" s="133"/>
      <c r="AA879" s="133"/>
      <c r="AB879" s="133"/>
      <c r="AC879" s="133"/>
      <c r="AD879" s="133"/>
      <c r="AE879" s="133"/>
      <c r="AF879" s="133"/>
      <c r="AG879" s="133"/>
      <c r="AH879" s="133"/>
      <c r="AI879" s="133"/>
      <c r="AJ879" s="133"/>
      <c r="AK879" s="133"/>
      <c r="AL879" s="132"/>
      <c r="AM879" s="132"/>
      <c r="AN879" s="104"/>
      <c r="AO879" s="104"/>
      <c r="AP879" s="104"/>
    </row>
    <row r="880">
      <c r="A880" s="132"/>
      <c r="B880" s="132"/>
      <c r="C880" s="132"/>
      <c r="D880" s="132"/>
      <c r="E880" s="133"/>
      <c r="F880" s="133"/>
      <c r="G880" s="133"/>
      <c r="H880" s="133"/>
      <c r="I880" s="133"/>
      <c r="J880" s="133"/>
      <c r="K880" s="133"/>
      <c r="L880" s="133"/>
      <c r="M880" s="133"/>
      <c r="N880" s="133"/>
      <c r="O880" s="133"/>
      <c r="P880" s="133"/>
      <c r="Q880" s="133"/>
      <c r="R880" s="133"/>
      <c r="S880" s="133"/>
      <c r="T880" s="133"/>
      <c r="U880" s="133"/>
      <c r="V880" s="133"/>
      <c r="W880" s="133"/>
      <c r="X880" s="160"/>
      <c r="Y880" s="133"/>
      <c r="Z880" s="133"/>
      <c r="AA880" s="133"/>
      <c r="AB880" s="133"/>
      <c r="AC880" s="133"/>
      <c r="AD880" s="133"/>
      <c r="AE880" s="133"/>
      <c r="AF880" s="133"/>
      <c r="AG880" s="133"/>
      <c r="AH880" s="133"/>
      <c r="AI880" s="133"/>
      <c r="AJ880" s="133"/>
      <c r="AK880" s="133"/>
      <c r="AL880" s="132"/>
      <c r="AM880" s="132"/>
      <c r="AN880" s="104"/>
      <c r="AO880" s="104"/>
      <c r="AP880" s="104"/>
    </row>
    <row r="881">
      <c r="A881" s="132"/>
      <c r="B881" s="132"/>
      <c r="C881" s="132"/>
      <c r="D881" s="132"/>
      <c r="E881" s="133"/>
      <c r="F881" s="133"/>
      <c r="G881" s="133"/>
      <c r="H881" s="133"/>
      <c r="I881" s="133"/>
      <c r="J881" s="133"/>
      <c r="K881" s="133"/>
      <c r="L881" s="133"/>
      <c r="M881" s="133"/>
      <c r="N881" s="133"/>
      <c r="O881" s="133"/>
      <c r="P881" s="133"/>
      <c r="Q881" s="133"/>
      <c r="R881" s="133"/>
      <c r="S881" s="133"/>
      <c r="T881" s="133"/>
      <c r="U881" s="133"/>
      <c r="V881" s="133"/>
      <c r="W881" s="133"/>
      <c r="X881" s="160"/>
      <c r="Y881" s="133"/>
      <c r="Z881" s="133"/>
      <c r="AA881" s="133"/>
      <c r="AB881" s="133"/>
      <c r="AC881" s="133"/>
      <c r="AD881" s="133"/>
      <c r="AE881" s="133"/>
      <c r="AF881" s="133"/>
      <c r="AG881" s="133"/>
      <c r="AH881" s="133"/>
      <c r="AI881" s="133"/>
      <c r="AJ881" s="133"/>
      <c r="AK881" s="133"/>
      <c r="AL881" s="132"/>
      <c r="AM881" s="132"/>
      <c r="AN881" s="104"/>
      <c r="AO881" s="104"/>
      <c r="AP881" s="104"/>
    </row>
    <row r="882">
      <c r="A882" s="132"/>
      <c r="B882" s="132"/>
      <c r="C882" s="132"/>
      <c r="D882" s="132"/>
      <c r="E882" s="133"/>
      <c r="F882" s="133"/>
      <c r="G882" s="133"/>
      <c r="H882" s="133"/>
      <c r="I882" s="133"/>
      <c r="J882" s="133"/>
      <c r="K882" s="133"/>
      <c r="L882" s="133"/>
      <c r="M882" s="133"/>
      <c r="N882" s="133"/>
      <c r="O882" s="133"/>
      <c r="P882" s="133"/>
      <c r="Q882" s="133"/>
      <c r="R882" s="133"/>
      <c r="S882" s="133"/>
      <c r="T882" s="133"/>
      <c r="U882" s="133"/>
      <c r="V882" s="133"/>
      <c r="W882" s="133"/>
      <c r="X882" s="160"/>
      <c r="Y882" s="133"/>
      <c r="Z882" s="133"/>
      <c r="AA882" s="133"/>
      <c r="AB882" s="133"/>
      <c r="AC882" s="133"/>
      <c r="AD882" s="133"/>
      <c r="AE882" s="133"/>
      <c r="AF882" s="133"/>
      <c r="AG882" s="133"/>
      <c r="AH882" s="133"/>
      <c r="AI882" s="133"/>
      <c r="AJ882" s="133"/>
      <c r="AK882" s="133"/>
      <c r="AL882" s="132"/>
      <c r="AM882" s="132"/>
      <c r="AN882" s="104"/>
      <c r="AO882" s="104"/>
      <c r="AP882" s="104"/>
    </row>
    <row r="883">
      <c r="A883" s="132"/>
      <c r="B883" s="132"/>
      <c r="C883" s="132"/>
      <c r="D883" s="132"/>
      <c r="E883" s="133"/>
      <c r="F883" s="133"/>
      <c r="G883" s="133"/>
      <c r="H883" s="133"/>
      <c r="I883" s="133"/>
      <c r="J883" s="133"/>
      <c r="K883" s="133"/>
      <c r="L883" s="133"/>
      <c r="M883" s="133"/>
      <c r="N883" s="133"/>
      <c r="O883" s="133"/>
      <c r="P883" s="133"/>
      <c r="Q883" s="133"/>
      <c r="R883" s="133"/>
      <c r="S883" s="133"/>
      <c r="T883" s="133"/>
      <c r="U883" s="133"/>
      <c r="V883" s="133"/>
      <c r="W883" s="133"/>
      <c r="X883" s="160"/>
      <c r="Y883" s="133"/>
      <c r="Z883" s="133"/>
      <c r="AA883" s="133"/>
      <c r="AB883" s="133"/>
      <c r="AC883" s="133"/>
      <c r="AD883" s="133"/>
      <c r="AE883" s="133"/>
      <c r="AF883" s="133"/>
      <c r="AG883" s="133"/>
      <c r="AH883" s="133"/>
      <c r="AI883" s="133"/>
      <c r="AJ883" s="133"/>
      <c r="AK883" s="133"/>
      <c r="AL883" s="132"/>
      <c r="AM883" s="132"/>
      <c r="AN883" s="104"/>
      <c r="AO883" s="104"/>
      <c r="AP883" s="104"/>
    </row>
    <row r="884">
      <c r="A884" s="132"/>
      <c r="B884" s="132"/>
      <c r="C884" s="132"/>
      <c r="D884" s="132"/>
      <c r="E884" s="133"/>
      <c r="F884" s="133"/>
      <c r="G884" s="133"/>
      <c r="H884" s="133"/>
      <c r="I884" s="133"/>
      <c r="J884" s="133"/>
      <c r="K884" s="133"/>
      <c r="L884" s="133"/>
      <c r="M884" s="133"/>
      <c r="N884" s="133"/>
      <c r="O884" s="133"/>
      <c r="P884" s="133"/>
      <c r="Q884" s="133"/>
      <c r="R884" s="133"/>
      <c r="S884" s="133"/>
      <c r="T884" s="133"/>
      <c r="U884" s="133"/>
      <c r="V884" s="133"/>
      <c r="W884" s="133"/>
      <c r="X884" s="160"/>
      <c r="Y884" s="133"/>
      <c r="Z884" s="133"/>
      <c r="AA884" s="133"/>
      <c r="AB884" s="133"/>
      <c r="AC884" s="133"/>
      <c r="AD884" s="133"/>
      <c r="AE884" s="133"/>
      <c r="AF884" s="133"/>
      <c r="AG884" s="133"/>
      <c r="AH884" s="133"/>
      <c r="AI884" s="133"/>
      <c r="AJ884" s="133"/>
      <c r="AK884" s="133"/>
      <c r="AL884" s="132"/>
      <c r="AM884" s="132"/>
      <c r="AN884" s="104"/>
      <c r="AO884" s="104"/>
      <c r="AP884" s="104"/>
    </row>
    <row r="885">
      <c r="A885" s="132"/>
      <c r="B885" s="132"/>
      <c r="C885" s="132"/>
      <c r="D885" s="132"/>
      <c r="E885" s="133"/>
      <c r="F885" s="133"/>
      <c r="G885" s="133"/>
      <c r="H885" s="133"/>
      <c r="I885" s="133"/>
      <c r="J885" s="133"/>
      <c r="K885" s="133"/>
      <c r="L885" s="133"/>
      <c r="M885" s="133"/>
      <c r="N885" s="133"/>
      <c r="O885" s="133"/>
      <c r="P885" s="133"/>
      <c r="Q885" s="133"/>
      <c r="R885" s="133"/>
      <c r="S885" s="133"/>
      <c r="T885" s="133"/>
      <c r="U885" s="133"/>
      <c r="V885" s="133"/>
      <c r="W885" s="133"/>
      <c r="X885" s="160"/>
      <c r="Y885" s="133"/>
      <c r="Z885" s="133"/>
      <c r="AA885" s="133"/>
      <c r="AB885" s="133"/>
      <c r="AC885" s="133"/>
      <c r="AD885" s="133"/>
      <c r="AE885" s="133"/>
      <c r="AF885" s="133"/>
      <c r="AG885" s="133"/>
      <c r="AH885" s="133"/>
      <c r="AI885" s="133"/>
      <c r="AJ885" s="133"/>
      <c r="AK885" s="133"/>
      <c r="AL885" s="132"/>
      <c r="AM885" s="132"/>
      <c r="AN885" s="104"/>
      <c r="AO885" s="104"/>
      <c r="AP885" s="104"/>
    </row>
    <row r="886">
      <c r="A886" s="132"/>
      <c r="B886" s="132"/>
      <c r="C886" s="132"/>
      <c r="D886" s="132"/>
      <c r="E886" s="133"/>
      <c r="F886" s="133"/>
      <c r="G886" s="133"/>
      <c r="H886" s="133"/>
      <c r="I886" s="133"/>
      <c r="J886" s="133"/>
      <c r="K886" s="133"/>
      <c r="L886" s="133"/>
      <c r="M886" s="133"/>
      <c r="N886" s="133"/>
      <c r="O886" s="133"/>
      <c r="P886" s="133"/>
      <c r="Q886" s="133"/>
      <c r="R886" s="133"/>
      <c r="S886" s="133"/>
      <c r="T886" s="133"/>
      <c r="U886" s="133"/>
      <c r="V886" s="133"/>
      <c r="W886" s="133"/>
      <c r="X886" s="160"/>
      <c r="Y886" s="133"/>
      <c r="Z886" s="133"/>
      <c r="AA886" s="133"/>
      <c r="AB886" s="133"/>
      <c r="AC886" s="133"/>
      <c r="AD886" s="133"/>
      <c r="AE886" s="133"/>
      <c r="AF886" s="133"/>
      <c r="AG886" s="133"/>
      <c r="AH886" s="133"/>
      <c r="AI886" s="133"/>
      <c r="AJ886" s="133"/>
      <c r="AK886" s="133"/>
      <c r="AL886" s="132"/>
      <c r="AM886" s="132"/>
      <c r="AN886" s="104"/>
      <c r="AO886" s="104"/>
      <c r="AP886" s="104"/>
    </row>
    <row r="887">
      <c r="A887" s="132"/>
      <c r="B887" s="132"/>
      <c r="C887" s="132"/>
      <c r="D887" s="132"/>
      <c r="E887" s="133"/>
      <c r="F887" s="133"/>
      <c r="G887" s="133"/>
      <c r="H887" s="133"/>
      <c r="I887" s="133"/>
      <c r="J887" s="133"/>
      <c r="K887" s="133"/>
      <c r="L887" s="133"/>
      <c r="M887" s="133"/>
      <c r="N887" s="133"/>
      <c r="O887" s="133"/>
      <c r="P887" s="133"/>
      <c r="Q887" s="133"/>
      <c r="R887" s="133"/>
      <c r="S887" s="133"/>
      <c r="T887" s="133"/>
      <c r="U887" s="133"/>
      <c r="V887" s="133"/>
      <c r="W887" s="133"/>
      <c r="X887" s="160"/>
      <c r="Y887" s="133"/>
      <c r="Z887" s="133"/>
      <c r="AA887" s="133"/>
      <c r="AB887" s="133"/>
      <c r="AC887" s="133"/>
      <c r="AD887" s="133"/>
      <c r="AE887" s="133"/>
      <c r="AF887" s="133"/>
      <c r="AG887" s="133"/>
      <c r="AH887" s="133"/>
      <c r="AI887" s="133"/>
      <c r="AJ887" s="133"/>
      <c r="AK887" s="133"/>
      <c r="AL887" s="132"/>
      <c r="AM887" s="132"/>
      <c r="AN887" s="104"/>
      <c r="AO887" s="104"/>
      <c r="AP887" s="104"/>
    </row>
    <row r="888">
      <c r="A888" s="132"/>
      <c r="B888" s="132"/>
      <c r="C888" s="132"/>
      <c r="D888" s="132"/>
      <c r="E888" s="133"/>
      <c r="F888" s="133"/>
      <c r="G888" s="133"/>
      <c r="H888" s="133"/>
      <c r="I888" s="133"/>
      <c r="J888" s="133"/>
      <c r="K888" s="133"/>
      <c r="L888" s="133"/>
      <c r="M888" s="133"/>
      <c r="N888" s="133"/>
      <c r="O888" s="133"/>
      <c r="P888" s="133"/>
      <c r="Q888" s="133"/>
      <c r="R888" s="133"/>
      <c r="S888" s="133"/>
      <c r="T888" s="133"/>
      <c r="U888" s="133"/>
      <c r="V888" s="133"/>
      <c r="W888" s="133"/>
      <c r="X888" s="160"/>
      <c r="Y888" s="133"/>
      <c r="Z888" s="133"/>
      <c r="AA888" s="133"/>
      <c r="AB888" s="133"/>
      <c r="AC888" s="133"/>
      <c r="AD888" s="133"/>
      <c r="AE888" s="133"/>
      <c r="AF888" s="133"/>
      <c r="AG888" s="133"/>
      <c r="AH888" s="133"/>
      <c r="AI888" s="133"/>
      <c r="AJ888" s="133"/>
      <c r="AK888" s="133"/>
      <c r="AL888" s="132"/>
      <c r="AM888" s="132"/>
      <c r="AN888" s="104"/>
      <c r="AO888" s="104"/>
      <c r="AP888" s="104"/>
    </row>
    <row r="889">
      <c r="A889" s="132"/>
      <c r="B889" s="132"/>
      <c r="C889" s="132"/>
      <c r="D889" s="132"/>
      <c r="E889" s="133"/>
      <c r="F889" s="133"/>
      <c r="G889" s="133"/>
      <c r="H889" s="133"/>
      <c r="I889" s="133"/>
      <c r="J889" s="133"/>
      <c r="K889" s="133"/>
      <c r="L889" s="133"/>
      <c r="M889" s="133"/>
      <c r="N889" s="133"/>
      <c r="O889" s="133"/>
      <c r="P889" s="133"/>
      <c r="Q889" s="133"/>
      <c r="R889" s="133"/>
      <c r="S889" s="133"/>
      <c r="T889" s="133"/>
      <c r="U889" s="133"/>
      <c r="V889" s="133"/>
      <c r="W889" s="133"/>
      <c r="X889" s="160"/>
      <c r="Y889" s="133"/>
      <c r="Z889" s="133"/>
      <c r="AA889" s="133"/>
      <c r="AB889" s="133"/>
      <c r="AC889" s="133"/>
      <c r="AD889" s="133"/>
      <c r="AE889" s="133"/>
      <c r="AF889" s="133"/>
      <c r="AG889" s="133"/>
      <c r="AH889" s="133"/>
      <c r="AI889" s="133"/>
      <c r="AJ889" s="133"/>
      <c r="AK889" s="133"/>
      <c r="AL889" s="132"/>
      <c r="AM889" s="132"/>
      <c r="AN889" s="104"/>
      <c r="AO889" s="104"/>
      <c r="AP889" s="104"/>
    </row>
    <row r="890">
      <c r="A890" s="132"/>
      <c r="B890" s="132"/>
      <c r="C890" s="132"/>
      <c r="D890" s="132"/>
      <c r="E890" s="133"/>
      <c r="F890" s="133"/>
      <c r="G890" s="133"/>
      <c r="H890" s="133"/>
      <c r="I890" s="133"/>
      <c r="J890" s="133"/>
      <c r="K890" s="133"/>
      <c r="L890" s="133"/>
      <c r="M890" s="133"/>
      <c r="N890" s="133"/>
      <c r="O890" s="133"/>
      <c r="P890" s="133"/>
      <c r="Q890" s="133"/>
      <c r="R890" s="133"/>
      <c r="S890" s="133"/>
      <c r="T890" s="133"/>
      <c r="U890" s="133"/>
      <c r="V890" s="133"/>
      <c r="W890" s="133"/>
      <c r="X890" s="160"/>
      <c r="Y890" s="133"/>
      <c r="Z890" s="133"/>
      <c r="AA890" s="133"/>
      <c r="AB890" s="133"/>
      <c r="AC890" s="133"/>
      <c r="AD890" s="133"/>
      <c r="AE890" s="133"/>
      <c r="AF890" s="133"/>
      <c r="AG890" s="133"/>
      <c r="AH890" s="133"/>
      <c r="AI890" s="133"/>
      <c r="AJ890" s="133"/>
      <c r="AK890" s="133"/>
      <c r="AL890" s="132"/>
      <c r="AM890" s="132"/>
      <c r="AN890" s="104"/>
      <c r="AO890" s="104"/>
      <c r="AP890" s="104"/>
    </row>
    <row r="891">
      <c r="A891" s="132"/>
      <c r="B891" s="132"/>
      <c r="C891" s="132"/>
      <c r="D891" s="132"/>
      <c r="E891" s="133"/>
      <c r="F891" s="133"/>
      <c r="G891" s="133"/>
      <c r="H891" s="133"/>
      <c r="I891" s="133"/>
      <c r="J891" s="133"/>
      <c r="K891" s="133"/>
      <c r="L891" s="133"/>
      <c r="M891" s="133"/>
      <c r="N891" s="133"/>
      <c r="O891" s="133"/>
      <c r="P891" s="133"/>
      <c r="Q891" s="133"/>
      <c r="R891" s="133"/>
      <c r="S891" s="133"/>
      <c r="T891" s="133"/>
      <c r="U891" s="133"/>
      <c r="V891" s="133"/>
      <c r="W891" s="133"/>
      <c r="X891" s="160"/>
      <c r="Y891" s="133"/>
      <c r="Z891" s="133"/>
      <c r="AA891" s="133"/>
      <c r="AB891" s="133"/>
      <c r="AC891" s="133"/>
      <c r="AD891" s="133"/>
      <c r="AE891" s="133"/>
      <c r="AF891" s="133"/>
      <c r="AG891" s="133"/>
      <c r="AH891" s="133"/>
      <c r="AI891" s="133"/>
      <c r="AJ891" s="133"/>
      <c r="AK891" s="133"/>
      <c r="AL891" s="132"/>
      <c r="AM891" s="132"/>
      <c r="AN891" s="104"/>
      <c r="AO891" s="104"/>
      <c r="AP891" s="104"/>
    </row>
    <row r="892">
      <c r="A892" s="132"/>
      <c r="B892" s="132"/>
      <c r="C892" s="132"/>
      <c r="D892" s="132"/>
      <c r="E892" s="133"/>
      <c r="F892" s="133"/>
      <c r="G892" s="133"/>
      <c r="H892" s="133"/>
      <c r="I892" s="133"/>
      <c r="J892" s="133"/>
      <c r="K892" s="133"/>
      <c r="L892" s="133"/>
      <c r="M892" s="133"/>
      <c r="N892" s="133"/>
      <c r="O892" s="133"/>
      <c r="P892" s="133"/>
      <c r="Q892" s="133"/>
      <c r="R892" s="133"/>
      <c r="S892" s="133"/>
      <c r="T892" s="133"/>
      <c r="U892" s="133"/>
      <c r="V892" s="133"/>
      <c r="W892" s="133"/>
      <c r="X892" s="160"/>
      <c r="Y892" s="133"/>
      <c r="Z892" s="133"/>
      <c r="AA892" s="133"/>
      <c r="AB892" s="133"/>
      <c r="AC892" s="133"/>
      <c r="AD892" s="133"/>
      <c r="AE892" s="133"/>
      <c r="AF892" s="133"/>
      <c r="AG892" s="133"/>
      <c r="AH892" s="133"/>
      <c r="AI892" s="133"/>
      <c r="AJ892" s="133"/>
      <c r="AK892" s="133"/>
      <c r="AL892" s="132"/>
      <c r="AM892" s="132"/>
      <c r="AN892" s="104"/>
      <c r="AO892" s="104"/>
      <c r="AP892" s="104"/>
    </row>
    <row r="893">
      <c r="A893" s="132"/>
      <c r="B893" s="132"/>
      <c r="C893" s="132"/>
      <c r="D893" s="132"/>
      <c r="E893" s="133"/>
      <c r="F893" s="133"/>
      <c r="G893" s="133"/>
      <c r="H893" s="133"/>
      <c r="I893" s="133"/>
      <c r="J893" s="133"/>
      <c r="K893" s="133"/>
      <c r="L893" s="133"/>
      <c r="M893" s="133"/>
      <c r="N893" s="133"/>
      <c r="O893" s="133"/>
      <c r="P893" s="133"/>
      <c r="Q893" s="133"/>
      <c r="R893" s="133"/>
      <c r="S893" s="133"/>
      <c r="T893" s="133"/>
      <c r="U893" s="133"/>
      <c r="V893" s="133"/>
      <c r="W893" s="133"/>
      <c r="X893" s="160"/>
      <c r="Y893" s="133"/>
      <c r="Z893" s="133"/>
      <c r="AA893" s="133"/>
      <c r="AB893" s="133"/>
      <c r="AC893" s="133"/>
      <c r="AD893" s="133"/>
      <c r="AE893" s="133"/>
      <c r="AF893" s="133"/>
      <c r="AG893" s="133"/>
      <c r="AH893" s="133"/>
      <c r="AI893" s="133"/>
      <c r="AJ893" s="133"/>
      <c r="AK893" s="133"/>
      <c r="AL893" s="132"/>
      <c r="AM893" s="132"/>
      <c r="AN893" s="104"/>
      <c r="AO893" s="104"/>
      <c r="AP893" s="104"/>
    </row>
    <row r="894">
      <c r="A894" s="132"/>
      <c r="B894" s="132"/>
      <c r="C894" s="132"/>
      <c r="D894" s="132"/>
      <c r="E894" s="133"/>
      <c r="F894" s="133"/>
      <c r="G894" s="133"/>
      <c r="H894" s="133"/>
      <c r="I894" s="133"/>
      <c r="J894" s="133"/>
      <c r="K894" s="133"/>
      <c r="L894" s="133"/>
      <c r="M894" s="133"/>
      <c r="N894" s="133"/>
      <c r="O894" s="133"/>
      <c r="P894" s="133"/>
      <c r="Q894" s="133"/>
      <c r="R894" s="133"/>
      <c r="S894" s="133"/>
      <c r="T894" s="133"/>
      <c r="U894" s="133"/>
      <c r="V894" s="133"/>
      <c r="W894" s="133"/>
      <c r="X894" s="160"/>
      <c r="Y894" s="133"/>
      <c r="Z894" s="133"/>
      <c r="AA894" s="133"/>
      <c r="AB894" s="133"/>
      <c r="AC894" s="133"/>
      <c r="AD894" s="133"/>
      <c r="AE894" s="133"/>
      <c r="AF894" s="133"/>
      <c r="AG894" s="133"/>
      <c r="AH894" s="133"/>
      <c r="AI894" s="133"/>
      <c r="AJ894" s="133"/>
      <c r="AK894" s="133"/>
      <c r="AL894" s="132"/>
      <c r="AM894" s="132"/>
      <c r="AN894" s="104"/>
      <c r="AO894" s="104"/>
      <c r="AP894" s="104"/>
    </row>
    <row r="895">
      <c r="A895" s="132"/>
      <c r="B895" s="132"/>
      <c r="C895" s="132"/>
      <c r="D895" s="132"/>
      <c r="E895" s="133"/>
      <c r="F895" s="133"/>
      <c r="G895" s="133"/>
      <c r="H895" s="133"/>
      <c r="I895" s="133"/>
      <c r="J895" s="133"/>
      <c r="K895" s="133"/>
      <c r="L895" s="133"/>
      <c r="M895" s="133"/>
      <c r="N895" s="133"/>
      <c r="O895" s="133"/>
      <c r="P895" s="133"/>
      <c r="Q895" s="133"/>
      <c r="R895" s="133"/>
      <c r="S895" s="133"/>
      <c r="T895" s="133"/>
      <c r="U895" s="133"/>
      <c r="V895" s="133"/>
      <c r="W895" s="133"/>
      <c r="X895" s="160"/>
      <c r="Y895" s="133"/>
      <c r="Z895" s="133"/>
      <c r="AA895" s="133"/>
      <c r="AB895" s="133"/>
      <c r="AC895" s="133"/>
      <c r="AD895" s="133"/>
      <c r="AE895" s="133"/>
      <c r="AF895" s="133"/>
      <c r="AG895" s="133"/>
      <c r="AH895" s="133"/>
      <c r="AI895" s="133"/>
      <c r="AJ895" s="133"/>
      <c r="AK895" s="133"/>
      <c r="AL895" s="132"/>
      <c r="AM895" s="132"/>
      <c r="AN895" s="104"/>
      <c r="AO895" s="104"/>
      <c r="AP895" s="104"/>
    </row>
    <row r="896">
      <c r="A896" s="132"/>
      <c r="B896" s="132"/>
      <c r="C896" s="132"/>
      <c r="D896" s="132"/>
      <c r="E896" s="133"/>
      <c r="F896" s="133"/>
      <c r="G896" s="133"/>
      <c r="H896" s="133"/>
      <c r="I896" s="133"/>
      <c r="J896" s="133"/>
      <c r="K896" s="133"/>
      <c r="L896" s="133"/>
      <c r="M896" s="133"/>
      <c r="N896" s="133"/>
      <c r="O896" s="133"/>
      <c r="P896" s="133"/>
      <c r="Q896" s="133"/>
      <c r="R896" s="133"/>
      <c r="S896" s="133"/>
      <c r="T896" s="133"/>
      <c r="U896" s="133"/>
      <c r="V896" s="133"/>
      <c r="W896" s="133"/>
      <c r="X896" s="160"/>
      <c r="Y896" s="133"/>
      <c r="Z896" s="133"/>
      <c r="AA896" s="133"/>
      <c r="AB896" s="133"/>
      <c r="AC896" s="133"/>
      <c r="AD896" s="133"/>
      <c r="AE896" s="133"/>
      <c r="AF896" s="133"/>
      <c r="AG896" s="133"/>
      <c r="AH896" s="133"/>
      <c r="AI896" s="133"/>
      <c r="AJ896" s="133"/>
      <c r="AK896" s="133"/>
      <c r="AL896" s="132"/>
      <c r="AM896" s="132"/>
      <c r="AN896" s="104"/>
      <c r="AO896" s="104"/>
      <c r="AP896" s="104"/>
    </row>
    <row r="897">
      <c r="A897" s="132"/>
      <c r="B897" s="132"/>
      <c r="C897" s="132"/>
      <c r="D897" s="132"/>
      <c r="E897" s="133"/>
      <c r="F897" s="133"/>
      <c r="G897" s="133"/>
      <c r="H897" s="133"/>
      <c r="I897" s="133"/>
      <c r="J897" s="133"/>
      <c r="K897" s="133"/>
      <c r="L897" s="133"/>
      <c r="M897" s="133"/>
      <c r="N897" s="133"/>
      <c r="O897" s="133"/>
      <c r="P897" s="133"/>
      <c r="Q897" s="133"/>
      <c r="R897" s="133"/>
      <c r="S897" s="133"/>
      <c r="T897" s="133"/>
      <c r="U897" s="133"/>
      <c r="V897" s="133"/>
      <c r="W897" s="133"/>
      <c r="X897" s="160"/>
      <c r="Y897" s="133"/>
      <c r="Z897" s="133"/>
      <c r="AA897" s="133"/>
      <c r="AB897" s="133"/>
      <c r="AC897" s="133"/>
      <c r="AD897" s="133"/>
      <c r="AE897" s="133"/>
      <c r="AF897" s="133"/>
      <c r="AG897" s="133"/>
      <c r="AH897" s="133"/>
      <c r="AI897" s="133"/>
      <c r="AJ897" s="133"/>
      <c r="AK897" s="133"/>
      <c r="AL897" s="132"/>
      <c r="AM897" s="132"/>
      <c r="AN897" s="104"/>
      <c r="AO897" s="104"/>
      <c r="AP897" s="104"/>
    </row>
    <row r="898">
      <c r="A898" s="132"/>
      <c r="B898" s="132"/>
      <c r="C898" s="132"/>
      <c r="D898" s="132"/>
      <c r="E898" s="133"/>
      <c r="F898" s="133"/>
      <c r="G898" s="133"/>
      <c r="H898" s="133"/>
      <c r="I898" s="133"/>
      <c r="J898" s="133"/>
      <c r="K898" s="133"/>
      <c r="L898" s="133"/>
      <c r="M898" s="133"/>
      <c r="N898" s="133"/>
      <c r="O898" s="133"/>
      <c r="P898" s="133"/>
      <c r="Q898" s="133"/>
      <c r="R898" s="133"/>
      <c r="S898" s="133"/>
      <c r="T898" s="133"/>
      <c r="U898" s="133"/>
      <c r="V898" s="133"/>
      <c r="W898" s="133"/>
      <c r="X898" s="160"/>
      <c r="Y898" s="133"/>
      <c r="Z898" s="133"/>
      <c r="AA898" s="133"/>
      <c r="AB898" s="133"/>
      <c r="AC898" s="133"/>
      <c r="AD898" s="133"/>
      <c r="AE898" s="133"/>
      <c r="AF898" s="133"/>
      <c r="AG898" s="133"/>
      <c r="AH898" s="133"/>
      <c r="AI898" s="133"/>
      <c r="AJ898" s="133"/>
      <c r="AK898" s="133"/>
      <c r="AL898" s="132"/>
      <c r="AM898" s="132"/>
      <c r="AN898" s="104"/>
      <c r="AO898" s="104"/>
      <c r="AP898" s="104"/>
    </row>
    <row r="899">
      <c r="A899" s="132"/>
      <c r="B899" s="132"/>
      <c r="C899" s="132"/>
      <c r="D899" s="132"/>
      <c r="E899" s="133"/>
      <c r="F899" s="133"/>
      <c r="G899" s="133"/>
      <c r="H899" s="133"/>
      <c r="I899" s="133"/>
      <c r="J899" s="133"/>
      <c r="K899" s="133"/>
      <c r="L899" s="133"/>
      <c r="M899" s="133"/>
      <c r="N899" s="133"/>
      <c r="O899" s="133"/>
      <c r="P899" s="133"/>
      <c r="Q899" s="133"/>
      <c r="R899" s="133"/>
      <c r="S899" s="133"/>
      <c r="T899" s="133"/>
      <c r="U899" s="133"/>
      <c r="V899" s="133"/>
      <c r="W899" s="133"/>
      <c r="X899" s="160"/>
      <c r="Y899" s="133"/>
      <c r="Z899" s="133"/>
      <c r="AA899" s="133"/>
      <c r="AB899" s="133"/>
      <c r="AC899" s="133"/>
      <c r="AD899" s="133"/>
      <c r="AE899" s="133"/>
      <c r="AF899" s="133"/>
      <c r="AG899" s="133"/>
      <c r="AH899" s="133"/>
      <c r="AI899" s="133"/>
      <c r="AJ899" s="133"/>
      <c r="AK899" s="133"/>
      <c r="AL899" s="132"/>
      <c r="AM899" s="132"/>
      <c r="AN899" s="104"/>
      <c r="AO899" s="104"/>
      <c r="AP899" s="104"/>
    </row>
    <row r="900">
      <c r="A900" s="132"/>
      <c r="B900" s="132"/>
      <c r="C900" s="132"/>
      <c r="D900" s="132"/>
      <c r="E900" s="133"/>
      <c r="F900" s="133"/>
      <c r="G900" s="133"/>
      <c r="H900" s="133"/>
      <c r="I900" s="133"/>
      <c r="J900" s="133"/>
      <c r="K900" s="133"/>
      <c r="L900" s="133"/>
      <c r="M900" s="133"/>
      <c r="N900" s="133"/>
      <c r="O900" s="133"/>
      <c r="P900" s="133"/>
      <c r="Q900" s="133"/>
      <c r="R900" s="133"/>
      <c r="S900" s="133"/>
      <c r="T900" s="133"/>
      <c r="U900" s="133"/>
      <c r="V900" s="133"/>
      <c r="W900" s="133"/>
      <c r="X900" s="160"/>
      <c r="Y900" s="133"/>
      <c r="Z900" s="133"/>
      <c r="AA900" s="133"/>
      <c r="AB900" s="133"/>
      <c r="AC900" s="133"/>
      <c r="AD900" s="133"/>
      <c r="AE900" s="133"/>
      <c r="AF900" s="133"/>
      <c r="AG900" s="133"/>
      <c r="AH900" s="133"/>
      <c r="AI900" s="133"/>
      <c r="AJ900" s="133"/>
      <c r="AK900" s="133"/>
      <c r="AL900" s="132"/>
      <c r="AM900" s="132"/>
      <c r="AN900" s="104"/>
      <c r="AO900" s="104"/>
      <c r="AP900" s="104"/>
    </row>
    <row r="901">
      <c r="A901" s="132"/>
      <c r="B901" s="132"/>
      <c r="C901" s="132"/>
      <c r="D901" s="132"/>
      <c r="E901" s="133"/>
      <c r="F901" s="133"/>
      <c r="G901" s="133"/>
      <c r="H901" s="133"/>
      <c r="I901" s="133"/>
      <c r="J901" s="133"/>
      <c r="K901" s="133"/>
      <c r="L901" s="133"/>
      <c r="M901" s="133"/>
      <c r="N901" s="133"/>
      <c r="O901" s="133"/>
      <c r="P901" s="133"/>
      <c r="Q901" s="133"/>
      <c r="R901" s="133"/>
      <c r="S901" s="133"/>
      <c r="T901" s="133"/>
      <c r="U901" s="133"/>
      <c r="V901" s="133"/>
      <c r="W901" s="133"/>
      <c r="X901" s="160"/>
      <c r="Y901" s="133"/>
      <c r="Z901" s="133"/>
      <c r="AA901" s="133"/>
      <c r="AB901" s="133"/>
      <c r="AC901" s="133"/>
      <c r="AD901" s="133"/>
      <c r="AE901" s="133"/>
      <c r="AF901" s="133"/>
      <c r="AG901" s="133"/>
      <c r="AH901" s="133"/>
      <c r="AI901" s="133"/>
      <c r="AJ901" s="133"/>
      <c r="AK901" s="133"/>
      <c r="AL901" s="132"/>
      <c r="AM901" s="132"/>
      <c r="AN901" s="104"/>
      <c r="AO901" s="104"/>
      <c r="AP901" s="104"/>
    </row>
    <row r="902">
      <c r="A902" s="132"/>
      <c r="B902" s="132"/>
      <c r="C902" s="132"/>
      <c r="D902" s="132"/>
      <c r="E902" s="133"/>
      <c r="F902" s="133"/>
      <c r="G902" s="133"/>
      <c r="H902" s="133"/>
      <c r="I902" s="133"/>
      <c r="J902" s="133"/>
      <c r="K902" s="133"/>
      <c r="L902" s="133"/>
      <c r="M902" s="133"/>
      <c r="N902" s="133"/>
      <c r="O902" s="133"/>
      <c r="P902" s="133"/>
      <c r="Q902" s="133"/>
      <c r="R902" s="133"/>
      <c r="S902" s="133"/>
      <c r="T902" s="133"/>
      <c r="U902" s="133"/>
      <c r="V902" s="133"/>
      <c r="W902" s="133"/>
      <c r="X902" s="160"/>
      <c r="Y902" s="133"/>
      <c r="Z902" s="133"/>
      <c r="AA902" s="133"/>
      <c r="AB902" s="133"/>
      <c r="AC902" s="133"/>
      <c r="AD902" s="133"/>
      <c r="AE902" s="133"/>
      <c r="AF902" s="133"/>
      <c r="AG902" s="133"/>
      <c r="AH902" s="133"/>
      <c r="AI902" s="133"/>
      <c r="AJ902" s="133"/>
      <c r="AK902" s="133"/>
      <c r="AL902" s="132"/>
      <c r="AM902" s="132"/>
      <c r="AN902" s="104"/>
      <c r="AO902" s="104"/>
      <c r="AP902" s="104"/>
    </row>
    <row r="903">
      <c r="A903" s="132"/>
      <c r="B903" s="132"/>
      <c r="C903" s="132"/>
      <c r="D903" s="132"/>
      <c r="E903" s="133"/>
      <c r="F903" s="133"/>
      <c r="G903" s="133"/>
      <c r="H903" s="133"/>
      <c r="I903" s="133"/>
      <c r="J903" s="133"/>
      <c r="K903" s="133"/>
      <c r="L903" s="133"/>
      <c r="M903" s="133"/>
      <c r="N903" s="133"/>
      <c r="O903" s="133"/>
      <c r="P903" s="133"/>
      <c r="Q903" s="133"/>
      <c r="R903" s="133"/>
      <c r="S903" s="133"/>
      <c r="T903" s="133"/>
      <c r="U903" s="133"/>
      <c r="V903" s="133"/>
      <c r="W903" s="133"/>
      <c r="X903" s="160"/>
      <c r="Y903" s="133"/>
      <c r="Z903" s="133"/>
      <c r="AA903" s="133"/>
      <c r="AB903" s="133"/>
      <c r="AC903" s="133"/>
      <c r="AD903" s="133"/>
      <c r="AE903" s="133"/>
      <c r="AF903" s="133"/>
      <c r="AG903" s="133"/>
      <c r="AH903" s="133"/>
      <c r="AI903" s="133"/>
      <c r="AJ903" s="133"/>
      <c r="AK903" s="133"/>
      <c r="AL903" s="132"/>
      <c r="AM903" s="132"/>
      <c r="AN903" s="104"/>
      <c r="AO903" s="104"/>
      <c r="AP903" s="104"/>
    </row>
    <row r="904">
      <c r="A904" s="132"/>
      <c r="B904" s="132"/>
      <c r="C904" s="132"/>
      <c r="D904" s="132"/>
      <c r="E904" s="133"/>
      <c r="F904" s="133"/>
      <c r="G904" s="133"/>
      <c r="H904" s="133"/>
      <c r="I904" s="133"/>
      <c r="J904" s="133"/>
      <c r="K904" s="133"/>
      <c r="L904" s="133"/>
      <c r="M904" s="133"/>
      <c r="N904" s="133"/>
      <c r="O904" s="133"/>
      <c r="P904" s="133"/>
      <c r="Q904" s="133"/>
      <c r="R904" s="133"/>
      <c r="S904" s="133"/>
      <c r="T904" s="133"/>
      <c r="U904" s="133"/>
      <c r="V904" s="133"/>
      <c r="W904" s="133"/>
      <c r="X904" s="160"/>
      <c r="Y904" s="133"/>
      <c r="Z904" s="133"/>
      <c r="AA904" s="133"/>
      <c r="AB904" s="133"/>
      <c r="AC904" s="133"/>
      <c r="AD904" s="133"/>
      <c r="AE904" s="133"/>
      <c r="AF904" s="133"/>
      <c r="AG904" s="133"/>
      <c r="AH904" s="133"/>
      <c r="AI904" s="133"/>
      <c r="AJ904" s="133"/>
      <c r="AK904" s="133"/>
      <c r="AL904" s="132"/>
      <c r="AM904" s="132"/>
      <c r="AN904" s="104"/>
      <c r="AO904" s="104"/>
      <c r="AP904" s="104"/>
    </row>
    <row r="905">
      <c r="A905" s="132"/>
      <c r="B905" s="132"/>
      <c r="C905" s="132"/>
      <c r="D905" s="132"/>
      <c r="E905" s="133"/>
      <c r="F905" s="133"/>
      <c r="G905" s="133"/>
      <c r="H905" s="133"/>
      <c r="I905" s="133"/>
      <c r="J905" s="133"/>
      <c r="K905" s="133"/>
      <c r="L905" s="133"/>
      <c r="M905" s="133"/>
      <c r="N905" s="133"/>
      <c r="O905" s="133"/>
      <c r="P905" s="133"/>
      <c r="Q905" s="133"/>
      <c r="R905" s="133"/>
      <c r="S905" s="133"/>
      <c r="T905" s="133"/>
      <c r="U905" s="133"/>
      <c r="V905" s="133"/>
      <c r="W905" s="133"/>
      <c r="X905" s="160"/>
      <c r="Y905" s="133"/>
      <c r="Z905" s="133"/>
      <c r="AA905" s="133"/>
      <c r="AB905" s="133"/>
      <c r="AC905" s="133"/>
      <c r="AD905" s="133"/>
      <c r="AE905" s="133"/>
      <c r="AF905" s="133"/>
      <c r="AG905" s="133"/>
      <c r="AH905" s="133"/>
      <c r="AI905" s="133"/>
      <c r="AJ905" s="133"/>
      <c r="AK905" s="133"/>
      <c r="AL905" s="132"/>
      <c r="AM905" s="132"/>
      <c r="AN905" s="104"/>
      <c r="AO905" s="104"/>
      <c r="AP905" s="104"/>
    </row>
    <row r="906">
      <c r="A906" s="132"/>
      <c r="B906" s="132"/>
      <c r="C906" s="132"/>
      <c r="D906" s="132"/>
      <c r="E906" s="133"/>
      <c r="F906" s="133"/>
      <c r="G906" s="133"/>
      <c r="H906" s="133"/>
      <c r="I906" s="133"/>
      <c r="J906" s="133"/>
      <c r="K906" s="133"/>
      <c r="L906" s="133"/>
      <c r="M906" s="133"/>
      <c r="N906" s="133"/>
      <c r="O906" s="133"/>
      <c r="P906" s="133"/>
      <c r="Q906" s="133"/>
      <c r="R906" s="133"/>
      <c r="S906" s="133"/>
      <c r="T906" s="133"/>
      <c r="U906" s="133"/>
      <c r="V906" s="133"/>
      <c r="W906" s="133"/>
      <c r="X906" s="160"/>
      <c r="Y906" s="133"/>
      <c r="Z906" s="133"/>
      <c r="AA906" s="133"/>
      <c r="AB906" s="133"/>
      <c r="AC906" s="133"/>
      <c r="AD906" s="133"/>
      <c r="AE906" s="133"/>
      <c r="AF906" s="133"/>
      <c r="AG906" s="133"/>
      <c r="AH906" s="133"/>
      <c r="AI906" s="133"/>
      <c r="AJ906" s="133"/>
      <c r="AK906" s="133"/>
      <c r="AL906" s="132"/>
      <c r="AM906" s="132"/>
      <c r="AN906" s="104"/>
      <c r="AO906" s="104"/>
      <c r="AP906" s="104"/>
    </row>
    <row r="907">
      <c r="A907" s="132"/>
      <c r="B907" s="132"/>
      <c r="C907" s="132"/>
      <c r="D907" s="132"/>
      <c r="E907" s="133"/>
      <c r="F907" s="133"/>
      <c r="G907" s="133"/>
      <c r="H907" s="133"/>
      <c r="I907" s="133"/>
      <c r="J907" s="133"/>
      <c r="K907" s="133"/>
      <c r="L907" s="133"/>
      <c r="M907" s="133"/>
      <c r="N907" s="133"/>
      <c r="O907" s="133"/>
      <c r="P907" s="133"/>
      <c r="Q907" s="133"/>
      <c r="R907" s="133"/>
      <c r="S907" s="133"/>
      <c r="T907" s="133"/>
      <c r="U907" s="133"/>
      <c r="V907" s="133"/>
      <c r="W907" s="133"/>
      <c r="X907" s="160"/>
      <c r="Y907" s="133"/>
      <c r="Z907" s="133"/>
      <c r="AA907" s="133"/>
      <c r="AB907" s="133"/>
      <c r="AC907" s="133"/>
      <c r="AD907" s="133"/>
      <c r="AE907" s="133"/>
      <c r="AF907" s="133"/>
      <c r="AG907" s="133"/>
      <c r="AH907" s="133"/>
      <c r="AI907" s="133"/>
      <c r="AJ907" s="133"/>
      <c r="AK907" s="133"/>
      <c r="AL907" s="132"/>
      <c r="AM907" s="132"/>
      <c r="AN907" s="104"/>
      <c r="AO907" s="104"/>
      <c r="AP907" s="104"/>
    </row>
    <row r="908">
      <c r="A908" s="132"/>
      <c r="B908" s="132"/>
      <c r="C908" s="132"/>
      <c r="D908" s="132"/>
      <c r="E908" s="133"/>
      <c r="F908" s="133"/>
      <c r="G908" s="133"/>
      <c r="H908" s="133"/>
      <c r="I908" s="133"/>
      <c r="J908" s="133"/>
      <c r="K908" s="133"/>
      <c r="L908" s="133"/>
      <c r="M908" s="133"/>
      <c r="N908" s="133"/>
      <c r="O908" s="133"/>
      <c r="P908" s="133"/>
      <c r="Q908" s="133"/>
      <c r="R908" s="133"/>
      <c r="S908" s="133"/>
      <c r="T908" s="133"/>
      <c r="U908" s="133"/>
      <c r="V908" s="133"/>
      <c r="W908" s="133"/>
      <c r="X908" s="160"/>
      <c r="Y908" s="133"/>
      <c r="Z908" s="133"/>
      <c r="AA908" s="133"/>
      <c r="AB908" s="133"/>
      <c r="AC908" s="133"/>
      <c r="AD908" s="133"/>
      <c r="AE908" s="133"/>
      <c r="AF908" s="133"/>
      <c r="AG908" s="133"/>
      <c r="AH908" s="133"/>
      <c r="AI908" s="133"/>
      <c r="AJ908" s="133"/>
      <c r="AK908" s="133"/>
      <c r="AL908" s="132"/>
      <c r="AM908" s="132"/>
      <c r="AN908" s="104"/>
      <c r="AO908" s="104"/>
      <c r="AP908" s="104"/>
    </row>
    <row r="909">
      <c r="A909" s="132"/>
      <c r="B909" s="132"/>
      <c r="C909" s="132"/>
      <c r="D909" s="132"/>
      <c r="E909" s="133"/>
      <c r="F909" s="133"/>
      <c r="G909" s="133"/>
      <c r="H909" s="133"/>
      <c r="I909" s="133"/>
      <c r="J909" s="133"/>
      <c r="K909" s="133"/>
      <c r="L909" s="133"/>
      <c r="M909" s="133"/>
      <c r="N909" s="133"/>
      <c r="O909" s="133"/>
      <c r="P909" s="133"/>
      <c r="Q909" s="133"/>
      <c r="R909" s="133"/>
      <c r="S909" s="133"/>
      <c r="T909" s="133"/>
      <c r="U909" s="133"/>
      <c r="V909" s="133"/>
      <c r="W909" s="133"/>
      <c r="X909" s="160"/>
      <c r="Y909" s="133"/>
      <c r="Z909" s="133"/>
      <c r="AA909" s="133"/>
      <c r="AB909" s="133"/>
      <c r="AC909" s="133"/>
      <c r="AD909" s="133"/>
      <c r="AE909" s="133"/>
      <c r="AF909" s="133"/>
      <c r="AG909" s="133"/>
      <c r="AH909" s="133"/>
      <c r="AI909" s="133"/>
      <c r="AJ909" s="133"/>
      <c r="AK909" s="133"/>
      <c r="AL909" s="132"/>
      <c r="AM909" s="132"/>
      <c r="AN909" s="104"/>
      <c r="AO909" s="104"/>
      <c r="AP909" s="104"/>
    </row>
    <row r="910">
      <c r="A910" s="132"/>
      <c r="B910" s="132"/>
      <c r="C910" s="132"/>
      <c r="D910" s="132"/>
      <c r="E910" s="133"/>
      <c r="F910" s="133"/>
      <c r="G910" s="133"/>
      <c r="H910" s="133"/>
      <c r="I910" s="133"/>
      <c r="J910" s="133"/>
      <c r="K910" s="133"/>
      <c r="L910" s="133"/>
      <c r="M910" s="133"/>
      <c r="N910" s="133"/>
      <c r="O910" s="133"/>
      <c r="P910" s="133"/>
      <c r="Q910" s="133"/>
      <c r="R910" s="133"/>
      <c r="S910" s="133"/>
      <c r="T910" s="133"/>
      <c r="U910" s="133"/>
      <c r="V910" s="133"/>
      <c r="W910" s="133"/>
      <c r="X910" s="160"/>
      <c r="Y910" s="133"/>
      <c r="Z910" s="133"/>
      <c r="AA910" s="133"/>
      <c r="AB910" s="133"/>
      <c r="AC910" s="133"/>
      <c r="AD910" s="133"/>
      <c r="AE910" s="133"/>
      <c r="AF910" s="133"/>
      <c r="AG910" s="133"/>
      <c r="AH910" s="133"/>
      <c r="AI910" s="133"/>
      <c r="AJ910" s="133"/>
      <c r="AK910" s="133"/>
      <c r="AL910" s="132"/>
      <c r="AM910" s="132"/>
      <c r="AN910" s="104"/>
      <c r="AO910" s="104"/>
      <c r="AP910" s="104"/>
    </row>
    <row r="911">
      <c r="A911" s="132"/>
      <c r="B911" s="132"/>
      <c r="C911" s="132"/>
      <c r="D911" s="132"/>
      <c r="E911" s="133"/>
      <c r="F911" s="133"/>
      <c r="G911" s="133"/>
      <c r="H911" s="133"/>
      <c r="I911" s="133"/>
      <c r="J911" s="133"/>
      <c r="K911" s="133"/>
      <c r="L911" s="133"/>
      <c r="M911" s="133"/>
      <c r="N911" s="133"/>
      <c r="O911" s="133"/>
      <c r="P911" s="133"/>
      <c r="Q911" s="133"/>
      <c r="R911" s="133"/>
      <c r="S911" s="133"/>
      <c r="T911" s="133"/>
      <c r="U911" s="133"/>
      <c r="V911" s="133"/>
      <c r="W911" s="133"/>
      <c r="X911" s="160"/>
      <c r="Y911" s="133"/>
      <c r="Z911" s="133"/>
      <c r="AA911" s="133"/>
      <c r="AB911" s="133"/>
      <c r="AC911" s="133"/>
      <c r="AD911" s="133"/>
      <c r="AE911" s="133"/>
      <c r="AF911" s="133"/>
      <c r="AG911" s="133"/>
      <c r="AH911" s="133"/>
      <c r="AI911" s="133"/>
      <c r="AJ911" s="133"/>
      <c r="AK911" s="133"/>
      <c r="AL911" s="132"/>
      <c r="AM911" s="132"/>
      <c r="AN911" s="104"/>
      <c r="AO911" s="104"/>
      <c r="AP911" s="104"/>
    </row>
    <row r="912">
      <c r="A912" s="132"/>
      <c r="B912" s="132"/>
      <c r="C912" s="132"/>
      <c r="D912" s="132"/>
      <c r="E912" s="133"/>
      <c r="F912" s="133"/>
      <c r="G912" s="133"/>
      <c r="H912" s="133"/>
      <c r="I912" s="133"/>
      <c r="J912" s="133"/>
      <c r="K912" s="133"/>
      <c r="L912" s="133"/>
      <c r="M912" s="133"/>
      <c r="N912" s="133"/>
      <c r="O912" s="133"/>
      <c r="P912" s="133"/>
      <c r="Q912" s="133"/>
      <c r="R912" s="133"/>
      <c r="S912" s="133"/>
      <c r="T912" s="133"/>
      <c r="U912" s="133"/>
      <c r="V912" s="133"/>
      <c r="W912" s="133"/>
      <c r="X912" s="160"/>
      <c r="Y912" s="133"/>
      <c r="Z912" s="133"/>
      <c r="AA912" s="133"/>
      <c r="AB912" s="133"/>
      <c r="AC912" s="133"/>
      <c r="AD912" s="133"/>
      <c r="AE912" s="133"/>
      <c r="AF912" s="133"/>
      <c r="AG912" s="133"/>
      <c r="AH912" s="133"/>
      <c r="AI912" s="133"/>
      <c r="AJ912" s="133"/>
      <c r="AK912" s="133"/>
      <c r="AL912" s="132"/>
      <c r="AM912" s="132"/>
      <c r="AN912" s="104"/>
      <c r="AO912" s="104"/>
      <c r="AP912" s="104"/>
    </row>
    <row r="913">
      <c r="A913" s="132"/>
      <c r="B913" s="132"/>
      <c r="C913" s="132"/>
      <c r="D913" s="132"/>
      <c r="E913" s="133"/>
      <c r="F913" s="133"/>
      <c r="G913" s="133"/>
      <c r="H913" s="133"/>
      <c r="I913" s="133"/>
      <c r="J913" s="133"/>
      <c r="K913" s="133"/>
      <c r="L913" s="133"/>
      <c r="M913" s="133"/>
      <c r="N913" s="133"/>
      <c r="O913" s="133"/>
      <c r="P913" s="133"/>
      <c r="Q913" s="133"/>
      <c r="R913" s="133"/>
      <c r="S913" s="133"/>
      <c r="T913" s="133"/>
      <c r="U913" s="133"/>
      <c r="V913" s="133"/>
      <c r="W913" s="133"/>
      <c r="X913" s="160"/>
      <c r="Y913" s="133"/>
      <c r="Z913" s="133"/>
      <c r="AA913" s="133"/>
      <c r="AB913" s="133"/>
      <c r="AC913" s="133"/>
      <c r="AD913" s="133"/>
      <c r="AE913" s="133"/>
      <c r="AF913" s="133"/>
      <c r="AG913" s="133"/>
      <c r="AH913" s="133"/>
      <c r="AI913" s="133"/>
      <c r="AJ913" s="133"/>
      <c r="AK913" s="133"/>
      <c r="AL913" s="132"/>
      <c r="AM913" s="132"/>
      <c r="AN913" s="104"/>
      <c r="AO913" s="104"/>
      <c r="AP913" s="104"/>
    </row>
    <row r="914">
      <c r="A914" s="132"/>
      <c r="B914" s="132"/>
      <c r="C914" s="132"/>
      <c r="D914" s="132"/>
      <c r="E914" s="133"/>
      <c r="F914" s="133"/>
      <c r="G914" s="133"/>
      <c r="H914" s="133"/>
      <c r="I914" s="133"/>
      <c r="J914" s="133"/>
      <c r="K914" s="133"/>
      <c r="L914" s="133"/>
      <c r="M914" s="133"/>
      <c r="N914" s="133"/>
      <c r="O914" s="133"/>
      <c r="P914" s="133"/>
      <c r="Q914" s="133"/>
      <c r="R914" s="133"/>
      <c r="S914" s="133"/>
      <c r="T914" s="133"/>
      <c r="U914" s="133"/>
      <c r="V914" s="133"/>
      <c r="W914" s="133"/>
      <c r="X914" s="160"/>
      <c r="Y914" s="133"/>
      <c r="Z914" s="133"/>
      <c r="AA914" s="133"/>
      <c r="AB914" s="133"/>
      <c r="AC914" s="133"/>
      <c r="AD914" s="133"/>
      <c r="AE914" s="133"/>
      <c r="AF914" s="133"/>
      <c r="AG914" s="133"/>
      <c r="AH914" s="133"/>
      <c r="AI914" s="133"/>
      <c r="AJ914" s="133"/>
      <c r="AK914" s="133"/>
      <c r="AL914" s="132"/>
      <c r="AM914" s="132"/>
      <c r="AN914" s="104"/>
      <c r="AO914" s="104"/>
      <c r="AP914" s="104"/>
    </row>
    <row r="915">
      <c r="A915" s="132"/>
      <c r="B915" s="132"/>
      <c r="C915" s="132"/>
      <c r="D915" s="132"/>
      <c r="E915" s="133"/>
      <c r="F915" s="133"/>
      <c r="G915" s="133"/>
      <c r="H915" s="133"/>
      <c r="I915" s="133"/>
      <c r="J915" s="133"/>
      <c r="K915" s="133"/>
      <c r="L915" s="133"/>
      <c r="M915" s="133"/>
      <c r="N915" s="133"/>
      <c r="O915" s="133"/>
      <c r="P915" s="133"/>
      <c r="Q915" s="133"/>
      <c r="R915" s="133"/>
      <c r="S915" s="133"/>
      <c r="T915" s="133"/>
      <c r="U915" s="133"/>
      <c r="V915" s="133"/>
      <c r="W915" s="133"/>
      <c r="X915" s="160"/>
      <c r="Y915" s="133"/>
      <c r="Z915" s="133"/>
      <c r="AA915" s="133"/>
      <c r="AB915" s="133"/>
      <c r="AC915" s="133"/>
      <c r="AD915" s="133"/>
      <c r="AE915" s="133"/>
      <c r="AF915" s="133"/>
      <c r="AG915" s="133"/>
      <c r="AH915" s="133"/>
      <c r="AI915" s="133"/>
      <c r="AJ915" s="133"/>
      <c r="AK915" s="133"/>
      <c r="AL915" s="132"/>
      <c r="AM915" s="132"/>
      <c r="AN915" s="104"/>
      <c r="AO915" s="104"/>
      <c r="AP915" s="104"/>
    </row>
    <row r="916">
      <c r="A916" s="132"/>
      <c r="B916" s="132"/>
      <c r="C916" s="132"/>
      <c r="D916" s="132"/>
      <c r="E916" s="133"/>
      <c r="F916" s="133"/>
      <c r="G916" s="133"/>
      <c r="H916" s="133"/>
      <c r="I916" s="133"/>
      <c r="J916" s="133"/>
      <c r="K916" s="133"/>
      <c r="L916" s="133"/>
      <c r="M916" s="133"/>
      <c r="N916" s="133"/>
      <c r="O916" s="133"/>
      <c r="P916" s="133"/>
      <c r="Q916" s="133"/>
      <c r="R916" s="133"/>
      <c r="S916" s="133"/>
      <c r="T916" s="133"/>
      <c r="U916" s="133"/>
      <c r="V916" s="133"/>
      <c r="W916" s="133"/>
      <c r="X916" s="160"/>
      <c r="Y916" s="133"/>
      <c r="Z916" s="133"/>
      <c r="AA916" s="133"/>
      <c r="AB916" s="133"/>
      <c r="AC916" s="133"/>
      <c r="AD916" s="133"/>
      <c r="AE916" s="133"/>
      <c r="AF916" s="133"/>
      <c r="AG916" s="133"/>
      <c r="AH916" s="133"/>
      <c r="AI916" s="133"/>
      <c r="AJ916" s="133"/>
      <c r="AK916" s="133"/>
      <c r="AL916" s="132"/>
      <c r="AM916" s="132"/>
      <c r="AN916" s="104"/>
      <c r="AO916" s="104"/>
      <c r="AP916" s="104"/>
    </row>
    <row r="917">
      <c r="A917" s="132"/>
      <c r="B917" s="132"/>
      <c r="C917" s="132"/>
      <c r="D917" s="132"/>
      <c r="E917" s="133"/>
      <c r="F917" s="133"/>
      <c r="G917" s="133"/>
      <c r="H917" s="133"/>
      <c r="I917" s="133"/>
      <c r="J917" s="133"/>
      <c r="K917" s="133"/>
      <c r="L917" s="133"/>
      <c r="M917" s="133"/>
      <c r="N917" s="133"/>
      <c r="O917" s="133"/>
      <c r="P917" s="133"/>
      <c r="Q917" s="133"/>
      <c r="R917" s="133"/>
      <c r="S917" s="133"/>
      <c r="T917" s="133"/>
      <c r="U917" s="133"/>
      <c r="V917" s="133"/>
      <c r="W917" s="133"/>
      <c r="X917" s="160"/>
      <c r="Y917" s="133"/>
      <c r="Z917" s="133"/>
      <c r="AA917" s="133"/>
      <c r="AB917" s="133"/>
      <c r="AC917" s="133"/>
      <c r="AD917" s="133"/>
      <c r="AE917" s="133"/>
      <c r="AF917" s="133"/>
      <c r="AG917" s="133"/>
      <c r="AH917" s="133"/>
      <c r="AI917" s="133"/>
      <c r="AJ917" s="133"/>
      <c r="AK917" s="133"/>
      <c r="AL917" s="132"/>
      <c r="AM917" s="132"/>
      <c r="AN917" s="104"/>
      <c r="AO917" s="104"/>
      <c r="AP917" s="104"/>
    </row>
    <row r="918">
      <c r="A918" s="132"/>
      <c r="B918" s="132"/>
      <c r="C918" s="132"/>
      <c r="D918" s="132"/>
      <c r="E918" s="133"/>
      <c r="F918" s="133"/>
      <c r="G918" s="133"/>
      <c r="H918" s="133"/>
      <c r="I918" s="133"/>
      <c r="J918" s="133"/>
      <c r="K918" s="133"/>
      <c r="L918" s="133"/>
      <c r="M918" s="133"/>
      <c r="N918" s="133"/>
      <c r="O918" s="133"/>
      <c r="P918" s="133"/>
      <c r="Q918" s="133"/>
      <c r="R918" s="133"/>
      <c r="S918" s="133"/>
      <c r="T918" s="133"/>
      <c r="U918" s="133"/>
      <c r="V918" s="133"/>
      <c r="W918" s="133"/>
      <c r="X918" s="160"/>
      <c r="Y918" s="133"/>
      <c r="Z918" s="133"/>
      <c r="AA918" s="133"/>
      <c r="AB918" s="133"/>
      <c r="AC918" s="133"/>
      <c r="AD918" s="133"/>
      <c r="AE918" s="133"/>
      <c r="AF918" s="133"/>
      <c r="AG918" s="133"/>
      <c r="AH918" s="133"/>
      <c r="AI918" s="133"/>
      <c r="AJ918" s="133"/>
      <c r="AK918" s="133"/>
      <c r="AL918" s="132"/>
      <c r="AM918" s="132"/>
      <c r="AN918" s="104"/>
      <c r="AO918" s="104"/>
      <c r="AP918" s="104"/>
    </row>
    <row r="919">
      <c r="A919" s="132"/>
      <c r="B919" s="132"/>
      <c r="C919" s="132"/>
      <c r="D919" s="132"/>
      <c r="E919" s="133"/>
      <c r="F919" s="133"/>
      <c r="G919" s="133"/>
      <c r="H919" s="133"/>
      <c r="I919" s="133"/>
      <c r="J919" s="133"/>
      <c r="K919" s="133"/>
      <c r="L919" s="133"/>
      <c r="M919" s="133"/>
      <c r="N919" s="133"/>
      <c r="O919" s="133"/>
      <c r="P919" s="133"/>
      <c r="Q919" s="133"/>
      <c r="R919" s="133"/>
      <c r="S919" s="133"/>
      <c r="T919" s="133"/>
      <c r="U919" s="133"/>
      <c r="V919" s="133"/>
      <c r="W919" s="133"/>
      <c r="X919" s="160"/>
      <c r="Y919" s="133"/>
      <c r="Z919" s="133"/>
      <c r="AA919" s="133"/>
      <c r="AB919" s="133"/>
      <c r="AC919" s="133"/>
      <c r="AD919" s="133"/>
      <c r="AE919" s="133"/>
      <c r="AF919" s="133"/>
      <c r="AG919" s="133"/>
      <c r="AH919" s="133"/>
      <c r="AI919" s="133"/>
      <c r="AJ919" s="133"/>
      <c r="AK919" s="133"/>
      <c r="AL919" s="132"/>
      <c r="AM919" s="132"/>
      <c r="AN919" s="104"/>
      <c r="AO919" s="104"/>
      <c r="AP919" s="104"/>
    </row>
    <row r="920">
      <c r="A920" s="132"/>
      <c r="B920" s="132"/>
      <c r="C920" s="132"/>
      <c r="D920" s="132"/>
      <c r="E920" s="133"/>
      <c r="F920" s="133"/>
      <c r="G920" s="133"/>
      <c r="H920" s="133"/>
      <c r="I920" s="133"/>
      <c r="J920" s="133"/>
      <c r="K920" s="133"/>
      <c r="L920" s="133"/>
      <c r="M920" s="133"/>
      <c r="N920" s="133"/>
      <c r="O920" s="133"/>
      <c r="P920" s="133"/>
      <c r="Q920" s="133"/>
      <c r="R920" s="133"/>
      <c r="S920" s="133"/>
      <c r="T920" s="133"/>
      <c r="U920" s="133"/>
      <c r="V920" s="133"/>
      <c r="W920" s="133"/>
      <c r="X920" s="160"/>
      <c r="Y920" s="133"/>
      <c r="Z920" s="133"/>
      <c r="AA920" s="133"/>
      <c r="AB920" s="133"/>
      <c r="AC920" s="133"/>
      <c r="AD920" s="133"/>
      <c r="AE920" s="133"/>
      <c r="AF920" s="133"/>
      <c r="AG920" s="133"/>
      <c r="AH920" s="133"/>
      <c r="AI920" s="133"/>
      <c r="AJ920" s="133"/>
      <c r="AK920" s="133"/>
      <c r="AL920" s="132"/>
      <c r="AM920" s="132"/>
      <c r="AN920" s="104"/>
      <c r="AO920" s="104"/>
      <c r="AP920" s="104"/>
    </row>
    <row r="921">
      <c r="A921" s="132"/>
      <c r="B921" s="132"/>
      <c r="C921" s="132"/>
      <c r="D921" s="132"/>
      <c r="E921" s="133"/>
      <c r="F921" s="133"/>
      <c r="G921" s="133"/>
      <c r="H921" s="133"/>
      <c r="I921" s="133"/>
      <c r="J921" s="133"/>
      <c r="K921" s="133"/>
      <c r="L921" s="133"/>
      <c r="M921" s="133"/>
      <c r="N921" s="133"/>
      <c r="O921" s="133"/>
      <c r="P921" s="133"/>
      <c r="Q921" s="133"/>
      <c r="R921" s="133"/>
      <c r="S921" s="133"/>
      <c r="T921" s="133"/>
      <c r="U921" s="133"/>
      <c r="V921" s="133"/>
      <c r="W921" s="133"/>
      <c r="X921" s="160"/>
      <c r="Y921" s="133"/>
      <c r="Z921" s="133"/>
      <c r="AA921" s="133"/>
      <c r="AB921" s="133"/>
      <c r="AC921" s="133"/>
      <c r="AD921" s="133"/>
      <c r="AE921" s="133"/>
      <c r="AF921" s="133"/>
      <c r="AG921" s="133"/>
      <c r="AH921" s="133"/>
      <c r="AI921" s="133"/>
      <c r="AJ921" s="133"/>
      <c r="AK921" s="133"/>
      <c r="AL921" s="132"/>
      <c r="AM921" s="132"/>
      <c r="AN921" s="104"/>
      <c r="AO921" s="104"/>
      <c r="AP921" s="104"/>
    </row>
    <row r="922">
      <c r="A922" s="132"/>
      <c r="B922" s="132"/>
      <c r="C922" s="132"/>
      <c r="D922" s="132"/>
      <c r="E922" s="133"/>
      <c r="F922" s="133"/>
      <c r="G922" s="133"/>
      <c r="H922" s="133"/>
      <c r="I922" s="133"/>
      <c r="J922" s="133"/>
      <c r="K922" s="133"/>
      <c r="L922" s="133"/>
      <c r="M922" s="133"/>
      <c r="N922" s="133"/>
      <c r="O922" s="133"/>
      <c r="P922" s="133"/>
      <c r="Q922" s="133"/>
      <c r="R922" s="133"/>
      <c r="S922" s="133"/>
      <c r="T922" s="133"/>
      <c r="U922" s="133"/>
      <c r="V922" s="133"/>
      <c r="W922" s="133"/>
      <c r="X922" s="160"/>
      <c r="Y922" s="133"/>
      <c r="Z922" s="133"/>
      <c r="AA922" s="133"/>
      <c r="AB922" s="133"/>
      <c r="AC922" s="133"/>
      <c r="AD922" s="133"/>
      <c r="AE922" s="133"/>
      <c r="AF922" s="133"/>
      <c r="AG922" s="133"/>
      <c r="AH922" s="133"/>
      <c r="AI922" s="133"/>
      <c r="AJ922" s="133"/>
      <c r="AK922" s="133"/>
      <c r="AL922" s="132"/>
      <c r="AM922" s="132"/>
      <c r="AN922" s="104"/>
      <c r="AO922" s="104"/>
      <c r="AP922" s="104"/>
    </row>
    <row r="923">
      <c r="A923" s="132"/>
      <c r="B923" s="132"/>
      <c r="C923" s="132"/>
      <c r="D923" s="132"/>
      <c r="E923" s="133"/>
      <c r="F923" s="133"/>
      <c r="G923" s="133"/>
      <c r="H923" s="133"/>
      <c r="I923" s="133"/>
      <c r="J923" s="133"/>
      <c r="K923" s="133"/>
      <c r="L923" s="133"/>
      <c r="M923" s="133"/>
      <c r="N923" s="133"/>
      <c r="O923" s="133"/>
      <c r="P923" s="133"/>
      <c r="Q923" s="133"/>
      <c r="R923" s="133"/>
      <c r="S923" s="133"/>
      <c r="T923" s="133"/>
      <c r="U923" s="133"/>
      <c r="V923" s="133"/>
      <c r="W923" s="133"/>
      <c r="X923" s="160"/>
      <c r="Y923" s="133"/>
      <c r="Z923" s="133"/>
      <c r="AA923" s="133"/>
      <c r="AB923" s="133"/>
      <c r="AC923" s="133"/>
      <c r="AD923" s="133"/>
      <c r="AE923" s="133"/>
      <c r="AF923" s="133"/>
      <c r="AG923" s="133"/>
      <c r="AH923" s="133"/>
      <c r="AI923" s="133"/>
      <c r="AJ923" s="133"/>
      <c r="AK923" s="133"/>
      <c r="AL923" s="132"/>
      <c r="AM923" s="132"/>
      <c r="AN923" s="104"/>
      <c r="AO923" s="104"/>
      <c r="AP923" s="104"/>
    </row>
    <row r="924">
      <c r="A924" s="132"/>
      <c r="B924" s="132"/>
      <c r="C924" s="132"/>
      <c r="D924" s="132"/>
      <c r="E924" s="133"/>
      <c r="F924" s="133"/>
      <c r="G924" s="133"/>
      <c r="H924" s="133"/>
      <c r="I924" s="133"/>
      <c r="J924" s="133"/>
      <c r="K924" s="133"/>
      <c r="L924" s="133"/>
      <c r="M924" s="133"/>
      <c r="N924" s="133"/>
      <c r="O924" s="133"/>
      <c r="P924" s="133"/>
      <c r="Q924" s="133"/>
      <c r="R924" s="133"/>
      <c r="S924" s="133"/>
      <c r="T924" s="133"/>
      <c r="U924" s="133"/>
      <c r="V924" s="133"/>
      <c r="W924" s="133"/>
      <c r="X924" s="160"/>
      <c r="Y924" s="133"/>
      <c r="Z924" s="133"/>
      <c r="AA924" s="133"/>
      <c r="AB924" s="133"/>
      <c r="AC924" s="133"/>
      <c r="AD924" s="133"/>
      <c r="AE924" s="133"/>
      <c r="AF924" s="133"/>
      <c r="AG924" s="133"/>
      <c r="AH924" s="133"/>
      <c r="AI924" s="133"/>
      <c r="AJ924" s="133"/>
      <c r="AK924" s="133"/>
      <c r="AL924" s="132"/>
      <c r="AM924" s="132"/>
      <c r="AN924" s="104"/>
      <c r="AO924" s="104"/>
      <c r="AP924" s="104"/>
    </row>
    <row r="925">
      <c r="A925" s="132"/>
      <c r="B925" s="132"/>
      <c r="C925" s="132"/>
      <c r="D925" s="132"/>
      <c r="E925" s="133"/>
      <c r="F925" s="133"/>
      <c r="G925" s="133"/>
      <c r="H925" s="133"/>
      <c r="I925" s="133"/>
      <c r="J925" s="133"/>
      <c r="K925" s="133"/>
      <c r="L925" s="133"/>
      <c r="M925" s="133"/>
      <c r="N925" s="133"/>
      <c r="O925" s="133"/>
      <c r="P925" s="133"/>
      <c r="Q925" s="133"/>
      <c r="R925" s="133"/>
      <c r="S925" s="133"/>
      <c r="T925" s="133"/>
      <c r="U925" s="133"/>
      <c r="V925" s="133"/>
      <c r="W925" s="133"/>
      <c r="X925" s="160"/>
      <c r="Y925" s="133"/>
      <c r="Z925" s="133"/>
      <c r="AA925" s="133"/>
      <c r="AB925" s="133"/>
      <c r="AC925" s="133"/>
      <c r="AD925" s="133"/>
      <c r="AE925" s="133"/>
      <c r="AF925" s="133"/>
      <c r="AG925" s="133"/>
      <c r="AH925" s="133"/>
      <c r="AI925" s="133"/>
      <c r="AJ925" s="133"/>
      <c r="AK925" s="133"/>
      <c r="AL925" s="132"/>
      <c r="AM925" s="132"/>
      <c r="AN925" s="104"/>
      <c r="AO925" s="104"/>
      <c r="AP925" s="104"/>
    </row>
    <row r="926">
      <c r="A926" s="132"/>
      <c r="B926" s="132"/>
      <c r="C926" s="132"/>
      <c r="D926" s="132"/>
      <c r="E926" s="133"/>
      <c r="F926" s="133"/>
      <c r="G926" s="133"/>
      <c r="H926" s="133"/>
      <c r="I926" s="133"/>
      <c r="J926" s="133"/>
      <c r="K926" s="133"/>
      <c r="L926" s="133"/>
      <c r="M926" s="133"/>
      <c r="N926" s="133"/>
      <c r="O926" s="133"/>
      <c r="P926" s="133"/>
      <c r="Q926" s="133"/>
      <c r="R926" s="133"/>
      <c r="S926" s="133"/>
      <c r="T926" s="133"/>
      <c r="U926" s="133"/>
      <c r="V926" s="133"/>
      <c r="W926" s="133"/>
      <c r="X926" s="160"/>
      <c r="Y926" s="133"/>
      <c r="Z926" s="133"/>
      <c r="AA926" s="133"/>
      <c r="AB926" s="133"/>
      <c r="AC926" s="133"/>
      <c r="AD926" s="133"/>
      <c r="AE926" s="133"/>
      <c r="AF926" s="133"/>
      <c r="AG926" s="133"/>
      <c r="AH926" s="133"/>
      <c r="AI926" s="133"/>
      <c r="AJ926" s="133"/>
      <c r="AK926" s="133"/>
      <c r="AL926" s="132"/>
      <c r="AM926" s="132"/>
      <c r="AN926" s="104"/>
      <c r="AO926" s="104"/>
      <c r="AP926" s="104"/>
    </row>
    <row r="927">
      <c r="A927" s="132"/>
      <c r="B927" s="132"/>
      <c r="C927" s="132"/>
      <c r="D927" s="132"/>
      <c r="E927" s="133"/>
      <c r="F927" s="133"/>
      <c r="G927" s="133"/>
      <c r="H927" s="133"/>
      <c r="I927" s="133"/>
      <c r="J927" s="133"/>
      <c r="K927" s="133"/>
      <c r="L927" s="133"/>
      <c r="M927" s="133"/>
      <c r="N927" s="133"/>
      <c r="O927" s="133"/>
      <c r="P927" s="133"/>
      <c r="Q927" s="133"/>
      <c r="R927" s="133"/>
      <c r="S927" s="133"/>
      <c r="T927" s="133"/>
      <c r="U927" s="133"/>
      <c r="V927" s="133"/>
      <c r="W927" s="133"/>
      <c r="X927" s="160"/>
      <c r="Y927" s="133"/>
      <c r="Z927" s="133"/>
      <c r="AA927" s="133"/>
      <c r="AB927" s="133"/>
      <c r="AC927" s="133"/>
      <c r="AD927" s="133"/>
      <c r="AE927" s="133"/>
      <c r="AF927" s="133"/>
      <c r="AG927" s="133"/>
      <c r="AH927" s="133"/>
      <c r="AI927" s="133"/>
      <c r="AJ927" s="133"/>
      <c r="AK927" s="133"/>
      <c r="AL927" s="132"/>
      <c r="AM927" s="132"/>
      <c r="AN927" s="104"/>
      <c r="AO927" s="104"/>
      <c r="AP927" s="104"/>
    </row>
    <row r="928">
      <c r="A928" s="132"/>
      <c r="B928" s="132"/>
      <c r="C928" s="132"/>
      <c r="D928" s="132"/>
      <c r="E928" s="133"/>
      <c r="F928" s="133"/>
      <c r="G928" s="133"/>
      <c r="H928" s="133"/>
      <c r="I928" s="133"/>
      <c r="J928" s="133"/>
      <c r="K928" s="133"/>
      <c r="L928" s="133"/>
      <c r="M928" s="133"/>
      <c r="N928" s="133"/>
      <c r="O928" s="133"/>
      <c r="P928" s="133"/>
      <c r="Q928" s="133"/>
      <c r="R928" s="133"/>
      <c r="S928" s="133"/>
      <c r="T928" s="133"/>
      <c r="U928" s="133"/>
      <c r="V928" s="133"/>
      <c r="W928" s="133"/>
      <c r="X928" s="160"/>
      <c r="Y928" s="133"/>
      <c r="Z928" s="133"/>
      <c r="AA928" s="133"/>
      <c r="AB928" s="133"/>
      <c r="AC928" s="133"/>
      <c r="AD928" s="133"/>
      <c r="AE928" s="133"/>
      <c r="AF928" s="133"/>
      <c r="AG928" s="133"/>
      <c r="AH928" s="133"/>
      <c r="AI928" s="133"/>
      <c r="AJ928" s="133"/>
      <c r="AK928" s="133"/>
      <c r="AL928" s="132"/>
      <c r="AM928" s="132"/>
      <c r="AN928" s="104"/>
      <c r="AO928" s="104"/>
      <c r="AP928" s="104"/>
    </row>
    <row r="929">
      <c r="A929" s="132"/>
      <c r="B929" s="132"/>
      <c r="C929" s="132"/>
      <c r="D929" s="132"/>
      <c r="E929" s="133"/>
      <c r="F929" s="133"/>
      <c r="G929" s="133"/>
      <c r="H929" s="133"/>
      <c r="I929" s="133"/>
      <c r="J929" s="133"/>
      <c r="K929" s="133"/>
      <c r="L929" s="133"/>
      <c r="M929" s="133"/>
      <c r="N929" s="133"/>
      <c r="O929" s="133"/>
      <c r="P929" s="133"/>
      <c r="Q929" s="133"/>
      <c r="R929" s="133"/>
      <c r="S929" s="133"/>
      <c r="T929" s="133"/>
      <c r="U929" s="133"/>
      <c r="V929" s="133"/>
      <c r="W929" s="133"/>
      <c r="X929" s="160"/>
      <c r="Y929" s="133"/>
      <c r="Z929" s="133"/>
      <c r="AA929" s="133"/>
      <c r="AB929" s="133"/>
      <c r="AC929" s="133"/>
      <c r="AD929" s="133"/>
      <c r="AE929" s="133"/>
      <c r="AF929" s="133"/>
      <c r="AG929" s="133"/>
      <c r="AH929" s="133"/>
      <c r="AI929" s="133"/>
      <c r="AJ929" s="133"/>
      <c r="AK929" s="133"/>
      <c r="AL929" s="132"/>
      <c r="AM929" s="132"/>
      <c r="AN929" s="104"/>
      <c r="AO929" s="104"/>
      <c r="AP929" s="104"/>
    </row>
    <row r="930">
      <c r="A930" s="132"/>
      <c r="B930" s="132"/>
      <c r="C930" s="132"/>
      <c r="D930" s="132"/>
      <c r="E930" s="133"/>
      <c r="F930" s="133"/>
      <c r="G930" s="133"/>
      <c r="H930" s="133"/>
      <c r="I930" s="133"/>
      <c r="J930" s="133"/>
      <c r="K930" s="133"/>
      <c r="L930" s="133"/>
      <c r="M930" s="133"/>
      <c r="N930" s="133"/>
      <c r="O930" s="133"/>
      <c r="P930" s="133"/>
      <c r="Q930" s="133"/>
      <c r="R930" s="133"/>
      <c r="S930" s="133"/>
      <c r="T930" s="133"/>
      <c r="U930" s="133"/>
      <c r="V930" s="133"/>
      <c r="W930" s="133"/>
      <c r="X930" s="160"/>
      <c r="Y930" s="133"/>
      <c r="Z930" s="133"/>
      <c r="AA930" s="133"/>
      <c r="AB930" s="133"/>
      <c r="AC930" s="133"/>
      <c r="AD930" s="133"/>
      <c r="AE930" s="133"/>
      <c r="AF930" s="133"/>
      <c r="AG930" s="133"/>
      <c r="AH930" s="133"/>
      <c r="AI930" s="133"/>
      <c r="AJ930" s="133"/>
      <c r="AK930" s="133"/>
      <c r="AL930" s="132"/>
      <c r="AM930" s="132"/>
      <c r="AN930" s="104"/>
      <c r="AO930" s="104"/>
      <c r="AP930" s="104"/>
    </row>
    <row r="931">
      <c r="A931" s="132"/>
      <c r="B931" s="132"/>
      <c r="C931" s="132"/>
      <c r="D931" s="132"/>
      <c r="E931" s="133"/>
      <c r="F931" s="133"/>
      <c r="G931" s="133"/>
      <c r="H931" s="133"/>
      <c r="I931" s="133"/>
      <c r="J931" s="133"/>
      <c r="K931" s="133"/>
      <c r="L931" s="133"/>
      <c r="M931" s="133"/>
      <c r="N931" s="133"/>
      <c r="O931" s="133"/>
      <c r="P931" s="133"/>
      <c r="Q931" s="133"/>
      <c r="R931" s="133"/>
      <c r="S931" s="133"/>
      <c r="T931" s="133"/>
      <c r="U931" s="133"/>
      <c r="V931" s="133"/>
      <c r="W931" s="133"/>
      <c r="X931" s="160"/>
      <c r="Y931" s="133"/>
      <c r="Z931" s="133"/>
      <c r="AA931" s="133"/>
      <c r="AB931" s="133"/>
      <c r="AC931" s="133"/>
      <c r="AD931" s="133"/>
      <c r="AE931" s="133"/>
      <c r="AF931" s="133"/>
      <c r="AG931" s="133"/>
      <c r="AH931" s="133"/>
      <c r="AI931" s="133"/>
      <c r="AJ931" s="133"/>
      <c r="AK931" s="133"/>
      <c r="AL931" s="132"/>
      <c r="AM931" s="132"/>
      <c r="AN931" s="104"/>
      <c r="AO931" s="104"/>
      <c r="AP931" s="104"/>
    </row>
    <row r="932">
      <c r="A932" s="132"/>
      <c r="B932" s="132"/>
      <c r="C932" s="132"/>
      <c r="D932" s="132"/>
      <c r="E932" s="133"/>
      <c r="F932" s="133"/>
      <c r="G932" s="133"/>
      <c r="H932" s="133"/>
      <c r="I932" s="133"/>
      <c r="J932" s="133"/>
      <c r="K932" s="133"/>
      <c r="L932" s="133"/>
      <c r="M932" s="133"/>
      <c r="N932" s="133"/>
      <c r="O932" s="133"/>
      <c r="P932" s="133"/>
      <c r="Q932" s="133"/>
      <c r="R932" s="133"/>
      <c r="S932" s="133"/>
      <c r="T932" s="133"/>
      <c r="U932" s="133"/>
      <c r="V932" s="133"/>
      <c r="W932" s="133"/>
      <c r="X932" s="160"/>
      <c r="Y932" s="133"/>
      <c r="Z932" s="133"/>
      <c r="AA932" s="133"/>
      <c r="AB932" s="133"/>
      <c r="AC932" s="133"/>
      <c r="AD932" s="133"/>
      <c r="AE932" s="133"/>
      <c r="AF932" s="133"/>
      <c r="AG932" s="133"/>
      <c r="AH932" s="133"/>
      <c r="AI932" s="133"/>
      <c r="AJ932" s="133"/>
      <c r="AK932" s="133"/>
      <c r="AL932" s="132"/>
      <c r="AM932" s="132"/>
      <c r="AN932" s="104"/>
      <c r="AO932" s="104"/>
      <c r="AP932" s="104"/>
    </row>
    <row r="933">
      <c r="A933" s="132"/>
      <c r="B933" s="132"/>
      <c r="C933" s="132"/>
      <c r="D933" s="132"/>
      <c r="E933" s="133"/>
      <c r="F933" s="133"/>
      <c r="G933" s="133"/>
      <c r="H933" s="133"/>
      <c r="I933" s="133"/>
      <c r="J933" s="133"/>
      <c r="K933" s="133"/>
      <c r="L933" s="133"/>
      <c r="M933" s="133"/>
      <c r="N933" s="133"/>
      <c r="O933" s="133"/>
      <c r="P933" s="133"/>
      <c r="Q933" s="133"/>
      <c r="R933" s="133"/>
      <c r="S933" s="133"/>
      <c r="T933" s="133"/>
      <c r="U933" s="133"/>
      <c r="V933" s="133"/>
      <c r="W933" s="133"/>
      <c r="X933" s="160"/>
      <c r="Y933" s="133"/>
      <c r="Z933" s="133"/>
      <c r="AA933" s="133"/>
      <c r="AB933" s="133"/>
      <c r="AC933" s="133"/>
      <c r="AD933" s="133"/>
      <c r="AE933" s="133"/>
      <c r="AF933" s="133"/>
      <c r="AG933" s="133"/>
      <c r="AH933" s="133"/>
      <c r="AI933" s="133"/>
      <c r="AJ933" s="133"/>
      <c r="AK933" s="133"/>
      <c r="AL933" s="132"/>
      <c r="AM933" s="132"/>
      <c r="AN933" s="104"/>
      <c r="AO933" s="104"/>
      <c r="AP933" s="104"/>
    </row>
    <row r="934">
      <c r="A934" s="132"/>
      <c r="B934" s="132"/>
      <c r="C934" s="132"/>
      <c r="D934" s="132"/>
      <c r="E934" s="133"/>
      <c r="F934" s="133"/>
      <c r="G934" s="133"/>
      <c r="H934" s="133"/>
      <c r="I934" s="133"/>
      <c r="J934" s="133"/>
      <c r="K934" s="133"/>
      <c r="L934" s="133"/>
      <c r="M934" s="133"/>
      <c r="N934" s="133"/>
      <c r="O934" s="133"/>
      <c r="P934" s="133"/>
      <c r="Q934" s="133"/>
      <c r="R934" s="133"/>
      <c r="S934" s="133"/>
      <c r="T934" s="133"/>
      <c r="U934" s="133"/>
      <c r="V934" s="133"/>
      <c r="W934" s="133"/>
      <c r="X934" s="160"/>
      <c r="Y934" s="133"/>
      <c r="Z934" s="133"/>
      <c r="AA934" s="133"/>
      <c r="AB934" s="133"/>
      <c r="AC934" s="133"/>
      <c r="AD934" s="133"/>
      <c r="AE934" s="133"/>
      <c r="AF934" s="133"/>
      <c r="AG934" s="133"/>
      <c r="AH934" s="133"/>
      <c r="AI934" s="133"/>
      <c r="AJ934" s="133"/>
      <c r="AK934" s="133"/>
      <c r="AL934" s="132"/>
      <c r="AM934" s="132"/>
      <c r="AN934" s="104"/>
      <c r="AO934" s="104"/>
      <c r="AP934" s="104"/>
    </row>
    <row r="935">
      <c r="A935" s="132"/>
      <c r="B935" s="132"/>
      <c r="C935" s="132"/>
      <c r="D935" s="132"/>
      <c r="E935" s="133"/>
      <c r="F935" s="133"/>
      <c r="G935" s="133"/>
      <c r="H935" s="133"/>
      <c r="I935" s="133"/>
      <c r="J935" s="133"/>
      <c r="K935" s="133"/>
      <c r="L935" s="133"/>
      <c r="M935" s="133"/>
      <c r="N935" s="133"/>
      <c r="O935" s="133"/>
      <c r="P935" s="133"/>
      <c r="Q935" s="133"/>
      <c r="R935" s="133"/>
      <c r="S935" s="133"/>
      <c r="T935" s="133"/>
      <c r="U935" s="133"/>
      <c r="V935" s="133"/>
      <c r="W935" s="133"/>
      <c r="X935" s="160"/>
      <c r="Y935" s="133"/>
      <c r="Z935" s="133"/>
      <c r="AA935" s="133"/>
      <c r="AB935" s="133"/>
      <c r="AC935" s="133"/>
      <c r="AD935" s="133"/>
      <c r="AE935" s="133"/>
      <c r="AF935" s="133"/>
      <c r="AG935" s="133"/>
      <c r="AH935" s="133"/>
      <c r="AI935" s="133"/>
      <c r="AJ935" s="133"/>
      <c r="AK935" s="133"/>
      <c r="AL935" s="132"/>
      <c r="AM935" s="132"/>
      <c r="AN935" s="104"/>
      <c r="AO935" s="104"/>
      <c r="AP935" s="104"/>
    </row>
    <row r="936">
      <c r="A936" s="132"/>
      <c r="B936" s="132"/>
      <c r="C936" s="132"/>
      <c r="D936" s="132"/>
      <c r="E936" s="133"/>
      <c r="F936" s="133"/>
      <c r="G936" s="133"/>
      <c r="H936" s="133"/>
      <c r="I936" s="133"/>
      <c r="J936" s="133"/>
      <c r="K936" s="133"/>
      <c r="L936" s="133"/>
      <c r="M936" s="133"/>
      <c r="N936" s="133"/>
      <c r="O936" s="133"/>
      <c r="P936" s="133"/>
      <c r="Q936" s="133"/>
      <c r="R936" s="133"/>
      <c r="S936" s="133"/>
      <c r="T936" s="133"/>
      <c r="U936" s="133"/>
      <c r="V936" s="133"/>
      <c r="W936" s="133"/>
      <c r="X936" s="160"/>
      <c r="Y936" s="133"/>
      <c r="Z936" s="133"/>
      <c r="AA936" s="133"/>
      <c r="AB936" s="133"/>
      <c r="AC936" s="133"/>
      <c r="AD936" s="133"/>
      <c r="AE936" s="133"/>
      <c r="AF936" s="133"/>
      <c r="AG936" s="133"/>
      <c r="AH936" s="133"/>
      <c r="AI936" s="133"/>
      <c r="AJ936" s="133"/>
      <c r="AK936" s="133"/>
      <c r="AL936" s="132"/>
      <c r="AM936" s="132"/>
      <c r="AN936" s="104"/>
      <c r="AO936" s="104"/>
      <c r="AP936" s="104"/>
    </row>
    <row r="937">
      <c r="A937" s="132"/>
      <c r="B937" s="132"/>
      <c r="C937" s="132"/>
      <c r="D937" s="132"/>
      <c r="E937" s="133"/>
      <c r="F937" s="133"/>
      <c r="G937" s="133"/>
      <c r="H937" s="133"/>
      <c r="I937" s="133"/>
      <c r="J937" s="133"/>
      <c r="K937" s="133"/>
      <c r="L937" s="133"/>
      <c r="M937" s="133"/>
      <c r="N937" s="133"/>
      <c r="O937" s="133"/>
      <c r="P937" s="133"/>
      <c r="Q937" s="133"/>
      <c r="R937" s="133"/>
      <c r="S937" s="133"/>
      <c r="T937" s="133"/>
      <c r="U937" s="133"/>
      <c r="V937" s="133"/>
      <c r="W937" s="133"/>
      <c r="X937" s="160"/>
      <c r="Y937" s="133"/>
      <c r="Z937" s="133"/>
      <c r="AA937" s="133"/>
      <c r="AB937" s="133"/>
      <c r="AC937" s="133"/>
      <c r="AD937" s="133"/>
      <c r="AE937" s="133"/>
      <c r="AF937" s="133"/>
      <c r="AG937" s="133"/>
      <c r="AH937" s="133"/>
      <c r="AI937" s="133"/>
      <c r="AJ937" s="133"/>
      <c r="AK937" s="133"/>
      <c r="AL937" s="132"/>
      <c r="AM937" s="132"/>
      <c r="AN937" s="104"/>
      <c r="AO937" s="104"/>
      <c r="AP937" s="104"/>
    </row>
    <row r="938">
      <c r="A938" s="132"/>
      <c r="B938" s="132"/>
      <c r="C938" s="132"/>
      <c r="D938" s="132"/>
      <c r="E938" s="133"/>
      <c r="F938" s="133"/>
      <c r="G938" s="133"/>
      <c r="H938" s="133"/>
      <c r="I938" s="133"/>
      <c r="J938" s="133"/>
      <c r="K938" s="133"/>
      <c r="L938" s="133"/>
      <c r="M938" s="133"/>
      <c r="N938" s="133"/>
      <c r="O938" s="133"/>
      <c r="P938" s="133"/>
      <c r="Q938" s="133"/>
      <c r="R938" s="133"/>
      <c r="S938" s="133"/>
      <c r="T938" s="133"/>
      <c r="U938" s="133"/>
      <c r="V938" s="133"/>
      <c r="W938" s="133"/>
      <c r="X938" s="160"/>
      <c r="Y938" s="133"/>
      <c r="Z938" s="133"/>
      <c r="AA938" s="133"/>
      <c r="AB938" s="133"/>
      <c r="AC938" s="133"/>
      <c r="AD938" s="133"/>
      <c r="AE938" s="133"/>
      <c r="AF938" s="133"/>
      <c r="AG938" s="133"/>
      <c r="AH938" s="133"/>
      <c r="AI938" s="133"/>
      <c r="AJ938" s="133"/>
      <c r="AK938" s="133"/>
      <c r="AL938" s="132"/>
      <c r="AM938" s="132"/>
      <c r="AN938" s="104"/>
      <c r="AO938" s="104"/>
      <c r="AP938" s="104"/>
    </row>
    <row r="939">
      <c r="A939" s="132"/>
      <c r="B939" s="132"/>
      <c r="C939" s="132"/>
      <c r="D939" s="132"/>
      <c r="E939" s="133"/>
      <c r="F939" s="133"/>
      <c r="G939" s="133"/>
      <c r="H939" s="133"/>
      <c r="I939" s="133"/>
      <c r="J939" s="133"/>
      <c r="K939" s="133"/>
      <c r="L939" s="133"/>
      <c r="M939" s="133"/>
      <c r="N939" s="133"/>
      <c r="O939" s="133"/>
      <c r="P939" s="133"/>
      <c r="Q939" s="133"/>
      <c r="R939" s="133"/>
      <c r="S939" s="133"/>
      <c r="T939" s="133"/>
      <c r="U939" s="133"/>
      <c r="V939" s="133"/>
      <c r="W939" s="133"/>
      <c r="X939" s="160"/>
      <c r="Y939" s="133"/>
      <c r="Z939" s="133"/>
      <c r="AA939" s="133"/>
      <c r="AB939" s="133"/>
      <c r="AC939" s="133"/>
      <c r="AD939" s="133"/>
      <c r="AE939" s="133"/>
      <c r="AF939" s="133"/>
      <c r="AG939" s="133"/>
      <c r="AH939" s="133"/>
      <c r="AI939" s="133"/>
      <c r="AJ939" s="133"/>
      <c r="AK939" s="133"/>
      <c r="AL939" s="132"/>
      <c r="AM939" s="132"/>
      <c r="AN939" s="104"/>
      <c r="AO939" s="104"/>
      <c r="AP939" s="104"/>
    </row>
    <row r="940">
      <c r="A940" s="132"/>
      <c r="B940" s="132"/>
      <c r="C940" s="132"/>
      <c r="D940" s="132"/>
      <c r="E940" s="133"/>
      <c r="F940" s="133"/>
      <c r="G940" s="133"/>
      <c r="H940" s="133"/>
      <c r="I940" s="133"/>
      <c r="J940" s="133"/>
      <c r="K940" s="133"/>
      <c r="L940" s="133"/>
      <c r="M940" s="133"/>
      <c r="N940" s="133"/>
      <c r="O940" s="133"/>
      <c r="P940" s="133"/>
      <c r="Q940" s="133"/>
      <c r="R940" s="133"/>
      <c r="S940" s="133"/>
      <c r="T940" s="133"/>
      <c r="U940" s="133"/>
      <c r="V940" s="133"/>
      <c r="W940" s="133"/>
      <c r="X940" s="160"/>
      <c r="Y940" s="133"/>
      <c r="Z940" s="133"/>
      <c r="AA940" s="133"/>
      <c r="AB940" s="133"/>
      <c r="AC940" s="133"/>
      <c r="AD940" s="133"/>
      <c r="AE940" s="133"/>
      <c r="AF940" s="133"/>
      <c r="AG940" s="133"/>
      <c r="AH940" s="133"/>
      <c r="AI940" s="133"/>
      <c r="AJ940" s="133"/>
      <c r="AK940" s="133"/>
      <c r="AL940" s="132"/>
      <c r="AM940" s="132"/>
      <c r="AN940" s="104"/>
      <c r="AO940" s="104"/>
      <c r="AP940" s="104"/>
    </row>
    <row r="941">
      <c r="A941" s="132"/>
      <c r="B941" s="132"/>
      <c r="C941" s="132"/>
      <c r="D941" s="132"/>
      <c r="E941" s="133"/>
      <c r="F941" s="133"/>
      <c r="G941" s="133"/>
      <c r="H941" s="133"/>
      <c r="I941" s="133"/>
      <c r="J941" s="133"/>
      <c r="K941" s="133"/>
      <c r="L941" s="133"/>
      <c r="M941" s="133"/>
      <c r="N941" s="133"/>
      <c r="O941" s="133"/>
      <c r="P941" s="133"/>
      <c r="Q941" s="133"/>
      <c r="R941" s="133"/>
      <c r="S941" s="133"/>
      <c r="T941" s="133"/>
      <c r="U941" s="133"/>
      <c r="V941" s="133"/>
      <c r="W941" s="133"/>
      <c r="X941" s="160"/>
      <c r="Y941" s="133"/>
      <c r="Z941" s="133"/>
      <c r="AA941" s="133"/>
      <c r="AB941" s="133"/>
      <c r="AC941" s="133"/>
      <c r="AD941" s="133"/>
      <c r="AE941" s="133"/>
      <c r="AF941" s="133"/>
      <c r="AG941" s="133"/>
      <c r="AH941" s="133"/>
      <c r="AI941" s="133"/>
      <c r="AJ941" s="133"/>
      <c r="AK941" s="133"/>
      <c r="AL941" s="132"/>
      <c r="AM941" s="132"/>
      <c r="AN941" s="104"/>
      <c r="AO941" s="104"/>
      <c r="AP941" s="104"/>
    </row>
    <row r="942">
      <c r="A942" s="132"/>
      <c r="B942" s="132"/>
      <c r="C942" s="132"/>
      <c r="D942" s="132"/>
      <c r="E942" s="133"/>
      <c r="F942" s="133"/>
      <c r="G942" s="133"/>
      <c r="H942" s="133"/>
      <c r="I942" s="133"/>
      <c r="J942" s="133"/>
      <c r="K942" s="133"/>
      <c r="L942" s="133"/>
      <c r="M942" s="133"/>
      <c r="N942" s="133"/>
      <c r="O942" s="133"/>
      <c r="P942" s="133"/>
      <c r="Q942" s="133"/>
      <c r="R942" s="133"/>
      <c r="S942" s="133"/>
      <c r="T942" s="133"/>
      <c r="U942" s="133"/>
      <c r="V942" s="133"/>
      <c r="W942" s="133"/>
      <c r="X942" s="160"/>
      <c r="Y942" s="133"/>
      <c r="Z942" s="133"/>
      <c r="AA942" s="133"/>
      <c r="AB942" s="133"/>
      <c r="AC942" s="133"/>
      <c r="AD942" s="133"/>
      <c r="AE942" s="133"/>
      <c r="AF942" s="133"/>
      <c r="AG942" s="133"/>
      <c r="AH942" s="133"/>
      <c r="AI942" s="133"/>
      <c r="AJ942" s="133"/>
      <c r="AK942" s="133"/>
      <c r="AL942" s="132"/>
      <c r="AM942" s="132"/>
      <c r="AN942" s="104"/>
      <c r="AO942" s="104"/>
      <c r="AP942" s="104"/>
    </row>
    <row r="943">
      <c r="A943" s="132"/>
      <c r="B943" s="132"/>
      <c r="C943" s="132"/>
      <c r="D943" s="132"/>
      <c r="E943" s="133"/>
      <c r="F943" s="133"/>
      <c r="G943" s="133"/>
      <c r="H943" s="133"/>
      <c r="I943" s="133"/>
      <c r="J943" s="133"/>
      <c r="K943" s="133"/>
      <c r="L943" s="133"/>
      <c r="M943" s="133"/>
      <c r="N943" s="133"/>
      <c r="O943" s="133"/>
      <c r="P943" s="133"/>
      <c r="Q943" s="133"/>
      <c r="R943" s="133"/>
      <c r="S943" s="133"/>
      <c r="T943" s="133"/>
      <c r="U943" s="133"/>
      <c r="V943" s="133"/>
      <c r="W943" s="133"/>
      <c r="X943" s="160"/>
      <c r="Y943" s="133"/>
      <c r="Z943" s="133"/>
      <c r="AA943" s="133"/>
      <c r="AB943" s="133"/>
      <c r="AC943" s="133"/>
      <c r="AD943" s="133"/>
      <c r="AE943" s="133"/>
      <c r="AF943" s="133"/>
      <c r="AG943" s="133"/>
      <c r="AH943" s="133"/>
      <c r="AI943" s="133"/>
      <c r="AJ943" s="133"/>
      <c r="AK943" s="133"/>
      <c r="AL943" s="132"/>
      <c r="AM943" s="132"/>
      <c r="AN943" s="104"/>
      <c r="AO943" s="104"/>
      <c r="AP943" s="104"/>
    </row>
    <row r="944">
      <c r="A944" s="132"/>
      <c r="B944" s="132"/>
      <c r="C944" s="132"/>
      <c r="D944" s="132"/>
      <c r="E944" s="133"/>
      <c r="F944" s="133"/>
      <c r="G944" s="133"/>
      <c r="H944" s="133"/>
      <c r="I944" s="133"/>
      <c r="J944" s="133"/>
      <c r="K944" s="133"/>
      <c r="L944" s="133"/>
      <c r="M944" s="133"/>
      <c r="N944" s="133"/>
      <c r="O944" s="133"/>
      <c r="P944" s="133"/>
      <c r="Q944" s="133"/>
      <c r="R944" s="133"/>
      <c r="S944" s="133"/>
      <c r="T944" s="133"/>
      <c r="U944" s="133"/>
      <c r="V944" s="133"/>
      <c r="W944" s="133"/>
      <c r="X944" s="160"/>
      <c r="Y944" s="133"/>
      <c r="Z944" s="133"/>
      <c r="AA944" s="133"/>
      <c r="AB944" s="133"/>
      <c r="AC944" s="133"/>
      <c r="AD944" s="133"/>
      <c r="AE944" s="133"/>
      <c r="AF944" s="133"/>
      <c r="AG944" s="133"/>
      <c r="AH944" s="133"/>
      <c r="AI944" s="133"/>
      <c r="AJ944" s="133"/>
      <c r="AK944" s="133"/>
      <c r="AL944" s="132"/>
      <c r="AM944" s="132"/>
      <c r="AN944" s="104"/>
      <c r="AO944" s="104"/>
      <c r="AP944" s="104"/>
    </row>
    <row r="945">
      <c r="A945" s="132"/>
      <c r="B945" s="132"/>
      <c r="C945" s="132"/>
      <c r="D945" s="132"/>
      <c r="E945" s="133"/>
      <c r="F945" s="133"/>
      <c r="G945" s="133"/>
      <c r="H945" s="133"/>
      <c r="I945" s="133"/>
      <c r="J945" s="133"/>
      <c r="K945" s="133"/>
      <c r="L945" s="133"/>
      <c r="M945" s="133"/>
      <c r="N945" s="133"/>
      <c r="O945" s="133"/>
      <c r="P945" s="133"/>
      <c r="Q945" s="133"/>
      <c r="R945" s="133"/>
      <c r="S945" s="133"/>
      <c r="T945" s="133"/>
      <c r="U945" s="133"/>
      <c r="V945" s="133"/>
      <c r="W945" s="133"/>
      <c r="X945" s="160"/>
      <c r="Y945" s="133"/>
      <c r="Z945" s="133"/>
      <c r="AA945" s="133"/>
      <c r="AB945" s="133"/>
      <c r="AC945" s="133"/>
      <c r="AD945" s="133"/>
      <c r="AE945" s="133"/>
      <c r="AF945" s="133"/>
      <c r="AG945" s="133"/>
      <c r="AH945" s="133"/>
      <c r="AI945" s="133"/>
      <c r="AJ945" s="133"/>
      <c r="AK945" s="133"/>
      <c r="AL945" s="132"/>
      <c r="AM945" s="132"/>
      <c r="AN945" s="104"/>
      <c r="AO945" s="104"/>
      <c r="AP945" s="104"/>
    </row>
    <row r="946">
      <c r="A946" s="132"/>
      <c r="B946" s="132"/>
      <c r="C946" s="132"/>
      <c r="D946" s="132"/>
      <c r="E946" s="133"/>
      <c r="F946" s="133"/>
      <c r="G946" s="133"/>
      <c r="H946" s="133"/>
      <c r="I946" s="133"/>
      <c r="J946" s="133"/>
      <c r="K946" s="133"/>
      <c r="L946" s="133"/>
      <c r="M946" s="133"/>
      <c r="N946" s="133"/>
      <c r="O946" s="133"/>
      <c r="P946" s="133"/>
      <c r="Q946" s="133"/>
      <c r="R946" s="133"/>
      <c r="S946" s="133"/>
      <c r="T946" s="133"/>
      <c r="U946" s="133"/>
      <c r="V946" s="133"/>
      <c r="W946" s="133"/>
      <c r="X946" s="160"/>
      <c r="Y946" s="133"/>
      <c r="Z946" s="133"/>
      <c r="AA946" s="133"/>
      <c r="AB946" s="133"/>
      <c r="AC946" s="133"/>
      <c r="AD946" s="133"/>
      <c r="AE946" s="133"/>
      <c r="AF946" s="133"/>
      <c r="AG946" s="133"/>
      <c r="AH946" s="133"/>
      <c r="AI946" s="133"/>
      <c r="AJ946" s="133"/>
      <c r="AK946" s="133"/>
      <c r="AL946" s="132"/>
      <c r="AM946" s="132"/>
      <c r="AN946" s="104"/>
      <c r="AO946" s="104"/>
      <c r="AP946" s="104"/>
    </row>
    <row r="947">
      <c r="A947" s="132"/>
      <c r="B947" s="132"/>
      <c r="C947" s="132"/>
      <c r="D947" s="132"/>
      <c r="E947" s="133"/>
      <c r="F947" s="133"/>
      <c r="G947" s="133"/>
      <c r="H947" s="133"/>
      <c r="I947" s="133"/>
      <c r="J947" s="133"/>
      <c r="K947" s="133"/>
      <c r="L947" s="133"/>
      <c r="M947" s="133"/>
      <c r="N947" s="133"/>
      <c r="O947" s="133"/>
      <c r="P947" s="133"/>
      <c r="Q947" s="133"/>
      <c r="R947" s="133"/>
      <c r="S947" s="133"/>
      <c r="T947" s="133"/>
      <c r="U947" s="133"/>
      <c r="V947" s="133"/>
      <c r="W947" s="133"/>
      <c r="X947" s="160"/>
      <c r="Y947" s="133"/>
      <c r="Z947" s="133"/>
      <c r="AA947" s="133"/>
      <c r="AB947" s="133"/>
      <c r="AC947" s="133"/>
      <c r="AD947" s="133"/>
      <c r="AE947" s="133"/>
      <c r="AF947" s="133"/>
      <c r="AG947" s="133"/>
      <c r="AH947" s="133"/>
      <c r="AI947" s="133"/>
      <c r="AJ947" s="133"/>
      <c r="AK947" s="133"/>
      <c r="AL947" s="132"/>
      <c r="AM947" s="132"/>
      <c r="AN947" s="104"/>
      <c r="AO947" s="104"/>
      <c r="AP947" s="104"/>
    </row>
    <row r="948">
      <c r="A948" s="132"/>
      <c r="B948" s="132"/>
      <c r="C948" s="132"/>
      <c r="D948" s="132"/>
      <c r="E948" s="133"/>
      <c r="F948" s="133"/>
      <c r="G948" s="133"/>
      <c r="H948" s="133"/>
      <c r="I948" s="133"/>
      <c r="J948" s="133"/>
      <c r="K948" s="133"/>
      <c r="L948" s="133"/>
      <c r="M948" s="133"/>
      <c r="N948" s="133"/>
      <c r="O948" s="133"/>
      <c r="P948" s="133"/>
      <c r="Q948" s="133"/>
      <c r="R948" s="133"/>
      <c r="S948" s="133"/>
      <c r="T948" s="133"/>
      <c r="U948" s="133"/>
      <c r="V948" s="133"/>
      <c r="W948" s="133"/>
      <c r="X948" s="160"/>
      <c r="Y948" s="133"/>
      <c r="Z948" s="133"/>
      <c r="AA948" s="133"/>
      <c r="AB948" s="133"/>
      <c r="AC948" s="133"/>
      <c r="AD948" s="133"/>
      <c r="AE948" s="133"/>
      <c r="AF948" s="133"/>
      <c r="AG948" s="133"/>
      <c r="AH948" s="133"/>
      <c r="AI948" s="133"/>
      <c r="AJ948" s="133"/>
      <c r="AK948" s="133"/>
      <c r="AL948" s="132"/>
      <c r="AM948" s="132"/>
      <c r="AN948" s="104"/>
      <c r="AO948" s="104"/>
      <c r="AP948" s="104"/>
    </row>
    <row r="949">
      <c r="A949" s="132"/>
      <c r="B949" s="132"/>
      <c r="C949" s="132"/>
      <c r="D949" s="132"/>
      <c r="E949" s="133"/>
      <c r="F949" s="133"/>
      <c r="G949" s="133"/>
      <c r="H949" s="133"/>
      <c r="I949" s="133"/>
      <c r="J949" s="133"/>
      <c r="K949" s="133"/>
      <c r="L949" s="133"/>
      <c r="M949" s="133"/>
      <c r="N949" s="133"/>
      <c r="O949" s="133"/>
      <c r="P949" s="133"/>
      <c r="Q949" s="133"/>
      <c r="R949" s="133"/>
      <c r="S949" s="133"/>
      <c r="T949" s="133"/>
      <c r="U949" s="133"/>
      <c r="V949" s="133"/>
      <c r="W949" s="133"/>
      <c r="X949" s="160"/>
      <c r="Y949" s="133"/>
      <c r="Z949" s="133"/>
      <c r="AA949" s="133"/>
      <c r="AB949" s="133"/>
      <c r="AC949" s="133"/>
      <c r="AD949" s="133"/>
      <c r="AE949" s="133"/>
      <c r="AF949" s="133"/>
      <c r="AG949" s="133"/>
      <c r="AH949" s="133"/>
      <c r="AI949" s="133"/>
      <c r="AJ949" s="133"/>
      <c r="AK949" s="133"/>
      <c r="AL949" s="132"/>
      <c r="AM949" s="132"/>
      <c r="AN949" s="104"/>
      <c r="AO949" s="104"/>
      <c r="AP949" s="104"/>
    </row>
    <row r="950">
      <c r="A950" s="132"/>
      <c r="B950" s="132"/>
      <c r="C950" s="132"/>
      <c r="D950" s="132"/>
      <c r="E950" s="133"/>
      <c r="F950" s="133"/>
      <c r="G950" s="133"/>
      <c r="H950" s="133"/>
      <c r="I950" s="133"/>
      <c r="J950" s="133"/>
      <c r="K950" s="133"/>
      <c r="L950" s="133"/>
      <c r="M950" s="133"/>
      <c r="N950" s="133"/>
      <c r="O950" s="133"/>
      <c r="P950" s="133"/>
      <c r="Q950" s="133"/>
      <c r="R950" s="133"/>
      <c r="S950" s="133"/>
      <c r="T950" s="133"/>
      <c r="U950" s="133"/>
      <c r="V950" s="133"/>
      <c r="W950" s="133"/>
      <c r="X950" s="160"/>
      <c r="Y950" s="133"/>
      <c r="Z950" s="133"/>
      <c r="AA950" s="133"/>
      <c r="AB950" s="133"/>
      <c r="AC950" s="133"/>
      <c r="AD950" s="133"/>
      <c r="AE950" s="133"/>
      <c r="AF950" s="133"/>
      <c r="AG950" s="133"/>
      <c r="AH950" s="133"/>
      <c r="AI950" s="133"/>
      <c r="AJ950" s="133"/>
      <c r="AK950" s="133"/>
      <c r="AL950" s="132"/>
      <c r="AM950" s="132"/>
      <c r="AN950" s="104"/>
      <c r="AO950" s="104"/>
      <c r="AP950" s="104"/>
    </row>
    <row r="951">
      <c r="A951" s="132"/>
      <c r="B951" s="132"/>
      <c r="C951" s="132"/>
      <c r="D951" s="132"/>
      <c r="E951" s="133"/>
      <c r="F951" s="133"/>
      <c r="G951" s="133"/>
      <c r="H951" s="133"/>
      <c r="I951" s="133"/>
      <c r="J951" s="133"/>
      <c r="K951" s="133"/>
      <c r="L951" s="133"/>
      <c r="M951" s="133"/>
      <c r="N951" s="133"/>
      <c r="O951" s="133"/>
      <c r="P951" s="133"/>
      <c r="Q951" s="133"/>
      <c r="R951" s="133"/>
      <c r="S951" s="133"/>
      <c r="T951" s="133"/>
      <c r="U951" s="133"/>
      <c r="V951" s="133"/>
      <c r="W951" s="133"/>
      <c r="X951" s="160"/>
      <c r="Y951" s="133"/>
      <c r="Z951" s="133"/>
      <c r="AA951" s="133"/>
      <c r="AB951" s="133"/>
      <c r="AC951" s="133"/>
      <c r="AD951" s="133"/>
      <c r="AE951" s="133"/>
      <c r="AF951" s="133"/>
      <c r="AG951" s="133"/>
      <c r="AH951" s="133"/>
      <c r="AI951" s="133"/>
      <c r="AJ951" s="133"/>
      <c r="AK951" s="133"/>
      <c r="AL951" s="132"/>
      <c r="AM951" s="132"/>
      <c r="AN951" s="104"/>
      <c r="AO951" s="104"/>
      <c r="AP951" s="104"/>
    </row>
    <row r="952">
      <c r="A952" s="132"/>
      <c r="B952" s="132"/>
      <c r="C952" s="132"/>
      <c r="D952" s="132"/>
      <c r="E952" s="133"/>
      <c r="F952" s="133"/>
      <c r="G952" s="133"/>
      <c r="H952" s="133"/>
      <c r="I952" s="133"/>
      <c r="J952" s="133"/>
      <c r="K952" s="133"/>
      <c r="L952" s="133"/>
      <c r="M952" s="133"/>
      <c r="N952" s="133"/>
      <c r="O952" s="133"/>
      <c r="P952" s="133"/>
      <c r="Q952" s="133"/>
      <c r="R952" s="133"/>
      <c r="S952" s="133"/>
      <c r="T952" s="133"/>
      <c r="U952" s="133"/>
      <c r="V952" s="133"/>
      <c r="W952" s="133"/>
      <c r="X952" s="160"/>
      <c r="Y952" s="133"/>
      <c r="Z952" s="133"/>
      <c r="AA952" s="133"/>
      <c r="AB952" s="133"/>
      <c r="AC952" s="133"/>
      <c r="AD952" s="133"/>
      <c r="AE952" s="133"/>
      <c r="AF952" s="133"/>
      <c r="AG952" s="133"/>
      <c r="AH952" s="133"/>
      <c r="AI952" s="133"/>
      <c r="AJ952" s="133"/>
      <c r="AK952" s="133"/>
      <c r="AL952" s="132"/>
      <c r="AM952" s="132"/>
      <c r="AN952" s="104"/>
      <c r="AO952" s="104"/>
      <c r="AP952" s="104"/>
    </row>
    <row r="953">
      <c r="A953" s="132"/>
      <c r="B953" s="132"/>
      <c r="C953" s="132"/>
      <c r="D953" s="132"/>
      <c r="E953" s="133"/>
      <c r="F953" s="133"/>
      <c r="G953" s="133"/>
      <c r="H953" s="133"/>
      <c r="I953" s="133"/>
      <c r="J953" s="133"/>
      <c r="K953" s="133"/>
      <c r="L953" s="133"/>
      <c r="M953" s="133"/>
      <c r="N953" s="133"/>
      <c r="O953" s="133"/>
      <c r="P953" s="133"/>
      <c r="Q953" s="133"/>
      <c r="R953" s="133"/>
      <c r="S953" s="133"/>
      <c r="T953" s="133"/>
      <c r="U953" s="133"/>
      <c r="V953" s="133"/>
      <c r="W953" s="133"/>
      <c r="X953" s="160"/>
      <c r="Y953" s="133"/>
      <c r="Z953" s="133"/>
      <c r="AA953" s="133"/>
      <c r="AB953" s="133"/>
      <c r="AC953" s="133"/>
      <c r="AD953" s="133"/>
      <c r="AE953" s="133"/>
      <c r="AF953" s="133"/>
      <c r="AG953" s="133"/>
      <c r="AH953" s="133"/>
      <c r="AI953" s="133"/>
      <c r="AJ953" s="133"/>
      <c r="AK953" s="133"/>
      <c r="AL953" s="132"/>
      <c r="AM953" s="132"/>
      <c r="AN953" s="104"/>
      <c r="AO953" s="104"/>
      <c r="AP953" s="104"/>
    </row>
    <row r="954">
      <c r="A954" s="132"/>
      <c r="B954" s="132"/>
      <c r="C954" s="132"/>
      <c r="D954" s="132"/>
      <c r="E954" s="133"/>
      <c r="F954" s="133"/>
      <c r="G954" s="133"/>
      <c r="H954" s="133"/>
      <c r="I954" s="133"/>
      <c r="J954" s="133"/>
      <c r="K954" s="133"/>
      <c r="L954" s="133"/>
      <c r="M954" s="133"/>
      <c r="N954" s="133"/>
      <c r="O954" s="133"/>
      <c r="P954" s="133"/>
      <c r="Q954" s="133"/>
      <c r="R954" s="133"/>
      <c r="S954" s="133"/>
      <c r="T954" s="133"/>
      <c r="U954" s="133"/>
      <c r="V954" s="133"/>
      <c r="W954" s="133"/>
      <c r="X954" s="160"/>
      <c r="Y954" s="133"/>
      <c r="Z954" s="133"/>
      <c r="AA954" s="133"/>
      <c r="AB954" s="133"/>
      <c r="AC954" s="133"/>
      <c r="AD954" s="133"/>
      <c r="AE954" s="133"/>
      <c r="AF954" s="133"/>
      <c r="AG954" s="133"/>
      <c r="AH954" s="133"/>
      <c r="AI954" s="133"/>
      <c r="AJ954" s="133"/>
      <c r="AK954" s="133"/>
      <c r="AL954" s="132"/>
      <c r="AM954" s="132"/>
      <c r="AN954" s="104"/>
      <c r="AO954" s="104"/>
      <c r="AP954" s="104"/>
    </row>
    <row r="955">
      <c r="A955" s="132"/>
      <c r="B955" s="132"/>
      <c r="C955" s="132"/>
      <c r="D955" s="132"/>
      <c r="E955" s="133"/>
      <c r="F955" s="133"/>
      <c r="G955" s="133"/>
      <c r="H955" s="133"/>
      <c r="I955" s="133"/>
      <c r="J955" s="133"/>
      <c r="K955" s="133"/>
      <c r="L955" s="133"/>
      <c r="M955" s="133"/>
      <c r="N955" s="133"/>
      <c r="O955" s="133"/>
      <c r="P955" s="133"/>
      <c r="Q955" s="133"/>
      <c r="R955" s="133"/>
      <c r="S955" s="133"/>
      <c r="T955" s="133"/>
      <c r="U955" s="133"/>
      <c r="V955" s="133"/>
      <c r="W955" s="133"/>
      <c r="X955" s="160"/>
      <c r="Y955" s="133"/>
      <c r="Z955" s="133"/>
      <c r="AA955" s="133"/>
      <c r="AB955" s="133"/>
      <c r="AC955" s="133"/>
      <c r="AD955" s="133"/>
      <c r="AE955" s="133"/>
      <c r="AF955" s="133"/>
      <c r="AG955" s="133"/>
      <c r="AH955" s="133"/>
      <c r="AI955" s="133"/>
      <c r="AJ955" s="133"/>
      <c r="AK955" s="133"/>
      <c r="AL955" s="132"/>
      <c r="AM955" s="132"/>
      <c r="AN955" s="104"/>
      <c r="AO955" s="104"/>
      <c r="AP955" s="104"/>
    </row>
    <row r="956">
      <c r="A956" s="132"/>
      <c r="B956" s="132"/>
      <c r="C956" s="132"/>
      <c r="D956" s="132"/>
      <c r="E956" s="133"/>
      <c r="F956" s="133"/>
      <c r="G956" s="133"/>
      <c r="H956" s="133"/>
      <c r="I956" s="133"/>
      <c r="J956" s="133"/>
      <c r="K956" s="133"/>
      <c r="L956" s="133"/>
      <c r="M956" s="133"/>
      <c r="N956" s="133"/>
      <c r="O956" s="133"/>
      <c r="P956" s="133"/>
      <c r="Q956" s="133"/>
      <c r="R956" s="133"/>
      <c r="S956" s="133"/>
      <c r="T956" s="133"/>
      <c r="U956" s="133"/>
      <c r="V956" s="133"/>
      <c r="W956" s="133"/>
      <c r="X956" s="160"/>
      <c r="Y956" s="133"/>
      <c r="Z956" s="133"/>
      <c r="AA956" s="133"/>
      <c r="AB956" s="133"/>
      <c r="AC956" s="133"/>
      <c r="AD956" s="133"/>
      <c r="AE956" s="133"/>
      <c r="AF956" s="133"/>
      <c r="AG956" s="133"/>
      <c r="AH956" s="133"/>
      <c r="AI956" s="133"/>
      <c r="AJ956" s="133"/>
      <c r="AK956" s="133"/>
      <c r="AL956" s="132"/>
      <c r="AM956" s="132"/>
      <c r="AN956" s="104"/>
      <c r="AO956" s="104"/>
      <c r="AP956" s="104"/>
    </row>
    <row r="957">
      <c r="A957" s="132"/>
      <c r="B957" s="132"/>
      <c r="C957" s="132"/>
      <c r="D957" s="132"/>
      <c r="E957" s="133"/>
      <c r="F957" s="133"/>
      <c r="G957" s="133"/>
      <c r="H957" s="133"/>
      <c r="I957" s="133"/>
      <c r="J957" s="133"/>
      <c r="K957" s="133"/>
      <c r="L957" s="133"/>
      <c r="M957" s="133"/>
      <c r="N957" s="133"/>
      <c r="O957" s="133"/>
      <c r="P957" s="133"/>
      <c r="Q957" s="133"/>
      <c r="R957" s="133"/>
      <c r="S957" s="133"/>
      <c r="T957" s="133"/>
      <c r="U957" s="133"/>
      <c r="V957" s="133"/>
      <c r="W957" s="133"/>
      <c r="X957" s="160"/>
      <c r="Y957" s="133"/>
      <c r="Z957" s="133"/>
      <c r="AA957" s="133"/>
      <c r="AB957" s="133"/>
      <c r="AC957" s="133"/>
      <c r="AD957" s="133"/>
      <c r="AE957" s="133"/>
      <c r="AF957" s="133"/>
      <c r="AG957" s="133"/>
      <c r="AH957" s="133"/>
      <c r="AI957" s="133"/>
      <c r="AJ957" s="133"/>
      <c r="AK957" s="133"/>
      <c r="AL957" s="132"/>
      <c r="AM957" s="132"/>
      <c r="AN957" s="104"/>
      <c r="AO957" s="104"/>
      <c r="AP957" s="104"/>
    </row>
    <row r="958">
      <c r="A958" s="132"/>
      <c r="B958" s="132"/>
      <c r="C958" s="132"/>
      <c r="D958" s="132"/>
      <c r="E958" s="133"/>
      <c r="F958" s="133"/>
      <c r="G958" s="133"/>
      <c r="H958" s="133"/>
      <c r="I958" s="133"/>
      <c r="J958" s="133"/>
      <c r="K958" s="133"/>
      <c r="L958" s="133"/>
      <c r="M958" s="133"/>
      <c r="N958" s="133"/>
      <c r="O958" s="133"/>
      <c r="P958" s="133"/>
      <c r="Q958" s="133"/>
      <c r="R958" s="133"/>
      <c r="S958" s="133"/>
      <c r="T958" s="133"/>
      <c r="U958" s="133"/>
      <c r="V958" s="133"/>
      <c r="W958" s="133"/>
      <c r="X958" s="160"/>
      <c r="Y958" s="133"/>
      <c r="Z958" s="133"/>
      <c r="AA958" s="133"/>
      <c r="AB958" s="133"/>
      <c r="AC958" s="133"/>
      <c r="AD958" s="133"/>
      <c r="AE958" s="133"/>
      <c r="AF958" s="133"/>
      <c r="AG958" s="133"/>
      <c r="AH958" s="133"/>
      <c r="AI958" s="133"/>
      <c r="AJ958" s="133"/>
      <c r="AK958" s="133"/>
      <c r="AL958" s="132"/>
      <c r="AM958" s="132"/>
      <c r="AN958" s="104"/>
      <c r="AO958" s="104"/>
      <c r="AP958" s="104"/>
    </row>
    <row r="959">
      <c r="A959" s="132"/>
      <c r="B959" s="132"/>
      <c r="C959" s="132"/>
      <c r="D959" s="132"/>
      <c r="E959" s="133"/>
      <c r="F959" s="133"/>
      <c r="G959" s="133"/>
      <c r="H959" s="133"/>
      <c r="I959" s="133"/>
      <c r="J959" s="133"/>
      <c r="K959" s="133"/>
      <c r="L959" s="133"/>
      <c r="M959" s="133"/>
      <c r="N959" s="133"/>
      <c r="O959" s="133"/>
      <c r="P959" s="133"/>
      <c r="Q959" s="133"/>
      <c r="R959" s="133"/>
      <c r="S959" s="133"/>
      <c r="T959" s="133"/>
      <c r="U959" s="133"/>
      <c r="V959" s="133"/>
      <c r="W959" s="133"/>
      <c r="X959" s="160"/>
      <c r="Y959" s="133"/>
      <c r="Z959" s="133"/>
      <c r="AA959" s="133"/>
      <c r="AB959" s="133"/>
      <c r="AC959" s="133"/>
      <c r="AD959" s="133"/>
      <c r="AE959" s="133"/>
      <c r="AF959" s="133"/>
      <c r="AG959" s="133"/>
      <c r="AH959" s="133"/>
      <c r="AI959" s="133"/>
      <c r="AJ959" s="133"/>
      <c r="AK959" s="133"/>
      <c r="AL959" s="132"/>
      <c r="AM959" s="132"/>
      <c r="AN959" s="104"/>
      <c r="AO959" s="104"/>
      <c r="AP959" s="104"/>
    </row>
    <row r="960">
      <c r="A960" s="132"/>
      <c r="B960" s="132"/>
      <c r="C960" s="132"/>
      <c r="D960" s="132"/>
      <c r="E960" s="133"/>
      <c r="F960" s="133"/>
      <c r="G960" s="133"/>
      <c r="H960" s="133"/>
      <c r="I960" s="133"/>
      <c r="J960" s="133"/>
      <c r="K960" s="133"/>
      <c r="L960" s="133"/>
      <c r="M960" s="133"/>
      <c r="N960" s="133"/>
      <c r="O960" s="133"/>
      <c r="P960" s="133"/>
      <c r="Q960" s="133"/>
      <c r="R960" s="133"/>
      <c r="S960" s="133"/>
      <c r="T960" s="133"/>
      <c r="U960" s="133"/>
      <c r="V960" s="133"/>
      <c r="W960" s="133"/>
      <c r="X960" s="160"/>
      <c r="Y960" s="133"/>
      <c r="Z960" s="133"/>
      <c r="AA960" s="133"/>
      <c r="AB960" s="133"/>
      <c r="AC960" s="133"/>
      <c r="AD960" s="133"/>
      <c r="AE960" s="133"/>
      <c r="AF960" s="133"/>
      <c r="AG960" s="133"/>
      <c r="AH960" s="133"/>
      <c r="AI960" s="133"/>
      <c r="AJ960" s="133"/>
      <c r="AK960" s="133"/>
      <c r="AL960" s="132"/>
      <c r="AM960" s="132"/>
      <c r="AN960" s="104"/>
      <c r="AO960" s="104"/>
      <c r="AP960" s="104"/>
    </row>
    <row r="961">
      <c r="A961" s="132"/>
      <c r="B961" s="132"/>
      <c r="C961" s="132"/>
      <c r="D961" s="132"/>
      <c r="E961" s="133"/>
      <c r="F961" s="133"/>
      <c r="G961" s="133"/>
      <c r="H961" s="133"/>
      <c r="I961" s="133"/>
      <c r="J961" s="133"/>
      <c r="K961" s="133"/>
      <c r="L961" s="133"/>
      <c r="M961" s="133"/>
      <c r="N961" s="133"/>
      <c r="O961" s="133"/>
      <c r="P961" s="133"/>
      <c r="Q961" s="133"/>
      <c r="R961" s="133"/>
      <c r="S961" s="133"/>
      <c r="T961" s="133"/>
      <c r="U961" s="133"/>
      <c r="V961" s="133"/>
      <c r="W961" s="133"/>
      <c r="X961" s="160"/>
      <c r="Y961" s="133"/>
      <c r="Z961" s="133"/>
      <c r="AA961" s="133"/>
      <c r="AB961" s="133"/>
      <c r="AC961" s="133"/>
      <c r="AD961" s="133"/>
      <c r="AE961" s="133"/>
      <c r="AF961" s="133"/>
      <c r="AG961" s="133"/>
      <c r="AH961" s="133"/>
      <c r="AI961" s="133"/>
      <c r="AJ961" s="133"/>
      <c r="AK961" s="133"/>
      <c r="AL961" s="132"/>
      <c r="AM961" s="132"/>
      <c r="AN961" s="104"/>
      <c r="AO961" s="104"/>
      <c r="AP961" s="104"/>
    </row>
    <row r="962">
      <c r="A962" s="132"/>
      <c r="B962" s="132"/>
      <c r="C962" s="132"/>
      <c r="D962" s="132"/>
      <c r="E962" s="133"/>
      <c r="F962" s="133"/>
      <c r="G962" s="133"/>
      <c r="H962" s="133"/>
      <c r="I962" s="133"/>
      <c r="J962" s="133"/>
      <c r="K962" s="133"/>
      <c r="L962" s="133"/>
      <c r="M962" s="133"/>
      <c r="N962" s="133"/>
      <c r="O962" s="133"/>
      <c r="P962" s="133"/>
      <c r="Q962" s="133"/>
      <c r="R962" s="133"/>
      <c r="S962" s="133"/>
      <c r="T962" s="133"/>
      <c r="U962" s="133"/>
      <c r="V962" s="133"/>
      <c r="W962" s="133"/>
      <c r="X962" s="160"/>
      <c r="Y962" s="133"/>
      <c r="Z962" s="133"/>
      <c r="AA962" s="133"/>
      <c r="AB962" s="133"/>
      <c r="AC962" s="133"/>
      <c r="AD962" s="133"/>
      <c r="AE962" s="133"/>
      <c r="AF962" s="133"/>
      <c r="AG962" s="133"/>
      <c r="AH962" s="133"/>
      <c r="AI962" s="133"/>
      <c r="AJ962" s="133"/>
      <c r="AK962" s="133"/>
      <c r="AL962" s="132"/>
      <c r="AM962" s="132"/>
      <c r="AN962" s="104"/>
      <c r="AO962" s="104"/>
      <c r="AP962" s="104"/>
    </row>
    <row r="963">
      <c r="A963" s="132"/>
      <c r="B963" s="132"/>
      <c r="C963" s="132"/>
      <c r="D963" s="132"/>
      <c r="E963" s="133"/>
      <c r="F963" s="133"/>
      <c r="G963" s="133"/>
      <c r="H963" s="133"/>
      <c r="I963" s="133"/>
      <c r="J963" s="133"/>
      <c r="K963" s="133"/>
      <c r="L963" s="133"/>
      <c r="M963" s="133"/>
      <c r="N963" s="133"/>
      <c r="O963" s="133"/>
      <c r="P963" s="133"/>
      <c r="Q963" s="133"/>
      <c r="R963" s="133"/>
      <c r="S963" s="133"/>
      <c r="T963" s="133"/>
      <c r="U963" s="133"/>
      <c r="V963" s="133"/>
      <c r="W963" s="133"/>
      <c r="X963" s="160"/>
      <c r="Y963" s="133"/>
      <c r="Z963" s="133"/>
      <c r="AA963" s="133"/>
      <c r="AB963" s="133"/>
      <c r="AC963" s="133"/>
      <c r="AD963" s="133"/>
      <c r="AE963" s="133"/>
      <c r="AF963" s="133"/>
      <c r="AG963" s="133"/>
      <c r="AH963" s="133"/>
      <c r="AI963" s="133"/>
      <c r="AJ963" s="133"/>
      <c r="AK963" s="133"/>
      <c r="AL963" s="132"/>
      <c r="AM963" s="132"/>
      <c r="AN963" s="104"/>
      <c r="AO963" s="104"/>
      <c r="AP963" s="104"/>
    </row>
    <row r="964">
      <c r="A964" s="132"/>
      <c r="B964" s="132"/>
      <c r="C964" s="132"/>
      <c r="D964" s="132"/>
      <c r="E964" s="133"/>
      <c r="F964" s="133"/>
      <c r="G964" s="133"/>
      <c r="H964" s="133"/>
      <c r="I964" s="133"/>
      <c r="J964" s="133"/>
      <c r="K964" s="133"/>
      <c r="L964" s="133"/>
      <c r="M964" s="133"/>
      <c r="N964" s="133"/>
      <c r="O964" s="133"/>
      <c r="P964" s="133"/>
      <c r="Q964" s="133"/>
      <c r="R964" s="133"/>
      <c r="S964" s="133"/>
      <c r="T964" s="133"/>
      <c r="U964" s="133"/>
      <c r="V964" s="133"/>
      <c r="W964" s="133"/>
      <c r="X964" s="160"/>
      <c r="Y964" s="133"/>
      <c r="Z964" s="133"/>
      <c r="AA964" s="133"/>
      <c r="AB964" s="133"/>
      <c r="AC964" s="133"/>
      <c r="AD964" s="133"/>
      <c r="AE964" s="133"/>
      <c r="AF964" s="133"/>
      <c r="AG964" s="133"/>
      <c r="AH964" s="133"/>
      <c r="AI964" s="133"/>
      <c r="AJ964" s="133"/>
      <c r="AK964" s="133"/>
      <c r="AL964" s="132"/>
      <c r="AM964" s="132"/>
      <c r="AN964" s="104"/>
      <c r="AO964" s="104"/>
      <c r="AP964" s="104"/>
    </row>
    <row r="965">
      <c r="A965" s="132"/>
      <c r="B965" s="132"/>
      <c r="C965" s="132"/>
      <c r="D965" s="132"/>
      <c r="E965" s="133"/>
      <c r="F965" s="133"/>
      <c r="G965" s="133"/>
      <c r="H965" s="133"/>
      <c r="I965" s="133"/>
      <c r="J965" s="133"/>
      <c r="K965" s="133"/>
      <c r="L965" s="133"/>
      <c r="M965" s="133"/>
      <c r="N965" s="133"/>
      <c r="O965" s="133"/>
      <c r="P965" s="133"/>
      <c r="Q965" s="133"/>
      <c r="R965" s="133"/>
      <c r="S965" s="133"/>
      <c r="T965" s="133"/>
      <c r="U965" s="133"/>
      <c r="V965" s="133"/>
      <c r="W965" s="133"/>
      <c r="X965" s="160"/>
      <c r="Y965" s="133"/>
      <c r="Z965" s="133"/>
      <c r="AA965" s="133"/>
      <c r="AB965" s="133"/>
      <c r="AC965" s="133"/>
      <c r="AD965" s="133"/>
      <c r="AE965" s="133"/>
      <c r="AF965" s="133"/>
      <c r="AG965" s="133"/>
      <c r="AH965" s="133"/>
      <c r="AI965" s="133"/>
      <c r="AJ965" s="133"/>
      <c r="AK965" s="133"/>
      <c r="AL965" s="132"/>
      <c r="AM965" s="132"/>
      <c r="AN965" s="104"/>
      <c r="AO965" s="104"/>
      <c r="AP965" s="104"/>
    </row>
    <row r="966">
      <c r="A966" s="132"/>
      <c r="B966" s="132"/>
      <c r="C966" s="132"/>
      <c r="D966" s="132"/>
      <c r="E966" s="133"/>
      <c r="F966" s="133"/>
      <c r="G966" s="133"/>
      <c r="H966" s="133"/>
      <c r="I966" s="133"/>
      <c r="J966" s="133"/>
      <c r="K966" s="133"/>
      <c r="L966" s="133"/>
      <c r="M966" s="133"/>
      <c r="N966" s="133"/>
      <c r="O966" s="133"/>
      <c r="P966" s="133"/>
      <c r="Q966" s="133"/>
      <c r="R966" s="133"/>
      <c r="S966" s="133"/>
      <c r="T966" s="133"/>
      <c r="U966" s="133"/>
      <c r="V966" s="133"/>
      <c r="W966" s="133"/>
      <c r="X966" s="160"/>
      <c r="Y966" s="133"/>
      <c r="Z966" s="133"/>
      <c r="AA966" s="133"/>
      <c r="AB966" s="133"/>
      <c r="AC966" s="133"/>
      <c r="AD966" s="133"/>
      <c r="AE966" s="133"/>
      <c r="AF966" s="133"/>
      <c r="AG966" s="133"/>
      <c r="AH966" s="133"/>
      <c r="AI966" s="133"/>
      <c r="AJ966" s="133"/>
      <c r="AK966" s="133"/>
      <c r="AL966" s="132"/>
      <c r="AM966" s="132"/>
      <c r="AN966" s="104"/>
      <c r="AO966" s="104"/>
      <c r="AP966" s="104"/>
    </row>
    <row r="967">
      <c r="A967" s="132"/>
      <c r="B967" s="132"/>
      <c r="C967" s="132"/>
      <c r="D967" s="132"/>
      <c r="E967" s="133"/>
      <c r="F967" s="133"/>
      <c r="G967" s="133"/>
      <c r="H967" s="133"/>
      <c r="I967" s="133"/>
      <c r="J967" s="133"/>
      <c r="K967" s="133"/>
      <c r="L967" s="133"/>
      <c r="M967" s="133"/>
      <c r="N967" s="133"/>
      <c r="O967" s="133"/>
      <c r="P967" s="133"/>
      <c r="Q967" s="133"/>
      <c r="R967" s="133"/>
      <c r="S967" s="133"/>
      <c r="T967" s="133"/>
      <c r="U967" s="133"/>
      <c r="V967" s="133"/>
      <c r="W967" s="133"/>
      <c r="X967" s="160"/>
      <c r="Y967" s="133"/>
      <c r="Z967" s="133"/>
      <c r="AA967" s="133"/>
      <c r="AB967" s="133"/>
      <c r="AC967" s="133"/>
      <c r="AD967" s="133"/>
      <c r="AE967" s="133"/>
      <c r="AF967" s="133"/>
      <c r="AG967" s="133"/>
      <c r="AH967" s="133"/>
      <c r="AI967" s="133"/>
      <c r="AJ967" s="133"/>
      <c r="AK967" s="133"/>
      <c r="AL967" s="132"/>
      <c r="AM967" s="132"/>
      <c r="AN967" s="104"/>
      <c r="AO967" s="104"/>
      <c r="AP967" s="104"/>
    </row>
    <row r="968">
      <c r="A968" s="132"/>
      <c r="B968" s="132"/>
      <c r="C968" s="132"/>
      <c r="D968" s="132"/>
      <c r="E968" s="133"/>
      <c r="F968" s="133"/>
      <c r="G968" s="133"/>
      <c r="H968" s="133"/>
      <c r="I968" s="133"/>
      <c r="J968" s="133"/>
      <c r="K968" s="133"/>
      <c r="L968" s="133"/>
      <c r="M968" s="133"/>
      <c r="N968" s="133"/>
      <c r="O968" s="133"/>
      <c r="P968" s="133"/>
      <c r="Q968" s="133"/>
      <c r="R968" s="133"/>
      <c r="S968" s="133"/>
      <c r="T968" s="133"/>
      <c r="U968" s="133"/>
      <c r="V968" s="133"/>
      <c r="W968" s="133"/>
      <c r="X968" s="160"/>
      <c r="Y968" s="133"/>
      <c r="Z968" s="133"/>
      <c r="AA968" s="133"/>
      <c r="AB968" s="133"/>
      <c r="AC968" s="133"/>
      <c r="AD968" s="133"/>
      <c r="AE968" s="133"/>
      <c r="AF968" s="133"/>
      <c r="AG968" s="133"/>
      <c r="AH968" s="133"/>
      <c r="AI968" s="133"/>
      <c r="AJ968" s="133"/>
      <c r="AK968" s="133"/>
      <c r="AL968" s="132"/>
      <c r="AM968" s="132"/>
      <c r="AN968" s="104"/>
      <c r="AO968" s="104"/>
      <c r="AP968" s="104"/>
    </row>
    <row r="969">
      <c r="A969" s="132"/>
      <c r="B969" s="132"/>
      <c r="C969" s="132"/>
      <c r="D969" s="132"/>
      <c r="E969" s="133"/>
      <c r="F969" s="133"/>
      <c r="G969" s="133"/>
      <c r="H969" s="133"/>
      <c r="I969" s="133"/>
      <c r="J969" s="133"/>
      <c r="K969" s="133"/>
      <c r="L969" s="133"/>
      <c r="M969" s="133"/>
      <c r="N969" s="133"/>
      <c r="O969" s="133"/>
      <c r="P969" s="133"/>
      <c r="Q969" s="133"/>
      <c r="R969" s="133"/>
      <c r="S969" s="133"/>
      <c r="T969" s="133"/>
      <c r="U969" s="133"/>
      <c r="V969" s="133"/>
      <c r="W969" s="133"/>
      <c r="X969" s="160"/>
      <c r="Y969" s="133"/>
      <c r="Z969" s="133"/>
      <c r="AA969" s="133"/>
      <c r="AB969" s="133"/>
      <c r="AC969" s="133"/>
      <c r="AD969" s="133"/>
      <c r="AE969" s="133"/>
      <c r="AF969" s="133"/>
      <c r="AG969" s="133"/>
      <c r="AH969" s="133"/>
      <c r="AI969" s="133"/>
      <c r="AJ969" s="133"/>
      <c r="AK969" s="133"/>
      <c r="AL969" s="132"/>
      <c r="AM969" s="132"/>
      <c r="AN969" s="104"/>
      <c r="AO969" s="104"/>
      <c r="AP969" s="104"/>
    </row>
    <row r="970">
      <c r="A970" s="132"/>
      <c r="B970" s="132"/>
      <c r="C970" s="132"/>
      <c r="D970" s="132"/>
      <c r="E970" s="133"/>
      <c r="F970" s="133"/>
      <c r="G970" s="133"/>
      <c r="H970" s="133"/>
      <c r="I970" s="133"/>
      <c r="J970" s="133"/>
      <c r="K970" s="133"/>
      <c r="L970" s="133"/>
      <c r="M970" s="133"/>
      <c r="N970" s="133"/>
      <c r="O970" s="133"/>
      <c r="P970" s="133"/>
      <c r="Q970" s="133"/>
      <c r="R970" s="133"/>
      <c r="S970" s="133"/>
      <c r="T970" s="133"/>
      <c r="U970" s="133"/>
      <c r="V970" s="133"/>
      <c r="W970" s="133"/>
      <c r="X970" s="160"/>
      <c r="Y970" s="133"/>
      <c r="Z970" s="133"/>
      <c r="AA970" s="133"/>
      <c r="AB970" s="133"/>
      <c r="AC970" s="133"/>
      <c r="AD970" s="133"/>
      <c r="AE970" s="133"/>
      <c r="AF970" s="133"/>
      <c r="AG970" s="133"/>
      <c r="AH970" s="133"/>
      <c r="AI970" s="133"/>
      <c r="AJ970" s="133"/>
      <c r="AK970" s="133"/>
      <c r="AL970" s="132"/>
      <c r="AM970" s="132"/>
      <c r="AN970" s="104"/>
      <c r="AO970" s="104"/>
      <c r="AP970" s="104"/>
    </row>
    <row r="971">
      <c r="A971" s="132"/>
      <c r="B971" s="132"/>
      <c r="C971" s="132"/>
      <c r="D971" s="132"/>
      <c r="E971" s="133"/>
      <c r="F971" s="133"/>
      <c r="G971" s="133"/>
      <c r="H971" s="133"/>
      <c r="I971" s="133"/>
      <c r="J971" s="133"/>
      <c r="K971" s="133"/>
      <c r="L971" s="133"/>
      <c r="M971" s="133"/>
      <c r="N971" s="133"/>
      <c r="O971" s="133"/>
      <c r="P971" s="133"/>
      <c r="Q971" s="133"/>
      <c r="R971" s="133"/>
      <c r="S971" s="133"/>
      <c r="T971" s="133"/>
      <c r="U971" s="133"/>
      <c r="V971" s="133"/>
      <c r="W971" s="133"/>
      <c r="X971" s="160"/>
      <c r="Y971" s="133"/>
      <c r="Z971" s="133"/>
      <c r="AA971" s="133"/>
      <c r="AB971" s="133"/>
      <c r="AC971" s="133"/>
      <c r="AD971" s="133"/>
      <c r="AE971" s="133"/>
      <c r="AF971" s="133"/>
      <c r="AG971" s="133"/>
      <c r="AH971" s="133"/>
      <c r="AI971" s="133"/>
      <c r="AJ971" s="133"/>
      <c r="AK971" s="133"/>
      <c r="AL971" s="132"/>
      <c r="AM971" s="132"/>
      <c r="AN971" s="104"/>
      <c r="AO971" s="104"/>
      <c r="AP971" s="104"/>
    </row>
    <row r="972">
      <c r="A972" s="132"/>
      <c r="B972" s="132"/>
      <c r="C972" s="132"/>
      <c r="D972" s="132"/>
      <c r="E972" s="133"/>
      <c r="F972" s="133"/>
      <c r="G972" s="133"/>
      <c r="H972" s="133"/>
      <c r="I972" s="133"/>
      <c r="J972" s="133"/>
      <c r="K972" s="133"/>
      <c r="L972" s="133"/>
      <c r="M972" s="133"/>
      <c r="N972" s="133"/>
      <c r="O972" s="133"/>
      <c r="P972" s="133"/>
      <c r="Q972" s="133"/>
      <c r="R972" s="133"/>
      <c r="S972" s="133"/>
      <c r="T972" s="133"/>
      <c r="U972" s="133"/>
      <c r="V972" s="133"/>
      <c r="W972" s="133"/>
      <c r="X972" s="160"/>
      <c r="Y972" s="133"/>
      <c r="Z972" s="133"/>
      <c r="AA972" s="133"/>
      <c r="AB972" s="133"/>
      <c r="AC972" s="133"/>
      <c r="AD972" s="133"/>
      <c r="AE972" s="133"/>
      <c r="AF972" s="133"/>
      <c r="AG972" s="133"/>
      <c r="AH972" s="133"/>
      <c r="AI972" s="133"/>
      <c r="AJ972" s="133"/>
      <c r="AK972" s="133"/>
      <c r="AL972" s="132"/>
      <c r="AM972" s="132"/>
      <c r="AN972" s="104"/>
      <c r="AO972" s="104"/>
      <c r="AP972" s="104"/>
    </row>
    <row r="973">
      <c r="A973" s="132"/>
      <c r="B973" s="132"/>
      <c r="C973" s="132"/>
      <c r="D973" s="132"/>
      <c r="E973" s="133"/>
      <c r="F973" s="133"/>
      <c r="G973" s="133"/>
      <c r="H973" s="133"/>
      <c r="I973" s="133"/>
      <c r="J973" s="133"/>
      <c r="K973" s="133"/>
      <c r="L973" s="133"/>
      <c r="M973" s="133"/>
      <c r="N973" s="133"/>
      <c r="O973" s="133"/>
      <c r="P973" s="133"/>
      <c r="Q973" s="133"/>
      <c r="R973" s="133"/>
      <c r="S973" s="133"/>
      <c r="T973" s="133"/>
      <c r="U973" s="133"/>
      <c r="V973" s="133"/>
      <c r="W973" s="133"/>
      <c r="X973" s="160"/>
      <c r="Y973" s="133"/>
      <c r="Z973" s="133"/>
      <c r="AA973" s="133"/>
      <c r="AB973" s="133"/>
      <c r="AC973" s="133"/>
      <c r="AD973" s="133"/>
      <c r="AE973" s="133"/>
      <c r="AF973" s="133"/>
      <c r="AG973" s="133"/>
      <c r="AH973" s="133"/>
      <c r="AI973" s="133"/>
      <c r="AJ973" s="133"/>
      <c r="AK973" s="133"/>
      <c r="AL973" s="132"/>
      <c r="AM973" s="132"/>
      <c r="AN973" s="104"/>
      <c r="AO973" s="104"/>
      <c r="AP973" s="104"/>
    </row>
    <row r="974">
      <c r="A974" s="132"/>
      <c r="B974" s="132"/>
      <c r="C974" s="132"/>
      <c r="D974" s="132"/>
      <c r="E974" s="133"/>
      <c r="F974" s="133"/>
      <c r="G974" s="133"/>
      <c r="H974" s="133"/>
      <c r="I974" s="133"/>
      <c r="J974" s="133"/>
      <c r="K974" s="133"/>
      <c r="L974" s="133"/>
      <c r="M974" s="133"/>
      <c r="N974" s="133"/>
      <c r="O974" s="133"/>
      <c r="P974" s="133"/>
      <c r="Q974" s="133"/>
      <c r="R974" s="133"/>
      <c r="S974" s="133"/>
      <c r="T974" s="133"/>
      <c r="U974" s="133"/>
      <c r="V974" s="133"/>
      <c r="W974" s="133"/>
      <c r="X974" s="160"/>
      <c r="Y974" s="133"/>
      <c r="Z974" s="133"/>
      <c r="AA974" s="133"/>
      <c r="AB974" s="133"/>
      <c r="AC974" s="133"/>
      <c r="AD974" s="133"/>
      <c r="AE974" s="133"/>
      <c r="AF974" s="133"/>
      <c r="AG974" s="133"/>
      <c r="AH974" s="133"/>
      <c r="AI974" s="133"/>
      <c r="AJ974" s="133"/>
      <c r="AK974" s="133"/>
      <c r="AL974" s="132"/>
      <c r="AM974" s="132"/>
      <c r="AN974" s="104"/>
      <c r="AO974" s="104"/>
      <c r="AP974" s="104"/>
    </row>
    <row r="975">
      <c r="A975" s="132"/>
      <c r="B975" s="132"/>
      <c r="C975" s="132"/>
      <c r="D975" s="132"/>
      <c r="E975" s="133"/>
      <c r="F975" s="133"/>
      <c r="G975" s="133"/>
      <c r="H975" s="133"/>
      <c r="I975" s="133"/>
      <c r="J975" s="133"/>
      <c r="K975" s="133"/>
      <c r="L975" s="133"/>
      <c r="M975" s="133"/>
      <c r="N975" s="133"/>
      <c r="O975" s="133"/>
      <c r="P975" s="133"/>
      <c r="Q975" s="133"/>
      <c r="R975" s="133"/>
      <c r="S975" s="133"/>
      <c r="T975" s="133"/>
      <c r="U975" s="133"/>
      <c r="V975" s="133"/>
      <c r="W975" s="133"/>
      <c r="X975" s="160"/>
      <c r="Y975" s="133"/>
      <c r="Z975" s="133"/>
      <c r="AA975" s="133"/>
      <c r="AB975" s="133"/>
      <c r="AC975" s="133"/>
      <c r="AD975" s="133"/>
      <c r="AE975" s="133"/>
      <c r="AF975" s="133"/>
      <c r="AG975" s="133"/>
      <c r="AH975" s="133"/>
      <c r="AI975" s="133"/>
      <c r="AJ975" s="133"/>
      <c r="AK975" s="133"/>
      <c r="AL975" s="132"/>
      <c r="AM975" s="132"/>
      <c r="AN975" s="104"/>
      <c r="AO975" s="104"/>
      <c r="AP975" s="104"/>
    </row>
    <row r="976">
      <c r="A976" s="132"/>
      <c r="B976" s="132"/>
      <c r="C976" s="132"/>
      <c r="D976" s="132"/>
      <c r="E976" s="133"/>
      <c r="F976" s="133"/>
      <c r="G976" s="133"/>
      <c r="H976" s="133"/>
      <c r="I976" s="133"/>
      <c r="J976" s="133"/>
      <c r="K976" s="133"/>
      <c r="L976" s="133"/>
      <c r="M976" s="133"/>
      <c r="N976" s="133"/>
      <c r="O976" s="133"/>
      <c r="P976" s="133"/>
      <c r="Q976" s="133"/>
      <c r="R976" s="133"/>
      <c r="S976" s="133"/>
      <c r="T976" s="133"/>
      <c r="U976" s="133"/>
      <c r="V976" s="133"/>
      <c r="W976" s="133"/>
      <c r="X976" s="160"/>
      <c r="Y976" s="133"/>
      <c r="Z976" s="133"/>
      <c r="AA976" s="133"/>
      <c r="AB976" s="133"/>
      <c r="AC976" s="133"/>
      <c r="AD976" s="133"/>
      <c r="AE976" s="133"/>
      <c r="AF976" s="133"/>
      <c r="AG976" s="133"/>
      <c r="AH976" s="133"/>
      <c r="AI976" s="133"/>
      <c r="AJ976" s="133"/>
      <c r="AK976" s="133"/>
      <c r="AL976" s="132"/>
      <c r="AM976" s="132"/>
      <c r="AN976" s="104"/>
      <c r="AO976" s="104"/>
      <c r="AP976" s="104"/>
    </row>
    <row r="977">
      <c r="A977" s="132"/>
      <c r="B977" s="132"/>
      <c r="C977" s="132"/>
      <c r="D977" s="132"/>
      <c r="E977" s="133"/>
      <c r="F977" s="133"/>
      <c r="G977" s="133"/>
      <c r="H977" s="133"/>
      <c r="I977" s="133"/>
      <c r="J977" s="133"/>
      <c r="K977" s="133"/>
      <c r="L977" s="133"/>
      <c r="M977" s="133"/>
      <c r="N977" s="133"/>
      <c r="O977" s="133"/>
      <c r="P977" s="133"/>
      <c r="Q977" s="133"/>
      <c r="R977" s="133"/>
      <c r="S977" s="133"/>
      <c r="T977" s="133"/>
      <c r="U977" s="133"/>
      <c r="V977" s="133"/>
      <c r="W977" s="133"/>
      <c r="X977" s="160"/>
      <c r="Y977" s="133"/>
      <c r="Z977" s="133"/>
      <c r="AA977" s="133"/>
      <c r="AB977" s="133"/>
      <c r="AC977" s="133"/>
      <c r="AD977" s="133"/>
      <c r="AE977" s="133"/>
      <c r="AF977" s="133"/>
      <c r="AG977" s="133"/>
      <c r="AH977" s="133"/>
      <c r="AI977" s="133"/>
      <c r="AJ977" s="133"/>
      <c r="AK977" s="133"/>
      <c r="AL977" s="132"/>
      <c r="AM977" s="132"/>
      <c r="AN977" s="104"/>
      <c r="AO977" s="104"/>
      <c r="AP977" s="104"/>
    </row>
    <row r="978">
      <c r="A978" s="132"/>
      <c r="B978" s="132"/>
      <c r="C978" s="132"/>
      <c r="D978" s="132"/>
      <c r="E978" s="133"/>
      <c r="F978" s="133"/>
      <c r="G978" s="133"/>
      <c r="H978" s="133"/>
      <c r="I978" s="133"/>
      <c r="J978" s="133"/>
      <c r="K978" s="133"/>
      <c r="L978" s="133"/>
      <c r="M978" s="133"/>
      <c r="N978" s="133"/>
      <c r="O978" s="133"/>
      <c r="P978" s="133"/>
      <c r="Q978" s="133"/>
      <c r="R978" s="133"/>
      <c r="S978" s="133"/>
      <c r="T978" s="133"/>
      <c r="U978" s="133"/>
      <c r="V978" s="133"/>
      <c r="W978" s="133"/>
      <c r="X978" s="160"/>
      <c r="Y978" s="133"/>
      <c r="Z978" s="133"/>
      <c r="AA978" s="133"/>
      <c r="AB978" s="133"/>
      <c r="AC978" s="133"/>
      <c r="AD978" s="133"/>
      <c r="AE978" s="133"/>
      <c r="AF978" s="133"/>
      <c r="AG978" s="133"/>
      <c r="AH978" s="133"/>
      <c r="AI978" s="133"/>
      <c r="AJ978" s="133"/>
      <c r="AK978" s="133"/>
      <c r="AL978" s="132"/>
      <c r="AM978" s="132"/>
      <c r="AN978" s="104"/>
      <c r="AO978" s="104"/>
      <c r="AP978" s="104"/>
    </row>
    <row r="979">
      <c r="A979" s="132"/>
      <c r="B979" s="132"/>
      <c r="C979" s="132"/>
      <c r="D979" s="132"/>
      <c r="E979" s="133"/>
      <c r="F979" s="133"/>
      <c r="G979" s="133"/>
      <c r="H979" s="133"/>
      <c r="I979" s="133"/>
      <c r="J979" s="133"/>
      <c r="K979" s="133"/>
      <c r="L979" s="133"/>
      <c r="M979" s="133"/>
      <c r="N979" s="133"/>
      <c r="O979" s="133"/>
      <c r="P979" s="133"/>
      <c r="Q979" s="133"/>
      <c r="R979" s="133"/>
      <c r="S979" s="133"/>
      <c r="T979" s="133"/>
      <c r="U979" s="133"/>
      <c r="V979" s="133"/>
      <c r="W979" s="133"/>
      <c r="X979" s="160"/>
      <c r="Y979" s="133"/>
      <c r="Z979" s="133"/>
      <c r="AA979" s="133"/>
      <c r="AB979" s="133"/>
      <c r="AC979" s="133"/>
      <c r="AD979" s="133"/>
      <c r="AE979" s="133"/>
      <c r="AF979" s="133"/>
      <c r="AG979" s="133"/>
      <c r="AH979" s="133"/>
      <c r="AI979" s="133"/>
      <c r="AJ979" s="133"/>
      <c r="AK979" s="133"/>
      <c r="AL979" s="132"/>
      <c r="AM979" s="132"/>
      <c r="AN979" s="104"/>
      <c r="AO979" s="104"/>
      <c r="AP979" s="104"/>
    </row>
    <row r="980">
      <c r="A980" s="132"/>
      <c r="B980" s="132"/>
      <c r="C980" s="132"/>
      <c r="D980" s="132"/>
      <c r="E980" s="133"/>
      <c r="F980" s="133"/>
      <c r="G980" s="133"/>
      <c r="H980" s="133"/>
      <c r="I980" s="133"/>
      <c r="J980" s="133"/>
      <c r="K980" s="133"/>
      <c r="L980" s="133"/>
      <c r="M980" s="133"/>
      <c r="N980" s="133"/>
      <c r="O980" s="133"/>
      <c r="P980" s="133"/>
      <c r="Q980" s="133"/>
      <c r="R980" s="133"/>
      <c r="S980" s="133"/>
      <c r="T980" s="133"/>
      <c r="U980" s="133"/>
      <c r="V980" s="133"/>
      <c r="W980" s="133"/>
      <c r="X980" s="160"/>
      <c r="Y980" s="133"/>
      <c r="Z980" s="133"/>
      <c r="AA980" s="133"/>
      <c r="AB980" s="133"/>
      <c r="AC980" s="133"/>
      <c r="AD980" s="133"/>
      <c r="AE980" s="133"/>
      <c r="AF980" s="133"/>
      <c r="AG980" s="133"/>
      <c r="AH980" s="133"/>
      <c r="AI980" s="133"/>
      <c r="AJ980" s="133"/>
      <c r="AK980" s="133"/>
      <c r="AL980" s="132"/>
      <c r="AM980" s="132"/>
      <c r="AN980" s="104"/>
      <c r="AO980" s="104"/>
      <c r="AP980" s="104"/>
    </row>
    <row r="981">
      <c r="A981" s="132"/>
      <c r="B981" s="132"/>
      <c r="C981" s="132"/>
      <c r="D981" s="132"/>
      <c r="E981" s="133"/>
      <c r="F981" s="133"/>
      <c r="G981" s="133"/>
      <c r="H981" s="133"/>
      <c r="I981" s="133"/>
      <c r="J981" s="133"/>
      <c r="K981" s="133"/>
      <c r="L981" s="133"/>
      <c r="M981" s="133"/>
      <c r="N981" s="133"/>
      <c r="O981" s="133"/>
      <c r="P981" s="133"/>
      <c r="Q981" s="133"/>
      <c r="R981" s="133"/>
      <c r="S981" s="133"/>
      <c r="T981" s="133"/>
      <c r="U981" s="133"/>
      <c r="V981" s="133"/>
      <c r="W981" s="133"/>
      <c r="X981" s="160"/>
      <c r="Y981" s="133"/>
      <c r="Z981" s="133"/>
      <c r="AA981" s="133"/>
      <c r="AB981" s="133"/>
      <c r="AC981" s="133"/>
      <c r="AD981" s="133"/>
      <c r="AE981" s="133"/>
      <c r="AF981" s="133"/>
      <c r="AG981" s="133"/>
      <c r="AH981" s="133"/>
      <c r="AI981" s="133"/>
      <c r="AJ981" s="133"/>
      <c r="AK981" s="133"/>
      <c r="AL981" s="132"/>
      <c r="AM981" s="132"/>
      <c r="AN981" s="104"/>
      <c r="AO981" s="104"/>
      <c r="AP981" s="104"/>
    </row>
    <row r="982">
      <c r="A982" s="132"/>
      <c r="B982" s="132"/>
      <c r="C982" s="132"/>
      <c r="D982" s="132"/>
      <c r="E982" s="133"/>
      <c r="F982" s="133"/>
      <c r="G982" s="133"/>
      <c r="H982" s="133"/>
      <c r="I982" s="133"/>
      <c r="J982" s="133"/>
      <c r="K982" s="133"/>
      <c r="L982" s="133"/>
      <c r="M982" s="133"/>
      <c r="N982" s="133"/>
      <c r="O982" s="133"/>
      <c r="P982" s="133"/>
      <c r="Q982" s="133"/>
      <c r="R982" s="133"/>
      <c r="S982" s="133"/>
      <c r="T982" s="133"/>
      <c r="U982" s="133"/>
      <c r="V982" s="133"/>
      <c r="W982" s="133"/>
      <c r="X982" s="160"/>
      <c r="Y982" s="133"/>
      <c r="Z982" s="133"/>
      <c r="AA982" s="133"/>
      <c r="AB982" s="133"/>
      <c r="AC982" s="133"/>
      <c r="AD982" s="133"/>
      <c r="AE982" s="133"/>
      <c r="AF982" s="133"/>
      <c r="AG982" s="133"/>
      <c r="AH982" s="133"/>
      <c r="AI982" s="133"/>
      <c r="AJ982" s="133"/>
      <c r="AK982" s="133"/>
      <c r="AL982" s="132"/>
      <c r="AM982" s="132"/>
      <c r="AN982" s="104"/>
      <c r="AO982" s="104"/>
      <c r="AP982" s="104"/>
    </row>
    <row r="983">
      <c r="A983" s="132"/>
      <c r="B983" s="132"/>
      <c r="C983" s="132"/>
      <c r="D983" s="132"/>
      <c r="E983" s="133"/>
      <c r="F983" s="133"/>
      <c r="G983" s="133"/>
      <c r="H983" s="133"/>
      <c r="I983" s="133"/>
      <c r="J983" s="133"/>
      <c r="K983" s="133"/>
      <c r="L983" s="133"/>
      <c r="M983" s="133"/>
      <c r="N983" s="133"/>
      <c r="O983" s="133"/>
      <c r="P983" s="133"/>
      <c r="Q983" s="133"/>
      <c r="R983" s="133"/>
      <c r="S983" s="133"/>
      <c r="T983" s="133"/>
      <c r="U983" s="133"/>
      <c r="V983" s="133"/>
      <c r="W983" s="133"/>
      <c r="X983" s="160"/>
      <c r="Y983" s="133"/>
      <c r="Z983" s="133"/>
      <c r="AA983" s="133"/>
      <c r="AB983" s="133"/>
      <c r="AC983" s="133"/>
      <c r="AD983" s="133"/>
      <c r="AE983" s="133"/>
      <c r="AF983" s="133"/>
      <c r="AG983" s="133"/>
      <c r="AH983" s="133"/>
      <c r="AI983" s="133"/>
      <c r="AJ983" s="133"/>
      <c r="AK983" s="133"/>
      <c r="AL983" s="132"/>
      <c r="AM983" s="132"/>
      <c r="AN983" s="104"/>
      <c r="AO983" s="104"/>
      <c r="AP983" s="104"/>
    </row>
    <row r="984">
      <c r="A984" s="132"/>
      <c r="B984" s="132"/>
      <c r="C984" s="132"/>
      <c r="D984" s="132"/>
      <c r="E984" s="133"/>
      <c r="F984" s="133"/>
      <c r="G984" s="133"/>
      <c r="H984" s="133"/>
      <c r="I984" s="133"/>
      <c r="J984" s="133"/>
      <c r="K984" s="133"/>
      <c r="L984" s="133"/>
      <c r="M984" s="133"/>
      <c r="N984" s="133"/>
      <c r="O984" s="133"/>
      <c r="P984" s="133"/>
      <c r="Q984" s="133"/>
      <c r="R984" s="133"/>
      <c r="S984" s="133"/>
      <c r="T984" s="133"/>
      <c r="U984" s="133"/>
      <c r="V984" s="133"/>
      <c r="W984" s="133"/>
      <c r="X984" s="160"/>
      <c r="Y984" s="133"/>
      <c r="Z984" s="133"/>
      <c r="AA984" s="133"/>
      <c r="AB984" s="133"/>
      <c r="AC984" s="133"/>
      <c r="AD984" s="133"/>
      <c r="AE984" s="133"/>
      <c r="AF984" s="133"/>
      <c r="AG984" s="133"/>
      <c r="AH984" s="133"/>
      <c r="AI984" s="133"/>
      <c r="AJ984" s="133"/>
      <c r="AK984" s="133"/>
      <c r="AL984" s="132"/>
      <c r="AM984" s="132"/>
      <c r="AN984" s="104"/>
      <c r="AO984" s="104"/>
      <c r="AP984" s="104"/>
    </row>
    <row r="985">
      <c r="A985" s="132"/>
      <c r="B985" s="132"/>
      <c r="C985" s="132"/>
      <c r="D985" s="132"/>
      <c r="E985" s="133"/>
      <c r="F985" s="133"/>
      <c r="G985" s="133"/>
      <c r="H985" s="133"/>
      <c r="I985" s="133"/>
      <c r="J985" s="133"/>
      <c r="K985" s="133"/>
      <c r="L985" s="133"/>
      <c r="M985" s="133"/>
      <c r="N985" s="133"/>
      <c r="O985" s="133"/>
      <c r="P985" s="133"/>
      <c r="Q985" s="133"/>
      <c r="R985" s="133"/>
      <c r="S985" s="133"/>
      <c r="T985" s="133"/>
      <c r="U985" s="133"/>
      <c r="V985" s="133"/>
      <c r="W985" s="133"/>
      <c r="X985" s="160"/>
      <c r="Y985" s="133"/>
      <c r="Z985" s="133"/>
      <c r="AA985" s="133"/>
      <c r="AB985" s="133"/>
      <c r="AC985" s="133"/>
      <c r="AD985" s="133"/>
      <c r="AE985" s="133"/>
      <c r="AF985" s="133"/>
      <c r="AG985" s="133"/>
      <c r="AH985" s="133"/>
      <c r="AI985" s="133"/>
      <c r="AJ985" s="133"/>
      <c r="AK985" s="133"/>
      <c r="AL985" s="132"/>
      <c r="AM985" s="132"/>
      <c r="AN985" s="104"/>
      <c r="AO985" s="104"/>
      <c r="AP985" s="104"/>
    </row>
    <row r="986">
      <c r="A986" s="132"/>
      <c r="B986" s="132"/>
      <c r="C986" s="132"/>
      <c r="D986" s="132"/>
      <c r="E986" s="133"/>
      <c r="F986" s="133"/>
      <c r="G986" s="133"/>
      <c r="H986" s="133"/>
      <c r="I986" s="133"/>
      <c r="J986" s="133"/>
      <c r="K986" s="133"/>
      <c r="L986" s="133"/>
      <c r="M986" s="133"/>
      <c r="N986" s="133"/>
      <c r="O986" s="133"/>
      <c r="P986" s="133"/>
      <c r="Q986" s="133"/>
      <c r="R986" s="133"/>
      <c r="S986" s="133"/>
      <c r="T986" s="133"/>
      <c r="U986" s="133"/>
      <c r="V986" s="133"/>
      <c r="W986" s="133"/>
      <c r="X986" s="160"/>
      <c r="Y986" s="133"/>
      <c r="Z986" s="133"/>
      <c r="AA986" s="133"/>
      <c r="AB986" s="133"/>
      <c r="AC986" s="133"/>
      <c r="AD986" s="133"/>
      <c r="AE986" s="133"/>
      <c r="AF986" s="133"/>
      <c r="AG986" s="133"/>
      <c r="AH986" s="133"/>
      <c r="AI986" s="133"/>
      <c r="AJ986" s="133"/>
      <c r="AK986" s="133"/>
      <c r="AL986" s="132"/>
      <c r="AM986" s="132"/>
      <c r="AN986" s="104"/>
      <c r="AO986" s="104"/>
      <c r="AP986" s="104"/>
    </row>
    <row r="987">
      <c r="A987" s="132"/>
      <c r="B987" s="132"/>
      <c r="C987" s="132"/>
      <c r="D987" s="132"/>
      <c r="E987" s="133"/>
      <c r="F987" s="133"/>
      <c r="G987" s="133"/>
      <c r="H987" s="133"/>
      <c r="I987" s="133"/>
      <c r="J987" s="133"/>
      <c r="K987" s="133"/>
      <c r="L987" s="133"/>
      <c r="M987" s="133"/>
      <c r="N987" s="133"/>
      <c r="O987" s="133"/>
      <c r="P987" s="133"/>
      <c r="Q987" s="133"/>
      <c r="R987" s="133"/>
      <c r="S987" s="133"/>
      <c r="T987" s="133"/>
      <c r="U987" s="133"/>
      <c r="V987" s="133"/>
      <c r="W987" s="133"/>
      <c r="X987" s="160"/>
      <c r="Y987" s="133"/>
      <c r="Z987" s="133"/>
      <c r="AA987" s="133"/>
      <c r="AB987" s="133"/>
      <c r="AC987" s="133"/>
      <c r="AD987" s="133"/>
      <c r="AE987" s="133"/>
      <c r="AF987" s="133"/>
      <c r="AG987" s="133"/>
      <c r="AH987" s="133"/>
      <c r="AI987" s="133"/>
      <c r="AJ987" s="133"/>
      <c r="AK987" s="133"/>
      <c r="AL987" s="132"/>
      <c r="AM987" s="132"/>
      <c r="AN987" s="104"/>
      <c r="AO987" s="104"/>
      <c r="AP987" s="104"/>
    </row>
    <row r="988">
      <c r="A988" s="132"/>
      <c r="B988" s="132"/>
      <c r="C988" s="132"/>
      <c r="D988" s="132"/>
      <c r="E988" s="133"/>
      <c r="F988" s="133"/>
      <c r="G988" s="133"/>
      <c r="H988" s="133"/>
      <c r="I988" s="133"/>
      <c r="J988" s="133"/>
      <c r="K988" s="133"/>
      <c r="L988" s="133"/>
      <c r="M988" s="133"/>
      <c r="N988" s="133"/>
      <c r="O988" s="133"/>
      <c r="P988" s="133"/>
      <c r="Q988" s="133"/>
      <c r="R988" s="133"/>
      <c r="S988" s="133"/>
      <c r="T988" s="133"/>
      <c r="U988" s="133"/>
      <c r="V988" s="133"/>
      <c r="W988" s="133"/>
      <c r="X988" s="160"/>
      <c r="Y988" s="133"/>
      <c r="Z988" s="133"/>
      <c r="AA988" s="133"/>
      <c r="AB988" s="133"/>
      <c r="AC988" s="133"/>
      <c r="AD988" s="133"/>
      <c r="AE988" s="133"/>
      <c r="AF988" s="133"/>
      <c r="AG988" s="133"/>
      <c r="AH988" s="133"/>
      <c r="AI988" s="133"/>
      <c r="AJ988" s="133"/>
      <c r="AK988" s="133"/>
      <c r="AL988" s="132"/>
      <c r="AM988" s="132"/>
      <c r="AN988" s="104"/>
      <c r="AO988" s="104"/>
      <c r="AP988" s="104"/>
    </row>
    <row r="989">
      <c r="A989" s="132"/>
      <c r="B989" s="132"/>
      <c r="C989" s="132"/>
      <c r="D989" s="132"/>
      <c r="E989" s="133"/>
      <c r="F989" s="133"/>
      <c r="G989" s="133"/>
      <c r="H989" s="133"/>
      <c r="I989" s="133"/>
      <c r="J989" s="133"/>
      <c r="K989" s="133"/>
      <c r="L989" s="133"/>
      <c r="M989" s="133"/>
      <c r="N989" s="133"/>
      <c r="O989" s="133"/>
      <c r="P989" s="133"/>
      <c r="Q989" s="133"/>
      <c r="R989" s="133"/>
      <c r="S989" s="133"/>
      <c r="T989" s="133"/>
      <c r="U989" s="133"/>
      <c r="V989" s="133"/>
      <c r="W989" s="133"/>
      <c r="X989" s="160"/>
      <c r="Y989" s="133"/>
      <c r="Z989" s="133"/>
      <c r="AA989" s="133"/>
      <c r="AB989" s="133"/>
      <c r="AC989" s="133"/>
      <c r="AD989" s="133"/>
      <c r="AE989" s="133"/>
      <c r="AF989" s="133"/>
      <c r="AG989" s="133"/>
      <c r="AH989" s="133"/>
      <c r="AI989" s="133"/>
      <c r="AJ989" s="133"/>
      <c r="AK989" s="133"/>
      <c r="AL989" s="132"/>
      <c r="AM989" s="132"/>
      <c r="AN989" s="104"/>
      <c r="AO989" s="104"/>
      <c r="AP989" s="104"/>
    </row>
    <row r="990">
      <c r="A990" s="132"/>
      <c r="B990" s="132"/>
      <c r="C990" s="132"/>
      <c r="D990" s="132"/>
      <c r="E990" s="133"/>
      <c r="F990" s="133"/>
      <c r="G990" s="133"/>
      <c r="H990" s="133"/>
      <c r="I990" s="133"/>
      <c r="J990" s="133"/>
      <c r="K990" s="133"/>
      <c r="L990" s="133"/>
      <c r="M990" s="133"/>
      <c r="N990" s="133"/>
      <c r="O990" s="133"/>
      <c r="P990" s="133"/>
      <c r="Q990" s="133"/>
      <c r="R990" s="133"/>
      <c r="S990" s="133"/>
      <c r="T990" s="133"/>
      <c r="U990" s="133"/>
      <c r="V990" s="133"/>
      <c r="W990" s="133"/>
      <c r="X990" s="160"/>
      <c r="Y990" s="133"/>
      <c r="Z990" s="133"/>
      <c r="AA990" s="133"/>
      <c r="AB990" s="133"/>
      <c r="AC990" s="133"/>
      <c r="AD990" s="133"/>
      <c r="AE990" s="133"/>
      <c r="AF990" s="133"/>
      <c r="AG990" s="133"/>
      <c r="AH990" s="133"/>
      <c r="AI990" s="133"/>
      <c r="AJ990" s="133"/>
      <c r="AK990" s="133"/>
      <c r="AL990" s="132"/>
      <c r="AM990" s="132"/>
      <c r="AN990" s="104"/>
      <c r="AO990" s="104"/>
      <c r="AP990" s="104"/>
    </row>
    <row r="991">
      <c r="A991" s="132"/>
      <c r="B991" s="132"/>
      <c r="C991" s="132"/>
      <c r="D991" s="132"/>
      <c r="E991" s="133"/>
      <c r="F991" s="133"/>
      <c r="G991" s="133"/>
      <c r="H991" s="133"/>
      <c r="I991" s="133"/>
      <c r="J991" s="133"/>
      <c r="K991" s="133"/>
      <c r="L991" s="133"/>
      <c r="M991" s="133"/>
      <c r="N991" s="133"/>
      <c r="O991" s="133"/>
      <c r="P991" s="133"/>
      <c r="Q991" s="133"/>
      <c r="R991" s="133"/>
      <c r="S991" s="133"/>
      <c r="T991" s="133"/>
      <c r="U991" s="133"/>
      <c r="V991" s="133"/>
      <c r="W991" s="133"/>
      <c r="X991" s="160"/>
      <c r="Y991" s="133"/>
      <c r="Z991" s="133"/>
      <c r="AA991" s="133"/>
      <c r="AB991" s="133"/>
      <c r="AC991" s="133"/>
      <c r="AD991" s="133"/>
      <c r="AE991" s="133"/>
      <c r="AF991" s="133"/>
      <c r="AG991" s="133"/>
      <c r="AH991" s="133"/>
      <c r="AI991" s="133"/>
      <c r="AJ991" s="133"/>
      <c r="AK991" s="133"/>
      <c r="AL991" s="132"/>
      <c r="AM991" s="132"/>
      <c r="AN991" s="104"/>
      <c r="AO991" s="104"/>
      <c r="AP991" s="104"/>
    </row>
    <row r="992">
      <c r="A992" s="132"/>
      <c r="B992" s="132"/>
      <c r="C992" s="132"/>
      <c r="D992" s="132"/>
      <c r="E992" s="133"/>
      <c r="F992" s="133"/>
      <c r="G992" s="133"/>
      <c r="H992" s="133"/>
      <c r="I992" s="133"/>
      <c r="J992" s="133"/>
      <c r="K992" s="133"/>
      <c r="L992" s="133"/>
      <c r="M992" s="133"/>
      <c r="N992" s="133"/>
      <c r="O992" s="133"/>
      <c r="P992" s="133"/>
      <c r="Q992" s="133"/>
      <c r="R992" s="133"/>
      <c r="S992" s="133"/>
      <c r="T992" s="133"/>
      <c r="U992" s="133"/>
      <c r="V992" s="133"/>
      <c r="W992" s="133"/>
      <c r="X992" s="160"/>
      <c r="Y992" s="133"/>
      <c r="Z992" s="133"/>
      <c r="AA992" s="133"/>
      <c r="AB992" s="133"/>
      <c r="AC992" s="133"/>
      <c r="AD992" s="133"/>
      <c r="AE992" s="133"/>
      <c r="AF992" s="133"/>
      <c r="AG992" s="133"/>
      <c r="AH992" s="133"/>
      <c r="AI992" s="133"/>
      <c r="AJ992" s="133"/>
      <c r="AK992" s="133"/>
      <c r="AL992" s="132"/>
      <c r="AM992" s="132"/>
      <c r="AN992" s="104"/>
      <c r="AO992" s="104"/>
      <c r="AP992" s="104"/>
    </row>
    <row r="993">
      <c r="A993" s="132"/>
      <c r="B993" s="132"/>
      <c r="C993" s="132"/>
      <c r="D993" s="132"/>
      <c r="E993" s="133"/>
      <c r="F993" s="133"/>
      <c r="G993" s="133"/>
      <c r="H993" s="133"/>
      <c r="I993" s="133"/>
      <c r="J993" s="133"/>
      <c r="K993" s="133"/>
      <c r="L993" s="133"/>
      <c r="M993" s="133"/>
      <c r="N993" s="133"/>
      <c r="O993" s="133"/>
      <c r="P993" s="133"/>
      <c r="Q993" s="133"/>
      <c r="R993" s="133"/>
      <c r="S993" s="133"/>
      <c r="T993" s="133"/>
      <c r="U993" s="133"/>
      <c r="V993" s="133"/>
      <c r="W993" s="133"/>
      <c r="X993" s="160"/>
      <c r="Y993" s="133"/>
      <c r="Z993" s="133"/>
      <c r="AA993" s="133"/>
      <c r="AB993" s="133"/>
      <c r="AC993" s="133"/>
      <c r="AD993" s="133"/>
      <c r="AE993" s="133"/>
      <c r="AF993" s="133"/>
      <c r="AG993" s="133"/>
      <c r="AH993" s="133"/>
      <c r="AI993" s="133"/>
      <c r="AJ993" s="133"/>
      <c r="AK993" s="133"/>
      <c r="AL993" s="132"/>
      <c r="AM993" s="132"/>
      <c r="AN993" s="104"/>
      <c r="AO993" s="104"/>
      <c r="AP993" s="104"/>
    </row>
    <row r="994">
      <c r="A994" s="132"/>
      <c r="B994" s="132"/>
      <c r="C994" s="132"/>
      <c r="D994" s="132"/>
      <c r="E994" s="133"/>
      <c r="F994" s="133"/>
      <c r="G994" s="133"/>
      <c r="H994" s="133"/>
      <c r="I994" s="133"/>
      <c r="J994" s="133"/>
      <c r="K994" s="133"/>
      <c r="L994" s="133"/>
      <c r="M994" s="133"/>
      <c r="N994" s="133"/>
      <c r="O994" s="133"/>
      <c r="P994" s="133"/>
      <c r="Q994" s="133"/>
      <c r="R994" s="133"/>
      <c r="S994" s="133"/>
      <c r="T994" s="133"/>
      <c r="U994" s="133"/>
      <c r="V994" s="133"/>
      <c r="W994" s="133"/>
      <c r="X994" s="160"/>
      <c r="Y994" s="133"/>
      <c r="Z994" s="133"/>
      <c r="AA994" s="133"/>
      <c r="AB994" s="133"/>
      <c r="AC994" s="133"/>
      <c r="AD994" s="133"/>
      <c r="AE994" s="133"/>
      <c r="AF994" s="133"/>
      <c r="AG994" s="133"/>
      <c r="AH994" s="133"/>
      <c r="AI994" s="133"/>
      <c r="AJ994" s="133"/>
      <c r="AK994" s="133"/>
      <c r="AL994" s="132"/>
      <c r="AM994" s="132"/>
      <c r="AN994" s="104"/>
      <c r="AO994" s="104"/>
      <c r="AP994" s="104"/>
    </row>
    <row r="995">
      <c r="A995" s="132"/>
      <c r="B995" s="132"/>
      <c r="C995" s="132"/>
      <c r="D995" s="132"/>
      <c r="E995" s="133"/>
      <c r="F995" s="133"/>
      <c r="G995" s="133"/>
      <c r="H995" s="133"/>
      <c r="I995" s="133"/>
      <c r="J995" s="133"/>
      <c r="K995" s="133"/>
      <c r="L995" s="133"/>
      <c r="M995" s="133"/>
      <c r="N995" s="133"/>
      <c r="O995" s="133"/>
      <c r="P995" s="133"/>
      <c r="Q995" s="133"/>
      <c r="R995" s="133"/>
      <c r="S995" s="133"/>
      <c r="T995" s="133"/>
      <c r="U995" s="133"/>
      <c r="V995" s="133"/>
      <c r="W995" s="133"/>
      <c r="X995" s="160"/>
      <c r="Y995" s="133"/>
      <c r="Z995" s="133"/>
      <c r="AA995" s="133"/>
      <c r="AB995" s="133"/>
      <c r="AC995" s="133"/>
      <c r="AD995" s="133"/>
      <c r="AE995" s="133"/>
      <c r="AF995" s="133"/>
      <c r="AG995" s="133"/>
      <c r="AH995" s="133"/>
      <c r="AI995" s="133"/>
      <c r="AJ995" s="133"/>
      <c r="AK995" s="133"/>
      <c r="AL995" s="132"/>
      <c r="AM995" s="132"/>
      <c r="AN995" s="104"/>
      <c r="AO995" s="104"/>
      <c r="AP995" s="104"/>
    </row>
    <row r="996">
      <c r="A996" s="132"/>
      <c r="B996" s="132"/>
      <c r="C996" s="132"/>
      <c r="D996" s="132"/>
      <c r="E996" s="133"/>
      <c r="F996" s="133"/>
      <c r="G996" s="133"/>
      <c r="H996" s="133"/>
      <c r="I996" s="133"/>
      <c r="J996" s="133"/>
      <c r="K996" s="133"/>
      <c r="L996" s="133"/>
      <c r="M996" s="133"/>
      <c r="N996" s="133"/>
      <c r="O996" s="133"/>
      <c r="P996" s="133"/>
      <c r="Q996" s="133"/>
      <c r="R996" s="133"/>
      <c r="S996" s="133"/>
      <c r="T996" s="133"/>
      <c r="U996" s="133"/>
      <c r="V996" s="133"/>
      <c r="W996" s="133"/>
      <c r="X996" s="160"/>
      <c r="Y996" s="133"/>
      <c r="Z996" s="133"/>
      <c r="AA996" s="133"/>
      <c r="AB996" s="133"/>
      <c r="AC996" s="133"/>
      <c r="AD996" s="133"/>
      <c r="AE996" s="133"/>
      <c r="AF996" s="133"/>
      <c r="AG996" s="133"/>
      <c r="AH996" s="133"/>
      <c r="AI996" s="133"/>
      <c r="AJ996" s="133"/>
      <c r="AK996" s="133"/>
      <c r="AL996" s="132"/>
      <c r="AM996" s="132"/>
      <c r="AN996" s="104"/>
      <c r="AO996" s="104"/>
      <c r="AP996" s="104"/>
    </row>
    <row r="997">
      <c r="A997" s="132"/>
      <c r="B997" s="132"/>
      <c r="C997" s="132"/>
      <c r="D997" s="132"/>
      <c r="E997" s="133"/>
      <c r="F997" s="133"/>
      <c r="G997" s="133"/>
      <c r="H997" s="133"/>
      <c r="I997" s="133"/>
      <c r="J997" s="133"/>
      <c r="K997" s="133"/>
      <c r="L997" s="133"/>
      <c r="M997" s="133"/>
      <c r="N997" s="133"/>
      <c r="O997" s="133"/>
      <c r="P997" s="133"/>
      <c r="Q997" s="133"/>
      <c r="R997" s="133"/>
      <c r="S997" s="133"/>
      <c r="T997" s="133"/>
      <c r="U997" s="133"/>
      <c r="V997" s="133"/>
      <c r="W997" s="133"/>
      <c r="X997" s="160"/>
      <c r="Y997" s="133"/>
      <c r="Z997" s="133"/>
      <c r="AA997" s="133"/>
      <c r="AB997" s="133"/>
      <c r="AC997" s="133"/>
      <c r="AD997" s="133"/>
      <c r="AE997" s="133"/>
      <c r="AF997" s="133"/>
      <c r="AG997" s="133"/>
      <c r="AH997" s="133"/>
      <c r="AI997" s="133"/>
      <c r="AJ997" s="133"/>
      <c r="AK997" s="133"/>
      <c r="AL997" s="132"/>
      <c r="AM997" s="132"/>
      <c r="AN997" s="104"/>
      <c r="AO997" s="104"/>
      <c r="AP997" s="104"/>
    </row>
    <row r="998">
      <c r="A998" s="132"/>
      <c r="B998" s="132"/>
      <c r="C998" s="132"/>
      <c r="D998" s="132"/>
      <c r="E998" s="133"/>
      <c r="F998" s="133"/>
      <c r="G998" s="133"/>
      <c r="H998" s="133"/>
      <c r="I998" s="133"/>
      <c r="J998" s="133"/>
      <c r="K998" s="133"/>
      <c r="L998" s="133"/>
      <c r="M998" s="133"/>
      <c r="N998" s="133"/>
      <c r="O998" s="133"/>
      <c r="P998" s="133"/>
      <c r="Q998" s="133"/>
      <c r="R998" s="133"/>
      <c r="S998" s="133"/>
      <c r="T998" s="133"/>
      <c r="U998" s="133"/>
      <c r="V998" s="133"/>
      <c r="W998" s="133"/>
      <c r="X998" s="160"/>
      <c r="Y998" s="133"/>
      <c r="Z998" s="133"/>
      <c r="AA998" s="133"/>
      <c r="AB998" s="133"/>
      <c r="AC998" s="133"/>
      <c r="AD998" s="133"/>
      <c r="AE998" s="133"/>
      <c r="AF998" s="133"/>
      <c r="AG998" s="133"/>
      <c r="AH998" s="133"/>
      <c r="AI998" s="133"/>
      <c r="AJ998" s="133"/>
      <c r="AK998" s="133"/>
      <c r="AL998" s="132"/>
      <c r="AM998" s="132"/>
      <c r="AN998" s="104"/>
      <c r="AO998" s="104"/>
      <c r="AP998" s="104"/>
    </row>
    <row r="999">
      <c r="A999" s="132"/>
      <c r="B999" s="132"/>
      <c r="C999" s="132"/>
      <c r="D999" s="132"/>
      <c r="E999" s="133"/>
      <c r="F999" s="133"/>
      <c r="G999" s="133"/>
      <c r="H999" s="133"/>
      <c r="I999" s="133"/>
      <c r="J999" s="133"/>
      <c r="K999" s="133"/>
      <c r="L999" s="133"/>
      <c r="M999" s="133"/>
      <c r="N999" s="133"/>
      <c r="O999" s="133"/>
      <c r="P999" s="133"/>
      <c r="Q999" s="133"/>
      <c r="R999" s="133"/>
      <c r="S999" s="133"/>
      <c r="T999" s="133"/>
      <c r="U999" s="133"/>
      <c r="V999" s="133"/>
      <c r="W999" s="133"/>
      <c r="X999" s="160"/>
      <c r="Y999" s="133"/>
      <c r="Z999" s="133"/>
      <c r="AA999" s="133"/>
      <c r="AB999" s="133"/>
      <c r="AC999" s="133"/>
      <c r="AD999" s="133"/>
      <c r="AE999" s="133"/>
      <c r="AF999" s="133"/>
      <c r="AG999" s="133"/>
      <c r="AH999" s="133"/>
      <c r="AI999" s="133"/>
      <c r="AJ999" s="133"/>
      <c r="AK999" s="133"/>
      <c r="AL999" s="132"/>
      <c r="AM999" s="132"/>
      <c r="AN999" s="104"/>
      <c r="AO999" s="104"/>
      <c r="AP999" s="104"/>
    </row>
    <row r="1000">
      <c r="A1000" s="132"/>
      <c r="B1000" s="132"/>
      <c r="C1000" s="132"/>
      <c r="D1000" s="132"/>
      <c r="E1000" s="133"/>
      <c r="F1000" s="133"/>
      <c r="G1000" s="133"/>
      <c r="H1000" s="133"/>
      <c r="I1000" s="133"/>
      <c r="J1000" s="133"/>
      <c r="K1000" s="133"/>
      <c r="L1000" s="133"/>
      <c r="M1000" s="133"/>
      <c r="N1000" s="133"/>
      <c r="O1000" s="133"/>
      <c r="P1000" s="133"/>
      <c r="Q1000" s="133"/>
      <c r="R1000" s="133"/>
      <c r="S1000" s="133"/>
      <c r="T1000" s="133"/>
      <c r="U1000" s="133"/>
      <c r="V1000" s="133"/>
      <c r="W1000" s="133"/>
      <c r="X1000" s="160"/>
      <c r="Y1000" s="133"/>
      <c r="Z1000" s="133"/>
      <c r="AA1000" s="133"/>
      <c r="AB1000" s="133"/>
      <c r="AC1000" s="133"/>
      <c r="AD1000" s="133"/>
      <c r="AE1000" s="133"/>
      <c r="AF1000" s="133"/>
      <c r="AG1000" s="133"/>
      <c r="AH1000" s="133"/>
      <c r="AI1000" s="133"/>
      <c r="AJ1000" s="133"/>
      <c r="AK1000" s="133"/>
      <c r="AL1000" s="132"/>
      <c r="AM1000" s="132"/>
      <c r="AN1000" s="104"/>
      <c r="AO1000" s="104"/>
      <c r="AP1000" s="104"/>
    </row>
  </sheetData>
  <dataValidations>
    <dataValidation type="list" allowBlank="1" showDropDown="1" sqref="AN1:AN1000">
      <formula1>'UF Comp Metrics List'!$B$2:$B$27</formula1>
    </dataValidation>
  </dataValidations>
  <hyperlinks>
    <hyperlink r:id="rId1" ref="L105"/>
    <hyperlink r:id="rId2" ref="L106"/>
  </hyperlinks>
  <printOptions/>
  <pageMargins bottom="0.75" footer="0.0" header="0.0" left="0.7" right="0.7" top="0.75"/>
  <pageSetup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topLeftCell="E1" activePane="topRight" state="frozen"/>
      <selection activeCell="F2" sqref="F2" pane="topRight"/>
    </sheetView>
  </sheetViews>
  <sheetFormatPr customHeight="1" defaultColWidth="12.63" defaultRowHeight="15.75"/>
  <cols>
    <col customWidth="1" min="1" max="4" width="9.38"/>
    <col customWidth="1" hidden="1" min="5" max="5" width="9.38"/>
    <col customWidth="1" min="6" max="7" width="9.38"/>
    <col customWidth="1" hidden="1" min="8" max="8" width="9.38"/>
    <col customWidth="1" min="9" max="9" width="9.38"/>
    <col customWidth="1" hidden="1" min="10" max="19" width="9.38"/>
    <col customWidth="1" min="20" max="20" width="12.38"/>
    <col customWidth="1" min="21" max="21" width="39.63"/>
    <col customWidth="1" hidden="1" min="22" max="40" width="9.38"/>
    <col customWidth="1" hidden="1" min="41" max="41" width="20.88"/>
    <col customWidth="1" hidden="1" min="42" max="42" width="25.75"/>
    <col customWidth="1" min="43" max="43" width="26.25"/>
    <col customWidth="1" min="44" max="44" width="9.38"/>
    <col customWidth="1" min="45" max="45" width="34.0"/>
  </cols>
  <sheetData>
    <row r="1">
      <c r="A1" s="4" t="s">
        <v>4</v>
      </c>
      <c r="B1" s="5" t="s">
        <v>5</v>
      </c>
      <c r="C1" s="6" t="s">
        <v>6</v>
      </c>
      <c r="D1" s="6" t="s">
        <v>7</v>
      </c>
      <c r="E1" s="6" t="s">
        <v>8</v>
      </c>
      <c r="F1" s="6" t="s">
        <v>9</v>
      </c>
      <c r="G1" s="6" t="s">
        <v>10</v>
      </c>
      <c r="H1" s="8" t="s">
        <v>11</v>
      </c>
      <c r="I1" s="6" t="s">
        <v>12</v>
      </c>
      <c r="J1" s="6" t="s">
        <v>13</v>
      </c>
      <c r="K1" s="6" t="s">
        <v>14</v>
      </c>
      <c r="L1" s="6" t="s">
        <v>15</v>
      </c>
      <c r="M1" s="6" t="s">
        <v>16</v>
      </c>
      <c r="N1" s="6" t="s">
        <v>17</v>
      </c>
      <c r="O1" s="6" t="s">
        <v>18</v>
      </c>
      <c r="P1" s="6" t="s">
        <v>19</v>
      </c>
      <c r="Q1" s="6" t="s">
        <v>20</v>
      </c>
      <c r="R1" s="6" t="s">
        <v>21</v>
      </c>
      <c r="S1" s="6" t="s">
        <v>22</v>
      </c>
      <c r="T1" s="6" t="s">
        <v>23</v>
      </c>
      <c r="U1" s="6" t="s">
        <v>24</v>
      </c>
      <c r="V1" s="6" t="s">
        <v>25</v>
      </c>
      <c r="W1" s="6" t="s">
        <v>26</v>
      </c>
      <c r="X1" s="9" t="s">
        <v>27</v>
      </c>
      <c r="Y1" s="6" t="s">
        <v>28</v>
      </c>
      <c r="Z1" s="6" t="s">
        <v>29</v>
      </c>
      <c r="AA1" s="6" t="s">
        <v>30</v>
      </c>
      <c r="AB1" s="6" t="s">
        <v>31</v>
      </c>
      <c r="AC1" s="6" t="s">
        <v>32</v>
      </c>
      <c r="AD1" s="6" t="s">
        <v>33</v>
      </c>
      <c r="AE1" s="6" t="s">
        <v>34</v>
      </c>
      <c r="AF1" s="6" t="s">
        <v>35</v>
      </c>
      <c r="AG1" s="6" t="s">
        <v>36</v>
      </c>
      <c r="AH1" s="6" t="s">
        <v>37</v>
      </c>
      <c r="AI1" s="6" t="s">
        <v>38</v>
      </c>
      <c r="AJ1" s="6" t="s">
        <v>39</v>
      </c>
      <c r="AK1" s="6" t="s">
        <v>40</v>
      </c>
      <c r="AL1" s="6" t="s">
        <v>41</v>
      </c>
      <c r="AM1" s="6" t="s">
        <v>42</v>
      </c>
      <c r="AN1" s="6" t="s">
        <v>43</v>
      </c>
      <c r="AO1" s="6" t="s">
        <v>44</v>
      </c>
      <c r="AP1" s="6" t="s">
        <v>45</v>
      </c>
      <c r="AQ1" s="10" t="s">
        <v>46</v>
      </c>
      <c r="AR1" s="11" t="s">
        <v>47</v>
      </c>
      <c r="AS1" s="12" t="s">
        <v>48</v>
      </c>
    </row>
    <row r="2">
      <c r="A2" s="13">
        <v>5.0</v>
      </c>
      <c r="B2" s="14">
        <v>3.64027039E8</v>
      </c>
      <c r="C2" s="15" t="s">
        <v>49</v>
      </c>
      <c r="D2" s="15" t="s">
        <v>50</v>
      </c>
      <c r="E2" s="15" t="s">
        <v>51</v>
      </c>
      <c r="F2" s="15" t="s">
        <v>52</v>
      </c>
      <c r="G2" s="15" t="s">
        <v>53</v>
      </c>
      <c r="H2" s="17">
        <v>2002.0</v>
      </c>
      <c r="I2" s="15" t="s">
        <v>54</v>
      </c>
      <c r="J2" s="15" t="s">
        <v>55</v>
      </c>
      <c r="K2" s="15" t="s">
        <v>56</v>
      </c>
      <c r="L2" s="15" t="s">
        <v>57</v>
      </c>
      <c r="M2" s="15" t="s">
        <v>52</v>
      </c>
      <c r="N2" s="15" t="s">
        <v>58</v>
      </c>
      <c r="O2" s="15" t="s">
        <v>59</v>
      </c>
      <c r="P2" s="15" t="s">
        <v>60</v>
      </c>
      <c r="Q2" s="15" t="s">
        <v>61</v>
      </c>
      <c r="R2" s="15" t="s">
        <v>62</v>
      </c>
      <c r="S2" s="15" t="s">
        <v>63</v>
      </c>
      <c r="T2" s="15" t="s">
        <v>64</v>
      </c>
      <c r="U2" s="15" t="s">
        <v>65</v>
      </c>
      <c r="V2" s="15" t="s">
        <v>66</v>
      </c>
      <c r="W2" s="15" t="s">
        <v>67</v>
      </c>
      <c r="X2" s="18" t="s">
        <v>68</v>
      </c>
      <c r="Y2" s="15" t="s">
        <v>69</v>
      </c>
      <c r="Z2" s="15" t="s">
        <v>70</v>
      </c>
      <c r="AA2" s="15">
        <v>1999.0</v>
      </c>
      <c r="AB2" s="15">
        <v>2000.0</v>
      </c>
      <c r="AC2" s="15" t="s">
        <v>71</v>
      </c>
      <c r="AD2" s="15" t="s">
        <v>72</v>
      </c>
      <c r="AE2" s="15" t="s">
        <v>73</v>
      </c>
      <c r="AF2" s="15" t="s">
        <v>74</v>
      </c>
      <c r="AG2" s="15" t="s">
        <v>75</v>
      </c>
      <c r="AH2" s="15" t="s">
        <v>76</v>
      </c>
      <c r="AI2" s="15" t="s">
        <v>77</v>
      </c>
      <c r="AJ2" s="15" t="s">
        <v>77</v>
      </c>
      <c r="AK2" s="15" t="s">
        <v>78</v>
      </c>
      <c r="AL2" s="15" t="s">
        <v>79</v>
      </c>
      <c r="AM2" s="15" t="s">
        <v>57</v>
      </c>
      <c r="AN2" s="15" t="s">
        <v>80</v>
      </c>
      <c r="AO2" s="19"/>
      <c r="AP2" s="15" t="s">
        <v>81</v>
      </c>
      <c r="AQ2" s="20" t="s">
        <v>82</v>
      </c>
      <c r="AR2" s="20" t="s">
        <v>201</v>
      </c>
      <c r="AS2" s="21" t="s">
        <v>4114</v>
      </c>
    </row>
    <row r="3">
      <c r="A3" s="13">
        <v>9.0</v>
      </c>
      <c r="B3" s="14">
        <v>3.64025374E8</v>
      </c>
      <c r="C3" s="15" t="s">
        <v>84</v>
      </c>
      <c r="D3" s="15" t="s">
        <v>85</v>
      </c>
      <c r="E3" s="15" t="s">
        <v>86</v>
      </c>
      <c r="F3" s="15" t="s">
        <v>87</v>
      </c>
      <c r="G3" s="15" t="s">
        <v>88</v>
      </c>
      <c r="H3" s="17">
        <v>2016.0</v>
      </c>
      <c r="I3" s="15" t="s">
        <v>89</v>
      </c>
      <c r="J3" s="15" t="s">
        <v>55</v>
      </c>
      <c r="K3" s="15" t="s">
        <v>90</v>
      </c>
      <c r="L3" s="15" t="s">
        <v>57</v>
      </c>
      <c r="M3" s="15" t="s">
        <v>87</v>
      </c>
      <c r="N3" s="15" t="s">
        <v>91</v>
      </c>
      <c r="O3" s="15" t="s">
        <v>92</v>
      </c>
      <c r="P3" s="15" t="s">
        <v>93</v>
      </c>
      <c r="Q3" s="15" t="s">
        <v>94</v>
      </c>
      <c r="R3" s="15" t="s">
        <v>95</v>
      </c>
      <c r="S3" s="15" t="s">
        <v>96</v>
      </c>
      <c r="T3" s="15" t="s">
        <v>97</v>
      </c>
      <c r="U3" s="15" t="s">
        <v>98</v>
      </c>
      <c r="V3" s="15" t="s">
        <v>99</v>
      </c>
      <c r="W3" s="15" t="s">
        <v>100</v>
      </c>
      <c r="X3" s="18" t="s">
        <v>100</v>
      </c>
      <c r="Y3" s="15" t="s">
        <v>69</v>
      </c>
      <c r="Z3" s="15" t="s">
        <v>101</v>
      </c>
      <c r="AA3" s="15">
        <v>2010.0</v>
      </c>
      <c r="AB3" s="15">
        <v>2014.0</v>
      </c>
      <c r="AC3" s="15" t="s">
        <v>102</v>
      </c>
      <c r="AD3" s="15" t="s">
        <v>103</v>
      </c>
      <c r="AE3" s="15" t="s">
        <v>69</v>
      </c>
      <c r="AF3" s="15" t="s">
        <v>74</v>
      </c>
      <c r="AG3" s="15" t="s">
        <v>104</v>
      </c>
      <c r="AH3" s="15" t="s">
        <v>105</v>
      </c>
      <c r="AI3" s="15" t="s">
        <v>106</v>
      </c>
      <c r="AJ3" s="15" t="s">
        <v>107</v>
      </c>
      <c r="AK3" s="15" t="s">
        <v>108</v>
      </c>
      <c r="AL3" s="15" t="s">
        <v>79</v>
      </c>
      <c r="AM3" s="15" t="s">
        <v>57</v>
      </c>
      <c r="AN3" s="15" t="s">
        <v>80</v>
      </c>
      <c r="AO3" s="19"/>
      <c r="AP3" s="15" t="s">
        <v>109</v>
      </c>
      <c r="AQ3" s="20" t="s">
        <v>110</v>
      </c>
      <c r="AR3" s="20" t="s">
        <v>201</v>
      </c>
      <c r="AS3" s="21" t="s">
        <v>4115</v>
      </c>
    </row>
    <row r="4">
      <c r="A4" s="13">
        <v>11.0</v>
      </c>
      <c r="B4" s="14">
        <v>3.64026754E8</v>
      </c>
      <c r="C4" s="15" t="s">
        <v>111</v>
      </c>
      <c r="D4" s="15" t="s">
        <v>112</v>
      </c>
      <c r="E4" s="15" t="s">
        <v>113</v>
      </c>
      <c r="F4" s="15" t="s">
        <v>114</v>
      </c>
      <c r="G4" s="15" t="s">
        <v>115</v>
      </c>
      <c r="H4" s="17">
        <v>2016.0</v>
      </c>
      <c r="I4" s="15" t="s">
        <v>116</v>
      </c>
      <c r="J4" s="15" t="s">
        <v>55</v>
      </c>
      <c r="K4" s="15" t="s">
        <v>117</v>
      </c>
      <c r="L4" s="15" t="s">
        <v>57</v>
      </c>
      <c r="M4" s="15" t="s">
        <v>114</v>
      </c>
      <c r="N4" s="15" t="s">
        <v>118</v>
      </c>
      <c r="O4" s="15" t="s">
        <v>119</v>
      </c>
      <c r="P4" s="15" t="s">
        <v>93</v>
      </c>
      <c r="Q4" s="15" t="s">
        <v>57</v>
      </c>
      <c r="R4" s="15" t="s">
        <v>57</v>
      </c>
      <c r="S4" s="15" t="s">
        <v>63</v>
      </c>
      <c r="T4" s="15" t="s">
        <v>64</v>
      </c>
      <c r="U4" s="15" t="s">
        <v>120</v>
      </c>
      <c r="V4" s="15" t="s">
        <v>99</v>
      </c>
      <c r="W4" s="15" t="s">
        <v>121</v>
      </c>
      <c r="X4" s="18" t="s">
        <v>122</v>
      </c>
      <c r="Y4" s="15" t="s">
        <v>69</v>
      </c>
      <c r="Z4" s="15" t="s">
        <v>123</v>
      </c>
      <c r="AA4" s="15">
        <v>2013.0</v>
      </c>
      <c r="AB4" s="15">
        <v>2015.0</v>
      </c>
      <c r="AC4" s="15" t="s">
        <v>57</v>
      </c>
      <c r="AD4" s="15" t="s">
        <v>57</v>
      </c>
      <c r="AE4" s="15" t="s">
        <v>57</v>
      </c>
      <c r="AF4" s="15" t="s">
        <v>74</v>
      </c>
      <c r="AG4" s="15" t="s">
        <v>124</v>
      </c>
      <c r="AH4" s="15" t="s">
        <v>125</v>
      </c>
      <c r="AI4" s="15" t="s">
        <v>126</v>
      </c>
      <c r="AJ4" s="15" t="s">
        <v>107</v>
      </c>
      <c r="AK4" s="15" t="s">
        <v>127</v>
      </c>
      <c r="AL4" s="15" t="s">
        <v>128</v>
      </c>
      <c r="AM4" s="15" t="s">
        <v>129</v>
      </c>
      <c r="AN4" s="15" t="s">
        <v>130</v>
      </c>
      <c r="AO4" s="19"/>
      <c r="AP4" s="15" t="s">
        <v>81</v>
      </c>
      <c r="AQ4" s="20" t="s">
        <v>4116</v>
      </c>
      <c r="AR4" s="20" t="s">
        <v>201</v>
      </c>
      <c r="AS4" s="21" t="s">
        <v>4117</v>
      </c>
    </row>
    <row r="5">
      <c r="A5" s="22">
        <v>12.0</v>
      </c>
      <c r="B5" s="23">
        <v>3.64025386E8</v>
      </c>
      <c r="C5" s="24" t="s">
        <v>132</v>
      </c>
      <c r="D5" s="24" t="s">
        <v>133</v>
      </c>
      <c r="E5" s="24" t="s">
        <v>134</v>
      </c>
      <c r="F5" s="24" t="s">
        <v>114</v>
      </c>
      <c r="G5" s="24" t="s">
        <v>135</v>
      </c>
      <c r="H5" s="26">
        <v>2013.0</v>
      </c>
      <c r="I5" s="24" t="s">
        <v>136</v>
      </c>
      <c r="J5" s="24" t="s">
        <v>55</v>
      </c>
      <c r="K5" s="24" t="s">
        <v>137</v>
      </c>
      <c r="L5" s="24" t="s">
        <v>57</v>
      </c>
      <c r="M5" s="24" t="s">
        <v>114</v>
      </c>
      <c r="N5" s="24" t="s">
        <v>138</v>
      </c>
      <c r="O5" s="24" t="s">
        <v>139</v>
      </c>
      <c r="P5" s="24" t="s">
        <v>93</v>
      </c>
      <c r="Q5" s="24" t="s">
        <v>57</v>
      </c>
      <c r="R5" s="24" t="s">
        <v>57</v>
      </c>
      <c r="S5" s="24" t="s">
        <v>96</v>
      </c>
      <c r="T5" s="24" t="s">
        <v>140</v>
      </c>
      <c r="U5" s="24" t="s">
        <v>141</v>
      </c>
      <c r="V5" s="24" t="s">
        <v>99</v>
      </c>
      <c r="W5" s="24" t="s">
        <v>142</v>
      </c>
      <c r="X5" s="27" t="s">
        <v>143</v>
      </c>
      <c r="Y5" s="24" t="s">
        <v>74</v>
      </c>
      <c r="Z5" s="24" t="s">
        <v>57</v>
      </c>
      <c r="AA5" s="24">
        <v>2008.0</v>
      </c>
      <c r="AB5" s="24">
        <v>2009.0</v>
      </c>
      <c r="AC5" s="24" t="s">
        <v>144</v>
      </c>
      <c r="AD5" s="24" t="s">
        <v>102</v>
      </c>
      <c r="AE5" s="24" t="s">
        <v>69</v>
      </c>
      <c r="AF5" s="24" t="s">
        <v>69</v>
      </c>
      <c r="AG5" s="24" t="s">
        <v>75</v>
      </c>
      <c r="AH5" s="24" t="s">
        <v>145</v>
      </c>
      <c r="AI5" s="24" t="s">
        <v>146</v>
      </c>
      <c r="AJ5" s="24" t="s">
        <v>147</v>
      </c>
      <c r="AK5" s="24" t="s">
        <v>148</v>
      </c>
      <c r="AL5" s="24" t="s">
        <v>79</v>
      </c>
      <c r="AM5" s="24" t="s">
        <v>57</v>
      </c>
      <c r="AN5" s="24" t="s">
        <v>57</v>
      </c>
      <c r="AO5" s="24" t="s">
        <v>149</v>
      </c>
      <c r="AP5" s="24" t="s">
        <v>109</v>
      </c>
      <c r="AQ5" s="28" t="s">
        <v>4118</v>
      </c>
      <c r="AR5" s="28" t="s">
        <v>201</v>
      </c>
      <c r="AS5" s="29" t="s">
        <v>4119</v>
      </c>
    </row>
    <row r="6">
      <c r="A6" s="22">
        <v>21.0</v>
      </c>
      <c r="B6" s="23">
        <v>3.64025399E8</v>
      </c>
      <c r="C6" s="24" t="s">
        <v>151</v>
      </c>
      <c r="D6" s="24" t="s">
        <v>152</v>
      </c>
      <c r="E6" s="24" t="s">
        <v>153</v>
      </c>
      <c r="F6" s="24" t="s">
        <v>154</v>
      </c>
      <c r="G6" s="24" t="s">
        <v>155</v>
      </c>
      <c r="H6" s="26">
        <v>2006.0</v>
      </c>
      <c r="I6" s="24" t="s">
        <v>156</v>
      </c>
      <c r="J6" s="24" t="s">
        <v>157</v>
      </c>
      <c r="K6" s="24" t="s">
        <v>158</v>
      </c>
      <c r="L6" s="24" t="s">
        <v>57</v>
      </c>
      <c r="M6" s="24" t="s">
        <v>154</v>
      </c>
      <c r="N6" s="24" t="s">
        <v>159</v>
      </c>
      <c r="O6" s="24" t="s">
        <v>160</v>
      </c>
      <c r="P6" s="24" t="s">
        <v>93</v>
      </c>
      <c r="Q6" s="24" t="s">
        <v>57</v>
      </c>
      <c r="R6" s="24" t="s">
        <v>57</v>
      </c>
      <c r="S6" s="24" t="s">
        <v>96</v>
      </c>
      <c r="T6" s="24" t="s">
        <v>161</v>
      </c>
      <c r="U6" s="24" t="s">
        <v>162</v>
      </c>
      <c r="V6" s="24" t="s">
        <v>66</v>
      </c>
      <c r="W6" s="24" t="s">
        <v>163</v>
      </c>
      <c r="X6" s="27" t="s">
        <v>164</v>
      </c>
      <c r="Y6" s="24" t="s">
        <v>74</v>
      </c>
      <c r="Z6" s="24" t="s">
        <v>57</v>
      </c>
      <c r="AA6" s="24">
        <v>1999.0</v>
      </c>
      <c r="AB6" s="24">
        <v>1999.0</v>
      </c>
      <c r="AC6" s="24" t="s">
        <v>57</v>
      </c>
      <c r="AD6" s="24" t="s">
        <v>57</v>
      </c>
      <c r="AE6" s="24" t="s">
        <v>57</v>
      </c>
      <c r="AF6" s="24" t="s">
        <v>74</v>
      </c>
      <c r="AG6" s="24" t="s">
        <v>75</v>
      </c>
      <c r="AH6" s="24" t="s">
        <v>165</v>
      </c>
      <c r="AI6" s="24" t="s">
        <v>166</v>
      </c>
      <c r="AJ6" s="24" t="s">
        <v>166</v>
      </c>
      <c r="AK6" s="24" t="s">
        <v>167</v>
      </c>
      <c r="AL6" s="24" t="s">
        <v>79</v>
      </c>
      <c r="AM6" s="24" t="s">
        <v>57</v>
      </c>
      <c r="AN6" s="24" t="s">
        <v>57</v>
      </c>
      <c r="AO6" s="30"/>
      <c r="AP6" s="24" t="s">
        <v>109</v>
      </c>
      <c r="AQ6" s="28" t="s">
        <v>4120</v>
      </c>
      <c r="AR6" s="28" t="s">
        <v>201</v>
      </c>
      <c r="AS6" s="29" t="s">
        <v>4121</v>
      </c>
    </row>
    <row r="7">
      <c r="A7" s="22">
        <v>25.0</v>
      </c>
      <c r="B7" s="31">
        <v>3.64025426E8</v>
      </c>
      <c r="C7" s="24" t="s">
        <v>169</v>
      </c>
      <c r="D7" s="24" t="s">
        <v>170</v>
      </c>
      <c r="E7" s="24" t="s">
        <v>171</v>
      </c>
      <c r="F7" s="24" t="s">
        <v>172</v>
      </c>
      <c r="G7" s="24" t="s">
        <v>173</v>
      </c>
      <c r="H7" s="26">
        <v>2019.0</v>
      </c>
      <c r="I7" s="24" t="s">
        <v>174</v>
      </c>
      <c r="J7" s="24" t="s">
        <v>55</v>
      </c>
      <c r="K7" s="24" t="s">
        <v>175</v>
      </c>
      <c r="L7" s="24" t="s">
        <v>57</v>
      </c>
      <c r="M7" s="24" t="s">
        <v>172</v>
      </c>
      <c r="N7" s="24" t="s">
        <v>176</v>
      </c>
      <c r="O7" s="24" t="s">
        <v>177</v>
      </c>
      <c r="P7" s="24" t="s">
        <v>93</v>
      </c>
      <c r="Q7" s="24" t="s">
        <v>57</v>
      </c>
      <c r="R7" s="24" t="s">
        <v>57</v>
      </c>
      <c r="S7" s="24" t="s">
        <v>96</v>
      </c>
      <c r="T7" s="24" t="s">
        <v>178</v>
      </c>
      <c r="U7" s="24" t="s">
        <v>179</v>
      </c>
      <c r="V7" s="24" t="s">
        <v>99</v>
      </c>
      <c r="W7" s="24" t="s">
        <v>100</v>
      </c>
      <c r="X7" s="27" t="s">
        <v>100</v>
      </c>
      <c r="Y7" s="24" t="s">
        <v>74</v>
      </c>
      <c r="Z7" s="24" t="s">
        <v>57</v>
      </c>
      <c r="AA7" s="24">
        <v>2016.0</v>
      </c>
      <c r="AB7" s="24">
        <v>2016.0</v>
      </c>
      <c r="AC7" s="24" t="s">
        <v>144</v>
      </c>
      <c r="AD7" s="24" t="s">
        <v>180</v>
      </c>
      <c r="AE7" s="24" t="s">
        <v>74</v>
      </c>
      <c r="AF7" s="24" t="s">
        <v>74</v>
      </c>
      <c r="AG7" s="24" t="s">
        <v>104</v>
      </c>
      <c r="AH7" s="24" t="s">
        <v>105</v>
      </c>
      <c r="AI7" s="24" t="s">
        <v>181</v>
      </c>
      <c r="AJ7" s="24" t="s">
        <v>107</v>
      </c>
      <c r="AK7" s="24" t="s">
        <v>182</v>
      </c>
      <c r="AL7" s="24" t="s">
        <v>128</v>
      </c>
      <c r="AM7" s="24" t="s">
        <v>129</v>
      </c>
      <c r="AN7" s="24" t="s">
        <v>183</v>
      </c>
      <c r="AO7" s="30"/>
      <c r="AP7" s="24" t="s">
        <v>184</v>
      </c>
      <c r="AQ7" s="28" t="s">
        <v>4122</v>
      </c>
      <c r="AR7" s="28" t="s">
        <v>201</v>
      </c>
      <c r="AS7" s="29" t="s">
        <v>4123</v>
      </c>
    </row>
    <row r="8">
      <c r="A8" s="32">
        <v>27.0</v>
      </c>
      <c r="B8" s="33">
        <v>3.64025872E8</v>
      </c>
      <c r="C8" s="34" t="s">
        <v>186</v>
      </c>
      <c r="D8" s="34" t="s">
        <v>187</v>
      </c>
      <c r="E8" s="34" t="s">
        <v>188</v>
      </c>
      <c r="F8" s="34" t="s">
        <v>114</v>
      </c>
      <c r="G8" s="34" t="s">
        <v>189</v>
      </c>
      <c r="H8" s="36">
        <v>2005.0</v>
      </c>
      <c r="I8" s="34" t="s">
        <v>136</v>
      </c>
      <c r="J8" s="34" t="s">
        <v>55</v>
      </c>
      <c r="K8" s="34" t="s">
        <v>190</v>
      </c>
      <c r="L8" s="34" t="s">
        <v>57</v>
      </c>
      <c r="M8" s="34" t="s">
        <v>114</v>
      </c>
      <c r="N8" s="34" t="s">
        <v>191</v>
      </c>
      <c r="O8" s="34" t="s">
        <v>192</v>
      </c>
      <c r="P8" s="34" t="s">
        <v>93</v>
      </c>
      <c r="Q8" s="34" t="s">
        <v>57</v>
      </c>
      <c r="R8" s="34" t="s">
        <v>57</v>
      </c>
      <c r="S8" s="34" t="s">
        <v>193</v>
      </c>
      <c r="T8" s="34" t="s">
        <v>194</v>
      </c>
      <c r="U8" s="34" t="s">
        <v>195</v>
      </c>
      <c r="V8" s="34" t="s">
        <v>99</v>
      </c>
      <c r="W8" s="34" t="s">
        <v>100</v>
      </c>
      <c r="X8" s="37" t="s">
        <v>100</v>
      </c>
      <c r="Y8" s="34" t="s">
        <v>74</v>
      </c>
      <c r="Z8" s="34" t="s">
        <v>57</v>
      </c>
      <c r="AA8" s="34">
        <v>2001.0</v>
      </c>
      <c r="AB8" s="34">
        <v>2003.0</v>
      </c>
      <c r="AC8" s="34" t="s">
        <v>103</v>
      </c>
      <c r="AD8" s="34" t="s">
        <v>144</v>
      </c>
      <c r="AE8" s="34" t="s">
        <v>69</v>
      </c>
      <c r="AF8" s="34" t="s">
        <v>69</v>
      </c>
      <c r="AG8" s="34" t="s">
        <v>104</v>
      </c>
      <c r="AH8" s="34" t="s">
        <v>105</v>
      </c>
      <c r="AI8" s="34" t="s">
        <v>196</v>
      </c>
      <c r="AJ8" s="34" t="s">
        <v>147</v>
      </c>
      <c r="AK8" s="38" t="s">
        <v>197</v>
      </c>
      <c r="AL8" s="34" t="s">
        <v>128</v>
      </c>
      <c r="AM8" s="34" t="s">
        <v>198</v>
      </c>
      <c r="AN8" s="34" t="s">
        <v>199</v>
      </c>
      <c r="AO8" s="39"/>
      <c r="AP8" s="39"/>
      <c r="AQ8" s="40" t="s">
        <v>200</v>
      </c>
      <c r="AR8" s="40" t="s">
        <v>201</v>
      </c>
      <c r="AS8" s="41" t="s">
        <v>202</v>
      </c>
    </row>
    <row r="9">
      <c r="A9" s="32">
        <v>28.0</v>
      </c>
      <c r="B9" s="33">
        <v>3.64025874E8</v>
      </c>
      <c r="C9" s="34" t="s">
        <v>203</v>
      </c>
      <c r="D9" s="34" t="s">
        <v>204</v>
      </c>
      <c r="E9" s="34" t="s">
        <v>205</v>
      </c>
      <c r="F9" s="34" t="s">
        <v>114</v>
      </c>
      <c r="G9" s="34" t="s">
        <v>206</v>
      </c>
      <c r="H9" s="36">
        <v>2013.0</v>
      </c>
      <c r="I9" s="34" t="s">
        <v>207</v>
      </c>
      <c r="J9" s="34" t="s">
        <v>55</v>
      </c>
      <c r="K9" s="34" t="s">
        <v>57</v>
      </c>
      <c r="L9" s="34" t="s">
        <v>57</v>
      </c>
      <c r="M9" s="34" t="s">
        <v>114</v>
      </c>
      <c r="N9" s="34" t="s">
        <v>208</v>
      </c>
      <c r="O9" s="34" t="s">
        <v>209</v>
      </c>
      <c r="P9" s="34" t="s">
        <v>93</v>
      </c>
      <c r="Q9" s="34" t="s">
        <v>57</v>
      </c>
      <c r="R9" s="34" t="s">
        <v>57</v>
      </c>
      <c r="S9" s="34" t="s">
        <v>63</v>
      </c>
      <c r="T9" s="34" t="s">
        <v>210</v>
      </c>
      <c r="U9" s="34" t="s">
        <v>211</v>
      </c>
      <c r="V9" s="34" t="s">
        <v>66</v>
      </c>
      <c r="W9" s="34" t="s">
        <v>212</v>
      </c>
      <c r="X9" s="42" t="s">
        <v>213</v>
      </c>
      <c r="Y9" s="34" t="s">
        <v>74</v>
      </c>
      <c r="Z9" s="34" t="s">
        <v>57</v>
      </c>
      <c r="AA9" s="34">
        <v>2008.0</v>
      </c>
      <c r="AB9" s="34">
        <v>2009.0</v>
      </c>
      <c r="AC9" s="34" t="s">
        <v>214</v>
      </c>
      <c r="AD9" s="34" t="s">
        <v>102</v>
      </c>
      <c r="AE9" s="34" t="s">
        <v>69</v>
      </c>
      <c r="AF9" s="34" t="s">
        <v>69</v>
      </c>
      <c r="AG9" s="34" t="s">
        <v>215</v>
      </c>
      <c r="AH9" s="34" t="s">
        <v>76</v>
      </c>
      <c r="AI9" s="34" t="s">
        <v>216</v>
      </c>
      <c r="AJ9" s="34" t="s">
        <v>216</v>
      </c>
      <c r="AK9" s="38" t="s">
        <v>217</v>
      </c>
      <c r="AL9" s="34" t="s">
        <v>128</v>
      </c>
      <c r="AM9" s="34" t="s">
        <v>129</v>
      </c>
      <c r="AN9" s="34" t="s">
        <v>218</v>
      </c>
      <c r="AO9" s="39"/>
      <c r="AP9" s="34" t="s">
        <v>184</v>
      </c>
      <c r="AQ9" s="40" t="s">
        <v>219</v>
      </c>
      <c r="AR9" s="40" t="s">
        <v>201</v>
      </c>
      <c r="AS9" s="41" t="s">
        <v>220</v>
      </c>
    </row>
    <row r="10">
      <c r="A10" s="32">
        <v>30.0</v>
      </c>
      <c r="B10" s="33">
        <v>3.64025922E8</v>
      </c>
      <c r="C10" s="34" t="s">
        <v>221</v>
      </c>
      <c r="D10" s="34" t="s">
        <v>222</v>
      </c>
      <c r="E10" s="34" t="s">
        <v>223</v>
      </c>
      <c r="F10" s="34" t="s">
        <v>114</v>
      </c>
      <c r="G10" s="34" t="s">
        <v>224</v>
      </c>
      <c r="H10" s="36">
        <v>2018.0</v>
      </c>
      <c r="I10" s="34" t="s">
        <v>225</v>
      </c>
      <c r="J10" s="34" t="s">
        <v>55</v>
      </c>
      <c r="K10" s="34" t="s">
        <v>226</v>
      </c>
      <c r="L10" s="34" t="s">
        <v>57</v>
      </c>
      <c r="M10" s="34" t="s">
        <v>114</v>
      </c>
      <c r="N10" s="34" t="s">
        <v>227</v>
      </c>
      <c r="O10" s="34" t="s">
        <v>228</v>
      </c>
      <c r="P10" s="34" t="s">
        <v>93</v>
      </c>
      <c r="Q10" s="34" t="s">
        <v>57</v>
      </c>
      <c r="R10" s="34" t="s">
        <v>57</v>
      </c>
      <c r="S10" s="34" t="s">
        <v>96</v>
      </c>
      <c r="T10" s="34" t="s">
        <v>229</v>
      </c>
      <c r="U10" s="34" t="s">
        <v>230</v>
      </c>
      <c r="V10" s="34" t="s">
        <v>66</v>
      </c>
      <c r="W10" s="34" t="s">
        <v>231</v>
      </c>
      <c r="X10" s="37" t="s">
        <v>232</v>
      </c>
      <c r="Y10" s="34" t="s">
        <v>74</v>
      </c>
      <c r="Z10" s="34" t="s">
        <v>57</v>
      </c>
      <c r="AA10" s="34">
        <v>2001.0</v>
      </c>
      <c r="AB10" s="34">
        <v>2002.0</v>
      </c>
      <c r="AC10" s="34" t="s">
        <v>214</v>
      </c>
      <c r="AD10" s="34" t="s">
        <v>180</v>
      </c>
      <c r="AE10" s="34" t="s">
        <v>69</v>
      </c>
      <c r="AF10" s="34" t="s">
        <v>69</v>
      </c>
      <c r="AG10" s="34" t="s">
        <v>215</v>
      </c>
      <c r="AH10" s="34" t="s">
        <v>233</v>
      </c>
      <c r="AI10" s="34" t="s">
        <v>234</v>
      </c>
      <c r="AJ10" s="34" t="s">
        <v>107</v>
      </c>
      <c r="AK10" s="34" t="s">
        <v>235</v>
      </c>
      <c r="AL10" s="34" t="s">
        <v>128</v>
      </c>
      <c r="AM10" s="34" t="s">
        <v>129</v>
      </c>
      <c r="AN10" s="34" t="s">
        <v>236</v>
      </c>
      <c r="AO10" s="39"/>
      <c r="AP10" s="34" t="s">
        <v>184</v>
      </c>
      <c r="AQ10" s="40" t="s">
        <v>237</v>
      </c>
      <c r="AR10" s="40" t="s">
        <v>201</v>
      </c>
      <c r="AS10" s="41" t="s">
        <v>238</v>
      </c>
    </row>
    <row r="11">
      <c r="A11" s="32">
        <v>31.0</v>
      </c>
      <c r="B11" s="33">
        <v>3.6402575E8</v>
      </c>
      <c r="C11" s="34" t="s">
        <v>239</v>
      </c>
      <c r="D11" s="34" t="s">
        <v>240</v>
      </c>
      <c r="E11" s="34" t="s">
        <v>241</v>
      </c>
      <c r="F11" s="34" t="s">
        <v>114</v>
      </c>
      <c r="G11" s="34" t="s">
        <v>242</v>
      </c>
      <c r="H11" s="36">
        <v>2018.0</v>
      </c>
      <c r="I11" s="34" t="s">
        <v>207</v>
      </c>
      <c r="J11" s="34" t="s">
        <v>55</v>
      </c>
      <c r="K11" s="34" t="s">
        <v>243</v>
      </c>
      <c r="L11" s="34" t="s">
        <v>57</v>
      </c>
      <c r="M11" s="34" t="s">
        <v>114</v>
      </c>
      <c r="N11" s="34" t="s">
        <v>191</v>
      </c>
      <c r="O11" s="34" t="s">
        <v>244</v>
      </c>
      <c r="P11" s="34" t="s">
        <v>93</v>
      </c>
      <c r="Q11" s="34" t="s">
        <v>57</v>
      </c>
      <c r="R11" s="34" t="s">
        <v>57</v>
      </c>
      <c r="S11" s="34" t="s">
        <v>63</v>
      </c>
      <c r="T11" s="34" t="s">
        <v>64</v>
      </c>
      <c r="U11" s="34" t="s">
        <v>245</v>
      </c>
      <c r="V11" s="34">
        <v>1.0</v>
      </c>
      <c r="W11" s="34" t="s">
        <v>246</v>
      </c>
      <c r="X11" s="37" t="s">
        <v>247</v>
      </c>
      <c r="Y11" s="34" t="s">
        <v>74</v>
      </c>
      <c r="Z11" s="34" t="s">
        <v>57</v>
      </c>
      <c r="AA11" s="34">
        <v>2011.0</v>
      </c>
      <c r="AB11" s="34">
        <v>2011.0</v>
      </c>
      <c r="AC11" s="34" t="s">
        <v>214</v>
      </c>
      <c r="AD11" s="34" t="s">
        <v>102</v>
      </c>
      <c r="AE11" s="34" t="s">
        <v>74</v>
      </c>
      <c r="AF11" s="34" t="s">
        <v>69</v>
      </c>
      <c r="AG11" s="34" t="s">
        <v>75</v>
      </c>
      <c r="AH11" s="34" t="s">
        <v>248</v>
      </c>
      <c r="AI11" s="34" t="s">
        <v>249</v>
      </c>
      <c r="AJ11" s="34" t="s">
        <v>147</v>
      </c>
      <c r="AK11" s="34" t="s">
        <v>250</v>
      </c>
      <c r="AL11" s="34" t="s">
        <v>79</v>
      </c>
      <c r="AM11" s="34" t="s">
        <v>57</v>
      </c>
      <c r="AN11" s="34" t="s">
        <v>57</v>
      </c>
      <c r="AO11" s="39"/>
      <c r="AP11" s="34" t="s">
        <v>81</v>
      </c>
      <c r="AQ11" s="40" t="s">
        <v>251</v>
      </c>
      <c r="AR11" s="40" t="s">
        <v>201</v>
      </c>
      <c r="AS11" s="41" t="s">
        <v>252</v>
      </c>
    </row>
    <row r="12">
      <c r="A12" s="32">
        <v>32.0</v>
      </c>
      <c r="B12" s="33">
        <v>3.64026065E8</v>
      </c>
      <c r="C12" s="34" t="s">
        <v>253</v>
      </c>
      <c r="D12" s="34" t="s">
        <v>254</v>
      </c>
      <c r="E12" s="34" t="s">
        <v>255</v>
      </c>
      <c r="F12" s="34" t="s">
        <v>114</v>
      </c>
      <c r="G12" s="34" t="s">
        <v>256</v>
      </c>
      <c r="H12" s="36">
        <v>2015.0</v>
      </c>
      <c r="I12" s="34" t="s">
        <v>207</v>
      </c>
      <c r="J12" s="34" t="s">
        <v>55</v>
      </c>
      <c r="K12" s="34" t="s">
        <v>257</v>
      </c>
      <c r="L12" s="34" t="s">
        <v>57</v>
      </c>
      <c r="M12" s="34" t="s">
        <v>114</v>
      </c>
      <c r="N12" s="34" t="s">
        <v>258</v>
      </c>
      <c r="O12" s="34" t="s">
        <v>259</v>
      </c>
      <c r="P12" s="34" t="s">
        <v>93</v>
      </c>
      <c r="Q12" s="34" t="s">
        <v>260</v>
      </c>
      <c r="R12" s="34" t="s">
        <v>261</v>
      </c>
      <c r="S12" s="34" t="s">
        <v>63</v>
      </c>
      <c r="T12" s="34" t="s">
        <v>262</v>
      </c>
      <c r="U12" s="34" t="s">
        <v>263</v>
      </c>
      <c r="V12" s="34" t="s">
        <v>99</v>
      </c>
      <c r="W12" s="34" t="s">
        <v>57</v>
      </c>
      <c r="X12" s="37" t="s">
        <v>57</v>
      </c>
      <c r="Y12" s="34" t="s">
        <v>74</v>
      </c>
      <c r="Z12" s="34" t="s">
        <v>57</v>
      </c>
      <c r="AA12" s="34">
        <v>2012.0</v>
      </c>
      <c r="AB12" s="34">
        <v>2013.0</v>
      </c>
      <c r="AC12" s="34" t="s">
        <v>264</v>
      </c>
      <c r="AD12" s="34" t="s">
        <v>103</v>
      </c>
      <c r="AE12" s="34" t="s">
        <v>74</v>
      </c>
      <c r="AF12" s="34" t="s">
        <v>69</v>
      </c>
      <c r="AG12" s="34" t="s">
        <v>57</v>
      </c>
      <c r="AH12" s="34" t="s">
        <v>57</v>
      </c>
      <c r="AI12" s="34" t="s">
        <v>57</v>
      </c>
      <c r="AJ12" s="34" t="s">
        <v>57</v>
      </c>
      <c r="AK12" s="34" t="s">
        <v>265</v>
      </c>
      <c r="AL12" s="34" t="s">
        <v>128</v>
      </c>
      <c r="AM12" s="34" t="s">
        <v>129</v>
      </c>
      <c r="AN12" s="34" t="s">
        <v>266</v>
      </c>
      <c r="AO12" s="34" t="s">
        <v>267</v>
      </c>
      <c r="AP12" s="34" t="s">
        <v>184</v>
      </c>
      <c r="AQ12" s="40" t="s">
        <v>268</v>
      </c>
      <c r="AR12" s="40" t="s">
        <v>201</v>
      </c>
      <c r="AS12" s="41" t="s">
        <v>269</v>
      </c>
    </row>
    <row r="13">
      <c r="A13" s="32">
        <v>34.0</v>
      </c>
      <c r="B13" s="33">
        <v>3.64025615E8</v>
      </c>
      <c r="C13" s="34" t="s">
        <v>270</v>
      </c>
      <c r="D13" s="34" t="s">
        <v>271</v>
      </c>
      <c r="E13" s="34" t="s">
        <v>272</v>
      </c>
      <c r="F13" s="34" t="s">
        <v>273</v>
      </c>
      <c r="G13" s="34" t="s">
        <v>274</v>
      </c>
      <c r="H13" s="36">
        <v>2001.0</v>
      </c>
      <c r="I13" s="34" t="s">
        <v>275</v>
      </c>
      <c r="J13" s="34" t="s">
        <v>55</v>
      </c>
      <c r="K13" s="34" t="s">
        <v>276</v>
      </c>
      <c r="L13" s="34" t="s">
        <v>57</v>
      </c>
      <c r="M13" s="34" t="s">
        <v>273</v>
      </c>
      <c r="N13" s="34" t="s">
        <v>277</v>
      </c>
      <c r="O13" s="34" t="s">
        <v>278</v>
      </c>
      <c r="P13" s="34" t="s">
        <v>93</v>
      </c>
      <c r="Q13" s="34" t="s">
        <v>279</v>
      </c>
      <c r="R13" s="34" t="s">
        <v>280</v>
      </c>
      <c r="S13" s="34" t="s">
        <v>63</v>
      </c>
      <c r="T13" s="34" t="s">
        <v>281</v>
      </c>
      <c r="U13" s="34" t="s">
        <v>282</v>
      </c>
      <c r="V13" s="34" t="s">
        <v>99</v>
      </c>
      <c r="W13" s="34" t="s">
        <v>283</v>
      </c>
      <c r="X13" s="37" t="s">
        <v>284</v>
      </c>
      <c r="Y13" s="34" t="s">
        <v>74</v>
      </c>
      <c r="Z13" s="34" t="s">
        <v>57</v>
      </c>
      <c r="AA13" s="34">
        <v>1998.0</v>
      </c>
      <c r="AB13" s="34">
        <v>1998.0</v>
      </c>
      <c r="AC13" s="34" t="s">
        <v>144</v>
      </c>
      <c r="AD13" s="34" t="s">
        <v>72</v>
      </c>
      <c r="AE13" s="34" t="s">
        <v>74</v>
      </c>
      <c r="AF13" s="34" t="s">
        <v>74</v>
      </c>
      <c r="AG13" s="34" t="s">
        <v>104</v>
      </c>
      <c r="AH13" s="34" t="s">
        <v>285</v>
      </c>
      <c r="AI13" s="34" t="s">
        <v>286</v>
      </c>
      <c r="AJ13" s="34" t="s">
        <v>286</v>
      </c>
      <c r="AK13" s="34" t="s">
        <v>287</v>
      </c>
      <c r="AL13" s="34" t="s">
        <v>128</v>
      </c>
      <c r="AM13" s="34" t="s">
        <v>129</v>
      </c>
      <c r="AN13" s="34" t="s">
        <v>288</v>
      </c>
      <c r="AO13" s="39"/>
      <c r="AP13" s="34" t="s">
        <v>81</v>
      </c>
      <c r="AQ13" s="40" t="s">
        <v>289</v>
      </c>
      <c r="AR13" s="40" t="s">
        <v>201</v>
      </c>
      <c r="AS13" s="41"/>
    </row>
    <row r="14">
      <c r="A14" s="32">
        <v>36.0</v>
      </c>
      <c r="B14" s="33">
        <v>3.64026199E8</v>
      </c>
      <c r="C14" s="34" t="s">
        <v>290</v>
      </c>
      <c r="D14" s="34" t="s">
        <v>291</v>
      </c>
      <c r="E14" s="34" t="s">
        <v>292</v>
      </c>
      <c r="F14" s="34" t="s">
        <v>293</v>
      </c>
      <c r="G14" s="34" t="s">
        <v>294</v>
      </c>
      <c r="H14" s="36">
        <v>2017.0</v>
      </c>
      <c r="I14" s="34" t="s">
        <v>295</v>
      </c>
      <c r="J14" s="34" t="s">
        <v>55</v>
      </c>
      <c r="K14" s="34" t="s">
        <v>296</v>
      </c>
      <c r="L14" s="34" t="s">
        <v>57</v>
      </c>
      <c r="M14" s="34" t="s">
        <v>293</v>
      </c>
      <c r="N14" s="34" t="s">
        <v>297</v>
      </c>
      <c r="O14" s="34" t="s">
        <v>298</v>
      </c>
      <c r="P14" s="34" t="s">
        <v>93</v>
      </c>
      <c r="Q14" s="34" t="s">
        <v>299</v>
      </c>
      <c r="R14" s="34" t="s">
        <v>300</v>
      </c>
      <c r="S14" s="34" t="s">
        <v>301</v>
      </c>
      <c r="T14" s="34" t="s">
        <v>302</v>
      </c>
      <c r="U14" s="34" t="s">
        <v>303</v>
      </c>
      <c r="V14" s="34" t="s">
        <v>66</v>
      </c>
      <c r="W14" s="34" t="s">
        <v>304</v>
      </c>
      <c r="X14" s="37" t="s">
        <v>68</v>
      </c>
      <c r="Y14" s="34" t="s">
        <v>69</v>
      </c>
      <c r="Z14" s="34" t="s">
        <v>305</v>
      </c>
      <c r="AA14" s="34">
        <v>1991.0</v>
      </c>
      <c r="AB14" s="34">
        <v>2012.0</v>
      </c>
      <c r="AC14" s="34" t="s">
        <v>103</v>
      </c>
      <c r="AD14" s="34" t="s">
        <v>144</v>
      </c>
      <c r="AE14" s="34" t="s">
        <v>69</v>
      </c>
      <c r="AF14" s="34" t="s">
        <v>69</v>
      </c>
      <c r="AG14" s="34" t="s">
        <v>75</v>
      </c>
      <c r="AH14" s="34" t="s">
        <v>76</v>
      </c>
      <c r="AI14" s="34" t="s">
        <v>216</v>
      </c>
      <c r="AJ14" s="34" t="s">
        <v>216</v>
      </c>
      <c r="AK14" s="34" t="s">
        <v>306</v>
      </c>
      <c r="AL14" s="34" t="s">
        <v>128</v>
      </c>
      <c r="AM14" s="34" t="s">
        <v>307</v>
      </c>
      <c r="AN14" s="34" t="s">
        <v>308</v>
      </c>
      <c r="AO14" s="39"/>
      <c r="AP14" s="34" t="s">
        <v>184</v>
      </c>
      <c r="AQ14" s="40" t="s">
        <v>309</v>
      </c>
      <c r="AR14" s="40" t="s">
        <v>201</v>
      </c>
      <c r="AS14" s="41" t="s">
        <v>310</v>
      </c>
    </row>
    <row r="15">
      <c r="A15" s="32">
        <v>39.0</v>
      </c>
      <c r="B15" s="33">
        <v>3.64026331E8</v>
      </c>
      <c r="C15" s="34" t="s">
        <v>311</v>
      </c>
      <c r="D15" s="34" t="s">
        <v>312</v>
      </c>
      <c r="E15" s="34" t="s">
        <v>313</v>
      </c>
      <c r="F15" s="34" t="s">
        <v>114</v>
      </c>
      <c r="G15" s="34" t="s">
        <v>314</v>
      </c>
      <c r="H15" s="36">
        <v>2012.0</v>
      </c>
      <c r="I15" s="34" t="s">
        <v>207</v>
      </c>
      <c r="J15" s="34" t="s">
        <v>315</v>
      </c>
      <c r="K15" s="34" t="s">
        <v>316</v>
      </c>
      <c r="L15" s="34" t="s">
        <v>57</v>
      </c>
      <c r="M15" s="34" t="s">
        <v>114</v>
      </c>
      <c r="N15" s="34" t="s">
        <v>317</v>
      </c>
      <c r="O15" s="34" t="s">
        <v>318</v>
      </c>
      <c r="P15" s="34" t="s">
        <v>93</v>
      </c>
      <c r="Q15" s="34" t="s">
        <v>57</v>
      </c>
      <c r="R15" s="34" t="s">
        <v>57</v>
      </c>
      <c r="S15" s="34" t="s">
        <v>193</v>
      </c>
      <c r="T15" s="34" t="s">
        <v>319</v>
      </c>
      <c r="U15" s="34" t="s">
        <v>320</v>
      </c>
      <c r="V15" s="34" t="s">
        <v>99</v>
      </c>
      <c r="W15" s="34" t="s">
        <v>100</v>
      </c>
      <c r="X15" s="37" t="s">
        <v>100</v>
      </c>
      <c r="Y15" s="34" t="s">
        <v>69</v>
      </c>
      <c r="Z15" s="34" t="s">
        <v>321</v>
      </c>
      <c r="AA15" s="34">
        <v>2007.0</v>
      </c>
      <c r="AB15" s="34">
        <v>2008.0</v>
      </c>
      <c r="AC15" s="34" t="s">
        <v>144</v>
      </c>
      <c r="AD15" s="34" t="s">
        <v>72</v>
      </c>
      <c r="AE15" s="34" t="s">
        <v>128</v>
      </c>
      <c r="AF15" s="34" t="s">
        <v>69</v>
      </c>
      <c r="AG15" s="34" t="s">
        <v>104</v>
      </c>
      <c r="AH15" s="34" t="s">
        <v>165</v>
      </c>
      <c r="AI15" s="34" t="s">
        <v>322</v>
      </c>
      <c r="AJ15" s="34" t="s">
        <v>107</v>
      </c>
      <c r="AK15" s="34" t="s">
        <v>323</v>
      </c>
      <c r="AL15" s="34" t="s">
        <v>79</v>
      </c>
      <c r="AM15" s="34" t="s">
        <v>57</v>
      </c>
      <c r="AN15" s="34" t="s">
        <v>57</v>
      </c>
      <c r="AO15" s="39"/>
      <c r="AP15" s="34" t="s">
        <v>81</v>
      </c>
      <c r="AQ15" s="40" t="s">
        <v>324</v>
      </c>
      <c r="AR15" s="40" t="s">
        <v>201</v>
      </c>
      <c r="AS15" s="41" t="s">
        <v>325</v>
      </c>
    </row>
    <row r="16">
      <c r="A16" s="32">
        <v>42.0</v>
      </c>
      <c r="B16" s="33">
        <v>3.64026786E8</v>
      </c>
      <c r="C16" s="34" t="s">
        <v>326</v>
      </c>
      <c r="D16" s="34" t="s">
        <v>327</v>
      </c>
      <c r="E16" s="34" t="s">
        <v>328</v>
      </c>
      <c r="F16" s="34" t="s">
        <v>273</v>
      </c>
      <c r="G16" s="34" t="s">
        <v>329</v>
      </c>
      <c r="H16" s="36">
        <v>2014.0</v>
      </c>
      <c r="I16" s="34" t="s">
        <v>330</v>
      </c>
      <c r="J16" s="34" t="s">
        <v>315</v>
      </c>
      <c r="K16" s="34" t="s">
        <v>331</v>
      </c>
      <c r="L16" s="34" t="s">
        <v>57</v>
      </c>
      <c r="M16" s="34" t="s">
        <v>273</v>
      </c>
      <c r="N16" s="34" t="s">
        <v>332</v>
      </c>
      <c r="O16" s="34" t="s">
        <v>333</v>
      </c>
      <c r="P16" s="34" t="s">
        <v>93</v>
      </c>
      <c r="Q16" s="34" t="s">
        <v>57</v>
      </c>
      <c r="R16" s="34" t="s">
        <v>57</v>
      </c>
      <c r="S16" s="34" t="s">
        <v>193</v>
      </c>
      <c r="T16" s="34" t="s">
        <v>334</v>
      </c>
      <c r="U16" s="34" t="s">
        <v>335</v>
      </c>
      <c r="V16" s="34" t="s">
        <v>99</v>
      </c>
      <c r="W16" s="34" t="s">
        <v>100</v>
      </c>
      <c r="X16" s="37" t="s">
        <v>100</v>
      </c>
      <c r="Y16" s="34" t="s">
        <v>74</v>
      </c>
      <c r="Z16" s="34" t="s">
        <v>57</v>
      </c>
      <c r="AA16" s="34" t="s">
        <v>57</v>
      </c>
      <c r="AB16" s="34" t="s">
        <v>57</v>
      </c>
      <c r="AC16" s="34" t="s">
        <v>103</v>
      </c>
      <c r="AD16" s="34" t="s">
        <v>180</v>
      </c>
      <c r="AE16" s="34" t="s">
        <v>69</v>
      </c>
      <c r="AF16" s="34" t="s">
        <v>69</v>
      </c>
      <c r="AG16" s="34" t="s">
        <v>104</v>
      </c>
      <c r="AH16" s="34" t="s">
        <v>105</v>
      </c>
      <c r="AI16" s="34" t="s">
        <v>336</v>
      </c>
      <c r="AJ16" s="34" t="s">
        <v>336</v>
      </c>
      <c r="AK16" s="34" t="s">
        <v>337</v>
      </c>
      <c r="AL16" s="34" t="s">
        <v>128</v>
      </c>
      <c r="AM16" s="34" t="s">
        <v>129</v>
      </c>
      <c r="AN16" s="34" t="s">
        <v>338</v>
      </c>
      <c r="AO16" s="39"/>
      <c r="AP16" s="34" t="s">
        <v>184</v>
      </c>
      <c r="AQ16" s="40" t="s">
        <v>339</v>
      </c>
      <c r="AR16" s="40" t="s">
        <v>201</v>
      </c>
      <c r="AS16" s="41" t="s">
        <v>340</v>
      </c>
    </row>
    <row r="17">
      <c r="A17" s="32">
        <v>44.0</v>
      </c>
      <c r="B17" s="33">
        <v>3.64025824E8</v>
      </c>
      <c r="C17" s="34" t="s">
        <v>341</v>
      </c>
      <c r="D17" s="34" t="s">
        <v>342</v>
      </c>
      <c r="E17" s="34" t="s">
        <v>343</v>
      </c>
      <c r="F17" s="34" t="s">
        <v>172</v>
      </c>
      <c r="G17" s="34" t="s">
        <v>344</v>
      </c>
      <c r="H17" s="36">
        <v>2007.0</v>
      </c>
      <c r="I17" s="34" t="s">
        <v>345</v>
      </c>
      <c r="J17" s="34" t="s">
        <v>315</v>
      </c>
      <c r="K17" s="34" t="s">
        <v>346</v>
      </c>
      <c r="L17" s="34" t="s">
        <v>57</v>
      </c>
      <c r="M17" s="34" t="s">
        <v>172</v>
      </c>
      <c r="N17" s="34" t="s">
        <v>347</v>
      </c>
      <c r="O17" s="34" t="s">
        <v>348</v>
      </c>
      <c r="P17" s="34" t="s">
        <v>93</v>
      </c>
      <c r="Q17" s="34" t="s">
        <v>349</v>
      </c>
      <c r="R17" s="34" t="s">
        <v>350</v>
      </c>
      <c r="S17" s="34" t="s">
        <v>63</v>
      </c>
      <c r="T17" s="34" t="s">
        <v>351</v>
      </c>
      <c r="U17" s="34" t="s">
        <v>352</v>
      </c>
      <c r="V17" s="34" t="s">
        <v>99</v>
      </c>
      <c r="W17" s="34" t="s">
        <v>100</v>
      </c>
      <c r="X17" s="37" t="s">
        <v>100</v>
      </c>
      <c r="Y17" s="34" t="s">
        <v>74</v>
      </c>
      <c r="Z17" s="34" t="s">
        <v>57</v>
      </c>
      <c r="AA17" s="34">
        <v>1999.0</v>
      </c>
      <c r="AB17" s="34">
        <v>2004.0</v>
      </c>
      <c r="AC17" s="34" t="s">
        <v>103</v>
      </c>
      <c r="AD17" s="34" t="s">
        <v>72</v>
      </c>
      <c r="AE17" s="34" t="s">
        <v>74</v>
      </c>
      <c r="AF17" s="34" t="s">
        <v>69</v>
      </c>
      <c r="AG17" s="34" t="s">
        <v>104</v>
      </c>
      <c r="AH17" s="34" t="s">
        <v>105</v>
      </c>
      <c r="AI17" s="34" t="s">
        <v>166</v>
      </c>
      <c r="AJ17" s="34" t="s">
        <v>166</v>
      </c>
      <c r="AK17" s="34" t="s">
        <v>353</v>
      </c>
      <c r="AL17" s="34" t="s">
        <v>128</v>
      </c>
      <c r="AM17" s="34" t="s">
        <v>129</v>
      </c>
      <c r="AN17" s="34" t="s">
        <v>354</v>
      </c>
      <c r="AO17" s="39"/>
      <c r="AP17" s="34" t="s">
        <v>184</v>
      </c>
      <c r="AQ17" s="40" t="s">
        <v>355</v>
      </c>
      <c r="AR17" s="40" t="s">
        <v>201</v>
      </c>
      <c r="AS17" s="41" t="s">
        <v>356</v>
      </c>
    </row>
    <row r="18">
      <c r="A18" s="32">
        <v>45.0</v>
      </c>
      <c r="B18" s="33">
        <v>3.64026043E8</v>
      </c>
      <c r="C18" s="34" t="s">
        <v>357</v>
      </c>
      <c r="D18" s="34" t="s">
        <v>358</v>
      </c>
      <c r="E18" s="34" t="s">
        <v>359</v>
      </c>
      <c r="F18" s="34" t="s">
        <v>114</v>
      </c>
      <c r="G18" s="34" t="s">
        <v>360</v>
      </c>
      <c r="H18" s="36">
        <v>2016.0</v>
      </c>
      <c r="I18" s="34" t="s">
        <v>361</v>
      </c>
      <c r="J18" s="34" t="s">
        <v>315</v>
      </c>
      <c r="K18" s="34" t="s">
        <v>57</v>
      </c>
      <c r="L18" s="34" t="s">
        <v>57</v>
      </c>
      <c r="M18" s="34" t="s">
        <v>114</v>
      </c>
      <c r="N18" s="34" t="s">
        <v>362</v>
      </c>
      <c r="O18" s="34" t="s">
        <v>363</v>
      </c>
      <c r="P18" s="34" t="s">
        <v>93</v>
      </c>
      <c r="Q18" s="34" t="s">
        <v>364</v>
      </c>
      <c r="R18" s="34" t="s">
        <v>365</v>
      </c>
      <c r="S18" s="34" t="s">
        <v>63</v>
      </c>
      <c r="T18" s="34" t="s">
        <v>366</v>
      </c>
      <c r="U18" s="34" t="s">
        <v>367</v>
      </c>
      <c r="V18" s="34" t="s">
        <v>66</v>
      </c>
      <c r="W18" s="34" t="s">
        <v>368</v>
      </c>
      <c r="X18" s="37" t="s">
        <v>369</v>
      </c>
      <c r="Y18" s="34" t="s">
        <v>74</v>
      </c>
      <c r="Z18" s="34" t="s">
        <v>57</v>
      </c>
      <c r="AA18" s="34">
        <v>1973.0</v>
      </c>
      <c r="AB18" s="34">
        <v>2013.0</v>
      </c>
      <c r="AC18" s="34" t="s">
        <v>144</v>
      </c>
      <c r="AD18" s="34" t="s">
        <v>370</v>
      </c>
      <c r="AE18" s="34" t="s">
        <v>69</v>
      </c>
      <c r="AF18" s="34" t="s">
        <v>69</v>
      </c>
      <c r="AG18" s="34" t="s">
        <v>75</v>
      </c>
      <c r="AH18" s="34" t="s">
        <v>371</v>
      </c>
      <c r="AI18" s="34" t="s">
        <v>372</v>
      </c>
      <c r="AJ18" s="34" t="s">
        <v>147</v>
      </c>
      <c r="AK18" s="34" t="s">
        <v>373</v>
      </c>
      <c r="AL18" s="34" t="s">
        <v>128</v>
      </c>
      <c r="AM18" s="34" t="s">
        <v>374</v>
      </c>
      <c r="AN18" s="34" t="s">
        <v>375</v>
      </c>
      <c r="AO18" s="39"/>
      <c r="AP18" s="34" t="s">
        <v>184</v>
      </c>
      <c r="AQ18" s="40" t="s">
        <v>376</v>
      </c>
      <c r="AR18" s="40" t="s">
        <v>201</v>
      </c>
      <c r="AS18" s="41" t="s">
        <v>377</v>
      </c>
    </row>
    <row r="19">
      <c r="A19" s="32">
        <v>46.0</v>
      </c>
      <c r="B19" s="33">
        <v>3.64025505E8</v>
      </c>
      <c r="C19" s="34" t="s">
        <v>378</v>
      </c>
      <c r="D19" s="34" t="s">
        <v>379</v>
      </c>
      <c r="E19" s="34" t="s">
        <v>380</v>
      </c>
      <c r="F19" s="34" t="s">
        <v>381</v>
      </c>
      <c r="G19" s="34" t="s">
        <v>382</v>
      </c>
      <c r="H19" s="36">
        <v>2004.0</v>
      </c>
      <c r="I19" s="34" t="s">
        <v>54</v>
      </c>
      <c r="J19" s="34" t="s">
        <v>315</v>
      </c>
      <c r="K19" s="34" t="s">
        <v>383</v>
      </c>
      <c r="L19" s="34" t="s">
        <v>57</v>
      </c>
      <c r="M19" s="34" t="s">
        <v>381</v>
      </c>
      <c r="N19" s="34" t="s">
        <v>384</v>
      </c>
      <c r="O19" s="34" t="s">
        <v>385</v>
      </c>
      <c r="P19" s="34" t="s">
        <v>93</v>
      </c>
      <c r="Q19" s="34" t="s">
        <v>57</v>
      </c>
      <c r="R19" s="34" t="s">
        <v>57</v>
      </c>
      <c r="S19" s="34" t="s">
        <v>63</v>
      </c>
      <c r="T19" s="34" t="s">
        <v>386</v>
      </c>
      <c r="U19" s="34" t="s">
        <v>387</v>
      </c>
      <c r="V19" s="34" t="s">
        <v>66</v>
      </c>
      <c r="W19" s="34" t="s">
        <v>388</v>
      </c>
      <c r="X19" s="37" t="s">
        <v>389</v>
      </c>
      <c r="Y19" s="34" t="s">
        <v>74</v>
      </c>
      <c r="Z19" s="34" t="s">
        <v>57</v>
      </c>
      <c r="AA19" s="34">
        <v>1997.0</v>
      </c>
      <c r="AB19" s="34">
        <v>2003.0</v>
      </c>
      <c r="AC19" s="34" t="s">
        <v>57</v>
      </c>
      <c r="AD19" s="34" t="s">
        <v>57</v>
      </c>
      <c r="AE19" s="34" t="s">
        <v>69</v>
      </c>
      <c r="AF19" s="34" t="s">
        <v>69</v>
      </c>
      <c r="AG19" s="34" t="s">
        <v>75</v>
      </c>
      <c r="AH19" s="34" t="s">
        <v>125</v>
      </c>
      <c r="AI19" s="34" t="s">
        <v>77</v>
      </c>
      <c r="AJ19" s="34" t="s">
        <v>77</v>
      </c>
      <c r="AK19" s="34" t="s">
        <v>390</v>
      </c>
      <c r="AL19" s="34" t="s">
        <v>79</v>
      </c>
      <c r="AM19" s="34" t="s">
        <v>57</v>
      </c>
      <c r="AN19" s="34" t="s">
        <v>57</v>
      </c>
      <c r="AO19" s="39"/>
      <c r="AP19" s="34" t="s">
        <v>81</v>
      </c>
      <c r="AQ19" s="40" t="s">
        <v>391</v>
      </c>
      <c r="AR19" s="40" t="s">
        <v>201</v>
      </c>
      <c r="AS19" s="41" t="s">
        <v>392</v>
      </c>
    </row>
    <row r="20">
      <c r="A20" s="32">
        <v>48.0</v>
      </c>
      <c r="B20" s="33">
        <v>3.64025482E8</v>
      </c>
      <c r="C20" s="34" t="s">
        <v>393</v>
      </c>
      <c r="D20" s="34" t="s">
        <v>394</v>
      </c>
      <c r="E20" s="38" t="s">
        <v>395</v>
      </c>
      <c r="F20" s="34" t="s">
        <v>396</v>
      </c>
      <c r="G20" s="38" t="s">
        <v>397</v>
      </c>
      <c r="H20" s="36">
        <v>1993.0</v>
      </c>
      <c r="I20" s="34" t="s">
        <v>156</v>
      </c>
      <c r="J20" s="34" t="s">
        <v>55</v>
      </c>
      <c r="K20" s="34" t="s">
        <v>398</v>
      </c>
      <c r="L20" s="34" t="s">
        <v>57</v>
      </c>
      <c r="M20" s="34" t="s">
        <v>399</v>
      </c>
      <c r="N20" s="34" t="s">
        <v>400</v>
      </c>
      <c r="O20" s="34" t="s">
        <v>401</v>
      </c>
      <c r="P20" s="34" t="s">
        <v>93</v>
      </c>
      <c r="Q20" s="34" t="s">
        <v>57</v>
      </c>
      <c r="R20" s="34" t="s">
        <v>57</v>
      </c>
      <c r="S20" s="34" t="s">
        <v>96</v>
      </c>
      <c r="T20" s="34" t="s">
        <v>366</v>
      </c>
      <c r="U20" s="34" t="s">
        <v>402</v>
      </c>
      <c r="V20" s="34" t="s">
        <v>99</v>
      </c>
      <c r="W20" s="34" t="s">
        <v>100</v>
      </c>
      <c r="X20" s="37" t="s">
        <v>100</v>
      </c>
      <c r="Y20" s="34" t="s">
        <v>74</v>
      </c>
      <c r="Z20" s="34" t="s">
        <v>57</v>
      </c>
      <c r="AA20" s="34">
        <v>1988.0</v>
      </c>
      <c r="AB20" s="34">
        <v>1989.0</v>
      </c>
      <c r="AC20" s="34" t="s">
        <v>403</v>
      </c>
      <c r="AD20" s="34" t="s">
        <v>144</v>
      </c>
      <c r="AE20" s="34" t="s">
        <v>69</v>
      </c>
      <c r="AF20" s="34" t="s">
        <v>74</v>
      </c>
      <c r="AG20" s="34" t="s">
        <v>215</v>
      </c>
      <c r="AH20" s="34" t="s">
        <v>105</v>
      </c>
      <c r="AI20" s="34" t="s">
        <v>166</v>
      </c>
      <c r="AJ20" s="34" t="s">
        <v>166</v>
      </c>
      <c r="AK20" s="34" t="s">
        <v>404</v>
      </c>
      <c r="AL20" s="34" t="s">
        <v>79</v>
      </c>
      <c r="AM20" s="34" t="s">
        <v>57</v>
      </c>
      <c r="AN20" s="34" t="s">
        <v>57</v>
      </c>
      <c r="AO20" s="39"/>
      <c r="AP20" s="34" t="s">
        <v>109</v>
      </c>
      <c r="AQ20" s="40" t="s">
        <v>405</v>
      </c>
      <c r="AR20" s="40" t="s">
        <v>201</v>
      </c>
      <c r="AS20" s="41" t="s">
        <v>406</v>
      </c>
    </row>
    <row r="21">
      <c r="A21" s="32">
        <v>49.0</v>
      </c>
      <c r="B21" s="33">
        <v>3.64026317E8</v>
      </c>
      <c r="C21" s="34" t="s">
        <v>407</v>
      </c>
      <c r="D21" s="34" t="s">
        <v>408</v>
      </c>
      <c r="E21" s="34" t="s">
        <v>409</v>
      </c>
      <c r="F21" s="34" t="s">
        <v>114</v>
      </c>
      <c r="G21" s="34" t="s">
        <v>410</v>
      </c>
      <c r="H21" s="36">
        <v>2002.0</v>
      </c>
      <c r="I21" s="34" t="s">
        <v>411</v>
      </c>
      <c r="J21" s="34" t="s">
        <v>55</v>
      </c>
      <c r="K21" s="34" t="s">
        <v>276</v>
      </c>
      <c r="L21" s="34" t="s">
        <v>57</v>
      </c>
      <c r="M21" s="34" t="s">
        <v>273</v>
      </c>
      <c r="N21" s="34" t="s">
        <v>277</v>
      </c>
      <c r="O21" s="34" t="s">
        <v>277</v>
      </c>
      <c r="P21" s="34" t="s">
        <v>93</v>
      </c>
      <c r="Q21" s="34" t="s">
        <v>57</v>
      </c>
      <c r="R21" s="34" t="s">
        <v>57</v>
      </c>
      <c r="S21" s="34" t="s">
        <v>96</v>
      </c>
      <c r="T21" s="34" t="s">
        <v>412</v>
      </c>
      <c r="U21" s="34" t="s">
        <v>413</v>
      </c>
      <c r="V21" s="34" t="s">
        <v>99</v>
      </c>
      <c r="W21" s="34" t="s">
        <v>100</v>
      </c>
      <c r="X21" s="37" t="s">
        <v>100</v>
      </c>
      <c r="Y21" s="34" t="s">
        <v>74</v>
      </c>
      <c r="Z21" s="34" t="s">
        <v>57</v>
      </c>
      <c r="AA21" s="34">
        <v>1997.0</v>
      </c>
      <c r="AB21" s="34">
        <v>1998.0</v>
      </c>
      <c r="AC21" s="34" t="s">
        <v>103</v>
      </c>
      <c r="AD21" s="34" t="s">
        <v>180</v>
      </c>
      <c r="AE21" s="34" t="s">
        <v>69</v>
      </c>
      <c r="AF21" s="34" t="s">
        <v>69</v>
      </c>
      <c r="AG21" s="34" t="s">
        <v>104</v>
      </c>
      <c r="AH21" s="34" t="s">
        <v>105</v>
      </c>
      <c r="AI21" s="34" t="s">
        <v>414</v>
      </c>
      <c r="AJ21" s="34" t="s">
        <v>107</v>
      </c>
      <c r="AK21" s="34" t="s">
        <v>415</v>
      </c>
      <c r="AL21" s="34" t="s">
        <v>128</v>
      </c>
      <c r="AM21" s="34" t="s">
        <v>374</v>
      </c>
      <c r="AN21" s="34" t="s">
        <v>416</v>
      </c>
      <c r="AO21" s="39"/>
      <c r="AP21" s="34" t="s">
        <v>184</v>
      </c>
      <c r="AQ21" s="40" t="s">
        <v>417</v>
      </c>
      <c r="AR21" s="40" t="s">
        <v>201</v>
      </c>
      <c r="AS21" s="41" t="s">
        <v>418</v>
      </c>
    </row>
    <row r="22">
      <c r="A22" s="32">
        <v>51.0</v>
      </c>
      <c r="B22" s="161">
        <v>3.64026451E8</v>
      </c>
      <c r="C22" s="34" t="s">
        <v>419</v>
      </c>
      <c r="D22" s="34" t="s">
        <v>420</v>
      </c>
      <c r="E22" s="34" t="s">
        <v>421</v>
      </c>
      <c r="F22" s="34" t="s">
        <v>396</v>
      </c>
      <c r="G22" s="34" t="s">
        <v>422</v>
      </c>
      <c r="H22" s="36">
        <v>2006.0</v>
      </c>
      <c r="I22" s="34" t="s">
        <v>423</v>
      </c>
      <c r="J22" s="34" t="s">
        <v>55</v>
      </c>
      <c r="K22" s="34" t="s">
        <v>424</v>
      </c>
      <c r="L22" s="34" t="s">
        <v>57</v>
      </c>
      <c r="M22" s="34" t="s">
        <v>425</v>
      </c>
      <c r="N22" s="34" t="s">
        <v>426</v>
      </c>
      <c r="O22" s="34" t="s">
        <v>427</v>
      </c>
      <c r="P22" s="34" t="s">
        <v>93</v>
      </c>
      <c r="Q22" s="34" t="s">
        <v>428</v>
      </c>
      <c r="R22" s="34" t="s">
        <v>429</v>
      </c>
      <c r="S22" s="34" t="s">
        <v>96</v>
      </c>
      <c r="T22" s="34" t="s">
        <v>64</v>
      </c>
      <c r="U22" s="34" t="s">
        <v>430</v>
      </c>
      <c r="V22" s="34" t="s">
        <v>99</v>
      </c>
      <c r="W22" s="34" t="s">
        <v>100</v>
      </c>
      <c r="X22" s="37" t="s">
        <v>100</v>
      </c>
      <c r="Y22" s="34" t="s">
        <v>74</v>
      </c>
      <c r="Z22" s="34" t="s">
        <v>57</v>
      </c>
      <c r="AA22" s="34">
        <v>2004.0</v>
      </c>
      <c r="AB22" s="34">
        <v>2004.0</v>
      </c>
      <c r="AC22" s="34" t="s">
        <v>103</v>
      </c>
      <c r="AD22" s="34" t="s">
        <v>370</v>
      </c>
      <c r="AE22" s="34" t="s">
        <v>74</v>
      </c>
      <c r="AF22" s="34" t="s">
        <v>69</v>
      </c>
      <c r="AG22" s="34" t="s">
        <v>104</v>
      </c>
      <c r="AH22" s="34" t="s">
        <v>285</v>
      </c>
      <c r="AI22" s="34" t="s">
        <v>431</v>
      </c>
      <c r="AJ22" s="34" t="s">
        <v>431</v>
      </c>
      <c r="AK22" s="34" t="s">
        <v>432</v>
      </c>
      <c r="AL22" s="34" t="s">
        <v>128</v>
      </c>
      <c r="AM22" s="34" t="s">
        <v>129</v>
      </c>
      <c r="AN22" s="34" t="s">
        <v>433</v>
      </c>
      <c r="AO22" s="39"/>
      <c r="AP22" s="34" t="s">
        <v>184</v>
      </c>
      <c r="AQ22" s="40" t="s">
        <v>434</v>
      </c>
      <c r="AR22" s="40" t="s">
        <v>201</v>
      </c>
      <c r="AS22" s="41" t="s">
        <v>435</v>
      </c>
    </row>
    <row r="23">
      <c r="A23" s="32">
        <v>53.0</v>
      </c>
      <c r="B23" s="33">
        <v>3.64026463E8</v>
      </c>
      <c r="C23" s="34" t="s">
        <v>436</v>
      </c>
      <c r="D23" s="34" t="s">
        <v>437</v>
      </c>
      <c r="E23" s="34" t="s">
        <v>438</v>
      </c>
      <c r="F23" s="34" t="s">
        <v>439</v>
      </c>
      <c r="G23" s="34" t="s">
        <v>440</v>
      </c>
      <c r="H23" s="36">
        <v>2015.0</v>
      </c>
      <c r="I23" s="34" t="s">
        <v>207</v>
      </c>
      <c r="J23" s="34" t="s">
        <v>441</v>
      </c>
      <c r="K23" s="34" t="s">
        <v>442</v>
      </c>
      <c r="L23" s="34" t="s">
        <v>57</v>
      </c>
      <c r="M23" s="34" t="s">
        <v>443</v>
      </c>
      <c r="N23" s="34" t="s">
        <v>444</v>
      </c>
      <c r="O23" s="34" t="s">
        <v>445</v>
      </c>
      <c r="P23" s="34" t="s">
        <v>93</v>
      </c>
      <c r="Q23" s="34" t="s">
        <v>57</v>
      </c>
      <c r="R23" s="34" t="s">
        <v>57</v>
      </c>
      <c r="S23" s="34" t="s">
        <v>193</v>
      </c>
      <c r="T23" s="34" t="s">
        <v>446</v>
      </c>
      <c r="U23" s="34" t="s">
        <v>447</v>
      </c>
      <c r="V23" s="34" t="s">
        <v>99</v>
      </c>
      <c r="W23" s="34" t="s">
        <v>100</v>
      </c>
      <c r="X23" s="37" t="s">
        <v>100</v>
      </c>
      <c r="Y23" s="34" t="s">
        <v>74</v>
      </c>
      <c r="Z23" s="34" t="s">
        <v>57</v>
      </c>
      <c r="AA23" s="34">
        <v>2012.0</v>
      </c>
      <c r="AB23" s="34">
        <v>2012.0</v>
      </c>
      <c r="AC23" s="34" t="s">
        <v>103</v>
      </c>
      <c r="AD23" s="34" t="s">
        <v>403</v>
      </c>
      <c r="AE23" s="34" t="s">
        <v>69</v>
      </c>
      <c r="AF23" s="34" t="s">
        <v>69</v>
      </c>
      <c r="AG23" s="34" t="s">
        <v>104</v>
      </c>
      <c r="AH23" s="34" t="s">
        <v>105</v>
      </c>
      <c r="AI23" s="34" t="s">
        <v>448</v>
      </c>
      <c r="AJ23" s="34" t="s">
        <v>107</v>
      </c>
      <c r="AK23" s="34" t="s">
        <v>449</v>
      </c>
      <c r="AL23" s="34" t="s">
        <v>128</v>
      </c>
      <c r="AM23" s="34" t="s">
        <v>129</v>
      </c>
      <c r="AN23" s="34" t="s">
        <v>450</v>
      </c>
      <c r="AO23" s="39"/>
      <c r="AP23" s="34" t="s">
        <v>184</v>
      </c>
      <c r="AQ23" s="40" t="s">
        <v>451</v>
      </c>
      <c r="AR23" s="40" t="s">
        <v>201</v>
      </c>
      <c r="AS23" s="41" t="s">
        <v>452</v>
      </c>
    </row>
    <row r="24">
      <c r="A24" s="32">
        <v>57.0</v>
      </c>
      <c r="B24" s="33">
        <v>3.64026428E8</v>
      </c>
      <c r="C24" s="34" t="s">
        <v>453</v>
      </c>
      <c r="D24" s="34" t="s">
        <v>454</v>
      </c>
      <c r="E24" s="34" t="s">
        <v>455</v>
      </c>
      <c r="F24" s="34" t="s">
        <v>456</v>
      </c>
      <c r="G24" s="34" t="s">
        <v>457</v>
      </c>
      <c r="H24" s="36">
        <v>2022.0</v>
      </c>
      <c r="I24" s="34" t="s">
        <v>207</v>
      </c>
      <c r="J24" s="34" t="s">
        <v>441</v>
      </c>
      <c r="K24" s="34" t="s">
        <v>458</v>
      </c>
      <c r="L24" s="34" t="s">
        <v>57</v>
      </c>
      <c r="M24" s="34" t="s">
        <v>456</v>
      </c>
      <c r="N24" s="34" t="s">
        <v>459</v>
      </c>
      <c r="O24" s="34" t="s">
        <v>460</v>
      </c>
      <c r="P24" s="34" t="s">
        <v>93</v>
      </c>
      <c r="Q24" s="34" t="s">
        <v>461</v>
      </c>
      <c r="R24" s="34" t="s">
        <v>462</v>
      </c>
      <c r="S24" s="34" t="s">
        <v>63</v>
      </c>
      <c r="T24" s="34" t="s">
        <v>463</v>
      </c>
      <c r="U24" s="34" t="s">
        <v>464</v>
      </c>
      <c r="V24" s="34" t="s">
        <v>99</v>
      </c>
      <c r="W24" s="34" t="s">
        <v>100</v>
      </c>
      <c r="X24" s="37" t="s">
        <v>100</v>
      </c>
      <c r="Y24" s="34" t="s">
        <v>74</v>
      </c>
      <c r="Z24" s="34" t="s">
        <v>57</v>
      </c>
      <c r="AA24" s="34">
        <v>2018.0</v>
      </c>
      <c r="AB24" s="34">
        <v>2019.0</v>
      </c>
      <c r="AC24" s="34" t="s">
        <v>214</v>
      </c>
      <c r="AD24" s="34" t="s">
        <v>264</v>
      </c>
      <c r="AE24" s="34" t="s">
        <v>69</v>
      </c>
      <c r="AF24" s="34" t="s">
        <v>69</v>
      </c>
      <c r="AG24" s="34" t="s">
        <v>104</v>
      </c>
      <c r="AH24" s="34" t="s">
        <v>105</v>
      </c>
      <c r="AI24" s="34" t="s">
        <v>465</v>
      </c>
      <c r="AJ24" s="34" t="s">
        <v>465</v>
      </c>
      <c r="AK24" s="34" t="s">
        <v>466</v>
      </c>
      <c r="AL24" s="34" t="s">
        <v>128</v>
      </c>
      <c r="AM24" s="34" t="s">
        <v>129</v>
      </c>
      <c r="AN24" s="34" t="s">
        <v>467</v>
      </c>
      <c r="AO24" s="39"/>
      <c r="AP24" s="34" t="s">
        <v>184</v>
      </c>
      <c r="AQ24" s="40" t="s">
        <v>468</v>
      </c>
      <c r="AR24" s="40" t="s">
        <v>201</v>
      </c>
      <c r="AS24" s="41" t="s">
        <v>469</v>
      </c>
    </row>
    <row r="25">
      <c r="A25" s="32">
        <v>58.0</v>
      </c>
      <c r="B25" s="33">
        <v>3.64026891E8</v>
      </c>
      <c r="C25" s="34" t="s">
        <v>470</v>
      </c>
      <c r="D25" s="34" t="s">
        <v>471</v>
      </c>
      <c r="E25" s="34" t="s">
        <v>472</v>
      </c>
      <c r="F25" s="34" t="s">
        <v>456</v>
      </c>
      <c r="G25" s="34" t="s">
        <v>473</v>
      </c>
      <c r="H25" s="36">
        <v>2014.0</v>
      </c>
      <c r="I25" s="34" t="s">
        <v>474</v>
      </c>
      <c r="J25" s="34" t="s">
        <v>441</v>
      </c>
      <c r="K25" s="34" t="s">
        <v>475</v>
      </c>
      <c r="L25" s="34" t="s">
        <v>57</v>
      </c>
      <c r="M25" s="34" t="s">
        <v>456</v>
      </c>
      <c r="N25" s="34" t="s">
        <v>476</v>
      </c>
      <c r="O25" s="34" t="s">
        <v>477</v>
      </c>
      <c r="P25" s="34" t="s">
        <v>93</v>
      </c>
      <c r="Q25" s="34" t="s">
        <v>478</v>
      </c>
      <c r="R25" s="34" t="s">
        <v>479</v>
      </c>
      <c r="S25" s="34" t="s">
        <v>96</v>
      </c>
      <c r="T25" s="34" t="s">
        <v>64</v>
      </c>
      <c r="U25" s="34" t="s">
        <v>480</v>
      </c>
      <c r="V25" s="34" t="s">
        <v>66</v>
      </c>
      <c r="W25" s="34" t="s">
        <v>481</v>
      </c>
      <c r="X25" s="37" t="s">
        <v>482</v>
      </c>
      <c r="Y25" s="34" t="s">
        <v>74</v>
      </c>
      <c r="Z25" s="34" t="s">
        <v>57</v>
      </c>
      <c r="AA25" s="34">
        <v>2007.0</v>
      </c>
      <c r="AB25" s="34">
        <v>2007.0</v>
      </c>
      <c r="AC25" s="34" t="s">
        <v>71</v>
      </c>
      <c r="AD25" s="34" t="s">
        <v>144</v>
      </c>
      <c r="AE25" s="34" t="s">
        <v>74</v>
      </c>
      <c r="AF25" s="34" t="s">
        <v>69</v>
      </c>
      <c r="AG25" s="34" t="s">
        <v>215</v>
      </c>
      <c r="AH25" s="34" t="s">
        <v>76</v>
      </c>
      <c r="AI25" s="34" t="s">
        <v>483</v>
      </c>
      <c r="AJ25" s="34" t="s">
        <v>147</v>
      </c>
      <c r="AK25" s="34" t="s">
        <v>484</v>
      </c>
      <c r="AL25" s="34" t="s">
        <v>79</v>
      </c>
      <c r="AM25" s="34" t="s">
        <v>57</v>
      </c>
      <c r="AN25" s="34" t="s">
        <v>57</v>
      </c>
      <c r="AO25" s="39"/>
      <c r="AP25" s="34" t="s">
        <v>184</v>
      </c>
      <c r="AQ25" s="40" t="s">
        <v>485</v>
      </c>
      <c r="AR25" s="40" t="s">
        <v>201</v>
      </c>
      <c r="AS25" s="44"/>
    </row>
    <row r="26">
      <c r="A26" s="32">
        <v>60.0</v>
      </c>
      <c r="B26" s="33">
        <v>3.64025503E8</v>
      </c>
      <c r="C26" s="34" t="s">
        <v>486</v>
      </c>
      <c r="D26" s="34" t="s">
        <v>487</v>
      </c>
      <c r="E26" s="38" t="s">
        <v>488</v>
      </c>
      <c r="F26" s="34" t="s">
        <v>489</v>
      </c>
      <c r="G26" s="38" t="s">
        <v>490</v>
      </c>
      <c r="H26" s="36">
        <v>2017.0</v>
      </c>
      <c r="I26" s="34" t="s">
        <v>491</v>
      </c>
      <c r="J26" s="34" t="s">
        <v>441</v>
      </c>
      <c r="K26" s="34" t="s">
        <v>492</v>
      </c>
      <c r="L26" s="34" t="s">
        <v>57</v>
      </c>
      <c r="M26" s="34" t="s">
        <v>489</v>
      </c>
      <c r="N26" s="34" t="s">
        <v>493</v>
      </c>
      <c r="O26" s="34" t="s">
        <v>494</v>
      </c>
      <c r="P26" s="34" t="s">
        <v>93</v>
      </c>
      <c r="Q26" s="34" t="s">
        <v>57</v>
      </c>
      <c r="R26" s="34" t="s">
        <v>57</v>
      </c>
      <c r="S26" s="34" t="s">
        <v>63</v>
      </c>
      <c r="T26" s="34" t="s">
        <v>64</v>
      </c>
      <c r="U26" s="34" t="s">
        <v>495</v>
      </c>
      <c r="V26" s="34" t="s">
        <v>66</v>
      </c>
      <c r="W26" s="34" t="s">
        <v>496</v>
      </c>
      <c r="X26" s="37" t="s">
        <v>497</v>
      </c>
      <c r="Y26" s="34" t="s">
        <v>74</v>
      </c>
      <c r="Z26" s="34" t="s">
        <v>57</v>
      </c>
      <c r="AA26" s="34">
        <v>2009.0</v>
      </c>
      <c r="AB26" s="34">
        <v>2016.0</v>
      </c>
      <c r="AC26" s="34" t="s">
        <v>57</v>
      </c>
      <c r="AD26" s="34" t="s">
        <v>57</v>
      </c>
      <c r="AE26" s="34" t="s">
        <v>74</v>
      </c>
      <c r="AF26" s="34" t="s">
        <v>69</v>
      </c>
      <c r="AG26" s="34" t="s">
        <v>215</v>
      </c>
      <c r="AH26" s="34" t="s">
        <v>498</v>
      </c>
      <c r="AI26" s="34" t="s">
        <v>499</v>
      </c>
      <c r="AJ26" s="34" t="s">
        <v>107</v>
      </c>
      <c r="AK26" s="34" t="s">
        <v>500</v>
      </c>
      <c r="AL26" s="34" t="s">
        <v>79</v>
      </c>
      <c r="AM26" s="34" t="s">
        <v>57</v>
      </c>
      <c r="AN26" s="34" t="s">
        <v>57</v>
      </c>
      <c r="AO26" s="39"/>
      <c r="AP26" s="34" t="s">
        <v>109</v>
      </c>
      <c r="AQ26" s="40" t="s">
        <v>501</v>
      </c>
      <c r="AR26" s="40" t="s">
        <v>201</v>
      </c>
      <c r="AS26" s="45"/>
    </row>
    <row r="27">
      <c r="A27" s="32">
        <v>61.0</v>
      </c>
      <c r="B27" s="33">
        <v>3.64025516E8</v>
      </c>
      <c r="C27" s="34" t="s">
        <v>502</v>
      </c>
      <c r="D27" s="34" t="s">
        <v>503</v>
      </c>
      <c r="E27" s="38" t="s">
        <v>504</v>
      </c>
      <c r="F27" s="34" t="s">
        <v>381</v>
      </c>
      <c r="G27" s="38" t="s">
        <v>505</v>
      </c>
      <c r="H27" s="36">
        <v>2004.0</v>
      </c>
      <c r="I27" s="34" t="s">
        <v>506</v>
      </c>
      <c r="J27" s="34" t="s">
        <v>441</v>
      </c>
      <c r="K27" s="34" t="s">
        <v>507</v>
      </c>
      <c r="L27" s="34" t="s">
        <v>57</v>
      </c>
      <c r="M27" s="34" t="s">
        <v>381</v>
      </c>
      <c r="N27" s="34" t="s">
        <v>384</v>
      </c>
      <c r="O27" s="34" t="s">
        <v>508</v>
      </c>
      <c r="P27" s="34" t="s">
        <v>93</v>
      </c>
      <c r="Q27" s="34" t="s">
        <v>57</v>
      </c>
      <c r="R27" s="34" t="s">
        <v>57</v>
      </c>
      <c r="S27" s="34" t="s">
        <v>96</v>
      </c>
      <c r="T27" s="34" t="s">
        <v>229</v>
      </c>
      <c r="U27" s="34" t="s">
        <v>509</v>
      </c>
      <c r="V27" s="34" t="s">
        <v>66</v>
      </c>
      <c r="W27" s="34" t="s">
        <v>388</v>
      </c>
      <c r="X27" s="46" t="s">
        <v>389</v>
      </c>
      <c r="Y27" s="34" t="s">
        <v>74</v>
      </c>
      <c r="Z27" s="34" t="s">
        <v>57</v>
      </c>
      <c r="AA27" s="34">
        <v>1997.0</v>
      </c>
      <c r="AB27" s="34">
        <v>2000.0</v>
      </c>
      <c r="AC27" s="34" t="s">
        <v>57</v>
      </c>
      <c r="AD27" s="34" t="s">
        <v>57</v>
      </c>
      <c r="AE27" s="34" t="s">
        <v>57</v>
      </c>
      <c r="AF27" s="34" t="s">
        <v>74</v>
      </c>
      <c r="AG27" s="34" t="s">
        <v>215</v>
      </c>
      <c r="AH27" s="34" t="s">
        <v>105</v>
      </c>
      <c r="AI27" s="34" t="s">
        <v>166</v>
      </c>
      <c r="AJ27" s="34" t="s">
        <v>166</v>
      </c>
      <c r="AK27" s="34" t="s">
        <v>510</v>
      </c>
      <c r="AL27" s="34" t="s">
        <v>79</v>
      </c>
      <c r="AM27" s="34" t="s">
        <v>57</v>
      </c>
      <c r="AN27" s="34" t="s">
        <v>57</v>
      </c>
      <c r="AO27" s="39"/>
      <c r="AP27" s="34" t="s">
        <v>109</v>
      </c>
      <c r="AQ27" s="40" t="s">
        <v>511</v>
      </c>
      <c r="AR27" s="40" t="s">
        <v>201</v>
      </c>
      <c r="AS27" s="41" t="s">
        <v>512</v>
      </c>
    </row>
    <row r="28">
      <c r="A28" s="32">
        <v>65.0</v>
      </c>
      <c r="B28" s="33">
        <v>3.64025552E8</v>
      </c>
      <c r="C28" s="34" t="s">
        <v>513</v>
      </c>
      <c r="D28" s="34" t="s">
        <v>514</v>
      </c>
      <c r="E28" s="38" t="s">
        <v>515</v>
      </c>
      <c r="F28" s="34" t="s">
        <v>381</v>
      </c>
      <c r="G28" s="38" t="s">
        <v>516</v>
      </c>
      <c r="H28" s="36">
        <v>2010.0</v>
      </c>
      <c r="I28" s="34" t="s">
        <v>517</v>
      </c>
      <c r="J28" s="34" t="s">
        <v>518</v>
      </c>
      <c r="K28" s="34" t="s">
        <v>519</v>
      </c>
      <c r="L28" s="34" t="s">
        <v>57</v>
      </c>
      <c r="M28" s="34" t="s">
        <v>381</v>
      </c>
      <c r="N28" s="34" t="s">
        <v>520</v>
      </c>
      <c r="O28" s="34" t="s">
        <v>521</v>
      </c>
      <c r="P28" s="34" t="s">
        <v>93</v>
      </c>
      <c r="Q28" s="34" t="s">
        <v>57</v>
      </c>
      <c r="R28" s="34" t="s">
        <v>57</v>
      </c>
      <c r="S28" s="34" t="s">
        <v>63</v>
      </c>
      <c r="T28" s="34" t="s">
        <v>302</v>
      </c>
      <c r="U28" s="34" t="s">
        <v>522</v>
      </c>
      <c r="V28" s="34" t="s">
        <v>66</v>
      </c>
      <c r="W28" s="34" t="s">
        <v>523</v>
      </c>
      <c r="X28" s="37" t="s">
        <v>68</v>
      </c>
      <c r="Y28" s="34" t="s">
        <v>69</v>
      </c>
      <c r="Z28" s="34" t="s">
        <v>524</v>
      </c>
      <c r="AA28" s="34">
        <v>2004.0</v>
      </c>
      <c r="AB28" s="34">
        <v>2004.0</v>
      </c>
      <c r="AC28" s="34" t="s">
        <v>103</v>
      </c>
      <c r="AD28" s="34" t="s">
        <v>103</v>
      </c>
      <c r="AE28" s="34" t="s">
        <v>57</v>
      </c>
      <c r="AF28" s="34" t="s">
        <v>74</v>
      </c>
      <c r="AG28" s="34" t="s">
        <v>215</v>
      </c>
      <c r="AH28" s="34" t="s">
        <v>76</v>
      </c>
      <c r="AI28" s="34" t="s">
        <v>77</v>
      </c>
      <c r="AJ28" s="34" t="s">
        <v>77</v>
      </c>
      <c r="AK28" s="34" t="s">
        <v>525</v>
      </c>
      <c r="AL28" s="34" t="s">
        <v>79</v>
      </c>
      <c r="AM28" s="34" t="s">
        <v>57</v>
      </c>
      <c r="AN28" s="34" t="s">
        <v>57</v>
      </c>
      <c r="AO28" s="39"/>
      <c r="AP28" s="34" t="s">
        <v>109</v>
      </c>
      <c r="AQ28" s="40" t="s">
        <v>526</v>
      </c>
      <c r="AR28" s="40" t="s">
        <v>201</v>
      </c>
      <c r="AS28" s="41" t="s">
        <v>527</v>
      </c>
    </row>
    <row r="29">
      <c r="A29" s="32">
        <v>66.0</v>
      </c>
      <c r="B29" s="33">
        <v>3.64025555E8</v>
      </c>
      <c r="C29" s="34" t="s">
        <v>528</v>
      </c>
      <c r="D29" s="34" t="s">
        <v>529</v>
      </c>
      <c r="E29" s="38" t="s">
        <v>530</v>
      </c>
      <c r="F29" s="34" t="s">
        <v>443</v>
      </c>
      <c r="G29" s="38" t="s">
        <v>531</v>
      </c>
      <c r="H29" s="36">
        <v>2013.0</v>
      </c>
      <c r="I29" s="34" t="s">
        <v>532</v>
      </c>
      <c r="J29" s="34" t="s">
        <v>533</v>
      </c>
      <c r="K29" s="34" t="s">
        <v>534</v>
      </c>
      <c r="L29" s="34" t="s">
        <v>57</v>
      </c>
      <c r="M29" s="34" t="s">
        <v>443</v>
      </c>
      <c r="N29" s="34" t="s">
        <v>444</v>
      </c>
      <c r="O29" s="34" t="s">
        <v>535</v>
      </c>
      <c r="P29" s="34" t="s">
        <v>93</v>
      </c>
      <c r="Q29" s="34" t="s">
        <v>57</v>
      </c>
      <c r="R29" s="34" t="s">
        <v>57</v>
      </c>
      <c r="S29" s="34" t="s">
        <v>63</v>
      </c>
      <c r="T29" s="34" t="s">
        <v>536</v>
      </c>
      <c r="U29" s="34" t="s">
        <v>537</v>
      </c>
      <c r="V29" s="34" t="s">
        <v>538</v>
      </c>
      <c r="W29" s="34" t="s">
        <v>539</v>
      </c>
      <c r="X29" s="46" t="s">
        <v>540</v>
      </c>
      <c r="Y29" s="34" t="s">
        <v>69</v>
      </c>
      <c r="Z29" s="34" t="s">
        <v>541</v>
      </c>
      <c r="AA29" s="34">
        <v>2006.0</v>
      </c>
      <c r="AB29" s="34">
        <v>2011.0</v>
      </c>
      <c r="AC29" s="34" t="s">
        <v>542</v>
      </c>
      <c r="AD29" s="34" t="s">
        <v>370</v>
      </c>
      <c r="AE29" s="34" t="s">
        <v>69</v>
      </c>
      <c r="AF29" s="34" t="s">
        <v>74</v>
      </c>
      <c r="AG29" s="34" t="s">
        <v>215</v>
      </c>
      <c r="AH29" s="34" t="s">
        <v>105</v>
      </c>
      <c r="AI29" s="34" t="s">
        <v>166</v>
      </c>
      <c r="AJ29" s="34" t="s">
        <v>166</v>
      </c>
      <c r="AK29" s="34" t="s">
        <v>543</v>
      </c>
      <c r="AL29" s="34" t="s">
        <v>79</v>
      </c>
      <c r="AM29" s="34" t="s">
        <v>57</v>
      </c>
      <c r="AN29" s="34" t="s">
        <v>57</v>
      </c>
      <c r="AO29" s="39"/>
      <c r="AP29" s="34" t="s">
        <v>109</v>
      </c>
      <c r="AQ29" s="40" t="s">
        <v>544</v>
      </c>
      <c r="AR29" s="40" t="s">
        <v>201</v>
      </c>
      <c r="AS29" s="44"/>
    </row>
    <row r="30">
      <c r="A30" s="32">
        <v>67.0</v>
      </c>
      <c r="B30" s="33">
        <v>3.64026459E8</v>
      </c>
      <c r="C30" s="34" t="s">
        <v>545</v>
      </c>
      <c r="D30" s="34" t="s">
        <v>546</v>
      </c>
      <c r="E30" s="34" t="s">
        <v>547</v>
      </c>
      <c r="F30" s="34" t="s">
        <v>548</v>
      </c>
      <c r="G30" s="34" t="s">
        <v>549</v>
      </c>
      <c r="H30" s="36">
        <v>2018.0</v>
      </c>
      <c r="I30" s="34" t="s">
        <v>550</v>
      </c>
      <c r="J30" s="34" t="s">
        <v>518</v>
      </c>
      <c r="K30" s="34" t="s">
        <v>551</v>
      </c>
      <c r="L30" s="34" t="s">
        <v>57</v>
      </c>
      <c r="M30" s="34" t="s">
        <v>548</v>
      </c>
      <c r="N30" s="34" t="s">
        <v>552</v>
      </c>
      <c r="O30" s="34" t="s">
        <v>553</v>
      </c>
      <c r="P30" s="34" t="s">
        <v>554</v>
      </c>
      <c r="Q30" s="34" t="s">
        <v>555</v>
      </c>
      <c r="R30" s="34" t="s">
        <v>556</v>
      </c>
      <c r="S30" s="34" t="s">
        <v>63</v>
      </c>
      <c r="T30" s="34" t="s">
        <v>210</v>
      </c>
      <c r="U30" s="34" t="s">
        <v>557</v>
      </c>
      <c r="V30" s="34" t="s">
        <v>99</v>
      </c>
      <c r="W30" s="34" t="s">
        <v>100</v>
      </c>
      <c r="X30" s="37" t="s">
        <v>100</v>
      </c>
      <c r="Y30" s="34" t="s">
        <v>69</v>
      </c>
      <c r="Z30" s="34" t="s">
        <v>558</v>
      </c>
      <c r="AA30" s="34">
        <v>2013.0</v>
      </c>
      <c r="AB30" s="34">
        <v>2013.0</v>
      </c>
      <c r="AC30" s="34" t="s">
        <v>102</v>
      </c>
      <c r="AD30" s="34" t="s">
        <v>102</v>
      </c>
      <c r="AE30" s="34" t="s">
        <v>74</v>
      </c>
      <c r="AF30" s="34" t="s">
        <v>69</v>
      </c>
      <c r="AG30" s="34" t="s">
        <v>104</v>
      </c>
      <c r="AH30" s="34" t="s">
        <v>165</v>
      </c>
      <c r="AI30" s="34" t="s">
        <v>559</v>
      </c>
      <c r="AJ30" s="34" t="s">
        <v>147</v>
      </c>
      <c r="AK30" s="34" t="s">
        <v>560</v>
      </c>
      <c r="AL30" s="34" t="s">
        <v>128</v>
      </c>
      <c r="AM30" s="34" t="s">
        <v>374</v>
      </c>
      <c r="AN30" s="34" t="s">
        <v>561</v>
      </c>
      <c r="AO30" s="39"/>
      <c r="AP30" s="34" t="s">
        <v>184</v>
      </c>
      <c r="AQ30" s="40" t="s">
        <v>562</v>
      </c>
      <c r="AR30" s="40" t="s">
        <v>201</v>
      </c>
      <c r="AS30" s="41" t="s">
        <v>563</v>
      </c>
    </row>
    <row r="31">
      <c r="A31" s="32">
        <v>68.0</v>
      </c>
      <c r="B31" s="33">
        <v>3.64026739E8</v>
      </c>
      <c r="C31" s="34" t="s">
        <v>564</v>
      </c>
      <c r="D31" s="34" t="s">
        <v>565</v>
      </c>
      <c r="E31" s="38" t="s">
        <v>566</v>
      </c>
      <c r="F31" s="34" t="s">
        <v>548</v>
      </c>
      <c r="G31" s="34" t="s">
        <v>567</v>
      </c>
      <c r="H31" s="36">
        <v>2021.0</v>
      </c>
      <c r="I31" s="34" t="s">
        <v>207</v>
      </c>
      <c r="J31" s="34" t="s">
        <v>518</v>
      </c>
      <c r="K31" s="34" t="s">
        <v>568</v>
      </c>
      <c r="L31" s="34" t="s">
        <v>57</v>
      </c>
      <c r="M31" s="34" t="s">
        <v>548</v>
      </c>
      <c r="N31" s="34" t="s">
        <v>569</v>
      </c>
      <c r="O31" s="34" t="s">
        <v>570</v>
      </c>
      <c r="P31" s="34" t="s">
        <v>554</v>
      </c>
      <c r="Q31" s="34" t="s">
        <v>571</v>
      </c>
      <c r="R31" s="34" t="s">
        <v>572</v>
      </c>
      <c r="S31" s="34" t="s">
        <v>96</v>
      </c>
      <c r="T31" s="34" t="s">
        <v>229</v>
      </c>
      <c r="U31" s="34" t="s">
        <v>573</v>
      </c>
      <c r="V31" s="34" t="s">
        <v>99</v>
      </c>
      <c r="W31" s="34" t="s">
        <v>100</v>
      </c>
      <c r="X31" s="37" t="s">
        <v>100</v>
      </c>
      <c r="Y31" s="34" t="s">
        <v>74</v>
      </c>
      <c r="Z31" s="34" t="s">
        <v>57</v>
      </c>
      <c r="AA31" s="34">
        <v>2016.0</v>
      </c>
      <c r="AB31" s="34">
        <v>2017.0</v>
      </c>
      <c r="AC31" s="34" t="s">
        <v>102</v>
      </c>
      <c r="AD31" s="34" t="s">
        <v>102</v>
      </c>
      <c r="AE31" s="34" t="s">
        <v>74</v>
      </c>
      <c r="AF31" s="34" t="s">
        <v>69</v>
      </c>
      <c r="AG31" s="34" t="s">
        <v>104</v>
      </c>
      <c r="AH31" s="34" t="s">
        <v>105</v>
      </c>
      <c r="AI31" s="34" t="s">
        <v>336</v>
      </c>
      <c r="AJ31" s="34" t="s">
        <v>336</v>
      </c>
      <c r="AK31" s="34" t="s">
        <v>574</v>
      </c>
      <c r="AL31" s="34" t="s">
        <v>128</v>
      </c>
      <c r="AM31" s="34" t="s">
        <v>129</v>
      </c>
      <c r="AN31" s="34" t="s">
        <v>575</v>
      </c>
      <c r="AO31" s="39"/>
      <c r="AP31" s="34" t="s">
        <v>184</v>
      </c>
      <c r="AQ31" s="40" t="s">
        <v>576</v>
      </c>
      <c r="AR31" s="40" t="s">
        <v>201</v>
      </c>
      <c r="AS31" s="41" t="s">
        <v>577</v>
      </c>
    </row>
    <row r="32">
      <c r="A32" s="32">
        <v>71.0</v>
      </c>
      <c r="B32" s="33">
        <v>3.64026585E8</v>
      </c>
      <c r="C32" s="34" t="s">
        <v>578</v>
      </c>
      <c r="D32" s="34" t="s">
        <v>579</v>
      </c>
      <c r="E32" s="34" t="s">
        <v>580</v>
      </c>
      <c r="F32" s="34" t="s">
        <v>581</v>
      </c>
      <c r="G32" s="34" t="s">
        <v>582</v>
      </c>
      <c r="H32" s="36">
        <v>2020.0</v>
      </c>
      <c r="I32" s="34" t="s">
        <v>583</v>
      </c>
      <c r="J32" s="34" t="s">
        <v>55</v>
      </c>
      <c r="K32" s="34" t="s">
        <v>584</v>
      </c>
      <c r="L32" s="34" t="s">
        <v>57</v>
      </c>
      <c r="M32" s="34" t="s">
        <v>581</v>
      </c>
      <c r="N32" s="34" t="s">
        <v>585</v>
      </c>
      <c r="O32" s="34" t="s">
        <v>586</v>
      </c>
      <c r="P32" s="34" t="s">
        <v>554</v>
      </c>
      <c r="Q32" s="34" t="s">
        <v>57</v>
      </c>
      <c r="R32" s="34" t="s">
        <v>57</v>
      </c>
      <c r="S32" s="34" t="s">
        <v>63</v>
      </c>
      <c r="T32" s="34" t="s">
        <v>587</v>
      </c>
      <c r="U32" s="34" t="s">
        <v>588</v>
      </c>
      <c r="V32" s="34" t="s">
        <v>99</v>
      </c>
      <c r="W32" s="34" t="s">
        <v>100</v>
      </c>
      <c r="X32" s="37" t="s">
        <v>100</v>
      </c>
      <c r="Y32" s="34" t="s">
        <v>69</v>
      </c>
      <c r="Z32" s="34" t="s">
        <v>589</v>
      </c>
      <c r="AA32" s="34">
        <v>2016.0</v>
      </c>
      <c r="AB32" s="34">
        <v>2016.0</v>
      </c>
      <c r="AC32" s="34" t="s">
        <v>57</v>
      </c>
      <c r="AD32" s="34" t="s">
        <v>57</v>
      </c>
      <c r="AE32" s="34" t="s">
        <v>74</v>
      </c>
      <c r="AF32" s="34" t="s">
        <v>69</v>
      </c>
      <c r="AG32" s="34" t="s">
        <v>104</v>
      </c>
      <c r="AH32" s="34" t="s">
        <v>105</v>
      </c>
      <c r="AI32" s="34" t="s">
        <v>465</v>
      </c>
      <c r="AJ32" s="34" t="s">
        <v>465</v>
      </c>
      <c r="AK32" s="34" t="s">
        <v>590</v>
      </c>
      <c r="AL32" s="34" t="s">
        <v>128</v>
      </c>
      <c r="AM32" s="34" t="s">
        <v>129</v>
      </c>
      <c r="AN32" s="34" t="s">
        <v>591</v>
      </c>
      <c r="AO32" s="39"/>
      <c r="AP32" s="34" t="s">
        <v>184</v>
      </c>
      <c r="AQ32" s="40" t="s">
        <v>592</v>
      </c>
      <c r="AR32" s="40" t="s">
        <v>201</v>
      </c>
      <c r="AS32" s="41" t="s">
        <v>593</v>
      </c>
    </row>
    <row r="33">
      <c r="A33" s="32">
        <v>73.0</v>
      </c>
      <c r="B33" s="33">
        <v>3.64025595E8</v>
      </c>
      <c r="C33" s="34" t="s">
        <v>594</v>
      </c>
      <c r="D33" s="38" t="s">
        <v>595</v>
      </c>
      <c r="E33" s="38" t="s">
        <v>596</v>
      </c>
      <c r="F33" s="34" t="s">
        <v>597</v>
      </c>
      <c r="G33" s="38" t="s">
        <v>598</v>
      </c>
      <c r="H33" s="36">
        <v>2005.0</v>
      </c>
      <c r="I33" s="34" t="s">
        <v>599</v>
      </c>
      <c r="J33" s="34" t="s">
        <v>55</v>
      </c>
      <c r="K33" s="34" t="s">
        <v>600</v>
      </c>
      <c r="L33" s="34" t="s">
        <v>57</v>
      </c>
      <c r="M33" s="34" t="s">
        <v>601</v>
      </c>
      <c r="N33" s="34" t="s">
        <v>400</v>
      </c>
      <c r="O33" s="34" t="s">
        <v>602</v>
      </c>
      <c r="P33" s="34" t="s">
        <v>93</v>
      </c>
      <c r="Q33" s="34" t="s">
        <v>57</v>
      </c>
      <c r="R33" s="34" t="s">
        <v>57</v>
      </c>
      <c r="S33" s="34" t="s">
        <v>301</v>
      </c>
      <c r="T33" s="34" t="s">
        <v>229</v>
      </c>
      <c r="U33" s="34" t="s">
        <v>603</v>
      </c>
      <c r="V33" s="34" t="s">
        <v>99</v>
      </c>
      <c r="W33" s="34" t="s">
        <v>100</v>
      </c>
      <c r="X33" s="37" t="s">
        <v>100</v>
      </c>
      <c r="Y33" s="34" t="s">
        <v>74</v>
      </c>
      <c r="Z33" s="34" t="s">
        <v>57</v>
      </c>
      <c r="AA33" s="34">
        <v>2001.0</v>
      </c>
      <c r="AB33" s="34">
        <v>2001.0</v>
      </c>
      <c r="AC33" s="34" t="s">
        <v>144</v>
      </c>
      <c r="AD33" s="34" t="s">
        <v>180</v>
      </c>
      <c r="AE33" s="34" t="s">
        <v>69</v>
      </c>
      <c r="AF33" s="34" t="s">
        <v>69</v>
      </c>
      <c r="AG33" s="34" t="s">
        <v>75</v>
      </c>
      <c r="AH33" s="34" t="s">
        <v>604</v>
      </c>
      <c r="AI33" s="34" t="s">
        <v>77</v>
      </c>
      <c r="AJ33" s="34" t="s">
        <v>77</v>
      </c>
      <c r="AK33" s="34" t="s">
        <v>605</v>
      </c>
      <c r="AL33" s="34" t="s">
        <v>79</v>
      </c>
      <c r="AM33" s="34" t="s">
        <v>57</v>
      </c>
      <c r="AN33" s="34" t="s">
        <v>57</v>
      </c>
      <c r="AO33" s="39"/>
      <c r="AP33" s="34" t="s">
        <v>109</v>
      </c>
      <c r="AQ33" s="40" t="s">
        <v>606</v>
      </c>
      <c r="AR33" s="40" t="s">
        <v>201</v>
      </c>
      <c r="AS33" s="41" t="s">
        <v>607</v>
      </c>
    </row>
    <row r="34">
      <c r="A34" s="32">
        <v>74.0</v>
      </c>
      <c r="B34" s="33">
        <v>3.64026208E8</v>
      </c>
      <c r="C34" s="34" t="s">
        <v>608</v>
      </c>
      <c r="D34" s="34" t="s">
        <v>609</v>
      </c>
      <c r="E34" s="34" t="s">
        <v>610</v>
      </c>
      <c r="F34" s="34" t="s">
        <v>114</v>
      </c>
      <c r="G34" s="34" t="s">
        <v>611</v>
      </c>
      <c r="H34" s="36">
        <v>2007.0</v>
      </c>
      <c r="I34" s="34" t="s">
        <v>295</v>
      </c>
      <c r="J34" s="34" t="s">
        <v>55</v>
      </c>
      <c r="K34" s="34" t="s">
        <v>612</v>
      </c>
      <c r="L34" s="34" t="s">
        <v>57</v>
      </c>
      <c r="M34" s="34" t="s">
        <v>114</v>
      </c>
      <c r="N34" s="34" t="s">
        <v>613</v>
      </c>
      <c r="O34" s="34" t="s">
        <v>614</v>
      </c>
      <c r="P34" s="34" t="s">
        <v>93</v>
      </c>
      <c r="Q34" s="34" t="s">
        <v>57</v>
      </c>
      <c r="R34" s="34" t="s">
        <v>57</v>
      </c>
      <c r="S34" s="34" t="s">
        <v>301</v>
      </c>
      <c r="T34" s="34" t="s">
        <v>161</v>
      </c>
      <c r="U34" s="34" t="s">
        <v>615</v>
      </c>
      <c r="V34" s="34" t="s">
        <v>99</v>
      </c>
      <c r="W34" s="34" t="s">
        <v>100</v>
      </c>
      <c r="X34" s="37" t="s">
        <v>100</v>
      </c>
      <c r="Y34" s="34" t="s">
        <v>69</v>
      </c>
      <c r="Z34" s="34" t="s">
        <v>616</v>
      </c>
      <c r="AA34" s="34">
        <v>2002.0</v>
      </c>
      <c r="AB34" s="34">
        <v>2003.0</v>
      </c>
      <c r="AC34" s="34" t="s">
        <v>144</v>
      </c>
      <c r="AD34" s="34" t="s">
        <v>180</v>
      </c>
      <c r="AE34" s="34" t="s">
        <v>69</v>
      </c>
      <c r="AF34" s="34" t="s">
        <v>69</v>
      </c>
      <c r="AG34" s="34" t="s">
        <v>104</v>
      </c>
      <c r="AH34" s="34" t="s">
        <v>105</v>
      </c>
      <c r="AI34" s="34" t="s">
        <v>166</v>
      </c>
      <c r="AJ34" s="34" t="s">
        <v>166</v>
      </c>
      <c r="AK34" s="34" t="s">
        <v>617</v>
      </c>
      <c r="AL34" s="34" t="s">
        <v>128</v>
      </c>
      <c r="AM34" s="34" t="s">
        <v>129</v>
      </c>
      <c r="AN34" s="34" t="s">
        <v>618</v>
      </c>
      <c r="AO34" s="39"/>
      <c r="AP34" s="34" t="s">
        <v>81</v>
      </c>
      <c r="AQ34" s="40" t="s">
        <v>619</v>
      </c>
      <c r="AR34" s="40" t="s">
        <v>201</v>
      </c>
      <c r="AS34" s="41" t="s">
        <v>620</v>
      </c>
    </row>
    <row r="35">
      <c r="A35" s="32">
        <v>75.0</v>
      </c>
      <c r="B35" s="33">
        <v>3.640256E8</v>
      </c>
      <c r="C35" s="34" t="s">
        <v>621</v>
      </c>
      <c r="D35" s="34" t="s">
        <v>622</v>
      </c>
      <c r="E35" s="38" t="s">
        <v>623</v>
      </c>
      <c r="F35" s="34" t="s">
        <v>396</v>
      </c>
      <c r="G35" s="38" t="s">
        <v>624</v>
      </c>
      <c r="H35" s="36">
        <v>2009.0</v>
      </c>
      <c r="I35" s="34" t="s">
        <v>625</v>
      </c>
      <c r="J35" s="34" t="s">
        <v>55</v>
      </c>
      <c r="K35" s="34" t="s">
        <v>626</v>
      </c>
      <c r="L35" s="34" t="s">
        <v>57</v>
      </c>
      <c r="M35" s="34" t="s">
        <v>396</v>
      </c>
      <c r="N35" s="34" t="s">
        <v>627</v>
      </c>
      <c r="O35" s="34" t="s">
        <v>628</v>
      </c>
      <c r="P35" s="34" t="s">
        <v>93</v>
      </c>
      <c r="Q35" s="34" t="s">
        <v>57</v>
      </c>
      <c r="R35" s="34" t="s">
        <v>57</v>
      </c>
      <c r="S35" s="34" t="s">
        <v>63</v>
      </c>
      <c r="T35" s="34" t="s">
        <v>161</v>
      </c>
      <c r="U35" s="34" t="s">
        <v>629</v>
      </c>
      <c r="V35" s="34" t="s">
        <v>99</v>
      </c>
      <c r="W35" s="34" t="s">
        <v>630</v>
      </c>
      <c r="X35" s="37" t="s">
        <v>631</v>
      </c>
      <c r="Y35" s="34" t="s">
        <v>74</v>
      </c>
      <c r="Z35" s="34" t="s">
        <v>57</v>
      </c>
      <c r="AA35" s="34">
        <v>2005.0</v>
      </c>
      <c r="AB35" s="34">
        <v>2007.0</v>
      </c>
      <c r="AC35" s="34" t="s">
        <v>214</v>
      </c>
      <c r="AD35" s="34" t="s">
        <v>72</v>
      </c>
      <c r="AE35" s="34" t="s">
        <v>69</v>
      </c>
      <c r="AF35" s="34" t="s">
        <v>74</v>
      </c>
      <c r="AG35" s="34" t="s">
        <v>215</v>
      </c>
      <c r="AH35" s="34" t="s">
        <v>76</v>
      </c>
      <c r="AI35" s="34" t="s">
        <v>632</v>
      </c>
      <c r="AJ35" s="34" t="s">
        <v>107</v>
      </c>
      <c r="AK35" s="34" t="s">
        <v>633</v>
      </c>
      <c r="AL35" s="34" t="s">
        <v>79</v>
      </c>
      <c r="AM35" s="34" t="s">
        <v>57</v>
      </c>
      <c r="AN35" s="34" t="s">
        <v>57</v>
      </c>
      <c r="AO35" s="39"/>
      <c r="AP35" s="34" t="s">
        <v>109</v>
      </c>
      <c r="AQ35" s="40" t="s">
        <v>634</v>
      </c>
      <c r="AR35" s="40" t="s">
        <v>201</v>
      </c>
      <c r="AS35" s="41" t="s">
        <v>635</v>
      </c>
    </row>
    <row r="36">
      <c r="A36" s="32">
        <v>78.0</v>
      </c>
      <c r="B36" s="33">
        <v>3.64026266E8</v>
      </c>
      <c r="C36" s="34" t="s">
        <v>636</v>
      </c>
      <c r="D36" s="34" t="s">
        <v>637</v>
      </c>
      <c r="E36" s="34" t="s">
        <v>638</v>
      </c>
      <c r="F36" s="34" t="s">
        <v>639</v>
      </c>
      <c r="G36" s="34" t="s">
        <v>640</v>
      </c>
      <c r="H36" s="36">
        <v>2018.0</v>
      </c>
      <c r="I36" s="34" t="s">
        <v>345</v>
      </c>
      <c r="J36" s="34" t="s">
        <v>55</v>
      </c>
      <c r="K36" s="34" t="s">
        <v>641</v>
      </c>
      <c r="L36" s="34" t="s">
        <v>57</v>
      </c>
      <c r="M36" s="34" t="s">
        <v>639</v>
      </c>
      <c r="N36" s="34" t="s">
        <v>642</v>
      </c>
      <c r="O36" s="34" t="s">
        <v>643</v>
      </c>
      <c r="P36" s="34" t="s">
        <v>93</v>
      </c>
      <c r="Q36" s="34" t="s">
        <v>57</v>
      </c>
      <c r="R36" s="34" t="s">
        <v>57</v>
      </c>
      <c r="S36" s="34" t="s">
        <v>301</v>
      </c>
      <c r="T36" s="34" t="s">
        <v>64</v>
      </c>
      <c r="U36" s="34" t="s">
        <v>644</v>
      </c>
      <c r="V36" s="34" t="s">
        <v>99</v>
      </c>
      <c r="W36" s="34" t="s">
        <v>100</v>
      </c>
      <c r="X36" s="37" t="s">
        <v>100</v>
      </c>
      <c r="Y36" s="34" t="s">
        <v>74</v>
      </c>
      <c r="Z36" s="34" t="s">
        <v>57</v>
      </c>
      <c r="AA36" s="34">
        <v>2013.0</v>
      </c>
      <c r="AB36" s="34">
        <v>2014.0</v>
      </c>
      <c r="AC36" s="34" t="s">
        <v>72</v>
      </c>
      <c r="AD36" s="34" t="s">
        <v>71</v>
      </c>
      <c r="AE36" s="34" t="s">
        <v>69</v>
      </c>
      <c r="AF36" s="34" t="s">
        <v>69</v>
      </c>
      <c r="AG36" s="34" t="s">
        <v>104</v>
      </c>
      <c r="AH36" s="34" t="s">
        <v>105</v>
      </c>
      <c r="AI36" s="34" t="s">
        <v>336</v>
      </c>
      <c r="AJ36" s="34" t="s">
        <v>336</v>
      </c>
      <c r="AK36" s="34" t="s">
        <v>645</v>
      </c>
      <c r="AL36" s="34" t="s">
        <v>79</v>
      </c>
      <c r="AM36" s="34" t="s">
        <v>57</v>
      </c>
      <c r="AN36" s="34" t="s">
        <v>57</v>
      </c>
      <c r="AO36" s="39"/>
      <c r="AP36" s="34" t="s">
        <v>184</v>
      </c>
      <c r="AQ36" s="40" t="s">
        <v>646</v>
      </c>
      <c r="AR36" s="40" t="s">
        <v>201</v>
      </c>
      <c r="AS36" s="44"/>
    </row>
    <row r="37">
      <c r="A37" s="32">
        <v>79.0</v>
      </c>
      <c r="B37" s="33">
        <v>3.64025648E8</v>
      </c>
      <c r="C37" s="34" t="s">
        <v>647</v>
      </c>
      <c r="D37" s="34" t="s">
        <v>648</v>
      </c>
      <c r="E37" s="34" t="s">
        <v>649</v>
      </c>
      <c r="F37" s="34" t="s">
        <v>650</v>
      </c>
      <c r="G37" s="34" t="s">
        <v>651</v>
      </c>
      <c r="H37" s="36">
        <v>2004.0</v>
      </c>
      <c r="I37" s="34" t="s">
        <v>345</v>
      </c>
      <c r="J37" s="34" t="s">
        <v>55</v>
      </c>
      <c r="K37" s="34" t="s">
        <v>652</v>
      </c>
      <c r="L37" s="34" t="s">
        <v>57</v>
      </c>
      <c r="M37" s="34" t="s">
        <v>650</v>
      </c>
      <c r="N37" s="34" t="s">
        <v>653</v>
      </c>
      <c r="O37" s="34" t="s">
        <v>654</v>
      </c>
      <c r="P37" s="34" t="s">
        <v>93</v>
      </c>
      <c r="Q37" s="34" t="s">
        <v>57</v>
      </c>
      <c r="R37" s="34" t="s">
        <v>57</v>
      </c>
      <c r="S37" s="34" t="s">
        <v>63</v>
      </c>
      <c r="T37" s="34" t="s">
        <v>64</v>
      </c>
      <c r="U37" s="34" t="s">
        <v>655</v>
      </c>
      <c r="V37" s="34" t="s">
        <v>66</v>
      </c>
      <c r="W37" s="34" t="s">
        <v>656</v>
      </c>
      <c r="X37" s="37" t="s">
        <v>657</v>
      </c>
      <c r="Y37" s="34" t="s">
        <v>69</v>
      </c>
      <c r="Z37" s="34" t="s">
        <v>658</v>
      </c>
      <c r="AA37" s="34">
        <v>2001.0</v>
      </c>
      <c r="AB37" s="34">
        <v>2002.0</v>
      </c>
      <c r="AC37" s="34" t="s">
        <v>103</v>
      </c>
      <c r="AD37" s="34" t="s">
        <v>144</v>
      </c>
      <c r="AE37" s="34" t="s">
        <v>69</v>
      </c>
      <c r="AF37" s="34" t="s">
        <v>69</v>
      </c>
      <c r="AG37" s="34" t="s">
        <v>215</v>
      </c>
      <c r="AH37" s="34" t="s">
        <v>659</v>
      </c>
      <c r="AI37" s="34" t="s">
        <v>660</v>
      </c>
      <c r="AJ37" s="34" t="s">
        <v>147</v>
      </c>
      <c r="AK37" s="34" t="s">
        <v>661</v>
      </c>
      <c r="AL37" s="34" t="s">
        <v>128</v>
      </c>
      <c r="AM37" s="34" t="s">
        <v>129</v>
      </c>
      <c r="AN37" s="34" t="s">
        <v>662</v>
      </c>
      <c r="AO37" s="39"/>
      <c r="AP37" s="34" t="s">
        <v>184</v>
      </c>
      <c r="AQ37" s="40" t="s">
        <v>663</v>
      </c>
      <c r="AR37" s="40" t="s">
        <v>201</v>
      </c>
      <c r="AS37" s="41" t="s">
        <v>664</v>
      </c>
    </row>
    <row r="38">
      <c r="A38" s="32">
        <v>80.0</v>
      </c>
      <c r="B38" s="33">
        <v>3.64025617E8</v>
      </c>
      <c r="C38" s="34" t="s">
        <v>665</v>
      </c>
      <c r="D38" s="34" t="s">
        <v>666</v>
      </c>
      <c r="E38" s="38" t="s">
        <v>667</v>
      </c>
      <c r="F38" s="34" t="s">
        <v>396</v>
      </c>
      <c r="G38" s="38" t="s">
        <v>668</v>
      </c>
      <c r="H38" s="36">
        <v>2008.0</v>
      </c>
      <c r="I38" s="34" t="s">
        <v>669</v>
      </c>
      <c r="J38" s="34" t="s">
        <v>55</v>
      </c>
      <c r="K38" s="34" t="s">
        <v>626</v>
      </c>
      <c r="L38" s="34" t="s">
        <v>57</v>
      </c>
      <c r="M38" s="34" t="s">
        <v>396</v>
      </c>
      <c r="N38" s="34" t="s">
        <v>670</v>
      </c>
      <c r="O38" s="34" t="s">
        <v>671</v>
      </c>
      <c r="P38" s="34" t="s">
        <v>93</v>
      </c>
      <c r="Q38" s="34" t="s">
        <v>57</v>
      </c>
      <c r="R38" s="34" t="s">
        <v>57</v>
      </c>
      <c r="S38" s="34" t="s">
        <v>63</v>
      </c>
      <c r="T38" s="34" t="s">
        <v>672</v>
      </c>
      <c r="U38" s="34" t="s">
        <v>673</v>
      </c>
      <c r="V38" s="34" t="s">
        <v>99</v>
      </c>
      <c r="W38" s="34" t="s">
        <v>674</v>
      </c>
      <c r="X38" s="37" t="s">
        <v>631</v>
      </c>
      <c r="Y38" s="34" t="s">
        <v>74</v>
      </c>
      <c r="Z38" s="34" t="s">
        <v>57</v>
      </c>
      <c r="AA38" s="34">
        <v>2003.0</v>
      </c>
      <c r="AB38" s="34">
        <v>2005.0</v>
      </c>
      <c r="AC38" s="34" t="s">
        <v>214</v>
      </c>
      <c r="AD38" s="34" t="s">
        <v>72</v>
      </c>
      <c r="AE38" s="34" t="s">
        <v>69</v>
      </c>
      <c r="AF38" s="34" t="s">
        <v>69</v>
      </c>
      <c r="AG38" s="34" t="s">
        <v>215</v>
      </c>
      <c r="AH38" s="34" t="s">
        <v>675</v>
      </c>
      <c r="AI38" s="34" t="s">
        <v>676</v>
      </c>
      <c r="AJ38" s="34" t="s">
        <v>147</v>
      </c>
      <c r="AK38" s="34" t="s">
        <v>677</v>
      </c>
      <c r="AL38" s="34" t="s">
        <v>128</v>
      </c>
      <c r="AM38" s="34" t="s">
        <v>129</v>
      </c>
      <c r="AN38" s="34" t="s">
        <v>678</v>
      </c>
      <c r="AO38" s="39"/>
      <c r="AP38" s="34" t="s">
        <v>109</v>
      </c>
      <c r="AQ38" s="40" t="s">
        <v>679</v>
      </c>
      <c r="AR38" s="40" t="s">
        <v>201</v>
      </c>
      <c r="AS38" s="41" t="s">
        <v>680</v>
      </c>
    </row>
    <row r="39">
      <c r="A39" s="32">
        <v>81.0</v>
      </c>
      <c r="B39" s="33">
        <v>3.64026752E8</v>
      </c>
      <c r="C39" s="34" t="s">
        <v>681</v>
      </c>
      <c r="D39" s="34" t="s">
        <v>682</v>
      </c>
      <c r="E39" s="34" t="s">
        <v>683</v>
      </c>
      <c r="F39" s="34" t="s">
        <v>684</v>
      </c>
      <c r="G39" s="34" t="s">
        <v>685</v>
      </c>
      <c r="H39" s="36">
        <v>2010.0</v>
      </c>
      <c r="I39" s="34" t="s">
        <v>686</v>
      </c>
      <c r="J39" s="34" t="s">
        <v>55</v>
      </c>
      <c r="K39" s="34" t="s">
        <v>687</v>
      </c>
      <c r="L39" s="34" t="s">
        <v>57</v>
      </c>
      <c r="M39" s="34" t="s">
        <v>684</v>
      </c>
      <c r="N39" s="34" t="s">
        <v>688</v>
      </c>
      <c r="O39" s="34" t="s">
        <v>689</v>
      </c>
      <c r="P39" s="34" t="s">
        <v>554</v>
      </c>
      <c r="Q39" s="34" t="s">
        <v>57</v>
      </c>
      <c r="R39" s="34" t="s">
        <v>57</v>
      </c>
      <c r="S39" s="34" t="s">
        <v>96</v>
      </c>
      <c r="T39" s="34" t="s">
        <v>210</v>
      </c>
      <c r="U39" s="34" t="s">
        <v>690</v>
      </c>
      <c r="V39" s="34" t="s">
        <v>99</v>
      </c>
      <c r="W39" s="34" t="s">
        <v>100</v>
      </c>
      <c r="X39" s="37" t="s">
        <v>100</v>
      </c>
      <c r="Y39" s="34" t="s">
        <v>69</v>
      </c>
      <c r="Z39" s="34" t="s">
        <v>691</v>
      </c>
      <c r="AA39" s="34">
        <v>2008.0</v>
      </c>
      <c r="AB39" s="34">
        <v>2009.0</v>
      </c>
      <c r="AC39" s="34" t="s">
        <v>692</v>
      </c>
      <c r="AD39" s="34" t="s">
        <v>542</v>
      </c>
      <c r="AE39" s="34" t="s">
        <v>74</v>
      </c>
      <c r="AF39" s="34" t="s">
        <v>69</v>
      </c>
      <c r="AG39" s="34" t="s">
        <v>104</v>
      </c>
      <c r="AH39" s="34" t="s">
        <v>165</v>
      </c>
      <c r="AI39" s="34" t="s">
        <v>465</v>
      </c>
      <c r="AJ39" s="34" t="s">
        <v>465</v>
      </c>
      <c r="AK39" s="34" t="s">
        <v>693</v>
      </c>
      <c r="AL39" s="34" t="s">
        <v>128</v>
      </c>
      <c r="AM39" s="34" t="s">
        <v>129</v>
      </c>
      <c r="AN39" s="34" t="s">
        <v>694</v>
      </c>
      <c r="AO39" s="39"/>
      <c r="AP39" s="34" t="s">
        <v>184</v>
      </c>
      <c r="AQ39" s="40" t="s">
        <v>695</v>
      </c>
      <c r="AR39" s="40" t="s">
        <v>201</v>
      </c>
      <c r="AS39" s="41" t="s">
        <v>4124</v>
      </c>
    </row>
    <row r="40">
      <c r="A40" s="32">
        <v>84.0</v>
      </c>
      <c r="B40" s="33">
        <v>3.64025658E8</v>
      </c>
      <c r="C40" s="34" t="s">
        <v>697</v>
      </c>
      <c r="D40" s="34" t="s">
        <v>698</v>
      </c>
      <c r="E40" s="38" t="s">
        <v>699</v>
      </c>
      <c r="F40" s="34" t="s">
        <v>273</v>
      </c>
      <c r="G40" s="38" t="s">
        <v>700</v>
      </c>
      <c r="H40" s="36">
        <v>1997.0</v>
      </c>
      <c r="I40" s="34" t="s">
        <v>136</v>
      </c>
      <c r="J40" s="34" t="s">
        <v>55</v>
      </c>
      <c r="K40" s="34" t="s">
        <v>57</v>
      </c>
      <c r="L40" s="34" t="s">
        <v>57</v>
      </c>
      <c r="M40" s="34" t="s">
        <v>273</v>
      </c>
      <c r="N40" s="34" t="s">
        <v>701</v>
      </c>
      <c r="O40" s="34" t="s">
        <v>702</v>
      </c>
      <c r="P40" s="34" t="s">
        <v>93</v>
      </c>
      <c r="Q40" s="34" t="s">
        <v>57</v>
      </c>
      <c r="R40" s="34" t="s">
        <v>57</v>
      </c>
      <c r="S40" s="34" t="s">
        <v>63</v>
      </c>
      <c r="T40" s="34" t="s">
        <v>229</v>
      </c>
      <c r="U40" s="34" t="s">
        <v>703</v>
      </c>
      <c r="V40" s="34" t="s">
        <v>66</v>
      </c>
      <c r="W40" s="34" t="s">
        <v>704</v>
      </c>
      <c r="X40" s="46" t="s">
        <v>705</v>
      </c>
      <c r="Y40" s="34" t="s">
        <v>74</v>
      </c>
      <c r="Z40" s="34" t="s">
        <v>57</v>
      </c>
      <c r="AA40" s="34">
        <v>1992.0</v>
      </c>
      <c r="AB40" s="34">
        <v>1994.0</v>
      </c>
      <c r="AC40" s="34" t="s">
        <v>57</v>
      </c>
      <c r="AD40" s="34" t="s">
        <v>57</v>
      </c>
      <c r="AE40" s="34" t="s">
        <v>57</v>
      </c>
      <c r="AF40" s="34" t="s">
        <v>74</v>
      </c>
      <c r="AG40" s="34" t="s">
        <v>215</v>
      </c>
      <c r="AH40" s="34" t="s">
        <v>498</v>
      </c>
      <c r="AI40" s="34" t="s">
        <v>706</v>
      </c>
      <c r="AJ40" s="34" t="s">
        <v>107</v>
      </c>
      <c r="AK40" s="34" t="s">
        <v>707</v>
      </c>
      <c r="AL40" s="34" t="s">
        <v>79</v>
      </c>
      <c r="AM40" s="34" t="s">
        <v>57</v>
      </c>
      <c r="AN40" s="34" t="s">
        <v>57</v>
      </c>
      <c r="AO40" s="39"/>
      <c r="AP40" s="34" t="s">
        <v>109</v>
      </c>
      <c r="AQ40" s="40" t="s">
        <v>708</v>
      </c>
      <c r="AR40" s="40" t="s">
        <v>201</v>
      </c>
      <c r="AS40" s="41" t="s">
        <v>709</v>
      </c>
    </row>
    <row r="41">
      <c r="A41" s="32">
        <v>85.0</v>
      </c>
      <c r="B41" s="33">
        <v>3.64025679E8</v>
      </c>
      <c r="C41" s="34" t="s">
        <v>710</v>
      </c>
      <c r="D41" s="34" t="s">
        <v>711</v>
      </c>
      <c r="E41" s="34" t="s">
        <v>712</v>
      </c>
      <c r="F41" s="34" t="s">
        <v>114</v>
      </c>
      <c r="G41" s="34" t="s">
        <v>713</v>
      </c>
      <c r="H41" s="36">
        <v>2005.0</v>
      </c>
      <c r="I41" s="34" t="s">
        <v>136</v>
      </c>
      <c r="J41" s="34" t="s">
        <v>55</v>
      </c>
      <c r="K41" s="34" t="s">
        <v>714</v>
      </c>
      <c r="L41" s="34" t="s">
        <v>57</v>
      </c>
      <c r="M41" s="34" t="s">
        <v>114</v>
      </c>
      <c r="N41" s="34" t="s">
        <v>715</v>
      </c>
      <c r="O41" s="34" t="s">
        <v>716</v>
      </c>
      <c r="P41" s="34" t="s">
        <v>93</v>
      </c>
      <c r="Q41" s="34" t="s">
        <v>57</v>
      </c>
      <c r="R41" s="34" t="s">
        <v>57</v>
      </c>
      <c r="S41" s="34" t="s">
        <v>63</v>
      </c>
      <c r="T41" s="34" t="s">
        <v>161</v>
      </c>
      <c r="U41" s="34" t="s">
        <v>717</v>
      </c>
      <c r="V41" s="34" t="s">
        <v>99</v>
      </c>
      <c r="W41" s="34" t="s">
        <v>718</v>
      </c>
      <c r="X41" s="37" t="s">
        <v>719</v>
      </c>
      <c r="Y41" s="34" t="s">
        <v>74</v>
      </c>
      <c r="Z41" s="34" t="s">
        <v>57</v>
      </c>
      <c r="AA41" s="34">
        <v>2001.0</v>
      </c>
      <c r="AB41" s="34">
        <v>2001.0</v>
      </c>
      <c r="AC41" s="34" t="s">
        <v>103</v>
      </c>
      <c r="AD41" s="34" t="s">
        <v>72</v>
      </c>
      <c r="AE41" s="34" t="s">
        <v>74</v>
      </c>
      <c r="AF41" s="34" t="s">
        <v>69</v>
      </c>
      <c r="AG41" s="34" t="s">
        <v>104</v>
      </c>
      <c r="AH41" s="34" t="s">
        <v>498</v>
      </c>
      <c r="AI41" s="34" t="s">
        <v>720</v>
      </c>
      <c r="AJ41" s="34" t="s">
        <v>147</v>
      </c>
      <c r="AK41" s="34" t="s">
        <v>721</v>
      </c>
      <c r="AL41" s="34" t="s">
        <v>128</v>
      </c>
      <c r="AM41" s="34" t="s">
        <v>129</v>
      </c>
      <c r="AN41" s="34" t="s">
        <v>722</v>
      </c>
      <c r="AO41" s="39"/>
      <c r="AP41" s="34" t="s">
        <v>184</v>
      </c>
      <c r="AQ41" s="40" t="s">
        <v>723</v>
      </c>
      <c r="AR41" s="40" t="s">
        <v>201</v>
      </c>
      <c r="AS41" s="41" t="s">
        <v>724</v>
      </c>
    </row>
    <row r="42">
      <c r="A42" s="32">
        <v>86.0</v>
      </c>
      <c r="B42" s="33">
        <v>3.64025683E8</v>
      </c>
      <c r="C42" s="34" t="s">
        <v>725</v>
      </c>
      <c r="D42" s="34" t="s">
        <v>726</v>
      </c>
      <c r="E42" s="38" t="s">
        <v>727</v>
      </c>
      <c r="F42" s="34" t="s">
        <v>114</v>
      </c>
      <c r="G42" s="38" t="s">
        <v>728</v>
      </c>
      <c r="H42" s="36">
        <v>2011.0</v>
      </c>
      <c r="I42" s="34" t="s">
        <v>729</v>
      </c>
      <c r="J42" s="34" t="s">
        <v>730</v>
      </c>
      <c r="K42" s="34" t="s">
        <v>731</v>
      </c>
      <c r="L42" s="34" t="s">
        <v>57</v>
      </c>
      <c r="M42" s="34" t="s">
        <v>114</v>
      </c>
      <c r="N42" s="34" t="s">
        <v>732</v>
      </c>
      <c r="O42" s="34" t="s">
        <v>733</v>
      </c>
      <c r="P42" s="34" t="s">
        <v>93</v>
      </c>
      <c r="Q42" s="34" t="s">
        <v>734</v>
      </c>
      <c r="R42" s="34" t="s">
        <v>735</v>
      </c>
      <c r="S42" s="34" t="s">
        <v>96</v>
      </c>
      <c r="T42" s="34" t="s">
        <v>161</v>
      </c>
      <c r="U42" s="34" t="s">
        <v>736</v>
      </c>
      <c r="V42" s="34" t="s">
        <v>99</v>
      </c>
      <c r="W42" s="34" t="s">
        <v>100</v>
      </c>
      <c r="X42" s="37" t="s">
        <v>100</v>
      </c>
      <c r="Y42" s="34" t="s">
        <v>74</v>
      </c>
      <c r="Z42" s="34" t="s">
        <v>57</v>
      </c>
      <c r="AA42" s="34">
        <v>2009.0</v>
      </c>
      <c r="AB42" s="34">
        <v>2009.0</v>
      </c>
      <c r="AC42" s="34" t="s">
        <v>102</v>
      </c>
      <c r="AD42" s="34" t="s">
        <v>403</v>
      </c>
      <c r="AE42" s="34" t="s">
        <v>69</v>
      </c>
      <c r="AF42" s="34" t="s">
        <v>74</v>
      </c>
      <c r="AG42" s="34" t="s">
        <v>215</v>
      </c>
      <c r="AH42" s="34" t="s">
        <v>659</v>
      </c>
      <c r="AI42" s="34" t="s">
        <v>660</v>
      </c>
      <c r="AJ42" s="34" t="s">
        <v>107</v>
      </c>
      <c r="AK42" s="34" t="s">
        <v>737</v>
      </c>
      <c r="AL42" s="34" t="s">
        <v>128</v>
      </c>
      <c r="AM42" s="34" t="s">
        <v>129</v>
      </c>
      <c r="AN42" s="34" t="s">
        <v>738</v>
      </c>
      <c r="AO42" s="39"/>
      <c r="AP42" s="34" t="s">
        <v>109</v>
      </c>
      <c r="AQ42" s="40" t="s">
        <v>739</v>
      </c>
      <c r="AR42" s="40" t="s">
        <v>201</v>
      </c>
      <c r="AS42" s="41" t="s">
        <v>740</v>
      </c>
    </row>
    <row r="43">
      <c r="A43" s="32">
        <v>87.0</v>
      </c>
      <c r="B43" s="33">
        <v>3.64025685E8</v>
      </c>
      <c r="C43" s="34" t="s">
        <v>741</v>
      </c>
      <c r="D43" s="34" t="s">
        <v>742</v>
      </c>
      <c r="E43" s="38" t="s">
        <v>743</v>
      </c>
      <c r="F43" s="34" t="s">
        <v>114</v>
      </c>
      <c r="G43" s="38" t="s">
        <v>744</v>
      </c>
      <c r="H43" s="36">
        <v>2006.0</v>
      </c>
      <c r="I43" s="34" t="s">
        <v>745</v>
      </c>
      <c r="J43" s="34" t="s">
        <v>730</v>
      </c>
      <c r="K43" s="34" t="s">
        <v>746</v>
      </c>
      <c r="L43" s="34" t="s">
        <v>57</v>
      </c>
      <c r="M43" s="34" t="s">
        <v>114</v>
      </c>
      <c r="N43" s="34" t="s">
        <v>747</v>
      </c>
      <c r="O43" s="34" t="s">
        <v>748</v>
      </c>
      <c r="P43" s="34" t="s">
        <v>93</v>
      </c>
      <c r="Q43" s="34" t="s">
        <v>57</v>
      </c>
      <c r="R43" s="34" t="s">
        <v>57</v>
      </c>
      <c r="S43" s="34" t="s">
        <v>96</v>
      </c>
      <c r="T43" s="34" t="s">
        <v>749</v>
      </c>
      <c r="U43" s="34" t="s">
        <v>750</v>
      </c>
      <c r="V43" s="34" t="s">
        <v>66</v>
      </c>
      <c r="W43" s="34" t="s">
        <v>751</v>
      </c>
      <c r="X43" s="37" t="s">
        <v>752</v>
      </c>
      <c r="Y43" s="34" t="s">
        <v>74</v>
      </c>
      <c r="Z43" s="34" t="s">
        <v>57</v>
      </c>
      <c r="AA43" s="34">
        <v>2001.0</v>
      </c>
      <c r="AB43" s="34">
        <v>2002.0</v>
      </c>
      <c r="AC43" s="34" t="s">
        <v>144</v>
      </c>
      <c r="AD43" s="34" t="s">
        <v>370</v>
      </c>
      <c r="AE43" s="34" t="s">
        <v>69</v>
      </c>
      <c r="AF43" s="34" t="s">
        <v>74</v>
      </c>
      <c r="AG43" s="34" t="s">
        <v>215</v>
      </c>
      <c r="AH43" s="34" t="s">
        <v>105</v>
      </c>
      <c r="AI43" s="34" t="s">
        <v>166</v>
      </c>
      <c r="AJ43" s="34" t="s">
        <v>166</v>
      </c>
      <c r="AK43" s="34" t="s">
        <v>753</v>
      </c>
      <c r="AL43" s="34" t="s">
        <v>128</v>
      </c>
      <c r="AM43" s="34" t="s">
        <v>129</v>
      </c>
      <c r="AN43" s="34" t="s">
        <v>754</v>
      </c>
      <c r="AO43" s="39"/>
      <c r="AP43" s="34" t="s">
        <v>109</v>
      </c>
      <c r="AQ43" s="40" t="s">
        <v>755</v>
      </c>
      <c r="AR43" s="40" t="s">
        <v>201</v>
      </c>
      <c r="AS43" s="41" t="s">
        <v>756</v>
      </c>
    </row>
    <row r="44">
      <c r="A44" s="32">
        <v>88.0</v>
      </c>
      <c r="B44" s="33">
        <v>3.64025665E8</v>
      </c>
      <c r="C44" s="34" t="s">
        <v>757</v>
      </c>
      <c r="D44" s="34" t="s">
        <v>758</v>
      </c>
      <c r="E44" s="38" t="s">
        <v>759</v>
      </c>
      <c r="F44" s="34" t="s">
        <v>760</v>
      </c>
      <c r="G44" s="38" t="s">
        <v>761</v>
      </c>
      <c r="H44" s="36">
        <v>2013.0</v>
      </c>
      <c r="I44" s="38" t="s">
        <v>762</v>
      </c>
      <c r="J44" s="34" t="s">
        <v>730</v>
      </c>
      <c r="K44" s="34" t="s">
        <v>763</v>
      </c>
      <c r="L44" s="34" t="s">
        <v>57</v>
      </c>
      <c r="M44" s="34" t="s">
        <v>760</v>
      </c>
      <c r="N44" s="34" t="s">
        <v>764</v>
      </c>
      <c r="O44" s="34" t="s">
        <v>765</v>
      </c>
      <c r="P44" s="34" t="s">
        <v>93</v>
      </c>
      <c r="Q44" s="34" t="s">
        <v>57</v>
      </c>
      <c r="R44" s="34" t="s">
        <v>57</v>
      </c>
      <c r="S44" s="34" t="s">
        <v>96</v>
      </c>
      <c r="T44" s="34" t="s">
        <v>766</v>
      </c>
      <c r="U44" s="34" t="s">
        <v>767</v>
      </c>
      <c r="V44" s="34" t="s">
        <v>66</v>
      </c>
      <c r="W44" s="34" t="s">
        <v>768</v>
      </c>
      <c r="X44" s="46" t="s">
        <v>769</v>
      </c>
      <c r="Y44" s="34" t="s">
        <v>74</v>
      </c>
      <c r="Z44" s="34" t="s">
        <v>57</v>
      </c>
      <c r="AA44" s="34">
        <v>2006.0</v>
      </c>
      <c r="AB44" s="34">
        <v>2010.0</v>
      </c>
      <c r="AC44" s="34" t="s">
        <v>57</v>
      </c>
      <c r="AD44" s="34" t="s">
        <v>57</v>
      </c>
      <c r="AE44" s="34" t="s">
        <v>69</v>
      </c>
      <c r="AF44" s="34" t="s">
        <v>74</v>
      </c>
      <c r="AG44" s="34" t="s">
        <v>104</v>
      </c>
      <c r="AH44" s="34" t="s">
        <v>770</v>
      </c>
      <c r="AI44" s="34" t="s">
        <v>771</v>
      </c>
      <c r="AJ44" s="34" t="s">
        <v>107</v>
      </c>
      <c r="AK44" s="34" t="s">
        <v>772</v>
      </c>
      <c r="AL44" s="34" t="s">
        <v>79</v>
      </c>
      <c r="AM44" s="34" t="s">
        <v>57</v>
      </c>
      <c r="AN44" s="34" t="s">
        <v>57</v>
      </c>
      <c r="AO44" s="39"/>
      <c r="AP44" s="34" t="s">
        <v>109</v>
      </c>
      <c r="AQ44" s="40" t="s">
        <v>773</v>
      </c>
      <c r="AR44" s="40" t="s">
        <v>201</v>
      </c>
      <c r="AS44" s="41" t="s">
        <v>774</v>
      </c>
    </row>
    <row r="45">
      <c r="A45" s="32">
        <v>96.0</v>
      </c>
      <c r="B45" s="33">
        <v>3.64025694E8</v>
      </c>
      <c r="C45" s="34" t="s">
        <v>775</v>
      </c>
      <c r="D45" s="34" t="s">
        <v>776</v>
      </c>
      <c r="E45" s="38" t="s">
        <v>777</v>
      </c>
      <c r="F45" s="34" t="s">
        <v>87</v>
      </c>
      <c r="G45" s="38" t="s">
        <v>778</v>
      </c>
      <c r="H45" s="36">
        <v>2017.0</v>
      </c>
      <c r="I45" s="34" t="s">
        <v>779</v>
      </c>
      <c r="J45" s="34" t="s">
        <v>730</v>
      </c>
      <c r="K45" s="34" t="s">
        <v>780</v>
      </c>
      <c r="L45" s="34" t="s">
        <v>57</v>
      </c>
      <c r="M45" s="34" t="s">
        <v>87</v>
      </c>
      <c r="N45" s="34" t="s">
        <v>781</v>
      </c>
      <c r="O45" s="34" t="s">
        <v>782</v>
      </c>
      <c r="P45" s="34" t="s">
        <v>93</v>
      </c>
      <c r="Q45" s="38" t="s">
        <v>783</v>
      </c>
      <c r="R45" s="38" t="s">
        <v>784</v>
      </c>
      <c r="S45" s="34" t="s">
        <v>96</v>
      </c>
      <c r="T45" s="34" t="s">
        <v>229</v>
      </c>
      <c r="U45" s="34" t="s">
        <v>785</v>
      </c>
      <c r="V45" s="34" t="s">
        <v>99</v>
      </c>
      <c r="W45" s="34" t="s">
        <v>786</v>
      </c>
      <c r="X45" s="46" t="s">
        <v>787</v>
      </c>
      <c r="Y45" s="34" t="s">
        <v>74</v>
      </c>
      <c r="Z45" s="34" t="s">
        <v>57</v>
      </c>
      <c r="AA45" s="34">
        <v>2014.0</v>
      </c>
      <c r="AB45" s="34">
        <v>2015.0</v>
      </c>
      <c r="AC45" s="34" t="s">
        <v>144</v>
      </c>
      <c r="AD45" s="34" t="s">
        <v>71</v>
      </c>
      <c r="AE45" s="34" t="s">
        <v>69</v>
      </c>
      <c r="AF45" s="34" t="s">
        <v>69</v>
      </c>
      <c r="AG45" s="34" t="s">
        <v>215</v>
      </c>
      <c r="AH45" s="34" t="s">
        <v>285</v>
      </c>
      <c r="AI45" s="34" t="s">
        <v>431</v>
      </c>
      <c r="AJ45" s="34" t="s">
        <v>788</v>
      </c>
      <c r="AK45" s="34" t="s">
        <v>789</v>
      </c>
      <c r="AL45" s="34" t="s">
        <v>128</v>
      </c>
      <c r="AM45" s="34" t="s">
        <v>129</v>
      </c>
      <c r="AN45" s="34" t="s">
        <v>790</v>
      </c>
      <c r="AO45" s="39"/>
      <c r="AP45" s="34" t="s">
        <v>109</v>
      </c>
      <c r="AQ45" s="40" t="s">
        <v>791</v>
      </c>
      <c r="AR45" s="40" t="s">
        <v>201</v>
      </c>
      <c r="AS45" s="44"/>
    </row>
    <row r="46">
      <c r="A46" s="32">
        <v>97.0</v>
      </c>
      <c r="B46" s="33">
        <v>3.64026721E8</v>
      </c>
      <c r="C46" s="34" t="s">
        <v>792</v>
      </c>
      <c r="D46" s="34" t="s">
        <v>793</v>
      </c>
      <c r="E46" s="34" t="s">
        <v>794</v>
      </c>
      <c r="F46" s="34" t="s">
        <v>87</v>
      </c>
      <c r="G46" s="34" t="s">
        <v>795</v>
      </c>
      <c r="H46" s="36">
        <v>2016.0</v>
      </c>
      <c r="I46" s="34" t="s">
        <v>796</v>
      </c>
      <c r="J46" s="34" t="s">
        <v>730</v>
      </c>
      <c r="K46" s="34" t="s">
        <v>797</v>
      </c>
      <c r="L46" s="34" t="s">
        <v>57</v>
      </c>
      <c r="M46" s="34" t="s">
        <v>87</v>
      </c>
      <c r="N46" s="34" t="s">
        <v>798</v>
      </c>
      <c r="O46" s="34" t="s">
        <v>799</v>
      </c>
      <c r="P46" s="34" t="s">
        <v>93</v>
      </c>
      <c r="Q46" s="34" t="s">
        <v>800</v>
      </c>
      <c r="R46" s="34" t="s">
        <v>801</v>
      </c>
      <c r="S46" s="34" t="s">
        <v>96</v>
      </c>
      <c r="T46" s="34" t="s">
        <v>802</v>
      </c>
      <c r="U46" s="34" t="s">
        <v>803</v>
      </c>
      <c r="V46" s="34" t="s">
        <v>99</v>
      </c>
      <c r="W46" s="34" t="s">
        <v>804</v>
      </c>
      <c r="X46" s="37" t="s">
        <v>804</v>
      </c>
      <c r="Y46" s="34" t="s">
        <v>69</v>
      </c>
      <c r="Z46" s="34" t="s">
        <v>805</v>
      </c>
      <c r="AA46" s="34">
        <v>2011.0</v>
      </c>
      <c r="AB46" s="34">
        <v>2011.0</v>
      </c>
      <c r="AC46" s="34" t="s">
        <v>144</v>
      </c>
      <c r="AD46" s="34" t="s">
        <v>370</v>
      </c>
      <c r="AE46" s="34" t="s">
        <v>69</v>
      </c>
      <c r="AF46" s="34" t="s">
        <v>69</v>
      </c>
      <c r="AG46" s="34" t="s">
        <v>104</v>
      </c>
      <c r="AH46" s="34" t="s">
        <v>105</v>
      </c>
      <c r="AI46" s="34" t="s">
        <v>106</v>
      </c>
      <c r="AJ46" s="34" t="s">
        <v>107</v>
      </c>
      <c r="AK46" s="34" t="s">
        <v>806</v>
      </c>
      <c r="AL46" s="34" t="s">
        <v>128</v>
      </c>
      <c r="AM46" s="34" t="s">
        <v>129</v>
      </c>
      <c r="AN46" s="34" t="s">
        <v>807</v>
      </c>
      <c r="AO46" s="39"/>
      <c r="AP46" s="34" t="s">
        <v>184</v>
      </c>
      <c r="AQ46" s="40" t="s">
        <v>808</v>
      </c>
      <c r="AR46" s="96"/>
      <c r="AS46" s="41" t="s">
        <v>809</v>
      </c>
    </row>
    <row r="47">
      <c r="A47" s="32">
        <v>98.0</v>
      </c>
      <c r="B47" s="33">
        <v>3.64025792E8</v>
      </c>
      <c r="C47" s="34" t="s">
        <v>810</v>
      </c>
      <c r="D47" s="34" t="s">
        <v>811</v>
      </c>
      <c r="E47" s="38" t="s">
        <v>812</v>
      </c>
      <c r="F47" s="34" t="s">
        <v>489</v>
      </c>
      <c r="G47" s="38" t="s">
        <v>813</v>
      </c>
      <c r="H47" s="36">
        <v>2007.0</v>
      </c>
      <c r="I47" s="34" t="s">
        <v>295</v>
      </c>
      <c r="J47" s="34" t="s">
        <v>730</v>
      </c>
      <c r="K47" s="34" t="s">
        <v>814</v>
      </c>
      <c r="L47" s="34" t="s">
        <v>57</v>
      </c>
      <c r="M47" s="34" t="s">
        <v>489</v>
      </c>
      <c r="N47" s="34" t="s">
        <v>815</v>
      </c>
      <c r="O47" s="34" t="s">
        <v>816</v>
      </c>
      <c r="P47" s="34" t="s">
        <v>93</v>
      </c>
      <c r="Q47" s="34" t="s">
        <v>57</v>
      </c>
      <c r="R47" s="34" t="s">
        <v>57</v>
      </c>
      <c r="S47" s="34" t="s">
        <v>63</v>
      </c>
      <c r="T47" s="34" t="s">
        <v>210</v>
      </c>
      <c r="U47" s="34" t="s">
        <v>817</v>
      </c>
      <c r="V47" s="34" t="s">
        <v>66</v>
      </c>
      <c r="W47" s="34" t="s">
        <v>818</v>
      </c>
      <c r="X47" s="37" t="s">
        <v>819</v>
      </c>
      <c r="Y47" s="34" t="s">
        <v>74</v>
      </c>
      <c r="Z47" s="34" t="s">
        <v>57</v>
      </c>
      <c r="AA47" s="34">
        <v>2004.0</v>
      </c>
      <c r="AB47" s="34">
        <v>2004.0</v>
      </c>
      <c r="AC47" s="34" t="s">
        <v>542</v>
      </c>
      <c r="AD47" s="34" t="s">
        <v>71</v>
      </c>
      <c r="AE47" s="34" t="s">
        <v>69</v>
      </c>
      <c r="AF47" s="34" t="s">
        <v>74</v>
      </c>
      <c r="AG47" s="34" t="s">
        <v>215</v>
      </c>
      <c r="AH47" s="34" t="s">
        <v>498</v>
      </c>
      <c r="AI47" s="34" t="s">
        <v>820</v>
      </c>
      <c r="AJ47" s="34" t="s">
        <v>107</v>
      </c>
      <c r="AK47" s="34" t="s">
        <v>821</v>
      </c>
      <c r="AL47" s="34" t="s">
        <v>128</v>
      </c>
      <c r="AM47" s="34" t="s">
        <v>129</v>
      </c>
      <c r="AN47" s="38" t="s">
        <v>822</v>
      </c>
      <c r="AO47" s="39"/>
      <c r="AP47" s="34" t="s">
        <v>109</v>
      </c>
      <c r="AQ47" s="40" t="s">
        <v>4125</v>
      </c>
      <c r="AR47" s="40" t="s">
        <v>201</v>
      </c>
      <c r="AS47" s="41" t="s">
        <v>4126</v>
      </c>
    </row>
    <row r="48">
      <c r="A48" s="32">
        <v>99.0</v>
      </c>
      <c r="B48" s="33">
        <v>3.64025832E8</v>
      </c>
      <c r="C48" s="34" t="s">
        <v>825</v>
      </c>
      <c r="D48" s="34" t="s">
        <v>826</v>
      </c>
      <c r="E48" s="38" t="s">
        <v>827</v>
      </c>
      <c r="F48" s="34" t="s">
        <v>273</v>
      </c>
      <c r="G48" s="38" t="s">
        <v>828</v>
      </c>
      <c r="H48" s="36">
        <v>2002.0</v>
      </c>
      <c r="I48" s="34" t="s">
        <v>829</v>
      </c>
      <c r="J48" s="34" t="s">
        <v>730</v>
      </c>
      <c r="K48" s="34" t="s">
        <v>276</v>
      </c>
      <c r="L48" s="34" t="s">
        <v>57</v>
      </c>
      <c r="M48" s="34" t="s">
        <v>273</v>
      </c>
      <c r="N48" s="34" t="s">
        <v>277</v>
      </c>
      <c r="O48" s="34" t="s">
        <v>830</v>
      </c>
      <c r="P48" s="34" t="s">
        <v>93</v>
      </c>
      <c r="Q48" s="34" t="s">
        <v>57</v>
      </c>
      <c r="R48" s="34" t="s">
        <v>57</v>
      </c>
      <c r="S48" s="34" t="s">
        <v>96</v>
      </c>
      <c r="T48" s="34" t="s">
        <v>831</v>
      </c>
      <c r="U48" s="34" t="s">
        <v>832</v>
      </c>
      <c r="V48" s="34" t="s">
        <v>99</v>
      </c>
      <c r="W48" s="34" t="s">
        <v>833</v>
      </c>
      <c r="X48" s="37" t="s">
        <v>834</v>
      </c>
      <c r="Y48" s="34" t="s">
        <v>74</v>
      </c>
      <c r="Z48" s="34" t="s">
        <v>57</v>
      </c>
      <c r="AA48" s="34">
        <v>1998.0</v>
      </c>
      <c r="AB48" s="34">
        <v>1998.0</v>
      </c>
      <c r="AC48" s="34" t="s">
        <v>57</v>
      </c>
      <c r="AD48" s="34" t="s">
        <v>57</v>
      </c>
      <c r="AE48" s="34" t="s">
        <v>69</v>
      </c>
      <c r="AF48" s="34" t="s">
        <v>74</v>
      </c>
      <c r="AG48" s="34" t="s">
        <v>104</v>
      </c>
      <c r="AH48" s="34" t="s">
        <v>105</v>
      </c>
      <c r="AI48" s="34" t="s">
        <v>835</v>
      </c>
      <c r="AJ48" s="34" t="s">
        <v>107</v>
      </c>
      <c r="AK48" s="34" t="s">
        <v>836</v>
      </c>
      <c r="AL48" s="34" t="s">
        <v>79</v>
      </c>
      <c r="AM48" s="34" t="s">
        <v>57</v>
      </c>
      <c r="AN48" s="34" t="s">
        <v>57</v>
      </c>
      <c r="AO48" s="39"/>
      <c r="AP48" s="34" t="s">
        <v>109</v>
      </c>
      <c r="AQ48" s="40" t="s">
        <v>837</v>
      </c>
      <c r="AR48" s="40" t="s">
        <v>201</v>
      </c>
      <c r="AS48" s="41" t="s">
        <v>838</v>
      </c>
    </row>
    <row r="49">
      <c r="A49" s="32">
        <v>100.0</v>
      </c>
      <c r="B49" s="33">
        <v>3.64026742E8</v>
      </c>
      <c r="C49" s="34" t="s">
        <v>839</v>
      </c>
      <c r="D49" s="34" t="s">
        <v>840</v>
      </c>
      <c r="E49" s="34" t="s">
        <v>841</v>
      </c>
      <c r="F49" s="34" t="s">
        <v>842</v>
      </c>
      <c r="G49" s="34" t="s">
        <v>843</v>
      </c>
      <c r="H49" s="36">
        <v>2010.0</v>
      </c>
      <c r="I49" s="34" t="s">
        <v>844</v>
      </c>
      <c r="J49" s="34" t="s">
        <v>55</v>
      </c>
      <c r="K49" s="34" t="s">
        <v>845</v>
      </c>
      <c r="L49" s="34" t="s">
        <v>57</v>
      </c>
      <c r="M49" s="34" t="s">
        <v>842</v>
      </c>
      <c r="N49" s="34" t="s">
        <v>846</v>
      </c>
      <c r="O49" s="34" t="s">
        <v>847</v>
      </c>
      <c r="P49" s="34" t="s">
        <v>93</v>
      </c>
      <c r="Q49" s="34" t="s">
        <v>57</v>
      </c>
      <c r="R49" s="34" t="s">
        <v>57</v>
      </c>
      <c r="S49" s="34" t="s">
        <v>301</v>
      </c>
      <c r="T49" s="34" t="s">
        <v>848</v>
      </c>
      <c r="U49" s="34" t="s">
        <v>849</v>
      </c>
      <c r="V49" s="34" t="s">
        <v>99</v>
      </c>
      <c r="W49" s="34" t="s">
        <v>804</v>
      </c>
      <c r="X49" s="37" t="s">
        <v>804</v>
      </c>
      <c r="Y49" s="34" t="s">
        <v>69</v>
      </c>
      <c r="Z49" s="34" t="s">
        <v>850</v>
      </c>
      <c r="AA49" s="34">
        <v>2006.0</v>
      </c>
      <c r="AB49" s="34">
        <v>2008.0</v>
      </c>
      <c r="AC49" s="34" t="s">
        <v>103</v>
      </c>
      <c r="AD49" s="34" t="s">
        <v>180</v>
      </c>
      <c r="AE49" s="34" t="s">
        <v>69</v>
      </c>
      <c r="AF49" s="34" t="s">
        <v>69</v>
      </c>
      <c r="AG49" s="34" t="s">
        <v>104</v>
      </c>
      <c r="AH49" s="34" t="s">
        <v>851</v>
      </c>
      <c r="AI49" s="34" t="s">
        <v>852</v>
      </c>
      <c r="AJ49" s="34" t="s">
        <v>147</v>
      </c>
      <c r="AK49" s="34" t="s">
        <v>853</v>
      </c>
      <c r="AL49" s="34" t="s">
        <v>79</v>
      </c>
      <c r="AM49" s="34" t="s">
        <v>57</v>
      </c>
      <c r="AN49" s="34" t="s">
        <v>57</v>
      </c>
      <c r="AO49" s="39"/>
      <c r="AP49" s="34" t="s">
        <v>81</v>
      </c>
      <c r="AQ49" s="40" t="s">
        <v>854</v>
      </c>
      <c r="AR49" s="40" t="s">
        <v>201</v>
      </c>
      <c r="AS49" s="41" t="s">
        <v>4127</v>
      </c>
    </row>
    <row r="50">
      <c r="A50" s="32">
        <v>101.0</v>
      </c>
      <c r="B50" s="33">
        <v>3.64026452E8</v>
      </c>
      <c r="C50" s="34" t="s">
        <v>856</v>
      </c>
      <c r="D50" s="34" t="s">
        <v>857</v>
      </c>
      <c r="E50" s="34" t="s">
        <v>858</v>
      </c>
      <c r="F50" s="34" t="s">
        <v>859</v>
      </c>
      <c r="G50" s="38" t="s">
        <v>860</v>
      </c>
      <c r="H50" s="36">
        <v>2015.0</v>
      </c>
      <c r="I50" s="34" t="s">
        <v>796</v>
      </c>
      <c r="J50" s="34" t="s">
        <v>55</v>
      </c>
      <c r="K50" s="34" t="s">
        <v>861</v>
      </c>
      <c r="L50" s="34" t="s">
        <v>57</v>
      </c>
      <c r="M50" s="34" t="s">
        <v>859</v>
      </c>
      <c r="N50" s="34" t="s">
        <v>862</v>
      </c>
      <c r="O50" s="34" t="s">
        <v>863</v>
      </c>
      <c r="P50" s="34" t="s">
        <v>93</v>
      </c>
      <c r="Q50" s="34" t="s">
        <v>864</v>
      </c>
      <c r="R50" s="34" t="s">
        <v>865</v>
      </c>
      <c r="S50" s="34" t="s">
        <v>63</v>
      </c>
      <c r="T50" s="34" t="s">
        <v>866</v>
      </c>
      <c r="U50" s="34" t="s">
        <v>867</v>
      </c>
      <c r="V50" s="34" t="s">
        <v>99</v>
      </c>
      <c r="W50" s="34" t="s">
        <v>100</v>
      </c>
      <c r="X50" s="37" t="s">
        <v>100</v>
      </c>
      <c r="Y50" s="34" t="s">
        <v>74</v>
      </c>
      <c r="Z50" s="34" t="s">
        <v>57</v>
      </c>
      <c r="AA50" s="34">
        <v>2012.0</v>
      </c>
      <c r="AB50" s="34">
        <v>2012.0</v>
      </c>
      <c r="AC50" s="34" t="s">
        <v>144</v>
      </c>
      <c r="AD50" s="34" t="s">
        <v>692</v>
      </c>
      <c r="AE50" s="34" t="s">
        <v>74</v>
      </c>
      <c r="AF50" s="34" t="s">
        <v>69</v>
      </c>
      <c r="AG50" s="34" t="s">
        <v>104</v>
      </c>
      <c r="AH50" s="34" t="s">
        <v>851</v>
      </c>
      <c r="AI50" s="34" t="s">
        <v>166</v>
      </c>
      <c r="AJ50" s="34" t="s">
        <v>166</v>
      </c>
      <c r="AK50" s="34" t="s">
        <v>868</v>
      </c>
      <c r="AL50" s="34" t="s">
        <v>128</v>
      </c>
      <c r="AM50" s="34" t="s">
        <v>129</v>
      </c>
      <c r="AN50" s="34" t="s">
        <v>869</v>
      </c>
      <c r="AO50" s="39"/>
      <c r="AP50" s="34" t="s">
        <v>81</v>
      </c>
      <c r="AQ50" s="40" t="s">
        <v>870</v>
      </c>
      <c r="AR50" s="40" t="s">
        <v>201</v>
      </c>
      <c r="AS50" s="41" t="s">
        <v>871</v>
      </c>
    </row>
    <row r="51">
      <c r="A51" s="32">
        <v>103.0</v>
      </c>
      <c r="B51" s="33">
        <v>3.64026356E8</v>
      </c>
      <c r="C51" s="34" t="s">
        <v>872</v>
      </c>
      <c r="D51" s="34" t="s">
        <v>873</v>
      </c>
      <c r="E51" s="34" t="s">
        <v>874</v>
      </c>
      <c r="F51" s="34" t="s">
        <v>859</v>
      </c>
      <c r="G51" s="34" t="s">
        <v>875</v>
      </c>
      <c r="H51" s="36">
        <v>2021.0</v>
      </c>
      <c r="I51" s="34" t="s">
        <v>796</v>
      </c>
      <c r="J51" s="34" t="s">
        <v>55</v>
      </c>
      <c r="K51" s="34" t="s">
        <v>876</v>
      </c>
      <c r="L51" s="34" t="s">
        <v>57</v>
      </c>
      <c r="M51" s="34" t="s">
        <v>859</v>
      </c>
      <c r="N51" s="34" t="s">
        <v>862</v>
      </c>
      <c r="O51" s="34" t="s">
        <v>877</v>
      </c>
      <c r="P51" s="34" t="s">
        <v>93</v>
      </c>
      <c r="Q51" s="34" t="s">
        <v>57</v>
      </c>
      <c r="R51" s="34" t="s">
        <v>57</v>
      </c>
      <c r="S51" s="34" t="s">
        <v>63</v>
      </c>
      <c r="T51" s="34" t="s">
        <v>366</v>
      </c>
      <c r="U51" s="34" t="s">
        <v>878</v>
      </c>
      <c r="V51" s="34" t="s">
        <v>99</v>
      </c>
      <c r="W51" s="34" t="s">
        <v>100</v>
      </c>
      <c r="X51" s="37" t="s">
        <v>100</v>
      </c>
      <c r="Y51" s="34" t="s">
        <v>69</v>
      </c>
      <c r="Z51" s="34" t="s">
        <v>879</v>
      </c>
      <c r="AA51" s="34">
        <v>2019.0</v>
      </c>
      <c r="AB51" s="34">
        <v>2019.0</v>
      </c>
      <c r="AC51" s="34" t="s">
        <v>103</v>
      </c>
      <c r="AD51" s="34" t="s">
        <v>692</v>
      </c>
      <c r="AE51" s="34" t="s">
        <v>74</v>
      </c>
      <c r="AF51" s="34" t="s">
        <v>69</v>
      </c>
      <c r="AG51" s="34" t="s">
        <v>104</v>
      </c>
      <c r="AH51" s="34" t="s">
        <v>105</v>
      </c>
      <c r="AI51" s="34" t="s">
        <v>106</v>
      </c>
      <c r="AJ51" s="34" t="s">
        <v>107</v>
      </c>
      <c r="AK51" s="38" t="s">
        <v>880</v>
      </c>
      <c r="AL51" s="34" t="s">
        <v>79</v>
      </c>
      <c r="AM51" s="34" t="s">
        <v>57</v>
      </c>
      <c r="AN51" s="34" t="s">
        <v>57</v>
      </c>
      <c r="AO51" s="39"/>
      <c r="AP51" s="34" t="s">
        <v>81</v>
      </c>
      <c r="AQ51" s="40" t="s">
        <v>881</v>
      </c>
      <c r="AR51" s="40" t="s">
        <v>201</v>
      </c>
      <c r="AS51" s="41" t="s">
        <v>882</v>
      </c>
    </row>
    <row r="52">
      <c r="A52" s="32">
        <v>105.0</v>
      </c>
      <c r="B52" s="33">
        <v>3.64027038E8</v>
      </c>
      <c r="C52" s="34" t="s">
        <v>883</v>
      </c>
      <c r="D52" s="34" t="s">
        <v>884</v>
      </c>
      <c r="E52" s="34" t="s">
        <v>885</v>
      </c>
      <c r="F52" s="34" t="s">
        <v>886</v>
      </c>
      <c r="G52" s="34" t="s">
        <v>887</v>
      </c>
      <c r="H52" s="36">
        <v>2022.0</v>
      </c>
      <c r="I52" s="34" t="s">
        <v>888</v>
      </c>
      <c r="J52" s="34" t="s">
        <v>55</v>
      </c>
      <c r="K52" s="34" t="s">
        <v>889</v>
      </c>
      <c r="L52" s="34" t="s">
        <v>57</v>
      </c>
      <c r="M52" s="34" t="s">
        <v>886</v>
      </c>
      <c r="N52" s="34" t="s">
        <v>890</v>
      </c>
      <c r="O52" s="34" t="s">
        <v>891</v>
      </c>
      <c r="P52" s="34" t="s">
        <v>93</v>
      </c>
      <c r="Q52" s="34" t="s">
        <v>57</v>
      </c>
      <c r="R52" s="34" t="s">
        <v>57</v>
      </c>
      <c r="S52" s="34" t="s">
        <v>63</v>
      </c>
      <c r="T52" s="34" t="s">
        <v>892</v>
      </c>
      <c r="U52" s="34" t="s">
        <v>893</v>
      </c>
      <c r="V52" s="34" t="s">
        <v>99</v>
      </c>
      <c r="W52" s="34" t="s">
        <v>100</v>
      </c>
      <c r="X52" s="37" t="s">
        <v>100</v>
      </c>
      <c r="Y52" s="34" t="s">
        <v>74</v>
      </c>
      <c r="Z52" s="34" t="s">
        <v>57</v>
      </c>
      <c r="AA52" s="34">
        <v>2019.0</v>
      </c>
      <c r="AB52" s="34">
        <v>2019.0</v>
      </c>
      <c r="AC52" s="34" t="s">
        <v>144</v>
      </c>
      <c r="AD52" s="34" t="s">
        <v>370</v>
      </c>
      <c r="AE52" s="34" t="s">
        <v>69</v>
      </c>
      <c r="AF52" s="34" t="s">
        <v>69</v>
      </c>
      <c r="AG52" s="34" t="s">
        <v>104</v>
      </c>
      <c r="AH52" s="34" t="s">
        <v>105</v>
      </c>
      <c r="AI52" s="34" t="s">
        <v>414</v>
      </c>
      <c r="AJ52" s="34" t="s">
        <v>107</v>
      </c>
      <c r="AK52" s="38" t="s">
        <v>894</v>
      </c>
      <c r="AL52" s="34" t="s">
        <v>128</v>
      </c>
      <c r="AM52" s="34" t="s">
        <v>895</v>
      </c>
      <c r="AN52" s="34" t="s">
        <v>896</v>
      </c>
      <c r="AO52" s="39"/>
      <c r="AP52" s="34" t="s">
        <v>184</v>
      </c>
      <c r="AQ52" s="40" t="s">
        <v>897</v>
      </c>
      <c r="AR52" s="40" t="s">
        <v>201</v>
      </c>
      <c r="AS52" s="44"/>
    </row>
    <row r="53">
      <c r="A53" s="32">
        <v>106.0</v>
      </c>
      <c r="B53" s="33">
        <v>3.64027035E8</v>
      </c>
      <c r="C53" s="34" t="s">
        <v>898</v>
      </c>
      <c r="D53" s="34" t="s">
        <v>899</v>
      </c>
      <c r="E53" s="34" t="s">
        <v>900</v>
      </c>
      <c r="F53" s="34" t="s">
        <v>114</v>
      </c>
      <c r="G53" s="34" t="s">
        <v>901</v>
      </c>
      <c r="H53" s="36">
        <v>2009.0</v>
      </c>
      <c r="I53" s="34" t="s">
        <v>207</v>
      </c>
      <c r="J53" s="34" t="s">
        <v>55</v>
      </c>
      <c r="K53" s="34" t="s">
        <v>902</v>
      </c>
      <c r="L53" s="34" t="s">
        <v>57</v>
      </c>
      <c r="M53" s="34" t="s">
        <v>114</v>
      </c>
      <c r="N53" s="34" t="s">
        <v>903</v>
      </c>
      <c r="O53" s="34" t="s">
        <v>904</v>
      </c>
      <c r="P53" s="34" t="s">
        <v>93</v>
      </c>
      <c r="Q53" s="34" t="s">
        <v>57</v>
      </c>
      <c r="R53" s="34" t="s">
        <v>57</v>
      </c>
      <c r="S53" s="34" t="s">
        <v>63</v>
      </c>
      <c r="T53" s="34" t="s">
        <v>210</v>
      </c>
      <c r="U53" s="34" t="s">
        <v>905</v>
      </c>
      <c r="V53" s="34" t="s">
        <v>99</v>
      </c>
      <c r="W53" s="34" t="s">
        <v>100</v>
      </c>
      <c r="X53" s="37" t="s">
        <v>100</v>
      </c>
      <c r="Y53" s="34" t="s">
        <v>69</v>
      </c>
      <c r="Z53" s="34" t="s">
        <v>906</v>
      </c>
      <c r="AA53" s="34">
        <v>2000.0</v>
      </c>
      <c r="AB53" s="34">
        <v>2002.0</v>
      </c>
      <c r="AC53" s="34" t="s">
        <v>180</v>
      </c>
      <c r="AD53" s="34" t="s">
        <v>180</v>
      </c>
      <c r="AE53" s="34" t="s">
        <v>69</v>
      </c>
      <c r="AF53" s="34" t="s">
        <v>69</v>
      </c>
      <c r="AG53" s="34" t="s">
        <v>104</v>
      </c>
      <c r="AH53" s="34" t="s">
        <v>907</v>
      </c>
      <c r="AI53" s="34" t="s">
        <v>908</v>
      </c>
      <c r="AJ53" s="34" t="s">
        <v>147</v>
      </c>
      <c r="AK53" s="34" t="s">
        <v>909</v>
      </c>
      <c r="AL53" s="34" t="s">
        <v>128</v>
      </c>
      <c r="AM53" s="34" t="s">
        <v>374</v>
      </c>
      <c r="AN53" s="34" t="s">
        <v>910</v>
      </c>
      <c r="AO53" s="39"/>
      <c r="AP53" s="34" t="s">
        <v>184</v>
      </c>
      <c r="AQ53" s="96"/>
      <c r="AR53" s="96"/>
      <c r="AS53" s="44"/>
    </row>
    <row r="54">
      <c r="A54" s="32">
        <v>108.0</v>
      </c>
      <c r="B54" s="33">
        <v>3.64027024E8</v>
      </c>
      <c r="C54" s="34" t="s">
        <v>913</v>
      </c>
      <c r="D54" s="34" t="s">
        <v>914</v>
      </c>
      <c r="E54" s="34" t="s">
        <v>915</v>
      </c>
      <c r="F54" s="34" t="s">
        <v>916</v>
      </c>
      <c r="G54" s="34" t="s">
        <v>917</v>
      </c>
      <c r="H54" s="36">
        <v>2017.0</v>
      </c>
      <c r="I54" s="34" t="s">
        <v>918</v>
      </c>
      <c r="J54" s="34" t="s">
        <v>55</v>
      </c>
      <c r="K54" s="34" t="s">
        <v>919</v>
      </c>
      <c r="L54" s="34" t="s">
        <v>57</v>
      </c>
      <c r="M54" s="34" t="s">
        <v>916</v>
      </c>
      <c r="N54" s="34" t="s">
        <v>920</v>
      </c>
      <c r="O54" s="34" t="s">
        <v>921</v>
      </c>
      <c r="P54" s="34" t="s">
        <v>93</v>
      </c>
      <c r="Q54" s="34" t="s">
        <v>57</v>
      </c>
      <c r="R54" s="34" t="s">
        <v>57</v>
      </c>
      <c r="S54" s="34" t="s">
        <v>96</v>
      </c>
      <c r="T54" s="34" t="s">
        <v>922</v>
      </c>
      <c r="U54" s="34" t="s">
        <v>923</v>
      </c>
      <c r="V54" s="34" t="s">
        <v>99</v>
      </c>
      <c r="W54" s="34" t="s">
        <v>100</v>
      </c>
      <c r="X54" s="37" t="s">
        <v>100</v>
      </c>
      <c r="Y54" s="34" t="s">
        <v>74</v>
      </c>
      <c r="Z54" s="34" t="s">
        <v>57</v>
      </c>
      <c r="AA54" s="34">
        <v>2016.0</v>
      </c>
      <c r="AB54" s="34">
        <v>2016.0</v>
      </c>
      <c r="AC54" s="34" t="s">
        <v>180</v>
      </c>
      <c r="AD54" s="34" t="s">
        <v>180</v>
      </c>
      <c r="AE54" s="34" t="s">
        <v>74</v>
      </c>
      <c r="AF54" s="34" t="s">
        <v>69</v>
      </c>
      <c r="AG54" s="34" t="s">
        <v>104</v>
      </c>
      <c r="AH54" s="34" t="s">
        <v>105</v>
      </c>
      <c r="AI54" s="34" t="s">
        <v>465</v>
      </c>
      <c r="AJ54" s="34" t="s">
        <v>465</v>
      </c>
      <c r="AK54" s="34" t="s">
        <v>924</v>
      </c>
      <c r="AL54" s="34" t="s">
        <v>79</v>
      </c>
      <c r="AM54" s="34" t="s">
        <v>57</v>
      </c>
      <c r="AN54" s="34" t="s">
        <v>57</v>
      </c>
      <c r="AO54" s="39"/>
      <c r="AP54" s="34" t="s">
        <v>184</v>
      </c>
      <c r="AQ54" s="96"/>
      <c r="AR54" s="96"/>
      <c r="AS54" s="44"/>
    </row>
    <row r="55">
      <c r="A55" s="32">
        <v>112.0</v>
      </c>
      <c r="B55" s="33">
        <v>3.64026657E8</v>
      </c>
      <c r="C55" s="34" t="s">
        <v>927</v>
      </c>
      <c r="D55" s="34" t="s">
        <v>928</v>
      </c>
      <c r="E55" s="34" t="s">
        <v>929</v>
      </c>
      <c r="F55" s="34" t="s">
        <v>859</v>
      </c>
      <c r="G55" s="34" t="s">
        <v>930</v>
      </c>
      <c r="H55" s="36">
        <v>2018.0</v>
      </c>
      <c r="I55" s="34" t="s">
        <v>796</v>
      </c>
      <c r="J55" s="34" t="s">
        <v>518</v>
      </c>
      <c r="K55" s="34" t="s">
        <v>931</v>
      </c>
      <c r="L55" s="34" t="s">
        <v>57</v>
      </c>
      <c r="M55" s="34" t="s">
        <v>859</v>
      </c>
      <c r="N55" s="34" t="s">
        <v>862</v>
      </c>
      <c r="O55" s="34" t="s">
        <v>863</v>
      </c>
      <c r="P55" s="34" t="s">
        <v>93</v>
      </c>
      <c r="Q55" s="34" t="s">
        <v>57</v>
      </c>
      <c r="R55" s="34" t="s">
        <v>57</v>
      </c>
      <c r="S55" s="34" t="s">
        <v>63</v>
      </c>
      <c r="T55" s="34" t="s">
        <v>932</v>
      </c>
      <c r="U55" s="34" t="s">
        <v>933</v>
      </c>
      <c r="V55" s="34" t="s">
        <v>99</v>
      </c>
      <c r="W55" s="34" t="s">
        <v>99</v>
      </c>
      <c r="X55" s="37" t="s">
        <v>99</v>
      </c>
      <c r="Y55" s="34" t="s">
        <v>69</v>
      </c>
      <c r="Z55" s="34" t="s">
        <v>934</v>
      </c>
      <c r="AA55" s="34">
        <v>1987.0</v>
      </c>
      <c r="AB55" s="34">
        <v>2014.0</v>
      </c>
      <c r="AC55" s="34" t="s">
        <v>57</v>
      </c>
      <c r="AD55" s="34" t="s">
        <v>57</v>
      </c>
      <c r="AE55" s="34" t="s">
        <v>69</v>
      </c>
      <c r="AF55" s="34" t="s">
        <v>69</v>
      </c>
      <c r="AG55" s="34" t="s">
        <v>104</v>
      </c>
      <c r="AH55" s="34" t="s">
        <v>851</v>
      </c>
      <c r="AI55" s="34" t="s">
        <v>935</v>
      </c>
      <c r="AJ55" s="34" t="s">
        <v>935</v>
      </c>
      <c r="AK55" s="34" t="s">
        <v>936</v>
      </c>
      <c r="AL55" s="34" t="s">
        <v>79</v>
      </c>
      <c r="AM55" s="34" t="s">
        <v>57</v>
      </c>
      <c r="AN55" s="34" t="s">
        <v>57</v>
      </c>
      <c r="AO55" s="39"/>
      <c r="AP55" s="34" t="s">
        <v>81</v>
      </c>
      <c r="AQ55" s="96"/>
      <c r="AR55" s="96"/>
      <c r="AS55" s="44"/>
    </row>
    <row r="56">
      <c r="A56" s="32">
        <v>115.0</v>
      </c>
      <c r="B56" s="33">
        <v>3.64026993E8</v>
      </c>
      <c r="C56" s="34" t="s">
        <v>939</v>
      </c>
      <c r="D56" s="34" t="s">
        <v>4100</v>
      </c>
      <c r="E56" s="34" t="s">
        <v>941</v>
      </c>
      <c r="F56" s="34" t="s">
        <v>114</v>
      </c>
      <c r="G56" s="34" t="s">
        <v>942</v>
      </c>
      <c r="H56" s="36">
        <v>1986.0</v>
      </c>
      <c r="I56" s="34" t="s">
        <v>943</v>
      </c>
      <c r="J56" s="34" t="s">
        <v>55</v>
      </c>
      <c r="K56" s="34" t="s">
        <v>57</v>
      </c>
      <c r="L56" s="34" t="s">
        <v>57</v>
      </c>
      <c r="M56" s="34" t="s">
        <v>114</v>
      </c>
      <c r="N56" s="34" t="s">
        <v>944</v>
      </c>
      <c r="O56" s="34" t="s">
        <v>945</v>
      </c>
      <c r="P56" s="34" t="s">
        <v>93</v>
      </c>
      <c r="Q56" s="34" t="s">
        <v>57</v>
      </c>
      <c r="R56" s="34" t="s">
        <v>57</v>
      </c>
      <c r="S56" s="34" t="s">
        <v>63</v>
      </c>
      <c r="T56" s="34" t="s">
        <v>64</v>
      </c>
      <c r="U56" s="34" t="s">
        <v>946</v>
      </c>
      <c r="V56" s="34" t="s">
        <v>99</v>
      </c>
      <c r="W56" s="34" t="s">
        <v>100</v>
      </c>
      <c r="X56" s="37" t="s">
        <v>100</v>
      </c>
      <c r="Y56" s="34" t="s">
        <v>74</v>
      </c>
      <c r="Z56" s="34" t="s">
        <v>57</v>
      </c>
      <c r="AA56" s="34">
        <v>1975.0</v>
      </c>
      <c r="AB56" s="34">
        <v>1979.0</v>
      </c>
      <c r="AC56" s="34" t="s">
        <v>180</v>
      </c>
      <c r="AD56" s="34" t="s">
        <v>180</v>
      </c>
      <c r="AE56" s="34" t="s">
        <v>69</v>
      </c>
      <c r="AF56" s="34" t="s">
        <v>69</v>
      </c>
      <c r="AG56" s="34" t="s">
        <v>104</v>
      </c>
      <c r="AH56" s="34" t="s">
        <v>907</v>
      </c>
      <c r="AI56" s="34" t="s">
        <v>947</v>
      </c>
      <c r="AJ56" s="34" t="s">
        <v>107</v>
      </c>
      <c r="AK56" s="34" t="s">
        <v>948</v>
      </c>
      <c r="AL56" s="34" t="s">
        <v>128</v>
      </c>
      <c r="AM56" s="34" t="s">
        <v>129</v>
      </c>
      <c r="AN56" s="34" t="s">
        <v>949</v>
      </c>
      <c r="AO56" s="39"/>
      <c r="AP56" s="34" t="s">
        <v>184</v>
      </c>
      <c r="AQ56" s="96"/>
      <c r="AR56" s="96"/>
      <c r="AS56" s="44"/>
    </row>
    <row r="57">
      <c r="A57" s="32">
        <v>116.0</v>
      </c>
      <c r="B57" s="33">
        <v>3.64026991E8</v>
      </c>
      <c r="C57" s="34" t="s">
        <v>952</v>
      </c>
      <c r="D57" s="34" t="s">
        <v>953</v>
      </c>
      <c r="E57" s="34" t="s">
        <v>954</v>
      </c>
      <c r="F57" s="34" t="s">
        <v>114</v>
      </c>
      <c r="G57" s="34" t="s">
        <v>955</v>
      </c>
      <c r="H57" s="36">
        <v>1991.0</v>
      </c>
      <c r="I57" s="34" t="s">
        <v>295</v>
      </c>
      <c r="J57" s="34" t="s">
        <v>55</v>
      </c>
      <c r="K57" s="34" t="s">
        <v>956</v>
      </c>
      <c r="L57" s="34" t="s">
        <v>57</v>
      </c>
      <c r="M57" s="34" t="s">
        <v>114</v>
      </c>
      <c r="N57" s="34" t="s">
        <v>944</v>
      </c>
      <c r="O57" s="34" t="s">
        <v>945</v>
      </c>
      <c r="P57" s="34" t="s">
        <v>93</v>
      </c>
      <c r="Q57" s="34" t="s">
        <v>57</v>
      </c>
      <c r="R57" s="34" t="s">
        <v>57</v>
      </c>
      <c r="S57" s="34" t="s">
        <v>63</v>
      </c>
      <c r="T57" s="34" t="s">
        <v>64</v>
      </c>
      <c r="U57" s="34" t="s">
        <v>957</v>
      </c>
      <c r="V57" s="34" t="s">
        <v>99</v>
      </c>
      <c r="W57" s="34" t="s">
        <v>100</v>
      </c>
      <c r="X57" s="37" t="s">
        <v>100</v>
      </c>
      <c r="Y57" s="34" t="s">
        <v>74</v>
      </c>
      <c r="Z57" s="34" t="s">
        <v>57</v>
      </c>
      <c r="AA57" s="34">
        <v>1976.0</v>
      </c>
      <c r="AB57" s="34">
        <v>1980.0</v>
      </c>
      <c r="AC57" s="34" t="s">
        <v>542</v>
      </c>
      <c r="AD57" s="34" t="s">
        <v>542</v>
      </c>
      <c r="AE57" s="34" t="s">
        <v>69</v>
      </c>
      <c r="AF57" s="34" t="s">
        <v>69</v>
      </c>
      <c r="AG57" s="34" t="s">
        <v>104</v>
      </c>
      <c r="AH57" s="34" t="s">
        <v>105</v>
      </c>
      <c r="AI57" s="34" t="s">
        <v>958</v>
      </c>
      <c r="AJ57" s="34" t="s">
        <v>147</v>
      </c>
      <c r="AK57" s="34" t="s">
        <v>959</v>
      </c>
      <c r="AL57" s="34" t="s">
        <v>128</v>
      </c>
      <c r="AM57" s="34" t="s">
        <v>129</v>
      </c>
      <c r="AN57" s="34" t="s">
        <v>960</v>
      </c>
      <c r="AO57" s="39"/>
      <c r="AP57" s="34" t="s">
        <v>184</v>
      </c>
      <c r="AQ57" s="96"/>
      <c r="AR57" s="96"/>
      <c r="AS57" s="44"/>
    </row>
    <row r="58">
      <c r="A58" s="32">
        <v>117.0</v>
      </c>
      <c r="B58" s="33">
        <v>3.64026988E8</v>
      </c>
      <c r="C58" s="34" t="s">
        <v>962</v>
      </c>
      <c r="D58" s="34" t="s">
        <v>963</v>
      </c>
      <c r="E58" s="34" t="s">
        <v>964</v>
      </c>
      <c r="F58" s="34" t="s">
        <v>114</v>
      </c>
      <c r="G58" s="34" t="s">
        <v>965</v>
      </c>
      <c r="H58" s="36">
        <v>2018.0</v>
      </c>
      <c r="I58" s="34" t="s">
        <v>762</v>
      </c>
      <c r="J58" s="34" t="s">
        <v>55</v>
      </c>
      <c r="K58" s="34" t="s">
        <v>966</v>
      </c>
      <c r="L58" s="34" t="s">
        <v>57</v>
      </c>
      <c r="M58" s="34" t="s">
        <v>114</v>
      </c>
      <c r="N58" s="34" t="s">
        <v>967</v>
      </c>
      <c r="O58" s="34" t="s">
        <v>968</v>
      </c>
      <c r="P58" s="34" t="s">
        <v>93</v>
      </c>
      <c r="Q58" s="34" t="s">
        <v>57</v>
      </c>
      <c r="R58" s="34" t="s">
        <v>57</v>
      </c>
      <c r="S58" s="34" t="s">
        <v>63</v>
      </c>
      <c r="T58" s="34" t="s">
        <v>969</v>
      </c>
      <c r="U58" s="34" t="s">
        <v>970</v>
      </c>
      <c r="V58" s="34" t="s">
        <v>66</v>
      </c>
      <c r="W58" s="34" t="s">
        <v>971</v>
      </c>
      <c r="X58" s="37" t="s">
        <v>972</v>
      </c>
      <c r="Y58" s="34" t="s">
        <v>74</v>
      </c>
      <c r="Z58" s="34" t="s">
        <v>57</v>
      </c>
      <c r="AA58" s="34" t="s">
        <v>57</v>
      </c>
      <c r="AB58" s="34" t="s">
        <v>57</v>
      </c>
      <c r="AC58" s="34" t="s">
        <v>57</v>
      </c>
      <c r="AD58" s="34" t="s">
        <v>57</v>
      </c>
      <c r="AE58" s="34" t="s">
        <v>57</v>
      </c>
      <c r="AF58" s="34" t="s">
        <v>74</v>
      </c>
      <c r="AG58" s="34" t="s">
        <v>75</v>
      </c>
      <c r="AH58" s="34" t="s">
        <v>285</v>
      </c>
      <c r="AI58" s="34" t="s">
        <v>431</v>
      </c>
      <c r="AJ58" s="34" t="s">
        <v>431</v>
      </c>
      <c r="AK58" s="34" t="s">
        <v>973</v>
      </c>
      <c r="AL58" s="34" t="s">
        <v>79</v>
      </c>
      <c r="AM58" s="34" t="s">
        <v>57</v>
      </c>
      <c r="AN58" s="34" t="s">
        <v>57</v>
      </c>
      <c r="AO58" s="34" t="s">
        <v>974</v>
      </c>
      <c r="AP58" s="34" t="s">
        <v>184</v>
      </c>
      <c r="AQ58" s="96"/>
      <c r="AR58" s="96"/>
      <c r="AS58" s="44"/>
    </row>
    <row r="59">
      <c r="A59" s="32">
        <v>121.0</v>
      </c>
      <c r="B59" s="33">
        <v>3.64025837E8</v>
      </c>
      <c r="C59" s="34" t="s">
        <v>977</v>
      </c>
      <c r="D59" s="34" t="s">
        <v>978</v>
      </c>
      <c r="E59" s="38" t="s">
        <v>979</v>
      </c>
      <c r="F59" s="34" t="s">
        <v>114</v>
      </c>
      <c r="G59" s="38" t="s">
        <v>980</v>
      </c>
      <c r="H59" s="36">
        <v>2019.0</v>
      </c>
      <c r="I59" s="34" t="s">
        <v>779</v>
      </c>
      <c r="J59" s="34" t="s">
        <v>55</v>
      </c>
      <c r="K59" s="34" t="s">
        <v>981</v>
      </c>
      <c r="L59" s="34" t="s">
        <v>57</v>
      </c>
      <c r="M59" s="34" t="s">
        <v>114</v>
      </c>
      <c r="N59" s="34" t="s">
        <v>57</v>
      </c>
      <c r="O59" s="34" t="s">
        <v>982</v>
      </c>
      <c r="P59" s="34" t="s">
        <v>93</v>
      </c>
      <c r="Q59" s="34" t="s">
        <v>57</v>
      </c>
      <c r="R59" s="34" t="s">
        <v>57</v>
      </c>
      <c r="S59" s="34" t="s">
        <v>63</v>
      </c>
      <c r="T59" s="34" t="s">
        <v>366</v>
      </c>
      <c r="U59" s="34" t="s">
        <v>983</v>
      </c>
      <c r="V59" s="34" t="s">
        <v>66</v>
      </c>
      <c r="W59" s="34" t="s">
        <v>984</v>
      </c>
      <c r="X59" s="37" t="s">
        <v>985</v>
      </c>
      <c r="Y59" s="34" t="s">
        <v>74</v>
      </c>
      <c r="Z59" s="34" t="s">
        <v>57</v>
      </c>
      <c r="AA59" s="34">
        <v>2018.0</v>
      </c>
      <c r="AB59" s="34">
        <v>2018.0</v>
      </c>
      <c r="AC59" s="34" t="s">
        <v>542</v>
      </c>
      <c r="AD59" s="34" t="s">
        <v>103</v>
      </c>
      <c r="AE59" s="34" t="s">
        <v>69</v>
      </c>
      <c r="AF59" s="34" t="s">
        <v>69</v>
      </c>
      <c r="AG59" s="34" t="s">
        <v>215</v>
      </c>
      <c r="AH59" s="34" t="s">
        <v>105</v>
      </c>
      <c r="AI59" s="34" t="s">
        <v>166</v>
      </c>
      <c r="AJ59" s="34" t="s">
        <v>166</v>
      </c>
      <c r="AK59" s="34" t="s">
        <v>986</v>
      </c>
      <c r="AL59" s="34" t="s">
        <v>79</v>
      </c>
      <c r="AM59" s="34" t="s">
        <v>57</v>
      </c>
      <c r="AN59" s="34" t="s">
        <v>57</v>
      </c>
      <c r="AO59" s="39"/>
      <c r="AP59" s="34" t="s">
        <v>109</v>
      </c>
      <c r="AQ59" s="96"/>
      <c r="AR59" s="96"/>
      <c r="AS59" s="44"/>
    </row>
    <row r="60">
      <c r="A60" s="32">
        <v>122.0</v>
      </c>
      <c r="B60" s="33">
        <v>3.64025838E8</v>
      </c>
      <c r="C60" s="34" t="s">
        <v>989</v>
      </c>
      <c r="D60" s="34" t="s">
        <v>990</v>
      </c>
      <c r="E60" s="38" t="s">
        <v>991</v>
      </c>
      <c r="F60" s="34" t="s">
        <v>992</v>
      </c>
      <c r="G60" s="38" t="s">
        <v>993</v>
      </c>
      <c r="H60" s="36">
        <v>2011.0</v>
      </c>
      <c r="I60" s="34" t="s">
        <v>994</v>
      </c>
      <c r="J60" s="34" t="s">
        <v>55</v>
      </c>
      <c r="K60" s="34" t="s">
        <v>995</v>
      </c>
      <c r="L60" s="34" t="s">
        <v>57</v>
      </c>
      <c r="M60" s="34" t="s">
        <v>992</v>
      </c>
      <c r="N60" s="34" t="s">
        <v>996</v>
      </c>
      <c r="O60" s="34" t="s">
        <v>997</v>
      </c>
      <c r="P60" s="34" t="s">
        <v>554</v>
      </c>
      <c r="Q60" s="34" t="s">
        <v>57</v>
      </c>
      <c r="R60" s="34" t="s">
        <v>57</v>
      </c>
      <c r="S60" s="34" t="s">
        <v>63</v>
      </c>
      <c r="T60" s="34" t="s">
        <v>302</v>
      </c>
      <c r="U60" s="34" t="s">
        <v>998</v>
      </c>
      <c r="V60" s="34" t="s">
        <v>99</v>
      </c>
      <c r="W60" s="34" t="s">
        <v>100</v>
      </c>
      <c r="X60" s="37" t="s">
        <v>100</v>
      </c>
      <c r="Y60" s="34" t="s">
        <v>74</v>
      </c>
      <c r="Z60" s="34" t="s">
        <v>57</v>
      </c>
      <c r="AA60" s="34">
        <v>2008.0</v>
      </c>
      <c r="AB60" s="34">
        <v>2008.0</v>
      </c>
      <c r="AC60" s="34" t="s">
        <v>102</v>
      </c>
      <c r="AD60" s="34" t="s">
        <v>264</v>
      </c>
      <c r="AE60" s="34" t="s">
        <v>69</v>
      </c>
      <c r="AF60" s="34" t="s">
        <v>74</v>
      </c>
      <c r="AG60" s="34" t="s">
        <v>104</v>
      </c>
      <c r="AH60" s="34" t="s">
        <v>105</v>
      </c>
      <c r="AI60" s="34" t="s">
        <v>465</v>
      </c>
      <c r="AJ60" s="34" t="s">
        <v>465</v>
      </c>
      <c r="AK60" s="34" t="s">
        <v>999</v>
      </c>
      <c r="AL60" s="34" t="s">
        <v>79</v>
      </c>
      <c r="AM60" s="34" t="s">
        <v>57</v>
      </c>
      <c r="AN60" s="34" t="s">
        <v>57</v>
      </c>
      <c r="AO60" s="39"/>
      <c r="AP60" s="34" t="s">
        <v>109</v>
      </c>
      <c r="AQ60" s="96"/>
      <c r="AR60" s="96"/>
      <c r="AS60" s="44"/>
    </row>
    <row r="61">
      <c r="A61" s="32">
        <v>123.0</v>
      </c>
      <c r="B61" s="33">
        <v>3.64025841E8</v>
      </c>
      <c r="C61" s="34" t="s">
        <v>1002</v>
      </c>
      <c r="D61" s="34" t="s">
        <v>1003</v>
      </c>
      <c r="E61" s="38" t="s">
        <v>1004</v>
      </c>
      <c r="F61" s="34" t="s">
        <v>114</v>
      </c>
      <c r="G61" s="38" t="s">
        <v>1005</v>
      </c>
      <c r="H61" s="36">
        <v>2005.0</v>
      </c>
      <c r="I61" s="34" t="s">
        <v>225</v>
      </c>
      <c r="J61" s="34" t="s">
        <v>55</v>
      </c>
      <c r="K61" s="34" t="s">
        <v>1006</v>
      </c>
      <c r="L61" s="34" t="s">
        <v>57</v>
      </c>
      <c r="M61" s="34" t="s">
        <v>114</v>
      </c>
      <c r="N61" s="34" t="s">
        <v>1007</v>
      </c>
      <c r="O61" s="34" t="s">
        <v>1008</v>
      </c>
      <c r="P61" s="34" t="s">
        <v>93</v>
      </c>
      <c r="Q61" s="34" t="s">
        <v>1009</v>
      </c>
      <c r="R61" s="34" t="s">
        <v>1010</v>
      </c>
      <c r="S61" s="34" t="s">
        <v>96</v>
      </c>
      <c r="T61" s="34" t="s">
        <v>1011</v>
      </c>
      <c r="U61" s="34" t="s">
        <v>1012</v>
      </c>
      <c r="V61" s="34" t="s">
        <v>99</v>
      </c>
      <c r="W61" s="34" t="s">
        <v>100</v>
      </c>
      <c r="X61" s="37" t="s">
        <v>100</v>
      </c>
      <c r="Y61" s="34" t="s">
        <v>74</v>
      </c>
      <c r="Z61" s="34" t="s">
        <v>57</v>
      </c>
      <c r="AA61" s="34">
        <v>2000.0</v>
      </c>
      <c r="AB61" s="34">
        <v>2001.0</v>
      </c>
      <c r="AC61" s="34" t="s">
        <v>144</v>
      </c>
      <c r="AD61" s="34" t="s">
        <v>180</v>
      </c>
      <c r="AE61" s="34" t="s">
        <v>69</v>
      </c>
      <c r="AF61" s="34" t="s">
        <v>69</v>
      </c>
      <c r="AG61" s="34" t="s">
        <v>104</v>
      </c>
      <c r="AH61" s="34" t="s">
        <v>105</v>
      </c>
      <c r="AI61" s="34" t="s">
        <v>166</v>
      </c>
      <c r="AJ61" s="34" t="s">
        <v>166</v>
      </c>
      <c r="AK61" s="34" t="s">
        <v>1013</v>
      </c>
      <c r="AL61" s="34" t="s">
        <v>128</v>
      </c>
      <c r="AM61" s="34" t="s">
        <v>129</v>
      </c>
      <c r="AN61" s="34" t="s">
        <v>1014</v>
      </c>
      <c r="AO61" s="39"/>
      <c r="AP61" s="34" t="s">
        <v>109</v>
      </c>
      <c r="AQ61" s="96"/>
      <c r="AR61" s="96"/>
      <c r="AS61" s="44"/>
    </row>
    <row r="62">
      <c r="A62" s="32">
        <v>126.0</v>
      </c>
      <c r="B62" s="33">
        <v>3.64025863E8</v>
      </c>
      <c r="C62" s="34" t="s">
        <v>1017</v>
      </c>
      <c r="D62" s="34" t="s">
        <v>1018</v>
      </c>
      <c r="E62" s="34" t="s">
        <v>1019</v>
      </c>
      <c r="F62" s="34" t="s">
        <v>273</v>
      </c>
      <c r="G62" s="38" t="s">
        <v>1020</v>
      </c>
      <c r="H62" s="36">
        <v>2010.0</v>
      </c>
      <c r="I62" s="34" t="s">
        <v>599</v>
      </c>
      <c r="J62" s="34" t="s">
        <v>55</v>
      </c>
      <c r="K62" s="34" t="s">
        <v>1021</v>
      </c>
      <c r="L62" s="34" t="s">
        <v>57</v>
      </c>
      <c r="M62" s="34" t="s">
        <v>273</v>
      </c>
      <c r="N62" s="34" t="s">
        <v>1022</v>
      </c>
      <c r="O62" s="34" t="s">
        <v>1023</v>
      </c>
      <c r="P62" s="34" t="s">
        <v>93</v>
      </c>
      <c r="Q62" s="34" t="s">
        <v>57</v>
      </c>
      <c r="R62" s="34" t="s">
        <v>57</v>
      </c>
      <c r="S62" s="34" t="s">
        <v>96</v>
      </c>
      <c r="T62" s="34" t="s">
        <v>1024</v>
      </c>
      <c r="U62" s="34" t="s">
        <v>1025</v>
      </c>
      <c r="V62" s="34" t="s">
        <v>99</v>
      </c>
      <c r="W62" s="34" t="s">
        <v>100</v>
      </c>
      <c r="X62" s="37" t="s">
        <v>100</v>
      </c>
      <c r="Y62" s="34" t="s">
        <v>74</v>
      </c>
      <c r="Z62" s="34" t="s">
        <v>57</v>
      </c>
      <c r="AA62" s="34">
        <v>1998.0</v>
      </c>
      <c r="AB62" s="34">
        <v>1999.0</v>
      </c>
      <c r="AC62" s="34" t="s">
        <v>102</v>
      </c>
      <c r="AD62" s="34" t="s">
        <v>370</v>
      </c>
      <c r="AE62" s="34" t="s">
        <v>69</v>
      </c>
      <c r="AF62" s="34" t="s">
        <v>74</v>
      </c>
      <c r="AG62" s="34" t="s">
        <v>104</v>
      </c>
      <c r="AH62" s="34" t="s">
        <v>105</v>
      </c>
      <c r="AI62" s="34" t="s">
        <v>166</v>
      </c>
      <c r="AJ62" s="34" t="s">
        <v>166</v>
      </c>
      <c r="AK62" s="34" t="s">
        <v>1026</v>
      </c>
      <c r="AL62" s="34" t="s">
        <v>128</v>
      </c>
      <c r="AM62" s="34" t="s">
        <v>129</v>
      </c>
      <c r="AN62" s="34" t="s">
        <v>1027</v>
      </c>
      <c r="AO62" s="39"/>
      <c r="AP62" s="34" t="s">
        <v>109</v>
      </c>
      <c r="AQ62" s="96"/>
      <c r="AR62" s="96"/>
      <c r="AS62" s="44"/>
    </row>
    <row r="63">
      <c r="A63" s="32">
        <v>127.0</v>
      </c>
      <c r="B63" s="33">
        <v>3.64025894E8</v>
      </c>
      <c r="C63" s="34" t="s">
        <v>1030</v>
      </c>
      <c r="D63" s="34" t="s">
        <v>1031</v>
      </c>
      <c r="E63" s="38" t="s">
        <v>1032</v>
      </c>
      <c r="F63" s="34" t="s">
        <v>114</v>
      </c>
      <c r="G63" s="38" t="s">
        <v>1033</v>
      </c>
      <c r="H63" s="36">
        <v>2021.0</v>
      </c>
      <c r="I63" s="34" t="s">
        <v>1034</v>
      </c>
      <c r="J63" s="34" t="s">
        <v>55</v>
      </c>
      <c r="K63" s="34" t="s">
        <v>1035</v>
      </c>
      <c r="L63" s="34" t="s">
        <v>57</v>
      </c>
      <c r="M63" s="34" t="s">
        <v>114</v>
      </c>
      <c r="N63" s="34" t="s">
        <v>1007</v>
      </c>
      <c r="O63" s="34" t="s">
        <v>1036</v>
      </c>
      <c r="P63" s="34" t="s">
        <v>93</v>
      </c>
      <c r="Q63" s="34" t="s">
        <v>1037</v>
      </c>
      <c r="R63" s="34" t="s">
        <v>1038</v>
      </c>
      <c r="S63" s="34" t="s">
        <v>63</v>
      </c>
      <c r="T63" s="34" t="s">
        <v>536</v>
      </c>
      <c r="U63" s="34" t="s">
        <v>1039</v>
      </c>
      <c r="V63" s="34" t="s">
        <v>66</v>
      </c>
      <c r="W63" s="34" t="s">
        <v>1040</v>
      </c>
      <c r="X63" s="37" t="s">
        <v>1041</v>
      </c>
      <c r="Y63" s="34" t="s">
        <v>74</v>
      </c>
      <c r="Z63" s="34" t="s">
        <v>57</v>
      </c>
      <c r="AA63" s="34">
        <v>1997.0</v>
      </c>
      <c r="AB63" s="34">
        <v>2017.0</v>
      </c>
      <c r="AC63" s="34" t="s">
        <v>1042</v>
      </c>
      <c r="AD63" s="34" t="s">
        <v>1043</v>
      </c>
      <c r="AE63" s="34" t="s">
        <v>69</v>
      </c>
      <c r="AF63" s="34" t="s">
        <v>69</v>
      </c>
      <c r="AG63" s="34" t="s">
        <v>215</v>
      </c>
      <c r="AH63" s="34" t="s">
        <v>125</v>
      </c>
      <c r="AI63" s="34" t="s">
        <v>126</v>
      </c>
      <c r="AJ63" s="34" t="s">
        <v>107</v>
      </c>
      <c r="AK63" s="34" t="s">
        <v>1044</v>
      </c>
      <c r="AL63" s="34" t="s">
        <v>79</v>
      </c>
      <c r="AM63" s="34" t="s">
        <v>57</v>
      </c>
      <c r="AN63" s="34" t="s">
        <v>57</v>
      </c>
      <c r="AO63" s="39"/>
      <c r="AP63" s="34" t="s">
        <v>109</v>
      </c>
      <c r="AQ63" s="96"/>
      <c r="AR63" s="96"/>
      <c r="AS63" s="44"/>
    </row>
    <row r="64">
      <c r="A64" s="32">
        <v>128.0</v>
      </c>
      <c r="B64" s="33">
        <v>3.64026729E8</v>
      </c>
      <c r="C64" s="34" t="s">
        <v>1047</v>
      </c>
      <c r="D64" s="34" t="s">
        <v>1048</v>
      </c>
      <c r="E64" s="34" t="s">
        <v>1049</v>
      </c>
      <c r="F64" s="34" t="s">
        <v>114</v>
      </c>
      <c r="G64" s="34" t="s">
        <v>1050</v>
      </c>
      <c r="H64" s="36">
        <v>2017.0</v>
      </c>
      <c r="I64" s="34" t="s">
        <v>207</v>
      </c>
      <c r="J64" s="34" t="s">
        <v>55</v>
      </c>
      <c r="K64" s="34" t="s">
        <v>117</v>
      </c>
      <c r="L64" s="34" t="s">
        <v>57</v>
      </c>
      <c r="M64" s="34" t="s">
        <v>114</v>
      </c>
      <c r="N64" s="34" t="s">
        <v>118</v>
      </c>
      <c r="O64" s="34" t="s">
        <v>1051</v>
      </c>
      <c r="P64" s="34" t="s">
        <v>93</v>
      </c>
      <c r="Q64" s="34" t="s">
        <v>57</v>
      </c>
      <c r="R64" s="34" t="s">
        <v>57</v>
      </c>
      <c r="S64" s="34" t="s">
        <v>63</v>
      </c>
      <c r="T64" s="34" t="s">
        <v>1052</v>
      </c>
      <c r="U64" s="34" t="s">
        <v>1053</v>
      </c>
      <c r="V64" s="34" t="s">
        <v>99</v>
      </c>
      <c r="W64" s="34" t="s">
        <v>100</v>
      </c>
      <c r="X64" s="37" t="s">
        <v>100</v>
      </c>
      <c r="Y64" s="34" t="s">
        <v>69</v>
      </c>
      <c r="Z64" s="34" t="s">
        <v>1054</v>
      </c>
      <c r="AA64" s="34">
        <v>2013.0</v>
      </c>
      <c r="AB64" s="34">
        <v>2015.0</v>
      </c>
      <c r="AC64" s="34" t="s">
        <v>144</v>
      </c>
      <c r="AD64" s="34" t="s">
        <v>180</v>
      </c>
      <c r="AE64" s="34" t="s">
        <v>69</v>
      </c>
      <c r="AF64" s="34" t="s">
        <v>69</v>
      </c>
      <c r="AG64" s="34" t="s">
        <v>104</v>
      </c>
      <c r="AH64" s="34" t="s">
        <v>851</v>
      </c>
      <c r="AI64" s="34" t="s">
        <v>414</v>
      </c>
      <c r="AJ64" s="34" t="s">
        <v>107</v>
      </c>
      <c r="AK64" s="34" t="s">
        <v>1055</v>
      </c>
      <c r="AL64" s="34" t="s">
        <v>79</v>
      </c>
      <c r="AM64" s="34" t="s">
        <v>57</v>
      </c>
      <c r="AN64" s="34" t="s">
        <v>57</v>
      </c>
      <c r="AO64" s="39"/>
      <c r="AP64" s="34" t="s">
        <v>81</v>
      </c>
      <c r="AQ64" s="96"/>
      <c r="AR64" s="96"/>
      <c r="AS64" s="44"/>
    </row>
    <row r="65">
      <c r="A65" s="32">
        <v>129.0</v>
      </c>
      <c r="B65" s="33">
        <v>3.6402674E8</v>
      </c>
      <c r="C65" s="34" t="s">
        <v>1058</v>
      </c>
      <c r="D65" s="34" t="s">
        <v>1059</v>
      </c>
      <c r="E65" s="34" t="s">
        <v>1060</v>
      </c>
      <c r="F65" s="34" t="s">
        <v>859</v>
      </c>
      <c r="G65" s="34" t="s">
        <v>1061</v>
      </c>
      <c r="H65" s="36">
        <v>2020.0</v>
      </c>
      <c r="I65" s="34" t="s">
        <v>1062</v>
      </c>
      <c r="J65" s="34" t="s">
        <v>55</v>
      </c>
      <c r="K65" s="34" t="s">
        <v>1063</v>
      </c>
      <c r="L65" s="34" t="s">
        <v>57</v>
      </c>
      <c r="M65" s="34" t="s">
        <v>859</v>
      </c>
      <c r="N65" s="34" t="s">
        <v>862</v>
      </c>
      <c r="O65" s="34" t="s">
        <v>862</v>
      </c>
      <c r="P65" s="34" t="s">
        <v>93</v>
      </c>
      <c r="Q65" s="34" t="s">
        <v>57</v>
      </c>
      <c r="R65" s="34" t="s">
        <v>57</v>
      </c>
      <c r="S65" s="34" t="s">
        <v>63</v>
      </c>
      <c r="T65" s="34" t="s">
        <v>161</v>
      </c>
      <c r="U65" s="34" t="s">
        <v>1064</v>
      </c>
      <c r="V65" s="34" t="s">
        <v>99</v>
      </c>
      <c r="W65" s="34" t="s">
        <v>100</v>
      </c>
      <c r="X65" s="37" t="s">
        <v>100</v>
      </c>
      <c r="Y65" s="34" t="s">
        <v>69</v>
      </c>
      <c r="Z65" s="34" t="s">
        <v>1065</v>
      </c>
      <c r="AA65" s="34">
        <v>2018.0</v>
      </c>
      <c r="AB65" s="34">
        <v>2018.0</v>
      </c>
      <c r="AC65" s="34" t="s">
        <v>144</v>
      </c>
      <c r="AD65" s="34" t="s">
        <v>180</v>
      </c>
      <c r="AE65" s="34" t="s">
        <v>74</v>
      </c>
      <c r="AF65" s="34" t="s">
        <v>69</v>
      </c>
      <c r="AG65" s="34" t="s">
        <v>104</v>
      </c>
      <c r="AH65" s="34" t="s">
        <v>165</v>
      </c>
      <c r="AI65" s="34" t="s">
        <v>166</v>
      </c>
      <c r="AJ65" s="34" t="s">
        <v>166</v>
      </c>
      <c r="AK65" s="34" t="s">
        <v>1066</v>
      </c>
      <c r="AL65" s="34" t="s">
        <v>128</v>
      </c>
      <c r="AM65" s="34" t="s">
        <v>129</v>
      </c>
      <c r="AN65" s="34" t="s">
        <v>1067</v>
      </c>
      <c r="AO65" s="39"/>
      <c r="AP65" s="34" t="s">
        <v>81</v>
      </c>
      <c r="AQ65" s="96"/>
      <c r="AR65" s="96"/>
      <c r="AS65" s="44"/>
    </row>
    <row r="66">
      <c r="A66" s="32">
        <v>131.0</v>
      </c>
      <c r="B66" s="33">
        <v>3.64025902E8</v>
      </c>
      <c r="C66" s="34" t="s">
        <v>1070</v>
      </c>
      <c r="D66" s="34" t="s">
        <v>1071</v>
      </c>
      <c r="E66" s="34" t="s">
        <v>1072</v>
      </c>
      <c r="F66" s="34" t="s">
        <v>1073</v>
      </c>
      <c r="G66" s="34" t="s">
        <v>1074</v>
      </c>
      <c r="H66" s="36">
        <v>1992.0</v>
      </c>
      <c r="I66" s="34" t="s">
        <v>506</v>
      </c>
      <c r="J66" s="34" t="s">
        <v>55</v>
      </c>
      <c r="K66" s="34" t="s">
        <v>57</v>
      </c>
      <c r="L66" s="34" t="s">
        <v>57</v>
      </c>
      <c r="M66" s="34" t="s">
        <v>381</v>
      </c>
      <c r="N66" s="34" t="s">
        <v>1075</v>
      </c>
      <c r="O66" s="34" t="s">
        <v>1076</v>
      </c>
      <c r="P66" s="34" t="s">
        <v>93</v>
      </c>
      <c r="Q66" s="34" t="s">
        <v>57</v>
      </c>
      <c r="R66" s="34" t="s">
        <v>57</v>
      </c>
      <c r="S66" s="34" t="s">
        <v>96</v>
      </c>
      <c r="T66" s="34" t="s">
        <v>64</v>
      </c>
      <c r="U66" s="34" t="s">
        <v>1077</v>
      </c>
      <c r="V66" s="34" t="s">
        <v>99</v>
      </c>
      <c r="W66" s="34" t="s">
        <v>100</v>
      </c>
      <c r="X66" s="37" t="s">
        <v>100</v>
      </c>
      <c r="Y66" s="34" t="s">
        <v>74</v>
      </c>
      <c r="Z66" s="34" t="s">
        <v>57</v>
      </c>
      <c r="AA66" s="34">
        <v>1980.0</v>
      </c>
      <c r="AB66" s="34">
        <v>1986.0</v>
      </c>
      <c r="AC66" s="34" t="s">
        <v>214</v>
      </c>
      <c r="AD66" s="34" t="s">
        <v>144</v>
      </c>
      <c r="AE66" s="34" t="s">
        <v>69</v>
      </c>
      <c r="AF66" s="34" t="s">
        <v>74</v>
      </c>
      <c r="AG66" s="34" t="s">
        <v>215</v>
      </c>
      <c r="AH66" s="34" t="s">
        <v>105</v>
      </c>
      <c r="AI66" s="34" t="s">
        <v>166</v>
      </c>
      <c r="AJ66" s="34" t="s">
        <v>166</v>
      </c>
      <c r="AK66" s="34" t="s">
        <v>1078</v>
      </c>
      <c r="AL66" s="34" t="s">
        <v>79</v>
      </c>
      <c r="AM66" s="34" t="s">
        <v>57</v>
      </c>
      <c r="AN66" s="34" t="s">
        <v>57</v>
      </c>
      <c r="AO66" s="39"/>
      <c r="AP66" s="34" t="s">
        <v>184</v>
      </c>
      <c r="AQ66" s="96"/>
      <c r="AR66" s="96"/>
      <c r="AS66" s="44"/>
    </row>
    <row r="67">
      <c r="A67" s="32">
        <v>135.0</v>
      </c>
      <c r="B67" s="33">
        <v>3.64025911E8</v>
      </c>
      <c r="C67" s="34" t="s">
        <v>1081</v>
      </c>
      <c r="D67" s="34" t="s">
        <v>1082</v>
      </c>
      <c r="E67" s="38" t="s">
        <v>1083</v>
      </c>
      <c r="F67" s="34" t="s">
        <v>114</v>
      </c>
      <c r="G67" s="38" t="s">
        <v>1084</v>
      </c>
      <c r="H67" s="36">
        <v>2004.0</v>
      </c>
      <c r="I67" s="34" t="s">
        <v>1085</v>
      </c>
      <c r="J67" s="34" t="s">
        <v>55</v>
      </c>
      <c r="K67" s="34" t="s">
        <v>1086</v>
      </c>
      <c r="L67" s="34" t="s">
        <v>57</v>
      </c>
      <c r="M67" s="34" t="s">
        <v>114</v>
      </c>
      <c r="N67" s="34" t="s">
        <v>1087</v>
      </c>
      <c r="O67" s="34" t="s">
        <v>1088</v>
      </c>
      <c r="P67" s="34" t="s">
        <v>93</v>
      </c>
      <c r="Q67" s="34" t="s">
        <v>57</v>
      </c>
      <c r="R67" s="34" t="s">
        <v>57</v>
      </c>
      <c r="S67" s="34" t="s">
        <v>63</v>
      </c>
      <c r="T67" s="34" t="s">
        <v>1089</v>
      </c>
      <c r="U67" s="34" t="s">
        <v>1090</v>
      </c>
      <c r="V67" s="34" t="s">
        <v>99</v>
      </c>
      <c r="W67" s="34" t="s">
        <v>1091</v>
      </c>
      <c r="X67" s="37" t="s">
        <v>1092</v>
      </c>
      <c r="Y67" s="34" t="s">
        <v>74</v>
      </c>
      <c r="Z67" s="34" t="s">
        <v>57</v>
      </c>
      <c r="AA67" s="34">
        <v>2001.0</v>
      </c>
      <c r="AB67" s="34">
        <v>2002.0</v>
      </c>
      <c r="AC67" s="34" t="s">
        <v>57</v>
      </c>
      <c r="AD67" s="34" t="s">
        <v>57</v>
      </c>
      <c r="AE67" s="34" t="s">
        <v>69</v>
      </c>
      <c r="AF67" s="34" t="s">
        <v>69</v>
      </c>
      <c r="AG67" s="34" t="s">
        <v>215</v>
      </c>
      <c r="AH67" s="34" t="s">
        <v>770</v>
      </c>
      <c r="AI67" s="34" t="s">
        <v>126</v>
      </c>
      <c r="AJ67" s="34" t="s">
        <v>107</v>
      </c>
      <c r="AK67" s="34" t="s">
        <v>1093</v>
      </c>
      <c r="AL67" s="34" t="s">
        <v>128</v>
      </c>
      <c r="AM67" s="34" t="s">
        <v>895</v>
      </c>
      <c r="AN67" s="34" t="s">
        <v>1094</v>
      </c>
      <c r="AO67" s="39"/>
      <c r="AP67" s="34" t="s">
        <v>109</v>
      </c>
      <c r="AQ67" s="96"/>
      <c r="AR67" s="96"/>
      <c r="AS67" s="44"/>
    </row>
    <row r="68">
      <c r="A68" s="32">
        <v>136.0</v>
      </c>
      <c r="B68" s="33">
        <v>3.64025915E8</v>
      </c>
      <c r="C68" s="34" t="s">
        <v>1097</v>
      </c>
      <c r="D68" s="38" t="s">
        <v>1098</v>
      </c>
      <c r="E68" s="38" t="s">
        <v>1099</v>
      </c>
      <c r="F68" s="34" t="s">
        <v>114</v>
      </c>
      <c r="G68" s="38" t="s">
        <v>1100</v>
      </c>
      <c r="H68" s="36">
        <v>2011.0</v>
      </c>
      <c r="I68" s="34" t="s">
        <v>745</v>
      </c>
      <c r="J68" s="34" t="s">
        <v>55</v>
      </c>
      <c r="K68" s="34" t="s">
        <v>137</v>
      </c>
      <c r="L68" s="34" t="s">
        <v>57</v>
      </c>
      <c r="M68" s="34" t="s">
        <v>114</v>
      </c>
      <c r="N68" s="34" t="s">
        <v>191</v>
      </c>
      <c r="O68" s="34" t="s">
        <v>1101</v>
      </c>
      <c r="P68" s="34" t="s">
        <v>93</v>
      </c>
      <c r="Q68" s="34" t="s">
        <v>57</v>
      </c>
      <c r="R68" s="34" t="s">
        <v>57</v>
      </c>
      <c r="S68" s="34" t="s">
        <v>63</v>
      </c>
      <c r="T68" s="34" t="s">
        <v>210</v>
      </c>
      <c r="U68" s="34" t="s">
        <v>1102</v>
      </c>
      <c r="V68" s="34" t="s">
        <v>66</v>
      </c>
      <c r="W68" s="34" t="s">
        <v>1103</v>
      </c>
      <c r="X68" s="37" t="s">
        <v>1104</v>
      </c>
      <c r="Y68" s="34" t="s">
        <v>74</v>
      </c>
      <c r="Z68" s="34" t="s">
        <v>57</v>
      </c>
      <c r="AA68" s="34">
        <v>2008.0</v>
      </c>
      <c r="AB68" s="34">
        <v>2008.0</v>
      </c>
      <c r="AC68" s="34" t="s">
        <v>57</v>
      </c>
      <c r="AD68" s="34" t="s">
        <v>57</v>
      </c>
      <c r="AE68" s="34" t="s">
        <v>69</v>
      </c>
      <c r="AF68" s="34" t="s">
        <v>69</v>
      </c>
      <c r="AG68" s="34" t="s">
        <v>215</v>
      </c>
      <c r="AH68" s="34" t="s">
        <v>770</v>
      </c>
      <c r="AI68" s="34" t="s">
        <v>1105</v>
      </c>
      <c r="AJ68" s="34" t="s">
        <v>1105</v>
      </c>
      <c r="AK68" s="34" t="s">
        <v>1106</v>
      </c>
      <c r="AL68" s="34" t="s">
        <v>79</v>
      </c>
      <c r="AM68" s="34" t="s">
        <v>57</v>
      </c>
      <c r="AN68" s="34" t="s">
        <v>57</v>
      </c>
      <c r="AO68" s="39"/>
      <c r="AP68" s="34" t="s">
        <v>109</v>
      </c>
      <c r="AQ68" s="96"/>
      <c r="AR68" s="96"/>
      <c r="AS68" s="44"/>
    </row>
    <row r="69">
      <c r="A69" s="32">
        <v>137.0</v>
      </c>
      <c r="B69" s="33">
        <v>3.64025932E8</v>
      </c>
      <c r="C69" s="34" t="s">
        <v>1109</v>
      </c>
      <c r="D69" s="34" t="s">
        <v>1110</v>
      </c>
      <c r="E69" s="38" t="s">
        <v>1111</v>
      </c>
      <c r="F69" s="34" t="s">
        <v>992</v>
      </c>
      <c r="G69" s="38" t="s">
        <v>1112</v>
      </c>
      <c r="H69" s="36">
        <v>2016.0</v>
      </c>
      <c r="I69" s="34" t="s">
        <v>295</v>
      </c>
      <c r="J69" s="34" t="s">
        <v>55</v>
      </c>
      <c r="K69" s="34" t="s">
        <v>1113</v>
      </c>
      <c r="L69" s="34" t="s">
        <v>57</v>
      </c>
      <c r="M69" s="34" t="s">
        <v>992</v>
      </c>
      <c r="N69" s="34" t="s">
        <v>1114</v>
      </c>
      <c r="O69" s="34" t="s">
        <v>1115</v>
      </c>
      <c r="P69" s="34" t="s">
        <v>554</v>
      </c>
      <c r="Q69" s="34" t="s">
        <v>57</v>
      </c>
      <c r="R69" s="34" t="s">
        <v>57</v>
      </c>
      <c r="S69" s="34" t="s">
        <v>63</v>
      </c>
      <c r="T69" s="34" t="s">
        <v>1116</v>
      </c>
      <c r="U69" s="34" t="s">
        <v>1115</v>
      </c>
      <c r="V69" s="34" t="s">
        <v>66</v>
      </c>
      <c r="W69" s="34" t="s">
        <v>1117</v>
      </c>
      <c r="X69" s="37" t="s">
        <v>1118</v>
      </c>
      <c r="Y69" s="34" t="s">
        <v>74</v>
      </c>
      <c r="Z69" s="34" t="s">
        <v>57</v>
      </c>
      <c r="AA69" s="34">
        <v>2010.0</v>
      </c>
      <c r="AB69" s="34">
        <v>2013.0</v>
      </c>
      <c r="AC69" s="34" t="s">
        <v>72</v>
      </c>
      <c r="AD69" s="34" t="s">
        <v>542</v>
      </c>
      <c r="AE69" s="34" t="s">
        <v>69</v>
      </c>
      <c r="AF69" s="34" t="s">
        <v>69</v>
      </c>
      <c r="AG69" s="34" t="s">
        <v>215</v>
      </c>
      <c r="AH69" s="34" t="s">
        <v>604</v>
      </c>
      <c r="AI69" s="34" t="s">
        <v>126</v>
      </c>
      <c r="AJ69" s="34" t="s">
        <v>107</v>
      </c>
      <c r="AK69" s="34" t="s">
        <v>1119</v>
      </c>
      <c r="AL69" s="34" t="s">
        <v>79</v>
      </c>
      <c r="AM69" s="34" t="s">
        <v>57</v>
      </c>
      <c r="AN69" s="34" t="s">
        <v>57</v>
      </c>
      <c r="AO69" s="39"/>
      <c r="AP69" s="34" t="s">
        <v>109</v>
      </c>
      <c r="AQ69" s="96"/>
      <c r="AR69" s="96"/>
      <c r="AS69" s="44"/>
    </row>
    <row r="70">
      <c r="A70" s="32">
        <v>138.0</v>
      </c>
      <c r="B70" s="33">
        <v>3.64025937E8</v>
      </c>
      <c r="C70" s="34" t="s">
        <v>1121</v>
      </c>
      <c r="D70" s="34" t="s">
        <v>1122</v>
      </c>
      <c r="E70" s="38" t="s">
        <v>1123</v>
      </c>
      <c r="F70" s="34" t="s">
        <v>87</v>
      </c>
      <c r="G70" s="38" t="s">
        <v>1124</v>
      </c>
      <c r="H70" s="36">
        <v>1999.0</v>
      </c>
      <c r="I70" s="34" t="s">
        <v>1125</v>
      </c>
      <c r="J70" s="34" t="s">
        <v>55</v>
      </c>
      <c r="K70" s="34" t="s">
        <v>57</v>
      </c>
      <c r="L70" s="34" t="s">
        <v>1126</v>
      </c>
      <c r="M70" s="34" t="s">
        <v>87</v>
      </c>
      <c r="N70" s="34" t="s">
        <v>1127</v>
      </c>
      <c r="O70" s="34" t="s">
        <v>1128</v>
      </c>
      <c r="P70" s="34" t="s">
        <v>93</v>
      </c>
      <c r="Q70" s="34" t="s">
        <v>57</v>
      </c>
      <c r="R70" s="34" t="s">
        <v>57</v>
      </c>
      <c r="S70" s="34" t="s">
        <v>63</v>
      </c>
      <c r="T70" s="34" t="s">
        <v>161</v>
      </c>
      <c r="U70" s="34" t="s">
        <v>1129</v>
      </c>
      <c r="V70" s="34" t="s">
        <v>99</v>
      </c>
      <c r="W70" s="34" t="s">
        <v>100</v>
      </c>
      <c r="X70" s="37" t="s">
        <v>100</v>
      </c>
      <c r="Y70" s="34" t="s">
        <v>74</v>
      </c>
      <c r="Z70" s="34" t="s">
        <v>57</v>
      </c>
      <c r="AA70" s="34">
        <v>1998.0</v>
      </c>
      <c r="AB70" s="34">
        <v>1998.0</v>
      </c>
      <c r="AC70" s="34" t="s">
        <v>57</v>
      </c>
      <c r="AD70" s="34" t="s">
        <v>57</v>
      </c>
      <c r="AE70" s="34" t="s">
        <v>57</v>
      </c>
      <c r="AF70" s="34" t="s">
        <v>74</v>
      </c>
      <c r="AG70" s="34" t="s">
        <v>104</v>
      </c>
      <c r="AH70" s="34" t="s">
        <v>105</v>
      </c>
      <c r="AI70" s="34" t="s">
        <v>106</v>
      </c>
      <c r="AJ70" s="34" t="s">
        <v>107</v>
      </c>
      <c r="AK70" s="34" t="s">
        <v>1130</v>
      </c>
      <c r="AL70" s="34" t="s">
        <v>128</v>
      </c>
      <c r="AM70" s="34" t="s">
        <v>895</v>
      </c>
      <c r="AN70" s="38" t="s">
        <v>1131</v>
      </c>
      <c r="AO70" s="39"/>
      <c r="AP70" s="34" t="s">
        <v>109</v>
      </c>
      <c r="AQ70" s="96"/>
      <c r="AR70" s="96"/>
      <c r="AS70" s="44"/>
    </row>
    <row r="71">
      <c r="A71" s="32">
        <v>139.0</v>
      </c>
      <c r="B71" s="33">
        <v>3.64025977E8</v>
      </c>
      <c r="C71" s="34" t="s">
        <v>1134</v>
      </c>
      <c r="D71" s="34" t="s">
        <v>1135</v>
      </c>
      <c r="E71" s="38" t="s">
        <v>1136</v>
      </c>
      <c r="F71" s="34" t="s">
        <v>381</v>
      </c>
      <c r="G71" s="38" t="s">
        <v>1137</v>
      </c>
      <c r="H71" s="36">
        <v>2017.0</v>
      </c>
      <c r="I71" s="34" t="s">
        <v>1138</v>
      </c>
      <c r="J71" s="34" t="s">
        <v>55</v>
      </c>
      <c r="K71" s="34" t="s">
        <v>1139</v>
      </c>
      <c r="L71" s="34" t="s">
        <v>57</v>
      </c>
      <c r="M71" s="34" t="s">
        <v>381</v>
      </c>
      <c r="N71" s="34" t="s">
        <v>1140</v>
      </c>
      <c r="O71" s="34" t="s">
        <v>1141</v>
      </c>
      <c r="P71" s="34" t="s">
        <v>93</v>
      </c>
      <c r="Q71" s="34" t="s">
        <v>1142</v>
      </c>
      <c r="R71" s="34" t="s">
        <v>1143</v>
      </c>
      <c r="S71" s="34" t="s">
        <v>96</v>
      </c>
      <c r="T71" s="34" t="s">
        <v>64</v>
      </c>
      <c r="U71" s="34" t="s">
        <v>1144</v>
      </c>
      <c r="V71" s="34" t="s">
        <v>66</v>
      </c>
      <c r="W71" s="34" t="s">
        <v>1145</v>
      </c>
      <c r="X71" s="37" t="s">
        <v>1146</v>
      </c>
      <c r="Y71" s="34" t="s">
        <v>74</v>
      </c>
      <c r="Z71" s="34" t="s">
        <v>57</v>
      </c>
      <c r="AA71" s="34">
        <v>2014.0</v>
      </c>
      <c r="AB71" s="34">
        <v>2014.0</v>
      </c>
      <c r="AC71" s="34" t="s">
        <v>103</v>
      </c>
      <c r="AD71" s="34" t="s">
        <v>180</v>
      </c>
      <c r="AE71" s="34" t="s">
        <v>69</v>
      </c>
      <c r="AF71" s="34" t="s">
        <v>74</v>
      </c>
      <c r="AG71" s="34" t="s">
        <v>215</v>
      </c>
      <c r="AH71" s="34" t="s">
        <v>770</v>
      </c>
      <c r="AI71" s="34" t="s">
        <v>77</v>
      </c>
      <c r="AJ71" s="34" t="s">
        <v>77</v>
      </c>
      <c r="AK71" s="34" t="s">
        <v>1147</v>
      </c>
      <c r="AL71" s="34" t="s">
        <v>79</v>
      </c>
      <c r="AM71" s="34" t="s">
        <v>57</v>
      </c>
      <c r="AN71" s="34" t="s">
        <v>57</v>
      </c>
      <c r="AO71" s="39"/>
      <c r="AP71" s="34" t="s">
        <v>109</v>
      </c>
      <c r="AQ71" s="96"/>
      <c r="AR71" s="96"/>
      <c r="AS71" s="44"/>
    </row>
    <row r="72">
      <c r="A72" s="32">
        <v>144.0</v>
      </c>
      <c r="B72" s="33">
        <v>3.64026001E8</v>
      </c>
      <c r="C72" s="34" t="s">
        <v>1150</v>
      </c>
      <c r="D72" s="34" t="s">
        <v>1151</v>
      </c>
      <c r="E72" s="38" t="s">
        <v>1152</v>
      </c>
      <c r="F72" s="34" t="s">
        <v>760</v>
      </c>
      <c r="G72" s="38" t="s">
        <v>1153</v>
      </c>
      <c r="H72" s="36">
        <v>1979.0</v>
      </c>
      <c r="I72" s="34" t="s">
        <v>1154</v>
      </c>
      <c r="J72" s="34" t="s">
        <v>55</v>
      </c>
      <c r="K72" s="34" t="s">
        <v>57</v>
      </c>
      <c r="L72" s="34" t="s">
        <v>57</v>
      </c>
      <c r="M72" s="34" t="s">
        <v>760</v>
      </c>
      <c r="N72" s="34" t="s">
        <v>1155</v>
      </c>
      <c r="O72" s="34" t="s">
        <v>1156</v>
      </c>
      <c r="P72" s="34" t="s">
        <v>93</v>
      </c>
      <c r="Q72" s="34" t="s">
        <v>1157</v>
      </c>
      <c r="R72" s="34" t="s">
        <v>1158</v>
      </c>
      <c r="S72" s="34" t="s">
        <v>63</v>
      </c>
      <c r="T72" s="34" t="s">
        <v>536</v>
      </c>
      <c r="U72" s="34" t="s">
        <v>1159</v>
      </c>
      <c r="V72" s="34" t="s">
        <v>99</v>
      </c>
      <c r="W72" s="34" t="s">
        <v>100</v>
      </c>
      <c r="X72" s="37" t="s">
        <v>100</v>
      </c>
      <c r="Y72" s="34" t="s">
        <v>74</v>
      </c>
      <c r="Z72" s="34" t="s">
        <v>57</v>
      </c>
      <c r="AA72" s="34" t="s">
        <v>57</v>
      </c>
      <c r="AB72" s="34" t="s">
        <v>57</v>
      </c>
      <c r="AC72" s="34" t="s">
        <v>57</v>
      </c>
      <c r="AD72" s="34" t="s">
        <v>57</v>
      </c>
      <c r="AE72" s="34" t="s">
        <v>57</v>
      </c>
      <c r="AF72" s="34" t="s">
        <v>69</v>
      </c>
      <c r="AG72" s="34" t="s">
        <v>104</v>
      </c>
      <c r="AH72" s="34" t="s">
        <v>105</v>
      </c>
      <c r="AI72" s="34" t="s">
        <v>336</v>
      </c>
      <c r="AJ72" s="34" t="s">
        <v>336</v>
      </c>
      <c r="AK72" s="34" t="s">
        <v>1160</v>
      </c>
      <c r="AL72" s="34" t="s">
        <v>128</v>
      </c>
      <c r="AM72" s="34" t="s">
        <v>129</v>
      </c>
      <c r="AN72" s="34" t="s">
        <v>1161</v>
      </c>
      <c r="AO72" s="39"/>
      <c r="AP72" s="34" t="s">
        <v>109</v>
      </c>
      <c r="AQ72" s="96"/>
      <c r="AR72" s="96"/>
      <c r="AS72" s="44"/>
    </row>
    <row r="73">
      <c r="A73" s="32">
        <v>146.0</v>
      </c>
      <c r="B73" s="33">
        <v>3.64026985E8</v>
      </c>
      <c r="C73" s="34" t="s">
        <v>1163</v>
      </c>
      <c r="D73" s="34" t="s">
        <v>1164</v>
      </c>
      <c r="E73" s="34" t="s">
        <v>1165</v>
      </c>
      <c r="F73" s="34" t="s">
        <v>114</v>
      </c>
      <c r="G73" s="34" t="s">
        <v>1166</v>
      </c>
      <c r="H73" s="36">
        <v>2006.0</v>
      </c>
      <c r="I73" s="34" t="s">
        <v>1167</v>
      </c>
      <c r="J73" s="34" t="s">
        <v>55</v>
      </c>
      <c r="K73" s="34" t="s">
        <v>1168</v>
      </c>
      <c r="L73" s="34" t="s">
        <v>57</v>
      </c>
      <c r="M73" s="34" t="s">
        <v>114</v>
      </c>
      <c r="N73" s="34" t="s">
        <v>715</v>
      </c>
      <c r="O73" s="34" t="s">
        <v>1169</v>
      </c>
      <c r="P73" s="34" t="s">
        <v>93</v>
      </c>
      <c r="Q73" s="34" t="s">
        <v>1170</v>
      </c>
      <c r="R73" s="34" t="s">
        <v>1171</v>
      </c>
      <c r="S73" s="34" t="s">
        <v>63</v>
      </c>
      <c r="T73" s="34" t="s">
        <v>1172</v>
      </c>
      <c r="U73" s="34" t="s">
        <v>1173</v>
      </c>
      <c r="V73" s="34" t="s">
        <v>99</v>
      </c>
      <c r="W73" s="34" t="s">
        <v>100</v>
      </c>
      <c r="X73" s="37" t="s">
        <v>100</v>
      </c>
      <c r="Y73" s="34" t="s">
        <v>74</v>
      </c>
      <c r="Z73" s="34" t="s">
        <v>57</v>
      </c>
      <c r="AA73" s="34">
        <v>2001.0</v>
      </c>
      <c r="AB73" s="34">
        <v>2001.0</v>
      </c>
      <c r="AC73" s="34" t="s">
        <v>103</v>
      </c>
      <c r="AD73" s="34" t="s">
        <v>72</v>
      </c>
      <c r="AE73" s="34" t="s">
        <v>69</v>
      </c>
      <c r="AF73" s="34" t="s">
        <v>69</v>
      </c>
      <c r="AG73" s="34" t="s">
        <v>104</v>
      </c>
      <c r="AH73" s="34" t="s">
        <v>105</v>
      </c>
      <c r="AI73" s="34" t="s">
        <v>1174</v>
      </c>
      <c r="AJ73" s="34" t="s">
        <v>147</v>
      </c>
      <c r="AK73" s="34" t="s">
        <v>1175</v>
      </c>
      <c r="AL73" s="34" t="s">
        <v>128</v>
      </c>
      <c r="AM73" s="34" t="s">
        <v>129</v>
      </c>
      <c r="AN73" s="34" t="s">
        <v>1176</v>
      </c>
      <c r="AO73" s="39"/>
      <c r="AP73" s="34" t="s">
        <v>184</v>
      </c>
      <c r="AQ73" s="96"/>
      <c r="AR73" s="96"/>
      <c r="AS73" s="44"/>
    </row>
    <row r="74">
      <c r="A74" s="32">
        <v>147.0</v>
      </c>
      <c r="B74" s="33">
        <v>3.6402698E8</v>
      </c>
      <c r="C74" s="34" t="s">
        <v>1179</v>
      </c>
      <c r="D74" s="34" t="s">
        <v>1180</v>
      </c>
      <c r="E74" s="34" t="s">
        <v>1181</v>
      </c>
      <c r="F74" s="34" t="s">
        <v>114</v>
      </c>
      <c r="G74" s="34" t="s">
        <v>1182</v>
      </c>
      <c r="H74" s="36">
        <v>2020.0</v>
      </c>
      <c r="I74" s="34" t="s">
        <v>1183</v>
      </c>
      <c r="J74" s="34" t="s">
        <v>55</v>
      </c>
      <c r="K74" s="34" t="s">
        <v>1184</v>
      </c>
      <c r="L74" s="34" t="s">
        <v>57</v>
      </c>
      <c r="M74" s="34" t="s">
        <v>114</v>
      </c>
      <c r="N74" s="34" t="s">
        <v>1185</v>
      </c>
      <c r="O74" s="34" t="s">
        <v>1186</v>
      </c>
      <c r="P74" s="34" t="s">
        <v>93</v>
      </c>
      <c r="Q74" s="34" t="s">
        <v>57</v>
      </c>
      <c r="R74" s="34" t="s">
        <v>57</v>
      </c>
      <c r="S74" s="34" t="s">
        <v>63</v>
      </c>
      <c r="T74" s="34" t="s">
        <v>1187</v>
      </c>
      <c r="U74" s="34" t="s">
        <v>1188</v>
      </c>
      <c r="V74" s="34" t="s">
        <v>99</v>
      </c>
      <c r="W74" s="34" t="s">
        <v>100</v>
      </c>
      <c r="X74" s="37" t="s">
        <v>100</v>
      </c>
      <c r="Y74" s="34" t="s">
        <v>69</v>
      </c>
      <c r="Z74" s="34" t="s">
        <v>1189</v>
      </c>
      <c r="AA74" s="34">
        <v>2014.0</v>
      </c>
      <c r="AB74" s="34">
        <v>2016.0</v>
      </c>
      <c r="AC74" s="34" t="s">
        <v>264</v>
      </c>
      <c r="AD74" s="34" t="s">
        <v>214</v>
      </c>
      <c r="AE74" s="34" t="s">
        <v>69</v>
      </c>
      <c r="AF74" s="34" t="s">
        <v>69</v>
      </c>
      <c r="AG74" s="34" t="s">
        <v>104</v>
      </c>
      <c r="AH74" s="34" t="s">
        <v>907</v>
      </c>
      <c r="AI74" s="34" t="s">
        <v>1190</v>
      </c>
      <c r="AJ74" s="34" t="s">
        <v>147</v>
      </c>
      <c r="AK74" s="34" t="s">
        <v>1191</v>
      </c>
      <c r="AL74" s="34" t="s">
        <v>128</v>
      </c>
      <c r="AM74" s="34" t="s">
        <v>129</v>
      </c>
      <c r="AN74" s="34" t="s">
        <v>1192</v>
      </c>
      <c r="AO74" s="39"/>
      <c r="AP74" s="34" t="s">
        <v>184</v>
      </c>
      <c r="AQ74" s="96"/>
      <c r="AR74" s="96"/>
      <c r="AS74" s="44"/>
    </row>
    <row r="75">
      <c r="A75" s="32">
        <v>148.0</v>
      </c>
      <c r="B75" s="33">
        <v>3.64026962E8</v>
      </c>
      <c r="C75" s="34" t="s">
        <v>1195</v>
      </c>
      <c r="D75" s="38" t="s">
        <v>1196</v>
      </c>
      <c r="E75" s="34" t="s">
        <v>1197</v>
      </c>
      <c r="F75" s="34" t="s">
        <v>114</v>
      </c>
      <c r="G75" s="34" t="s">
        <v>1198</v>
      </c>
      <c r="H75" s="36">
        <v>1986.0</v>
      </c>
      <c r="I75" s="34" t="s">
        <v>943</v>
      </c>
      <c r="J75" s="34" t="s">
        <v>55</v>
      </c>
      <c r="K75" s="34" t="s">
        <v>57</v>
      </c>
      <c r="L75" s="34" t="s">
        <v>1199</v>
      </c>
      <c r="M75" s="34" t="s">
        <v>114</v>
      </c>
      <c r="N75" s="34" t="s">
        <v>1200</v>
      </c>
      <c r="O75" s="34" t="s">
        <v>1201</v>
      </c>
      <c r="P75" s="34" t="s">
        <v>93</v>
      </c>
      <c r="Q75" s="34" t="s">
        <v>57</v>
      </c>
      <c r="R75" s="34" t="s">
        <v>57</v>
      </c>
      <c r="S75" s="34" t="s">
        <v>96</v>
      </c>
      <c r="T75" s="34" t="s">
        <v>64</v>
      </c>
      <c r="U75" s="34" t="s">
        <v>1202</v>
      </c>
      <c r="V75" s="34" t="s">
        <v>99</v>
      </c>
      <c r="W75" s="34" t="s">
        <v>100</v>
      </c>
      <c r="X75" s="37" t="s">
        <v>100</v>
      </c>
      <c r="Y75" s="34" t="s">
        <v>74</v>
      </c>
      <c r="Z75" s="34" t="s">
        <v>57</v>
      </c>
      <c r="AA75" s="34">
        <v>1975.0</v>
      </c>
      <c r="AB75" s="34">
        <v>1979.0</v>
      </c>
      <c r="AC75" s="34" t="s">
        <v>57</v>
      </c>
      <c r="AD75" s="34" t="s">
        <v>57</v>
      </c>
      <c r="AE75" s="34" t="s">
        <v>69</v>
      </c>
      <c r="AF75" s="34" t="s">
        <v>69</v>
      </c>
      <c r="AG75" s="34" t="s">
        <v>104</v>
      </c>
      <c r="AH75" s="34" t="s">
        <v>105</v>
      </c>
      <c r="AI75" s="34" t="s">
        <v>336</v>
      </c>
      <c r="AJ75" s="34" t="s">
        <v>336</v>
      </c>
      <c r="AK75" s="34" t="s">
        <v>1203</v>
      </c>
      <c r="AL75" s="34" t="s">
        <v>128</v>
      </c>
      <c r="AM75" s="34" t="s">
        <v>129</v>
      </c>
      <c r="AN75" s="34" t="s">
        <v>1204</v>
      </c>
      <c r="AO75" s="39"/>
      <c r="AP75" s="34" t="s">
        <v>184</v>
      </c>
      <c r="AQ75" s="96"/>
      <c r="AR75" s="96"/>
      <c r="AS75" s="44"/>
    </row>
    <row r="76">
      <c r="A76" s="32">
        <v>149.0</v>
      </c>
      <c r="B76" s="33">
        <v>3.64026957E8</v>
      </c>
      <c r="C76" s="34" t="s">
        <v>1207</v>
      </c>
      <c r="D76" s="34" t="s">
        <v>1208</v>
      </c>
      <c r="E76" s="34" t="s">
        <v>1209</v>
      </c>
      <c r="F76" s="34" t="s">
        <v>114</v>
      </c>
      <c r="G76" s="34" t="s">
        <v>1210</v>
      </c>
      <c r="H76" s="36">
        <v>2020.0</v>
      </c>
      <c r="I76" s="34" t="s">
        <v>1183</v>
      </c>
      <c r="J76" s="34" t="s">
        <v>55</v>
      </c>
      <c r="K76" s="34" t="s">
        <v>1211</v>
      </c>
      <c r="L76" s="34" t="s">
        <v>57</v>
      </c>
      <c r="M76" s="34" t="s">
        <v>114</v>
      </c>
      <c r="N76" s="34" t="s">
        <v>1212</v>
      </c>
      <c r="O76" s="34" t="s">
        <v>1213</v>
      </c>
      <c r="P76" s="34" t="s">
        <v>93</v>
      </c>
      <c r="Q76" s="34" t="s">
        <v>57</v>
      </c>
      <c r="R76" s="34" t="s">
        <v>57</v>
      </c>
      <c r="S76" s="34" t="s">
        <v>63</v>
      </c>
      <c r="T76" s="34" t="s">
        <v>64</v>
      </c>
      <c r="U76" s="34" t="s">
        <v>1214</v>
      </c>
      <c r="V76" s="34" t="s">
        <v>99</v>
      </c>
      <c r="W76" s="34" t="s">
        <v>100</v>
      </c>
      <c r="X76" s="37" t="s">
        <v>100</v>
      </c>
      <c r="Y76" s="34" t="s">
        <v>69</v>
      </c>
      <c r="Z76" s="34" t="s">
        <v>1215</v>
      </c>
      <c r="AA76" s="34">
        <v>2017.0</v>
      </c>
      <c r="AB76" s="34">
        <v>2017.0</v>
      </c>
      <c r="AC76" s="34" t="s">
        <v>102</v>
      </c>
      <c r="AD76" s="34" t="s">
        <v>692</v>
      </c>
      <c r="AE76" s="34" t="s">
        <v>69</v>
      </c>
      <c r="AF76" s="34" t="s">
        <v>69</v>
      </c>
      <c r="AG76" s="34" t="s">
        <v>104</v>
      </c>
      <c r="AH76" s="34" t="s">
        <v>105</v>
      </c>
      <c r="AI76" s="34" t="s">
        <v>1216</v>
      </c>
      <c r="AJ76" s="34" t="s">
        <v>107</v>
      </c>
      <c r="AK76" s="34" t="s">
        <v>1217</v>
      </c>
      <c r="AL76" s="34" t="s">
        <v>128</v>
      </c>
      <c r="AM76" s="34" t="s">
        <v>374</v>
      </c>
      <c r="AN76" s="34" t="s">
        <v>1218</v>
      </c>
      <c r="AO76" s="39"/>
      <c r="AP76" s="34" t="s">
        <v>184</v>
      </c>
      <c r="AQ76" s="96"/>
      <c r="AR76" s="96"/>
      <c r="AS76" s="44"/>
    </row>
    <row r="77">
      <c r="A77" s="32">
        <v>150.0</v>
      </c>
      <c r="B77" s="33">
        <v>3.64026955E8</v>
      </c>
      <c r="C77" s="34" t="s">
        <v>1221</v>
      </c>
      <c r="D77" s="34" t="s">
        <v>1222</v>
      </c>
      <c r="E77" s="34" t="s">
        <v>1223</v>
      </c>
      <c r="F77" s="34" t="s">
        <v>1224</v>
      </c>
      <c r="G77" s="34" t="s">
        <v>1225</v>
      </c>
      <c r="H77" s="36">
        <v>2011.0</v>
      </c>
      <c r="I77" s="34" t="s">
        <v>1226</v>
      </c>
      <c r="J77" s="34" t="s">
        <v>55</v>
      </c>
      <c r="K77" s="34" t="s">
        <v>1227</v>
      </c>
      <c r="L77" s="34" t="s">
        <v>57</v>
      </c>
      <c r="M77" s="34" t="s">
        <v>1224</v>
      </c>
      <c r="N77" s="34" t="s">
        <v>1228</v>
      </c>
      <c r="O77" s="34" t="s">
        <v>1229</v>
      </c>
      <c r="P77" s="34" t="s">
        <v>93</v>
      </c>
      <c r="Q77" s="34" t="s">
        <v>57</v>
      </c>
      <c r="R77" s="34" t="s">
        <v>57</v>
      </c>
      <c r="S77" s="34" t="s">
        <v>96</v>
      </c>
      <c r="T77" s="34" t="s">
        <v>366</v>
      </c>
      <c r="U77" s="34" t="s">
        <v>1230</v>
      </c>
      <c r="V77" s="34" t="s">
        <v>99</v>
      </c>
      <c r="W77" s="34" t="s">
        <v>100</v>
      </c>
      <c r="X77" s="37" t="s">
        <v>100</v>
      </c>
      <c r="Y77" s="34" t="s">
        <v>74</v>
      </c>
      <c r="Z77" s="34" t="s">
        <v>57</v>
      </c>
      <c r="AA77" s="34" t="s">
        <v>57</v>
      </c>
      <c r="AB77" s="34" t="s">
        <v>57</v>
      </c>
      <c r="AC77" s="34" t="s">
        <v>57</v>
      </c>
      <c r="AD77" s="34" t="s">
        <v>57</v>
      </c>
      <c r="AE77" s="34" t="s">
        <v>74</v>
      </c>
      <c r="AF77" s="34" t="s">
        <v>69</v>
      </c>
      <c r="AG77" s="34" t="s">
        <v>104</v>
      </c>
      <c r="AH77" s="34" t="s">
        <v>105</v>
      </c>
      <c r="AI77" s="34" t="s">
        <v>1231</v>
      </c>
      <c r="AJ77" s="34" t="s">
        <v>107</v>
      </c>
      <c r="AK77" s="34" t="s">
        <v>1232</v>
      </c>
      <c r="AL77" s="34" t="s">
        <v>79</v>
      </c>
      <c r="AM77" s="34" t="s">
        <v>57</v>
      </c>
      <c r="AN77" s="34" t="s">
        <v>57</v>
      </c>
      <c r="AO77" s="39"/>
      <c r="AP77" s="34" t="s">
        <v>184</v>
      </c>
      <c r="AQ77" s="96"/>
      <c r="AR77" s="96"/>
      <c r="AS77" s="44"/>
    </row>
    <row r="78">
      <c r="A78" s="32">
        <v>151.0</v>
      </c>
      <c r="B78" s="33">
        <v>3.64026931E8</v>
      </c>
      <c r="C78" s="34" t="s">
        <v>1233</v>
      </c>
      <c r="D78" s="34" t="s">
        <v>1234</v>
      </c>
      <c r="E78" s="34" t="s">
        <v>1235</v>
      </c>
      <c r="F78" s="34" t="s">
        <v>381</v>
      </c>
      <c r="G78" s="34" t="s">
        <v>1236</v>
      </c>
      <c r="H78" s="36">
        <v>2015.0</v>
      </c>
      <c r="I78" s="34" t="s">
        <v>1237</v>
      </c>
      <c r="J78" s="34" t="s">
        <v>55</v>
      </c>
      <c r="K78" s="34" t="s">
        <v>1238</v>
      </c>
      <c r="L78" s="34" t="s">
        <v>57</v>
      </c>
      <c r="M78" s="34" t="s">
        <v>381</v>
      </c>
      <c r="N78" s="34" t="s">
        <v>1239</v>
      </c>
      <c r="O78" s="34" t="s">
        <v>1240</v>
      </c>
      <c r="P78" s="34" t="s">
        <v>93</v>
      </c>
      <c r="Q78" s="34" t="s">
        <v>57</v>
      </c>
      <c r="R78" s="34" t="s">
        <v>57</v>
      </c>
      <c r="S78" s="34" t="s">
        <v>63</v>
      </c>
      <c r="T78" s="34" t="s">
        <v>64</v>
      </c>
      <c r="U78" s="34" t="s">
        <v>1241</v>
      </c>
      <c r="V78" s="34" t="s">
        <v>99</v>
      </c>
      <c r="W78" s="34" t="s">
        <v>100</v>
      </c>
      <c r="X78" s="37" t="s">
        <v>100</v>
      </c>
      <c r="Y78" s="34" t="s">
        <v>74</v>
      </c>
      <c r="Z78" s="34" t="s">
        <v>57</v>
      </c>
      <c r="AA78" s="34">
        <v>2008.0</v>
      </c>
      <c r="AB78" s="34">
        <v>2008.0</v>
      </c>
      <c r="AC78" s="34" t="s">
        <v>214</v>
      </c>
      <c r="AD78" s="34" t="s">
        <v>72</v>
      </c>
      <c r="AE78" s="34" t="s">
        <v>74</v>
      </c>
      <c r="AF78" s="34" t="s">
        <v>69</v>
      </c>
      <c r="AG78" s="34" t="s">
        <v>104</v>
      </c>
      <c r="AH78" s="34" t="s">
        <v>105</v>
      </c>
      <c r="AI78" s="34" t="s">
        <v>336</v>
      </c>
      <c r="AJ78" s="34" t="s">
        <v>336</v>
      </c>
      <c r="AK78" s="34" t="s">
        <v>1242</v>
      </c>
      <c r="AL78" s="34" t="s">
        <v>128</v>
      </c>
      <c r="AM78" s="34" t="s">
        <v>129</v>
      </c>
      <c r="AN78" s="34" t="s">
        <v>1243</v>
      </c>
      <c r="AO78" s="39"/>
      <c r="AP78" s="34" t="s">
        <v>184</v>
      </c>
      <c r="AQ78" s="96"/>
      <c r="AR78" s="96"/>
      <c r="AS78" s="44"/>
    </row>
    <row r="79">
      <c r="A79" s="32">
        <v>152.0</v>
      </c>
      <c r="B79" s="33">
        <v>3.64026008E8</v>
      </c>
      <c r="C79" s="34" t="s">
        <v>1246</v>
      </c>
      <c r="D79" s="34" t="s">
        <v>1247</v>
      </c>
      <c r="E79" s="38" t="s">
        <v>1248</v>
      </c>
      <c r="F79" s="34" t="s">
        <v>760</v>
      </c>
      <c r="G79" s="34" t="s">
        <v>1249</v>
      </c>
      <c r="H79" s="36">
        <v>2008.0</v>
      </c>
      <c r="I79" s="34" t="s">
        <v>1250</v>
      </c>
      <c r="J79" s="34" t="s">
        <v>55</v>
      </c>
      <c r="K79" s="34" t="s">
        <v>57</v>
      </c>
      <c r="L79" s="34" t="s">
        <v>57</v>
      </c>
      <c r="M79" s="34" t="s">
        <v>760</v>
      </c>
      <c r="N79" s="34" t="s">
        <v>1251</v>
      </c>
      <c r="O79" s="34" t="s">
        <v>1252</v>
      </c>
      <c r="P79" s="34" t="s">
        <v>93</v>
      </c>
      <c r="Q79" s="34" t="s">
        <v>57</v>
      </c>
      <c r="R79" s="34" t="s">
        <v>57</v>
      </c>
      <c r="S79" s="34" t="s">
        <v>63</v>
      </c>
      <c r="T79" s="34" t="s">
        <v>64</v>
      </c>
      <c r="U79" s="34" t="s">
        <v>1253</v>
      </c>
      <c r="V79" s="34" t="s">
        <v>66</v>
      </c>
      <c r="W79" s="34" t="s">
        <v>1254</v>
      </c>
      <c r="X79" s="37" t="s">
        <v>1255</v>
      </c>
      <c r="Y79" s="34" t="s">
        <v>69</v>
      </c>
      <c r="Z79" s="34" t="s">
        <v>1256</v>
      </c>
      <c r="AA79" s="34">
        <v>2005.0</v>
      </c>
      <c r="AB79" s="34">
        <v>2007.0</v>
      </c>
      <c r="AC79" s="34" t="s">
        <v>692</v>
      </c>
      <c r="AD79" s="34" t="s">
        <v>214</v>
      </c>
      <c r="AE79" s="34" t="s">
        <v>69</v>
      </c>
      <c r="AF79" s="34" t="s">
        <v>74</v>
      </c>
      <c r="AG79" s="34" t="s">
        <v>215</v>
      </c>
      <c r="AH79" s="34" t="s">
        <v>105</v>
      </c>
      <c r="AI79" s="34" t="s">
        <v>166</v>
      </c>
      <c r="AJ79" s="34" t="s">
        <v>166</v>
      </c>
      <c r="AK79" s="34" t="s">
        <v>1257</v>
      </c>
      <c r="AL79" s="34" t="s">
        <v>79</v>
      </c>
      <c r="AM79" s="34" t="s">
        <v>57</v>
      </c>
      <c r="AN79" s="34" t="s">
        <v>57</v>
      </c>
      <c r="AO79" s="39"/>
      <c r="AP79" s="34" t="s">
        <v>109</v>
      </c>
      <c r="AQ79" s="96"/>
      <c r="AR79" s="96"/>
      <c r="AS79" s="44"/>
    </row>
    <row r="80">
      <c r="A80" s="32">
        <v>153.0</v>
      </c>
      <c r="B80" s="33">
        <v>3.64026009E8</v>
      </c>
      <c r="C80" s="34" t="s">
        <v>1259</v>
      </c>
      <c r="D80" s="34" t="s">
        <v>1260</v>
      </c>
      <c r="E80" s="38" t="s">
        <v>1261</v>
      </c>
      <c r="F80" s="34" t="s">
        <v>273</v>
      </c>
      <c r="G80" s="38" t="s">
        <v>1262</v>
      </c>
      <c r="H80" s="36">
        <v>2018.0</v>
      </c>
      <c r="I80" s="34" t="s">
        <v>156</v>
      </c>
      <c r="J80" s="34" t="s">
        <v>55</v>
      </c>
      <c r="K80" s="34" t="s">
        <v>1263</v>
      </c>
      <c r="L80" s="34" t="s">
        <v>57</v>
      </c>
      <c r="M80" s="34" t="s">
        <v>273</v>
      </c>
      <c r="N80" s="34" t="s">
        <v>1022</v>
      </c>
      <c r="O80" s="34" t="s">
        <v>1264</v>
      </c>
      <c r="P80" s="34" t="s">
        <v>93</v>
      </c>
      <c r="Q80" s="34" t="s">
        <v>57</v>
      </c>
      <c r="R80" s="34" t="s">
        <v>57</v>
      </c>
      <c r="S80" s="34" t="s">
        <v>96</v>
      </c>
      <c r="T80" s="34" t="s">
        <v>1265</v>
      </c>
      <c r="U80" s="34" t="s">
        <v>1266</v>
      </c>
      <c r="V80" s="34" t="s">
        <v>66</v>
      </c>
      <c r="W80" s="34" t="s">
        <v>1267</v>
      </c>
      <c r="X80" s="37" t="s">
        <v>1268</v>
      </c>
      <c r="Y80" s="34" t="s">
        <v>74</v>
      </c>
      <c r="Z80" s="34" t="s">
        <v>57</v>
      </c>
      <c r="AA80" s="34">
        <v>2014.0</v>
      </c>
      <c r="AB80" s="34">
        <v>2016.0</v>
      </c>
      <c r="AC80" s="34" t="s">
        <v>57</v>
      </c>
      <c r="AD80" s="34" t="s">
        <v>57</v>
      </c>
      <c r="AE80" s="34" t="s">
        <v>69</v>
      </c>
      <c r="AF80" s="34" t="s">
        <v>74</v>
      </c>
      <c r="AG80" s="34" t="s">
        <v>215</v>
      </c>
      <c r="AH80" s="34" t="s">
        <v>105</v>
      </c>
      <c r="AI80" s="34" t="s">
        <v>166</v>
      </c>
      <c r="AJ80" s="34" t="s">
        <v>166</v>
      </c>
      <c r="AK80" s="34" t="s">
        <v>1269</v>
      </c>
      <c r="AL80" s="34" t="s">
        <v>128</v>
      </c>
      <c r="AM80" s="34" t="s">
        <v>129</v>
      </c>
      <c r="AN80" s="34" t="s">
        <v>1270</v>
      </c>
      <c r="AO80" s="39"/>
      <c r="AP80" s="34" t="s">
        <v>109</v>
      </c>
      <c r="AQ80" s="96"/>
      <c r="AR80" s="96"/>
      <c r="AS80" s="44"/>
    </row>
    <row r="81">
      <c r="A81" s="32">
        <v>155.0</v>
      </c>
      <c r="B81" s="33">
        <v>3.64026048E8</v>
      </c>
      <c r="C81" s="34" t="s">
        <v>1273</v>
      </c>
      <c r="D81" s="34" t="s">
        <v>1274</v>
      </c>
      <c r="E81" s="38" t="s">
        <v>1275</v>
      </c>
      <c r="F81" s="34" t="s">
        <v>443</v>
      </c>
      <c r="G81" s="38" t="s">
        <v>1276</v>
      </c>
      <c r="H81" s="36">
        <v>2000.0</v>
      </c>
      <c r="I81" s="34" t="s">
        <v>295</v>
      </c>
      <c r="J81" s="34" t="s">
        <v>55</v>
      </c>
      <c r="K81" s="34" t="s">
        <v>1277</v>
      </c>
      <c r="L81" s="34" t="s">
        <v>57</v>
      </c>
      <c r="M81" s="34" t="s">
        <v>443</v>
      </c>
      <c r="N81" s="34" t="s">
        <v>444</v>
      </c>
      <c r="O81" s="34" t="s">
        <v>1278</v>
      </c>
      <c r="P81" s="34" t="s">
        <v>93</v>
      </c>
      <c r="Q81" s="34" t="s">
        <v>57</v>
      </c>
      <c r="R81" s="34" t="s">
        <v>57</v>
      </c>
      <c r="S81" s="34" t="s">
        <v>63</v>
      </c>
      <c r="T81" s="34" t="s">
        <v>1279</v>
      </c>
      <c r="U81" s="34" t="s">
        <v>1280</v>
      </c>
      <c r="V81" s="34" t="s">
        <v>99</v>
      </c>
      <c r="W81" s="34" t="s">
        <v>100</v>
      </c>
      <c r="X81" s="37" t="s">
        <v>100</v>
      </c>
      <c r="Y81" s="34" t="s">
        <v>69</v>
      </c>
      <c r="Z81" s="34" t="s">
        <v>1281</v>
      </c>
      <c r="AA81" s="34">
        <v>1992.0</v>
      </c>
      <c r="AB81" s="34">
        <v>1993.0</v>
      </c>
      <c r="AC81" s="34" t="s">
        <v>144</v>
      </c>
      <c r="AD81" s="34" t="s">
        <v>180</v>
      </c>
      <c r="AE81" s="34" t="s">
        <v>69</v>
      </c>
      <c r="AF81" s="34" t="s">
        <v>74</v>
      </c>
      <c r="AG81" s="34" t="s">
        <v>104</v>
      </c>
      <c r="AH81" s="34" t="s">
        <v>105</v>
      </c>
      <c r="AI81" s="34" t="s">
        <v>166</v>
      </c>
      <c r="AJ81" s="34" t="s">
        <v>166</v>
      </c>
      <c r="AK81" s="34" t="s">
        <v>1282</v>
      </c>
      <c r="AL81" s="34" t="s">
        <v>128</v>
      </c>
      <c r="AM81" s="34" t="s">
        <v>1283</v>
      </c>
      <c r="AN81" s="34" t="s">
        <v>1284</v>
      </c>
      <c r="AO81" s="39"/>
      <c r="AP81" s="34" t="s">
        <v>109</v>
      </c>
      <c r="AQ81" s="96"/>
      <c r="AR81" s="96"/>
      <c r="AS81" s="44"/>
    </row>
    <row r="82">
      <c r="A82" s="32">
        <v>157.0</v>
      </c>
      <c r="B82" s="33">
        <v>3.64026624E8</v>
      </c>
      <c r="C82" s="34" t="s">
        <v>1286</v>
      </c>
      <c r="D82" s="34" t="s">
        <v>1287</v>
      </c>
      <c r="E82" s="34" t="s">
        <v>1288</v>
      </c>
      <c r="F82" s="34" t="s">
        <v>154</v>
      </c>
      <c r="G82" s="34" t="s">
        <v>1289</v>
      </c>
      <c r="H82" s="36">
        <v>2019.0</v>
      </c>
      <c r="I82" s="34" t="s">
        <v>1290</v>
      </c>
      <c r="J82" s="34" t="s">
        <v>55</v>
      </c>
      <c r="K82" s="34" t="s">
        <v>1291</v>
      </c>
      <c r="L82" s="34" t="s">
        <v>57</v>
      </c>
      <c r="M82" s="34" t="s">
        <v>273</v>
      </c>
      <c r="N82" s="34" t="s">
        <v>1292</v>
      </c>
      <c r="O82" s="34" t="s">
        <v>1293</v>
      </c>
      <c r="P82" s="34" t="s">
        <v>93</v>
      </c>
      <c r="Q82" s="34" t="s">
        <v>1294</v>
      </c>
      <c r="R82" s="34" t="s">
        <v>1295</v>
      </c>
      <c r="S82" s="34" t="s">
        <v>96</v>
      </c>
      <c r="T82" s="34" t="s">
        <v>1296</v>
      </c>
      <c r="U82" s="34" t="s">
        <v>1297</v>
      </c>
      <c r="V82" s="34" t="s">
        <v>99</v>
      </c>
      <c r="W82" s="34" t="s">
        <v>100</v>
      </c>
      <c r="X82" s="37" t="s">
        <v>100</v>
      </c>
      <c r="Y82" s="34" t="s">
        <v>74</v>
      </c>
      <c r="Z82" s="34" t="s">
        <v>57</v>
      </c>
      <c r="AA82" s="34">
        <v>2014.0</v>
      </c>
      <c r="AB82" s="34">
        <v>2014.0</v>
      </c>
      <c r="AC82" s="34" t="s">
        <v>542</v>
      </c>
      <c r="AD82" s="34" t="s">
        <v>71</v>
      </c>
      <c r="AE82" s="34" t="s">
        <v>69</v>
      </c>
      <c r="AF82" s="34" t="s">
        <v>69</v>
      </c>
      <c r="AG82" s="34" t="s">
        <v>104</v>
      </c>
      <c r="AH82" s="34" t="s">
        <v>105</v>
      </c>
      <c r="AI82" s="34" t="s">
        <v>835</v>
      </c>
      <c r="AJ82" s="34" t="s">
        <v>107</v>
      </c>
      <c r="AK82" s="34" t="s">
        <v>1298</v>
      </c>
      <c r="AL82" s="34" t="s">
        <v>128</v>
      </c>
      <c r="AM82" s="34" t="s">
        <v>129</v>
      </c>
      <c r="AN82" s="34" t="s">
        <v>1299</v>
      </c>
      <c r="AO82" s="39"/>
      <c r="AP82" s="34" t="s">
        <v>184</v>
      </c>
      <c r="AQ82" s="96"/>
      <c r="AR82" s="96"/>
      <c r="AS82" s="44"/>
    </row>
    <row r="83">
      <c r="A83" s="32">
        <v>158.0</v>
      </c>
      <c r="B83" s="33">
        <v>3.64026104E8</v>
      </c>
      <c r="C83" s="34" t="s">
        <v>1301</v>
      </c>
      <c r="D83" s="34" t="s">
        <v>1302</v>
      </c>
      <c r="E83" s="38" t="s">
        <v>1303</v>
      </c>
      <c r="F83" s="34" t="s">
        <v>992</v>
      </c>
      <c r="G83" s="38" t="s">
        <v>1304</v>
      </c>
      <c r="H83" s="36">
        <v>2010.0</v>
      </c>
      <c r="I83" s="34" t="s">
        <v>686</v>
      </c>
      <c r="J83" s="34" t="s">
        <v>55</v>
      </c>
      <c r="K83" s="34" t="s">
        <v>1305</v>
      </c>
      <c r="L83" s="34" t="s">
        <v>57</v>
      </c>
      <c r="M83" s="34" t="s">
        <v>992</v>
      </c>
      <c r="N83" s="34" t="s">
        <v>1306</v>
      </c>
      <c r="O83" s="34" t="s">
        <v>1307</v>
      </c>
      <c r="P83" s="34" t="s">
        <v>554</v>
      </c>
      <c r="Q83" s="34" t="s">
        <v>1306</v>
      </c>
      <c r="R83" s="34" t="s">
        <v>1306</v>
      </c>
      <c r="S83" s="34" t="s">
        <v>63</v>
      </c>
      <c r="T83" s="34" t="s">
        <v>1308</v>
      </c>
      <c r="U83" s="34" t="s">
        <v>1309</v>
      </c>
      <c r="V83" s="34" t="s">
        <v>99</v>
      </c>
      <c r="W83" s="34" t="s">
        <v>100</v>
      </c>
      <c r="X83" s="37" t="s">
        <v>100</v>
      </c>
      <c r="Y83" s="34" t="s">
        <v>74</v>
      </c>
      <c r="Z83" s="34" t="s">
        <v>57</v>
      </c>
      <c r="AA83" s="34" t="s">
        <v>57</v>
      </c>
      <c r="AB83" s="34" t="s">
        <v>57</v>
      </c>
      <c r="AC83" s="34" t="s">
        <v>57</v>
      </c>
      <c r="AD83" s="34" t="s">
        <v>57</v>
      </c>
      <c r="AE83" s="34" t="s">
        <v>57</v>
      </c>
      <c r="AF83" s="34" t="s">
        <v>74</v>
      </c>
      <c r="AG83" s="34" t="s">
        <v>104</v>
      </c>
      <c r="AH83" s="34" t="s">
        <v>105</v>
      </c>
      <c r="AI83" s="34" t="s">
        <v>336</v>
      </c>
      <c r="AJ83" s="34" t="s">
        <v>336</v>
      </c>
      <c r="AK83" s="34" t="s">
        <v>1310</v>
      </c>
      <c r="AL83" s="34" t="s">
        <v>128</v>
      </c>
      <c r="AM83" s="34" t="s">
        <v>895</v>
      </c>
      <c r="AN83" s="34" t="s">
        <v>1311</v>
      </c>
      <c r="AO83" s="39"/>
      <c r="AP83" s="34" t="s">
        <v>109</v>
      </c>
      <c r="AQ83" s="96"/>
      <c r="AR83" s="96"/>
      <c r="AS83" s="44"/>
    </row>
    <row r="84">
      <c r="A84" s="32">
        <v>160.0</v>
      </c>
      <c r="B84" s="33">
        <v>3.64026121E8</v>
      </c>
      <c r="C84" s="34" t="s">
        <v>1313</v>
      </c>
      <c r="D84" s="34" t="s">
        <v>1314</v>
      </c>
      <c r="E84" s="38" t="s">
        <v>1315</v>
      </c>
      <c r="F84" s="34" t="s">
        <v>1316</v>
      </c>
      <c r="G84" s="38" t="s">
        <v>1317</v>
      </c>
      <c r="H84" s="36">
        <v>2014.0</v>
      </c>
      <c r="I84" s="34" t="s">
        <v>295</v>
      </c>
      <c r="J84" s="34" t="s">
        <v>55</v>
      </c>
      <c r="K84" s="34" t="s">
        <v>1318</v>
      </c>
      <c r="L84" s="34" t="s">
        <v>57</v>
      </c>
      <c r="M84" s="34" t="s">
        <v>1316</v>
      </c>
      <c r="N84" s="34" t="s">
        <v>1319</v>
      </c>
      <c r="O84" s="34" t="s">
        <v>1320</v>
      </c>
      <c r="P84" s="34" t="s">
        <v>93</v>
      </c>
      <c r="Q84" s="38" t="s">
        <v>1321</v>
      </c>
      <c r="R84" s="38" t="s">
        <v>1322</v>
      </c>
      <c r="S84" s="34" t="s">
        <v>96</v>
      </c>
      <c r="T84" s="34" t="s">
        <v>1323</v>
      </c>
      <c r="U84" s="34" t="s">
        <v>1324</v>
      </c>
      <c r="V84" s="34" t="s">
        <v>99</v>
      </c>
      <c r="W84" s="34" t="s">
        <v>100</v>
      </c>
      <c r="X84" s="37" t="s">
        <v>100</v>
      </c>
      <c r="Y84" s="34" t="s">
        <v>74</v>
      </c>
      <c r="Z84" s="34" t="s">
        <v>57</v>
      </c>
      <c r="AA84" s="34">
        <v>2008.0</v>
      </c>
      <c r="AB84" s="34">
        <v>2009.0</v>
      </c>
      <c r="AC84" s="34" t="s">
        <v>542</v>
      </c>
      <c r="AD84" s="34" t="s">
        <v>144</v>
      </c>
      <c r="AE84" s="34" t="s">
        <v>69</v>
      </c>
      <c r="AF84" s="34" t="s">
        <v>74</v>
      </c>
      <c r="AG84" s="34" t="s">
        <v>215</v>
      </c>
      <c r="AH84" s="34" t="s">
        <v>105</v>
      </c>
      <c r="AI84" s="34" t="s">
        <v>336</v>
      </c>
      <c r="AJ84" s="34" t="s">
        <v>336</v>
      </c>
      <c r="AK84" s="34" t="s">
        <v>1325</v>
      </c>
      <c r="AL84" s="34" t="s">
        <v>128</v>
      </c>
      <c r="AM84" s="34" t="s">
        <v>129</v>
      </c>
      <c r="AN84" s="34" t="s">
        <v>1326</v>
      </c>
      <c r="AO84" s="39"/>
      <c r="AP84" s="34" t="s">
        <v>109</v>
      </c>
      <c r="AQ84" s="96"/>
      <c r="AR84" s="96"/>
      <c r="AS84" s="44"/>
    </row>
    <row r="85">
      <c r="A85" s="32">
        <v>162.0</v>
      </c>
      <c r="B85" s="33">
        <v>3.64026157E8</v>
      </c>
      <c r="C85" s="34" t="s">
        <v>1328</v>
      </c>
      <c r="D85" s="34" t="s">
        <v>1329</v>
      </c>
      <c r="E85" s="38" t="s">
        <v>1330</v>
      </c>
      <c r="F85" s="34" t="s">
        <v>114</v>
      </c>
      <c r="G85" s="38" t="s">
        <v>1331</v>
      </c>
      <c r="H85" s="36">
        <v>2020.0</v>
      </c>
      <c r="I85" s="34" t="s">
        <v>207</v>
      </c>
      <c r="J85" s="34" t="s">
        <v>55</v>
      </c>
      <c r="K85" s="34" t="s">
        <v>1332</v>
      </c>
      <c r="L85" s="34" t="s">
        <v>57</v>
      </c>
      <c r="M85" s="34" t="s">
        <v>114</v>
      </c>
      <c r="N85" s="34" t="s">
        <v>1333</v>
      </c>
      <c r="O85" s="34" t="s">
        <v>1334</v>
      </c>
      <c r="P85" s="34" t="s">
        <v>93</v>
      </c>
      <c r="Q85" s="34" t="s">
        <v>57</v>
      </c>
      <c r="R85" s="34" t="s">
        <v>57</v>
      </c>
      <c r="S85" s="34" t="s">
        <v>63</v>
      </c>
      <c r="T85" s="34" t="s">
        <v>1335</v>
      </c>
      <c r="U85" s="34" t="s">
        <v>1336</v>
      </c>
      <c r="V85" s="34" t="s">
        <v>99</v>
      </c>
      <c r="W85" s="34" t="s">
        <v>1337</v>
      </c>
      <c r="X85" s="37" t="s">
        <v>1338</v>
      </c>
      <c r="Y85" s="34" t="s">
        <v>74</v>
      </c>
      <c r="Z85" s="34" t="s">
        <v>57</v>
      </c>
      <c r="AA85" s="34">
        <v>2010.0</v>
      </c>
      <c r="AB85" s="34">
        <v>2012.0</v>
      </c>
      <c r="AC85" s="34" t="s">
        <v>144</v>
      </c>
      <c r="AD85" s="34" t="s">
        <v>72</v>
      </c>
      <c r="AE85" s="34" t="s">
        <v>69</v>
      </c>
      <c r="AF85" s="34" t="s">
        <v>74</v>
      </c>
      <c r="AG85" s="34" t="s">
        <v>104</v>
      </c>
      <c r="AH85" s="34" t="s">
        <v>498</v>
      </c>
      <c r="AI85" s="34" t="s">
        <v>1339</v>
      </c>
      <c r="AJ85" s="34" t="s">
        <v>107</v>
      </c>
      <c r="AK85" s="34" t="s">
        <v>1340</v>
      </c>
      <c r="AL85" s="34" t="s">
        <v>79</v>
      </c>
      <c r="AM85" s="34" t="s">
        <v>57</v>
      </c>
      <c r="AN85" s="34" t="s">
        <v>57</v>
      </c>
      <c r="AO85" s="39"/>
      <c r="AP85" s="34" t="s">
        <v>109</v>
      </c>
      <c r="AQ85" s="96"/>
      <c r="AR85" s="96"/>
      <c r="AS85" s="44"/>
    </row>
    <row r="86">
      <c r="A86" s="32">
        <v>164.0</v>
      </c>
      <c r="B86" s="33">
        <v>3.64026234E8</v>
      </c>
      <c r="C86" s="34" t="s">
        <v>1343</v>
      </c>
      <c r="D86" s="34" t="s">
        <v>1344</v>
      </c>
      <c r="E86" s="34" t="s">
        <v>1345</v>
      </c>
      <c r="F86" s="34" t="s">
        <v>760</v>
      </c>
      <c r="G86" s="34" t="s">
        <v>1346</v>
      </c>
      <c r="H86" s="36">
        <v>2019.0</v>
      </c>
      <c r="I86" s="34" t="s">
        <v>1347</v>
      </c>
      <c r="J86" s="34" t="s">
        <v>55</v>
      </c>
      <c r="K86" s="34" t="s">
        <v>1348</v>
      </c>
      <c r="L86" s="34" t="s">
        <v>57</v>
      </c>
      <c r="M86" s="34" t="s">
        <v>443</v>
      </c>
      <c r="N86" s="34" t="s">
        <v>1349</v>
      </c>
      <c r="O86" s="34" t="s">
        <v>1350</v>
      </c>
      <c r="P86" s="34" t="s">
        <v>93</v>
      </c>
      <c r="Q86" s="34" t="s">
        <v>1351</v>
      </c>
      <c r="R86" s="34" t="s">
        <v>1352</v>
      </c>
      <c r="S86" s="34" t="s">
        <v>63</v>
      </c>
      <c r="T86" s="34" t="s">
        <v>366</v>
      </c>
      <c r="U86" s="34" t="s">
        <v>1353</v>
      </c>
      <c r="V86" s="34" t="s">
        <v>99</v>
      </c>
      <c r="W86" s="34" t="s">
        <v>100</v>
      </c>
      <c r="X86" s="37" t="s">
        <v>100</v>
      </c>
      <c r="Y86" s="34" t="s">
        <v>74</v>
      </c>
      <c r="Z86" s="34" t="s">
        <v>57</v>
      </c>
      <c r="AA86" s="34">
        <v>2005.0</v>
      </c>
      <c r="AB86" s="34">
        <v>2011.0</v>
      </c>
      <c r="AC86" s="34" t="s">
        <v>57</v>
      </c>
      <c r="AD86" s="34" t="s">
        <v>57</v>
      </c>
      <c r="AE86" s="34" t="s">
        <v>69</v>
      </c>
      <c r="AF86" s="34" t="s">
        <v>74</v>
      </c>
      <c r="AG86" s="34" t="s">
        <v>104</v>
      </c>
      <c r="AH86" s="34" t="s">
        <v>105</v>
      </c>
      <c r="AI86" s="34" t="s">
        <v>336</v>
      </c>
      <c r="AJ86" s="34" t="s">
        <v>336</v>
      </c>
      <c r="AK86" s="34" t="s">
        <v>1354</v>
      </c>
      <c r="AL86" s="34" t="s">
        <v>128</v>
      </c>
      <c r="AM86" s="34" t="s">
        <v>374</v>
      </c>
      <c r="AN86" s="34" t="s">
        <v>1355</v>
      </c>
      <c r="AO86" s="39"/>
      <c r="AP86" s="34" t="s">
        <v>109</v>
      </c>
      <c r="AQ86" s="96"/>
      <c r="AR86" s="96"/>
      <c r="AS86" s="44"/>
    </row>
    <row r="87">
      <c r="A87" s="32">
        <v>165.0</v>
      </c>
      <c r="B87" s="33">
        <v>3.64026482E8</v>
      </c>
      <c r="C87" s="34" t="s">
        <v>1358</v>
      </c>
      <c r="D87" s="34" t="s">
        <v>1359</v>
      </c>
      <c r="E87" s="34" t="s">
        <v>1360</v>
      </c>
      <c r="F87" s="34" t="s">
        <v>992</v>
      </c>
      <c r="G87" s="34" t="s">
        <v>1361</v>
      </c>
      <c r="H87" s="36">
        <v>2016.0</v>
      </c>
      <c r="I87" s="34" t="s">
        <v>1362</v>
      </c>
      <c r="J87" s="34" t="s">
        <v>55</v>
      </c>
      <c r="K87" s="34" t="s">
        <v>1363</v>
      </c>
      <c r="L87" s="34" t="s">
        <v>57</v>
      </c>
      <c r="M87" s="34" t="s">
        <v>992</v>
      </c>
      <c r="N87" s="34" t="s">
        <v>1364</v>
      </c>
      <c r="O87" s="34" t="s">
        <v>1365</v>
      </c>
      <c r="P87" s="34" t="s">
        <v>554</v>
      </c>
      <c r="Q87" s="34" t="s">
        <v>57</v>
      </c>
      <c r="R87" s="34" t="s">
        <v>57</v>
      </c>
      <c r="S87" s="34" t="s">
        <v>96</v>
      </c>
      <c r="T87" s="34" t="s">
        <v>1366</v>
      </c>
      <c r="U87" s="34" t="s">
        <v>1367</v>
      </c>
      <c r="V87" s="34" t="s">
        <v>99</v>
      </c>
      <c r="W87" s="34" t="s">
        <v>100</v>
      </c>
      <c r="X87" s="37" t="s">
        <v>100</v>
      </c>
      <c r="Y87" s="34" t="s">
        <v>74</v>
      </c>
      <c r="Z87" s="34" t="s">
        <v>57</v>
      </c>
      <c r="AA87" s="34">
        <v>2013.0</v>
      </c>
      <c r="AB87" s="34">
        <v>2013.0</v>
      </c>
      <c r="AC87" s="34" t="s">
        <v>57</v>
      </c>
      <c r="AD87" s="34" t="s">
        <v>57</v>
      </c>
      <c r="AE87" s="34" t="s">
        <v>74</v>
      </c>
      <c r="AF87" s="34" t="s">
        <v>69</v>
      </c>
      <c r="AG87" s="34" t="s">
        <v>104</v>
      </c>
      <c r="AH87" s="34" t="s">
        <v>105</v>
      </c>
      <c r="AI87" s="34" t="s">
        <v>106</v>
      </c>
      <c r="AJ87" s="34" t="s">
        <v>107</v>
      </c>
      <c r="AK87" s="34" t="s">
        <v>1368</v>
      </c>
      <c r="AL87" s="34" t="s">
        <v>128</v>
      </c>
      <c r="AM87" s="34" t="s">
        <v>129</v>
      </c>
      <c r="AN87" s="34" t="s">
        <v>1369</v>
      </c>
      <c r="AO87" s="39"/>
      <c r="AP87" s="34" t="s">
        <v>184</v>
      </c>
      <c r="AQ87" s="96"/>
      <c r="AR87" s="96"/>
      <c r="AS87" s="44"/>
    </row>
    <row r="88">
      <c r="A88" s="32">
        <v>166.0</v>
      </c>
      <c r="B88" s="33">
        <v>3.64026252E8</v>
      </c>
      <c r="C88" s="34" t="s">
        <v>1371</v>
      </c>
      <c r="D88" s="34" t="s">
        <v>1372</v>
      </c>
      <c r="E88" s="34" t="s">
        <v>1373</v>
      </c>
      <c r="F88" s="34" t="s">
        <v>114</v>
      </c>
      <c r="G88" s="38" t="s">
        <v>1374</v>
      </c>
      <c r="H88" s="36">
        <v>2018.0</v>
      </c>
      <c r="I88" s="34" t="s">
        <v>796</v>
      </c>
      <c r="J88" s="34" t="s">
        <v>55</v>
      </c>
      <c r="K88" s="34" t="s">
        <v>1375</v>
      </c>
      <c r="L88" s="34" t="s">
        <v>57</v>
      </c>
      <c r="M88" s="34" t="s">
        <v>114</v>
      </c>
      <c r="N88" s="34" t="s">
        <v>1376</v>
      </c>
      <c r="O88" s="34" t="s">
        <v>1377</v>
      </c>
      <c r="P88" s="34" t="s">
        <v>93</v>
      </c>
      <c r="Q88" s="34" t="s">
        <v>57</v>
      </c>
      <c r="R88" s="34" t="s">
        <v>57</v>
      </c>
      <c r="S88" s="34" t="s">
        <v>96</v>
      </c>
      <c r="T88" s="34" t="s">
        <v>1052</v>
      </c>
      <c r="U88" s="34" t="s">
        <v>1378</v>
      </c>
      <c r="V88" s="34" t="s">
        <v>99</v>
      </c>
      <c r="W88" s="34" t="s">
        <v>100</v>
      </c>
      <c r="X88" s="37" t="s">
        <v>100</v>
      </c>
      <c r="Y88" s="34" t="s">
        <v>74</v>
      </c>
      <c r="Z88" s="34" t="s">
        <v>57</v>
      </c>
      <c r="AA88" s="34">
        <v>2011.0</v>
      </c>
      <c r="AB88" s="34">
        <v>2012.0</v>
      </c>
      <c r="AC88" s="34" t="s">
        <v>103</v>
      </c>
      <c r="AD88" s="34" t="s">
        <v>403</v>
      </c>
      <c r="AE88" s="34" t="s">
        <v>69</v>
      </c>
      <c r="AF88" s="34" t="s">
        <v>74</v>
      </c>
      <c r="AG88" s="34" t="s">
        <v>104</v>
      </c>
      <c r="AH88" s="34" t="s">
        <v>659</v>
      </c>
      <c r="AI88" s="34" t="s">
        <v>1379</v>
      </c>
      <c r="AJ88" s="34" t="s">
        <v>107</v>
      </c>
      <c r="AK88" s="34" t="s">
        <v>1380</v>
      </c>
      <c r="AL88" s="34" t="s">
        <v>79</v>
      </c>
      <c r="AM88" s="34" t="s">
        <v>57</v>
      </c>
      <c r="AN88" s="34" t="s">
        <v>57</v>
      </c>
      <c r="AO88" s="39"/>
      <c r="AP88" s="34" t="s">
        <v>109</v>
      </c>
      <c r="AQ88" s="96"/>
      <c r="AR88" s="96"/>
      <c r="AS88" s="44"/>
    </row>
    <row r="89">
      <c r="A89" s="32">
        <v>168.0</v>
      </c>
      <c r="B89" s="33">
        <v>3.64026296E8</v>
      </c>
      <c r="C89" s="34" t="s">
        <v>1383</v>
      </c>
      <c r="D89" s="34" t="s">
        <v>1384</v>
      </c>
      <c r="E89" s="34" t="s">
        <v>1385</v>
      </c>
      <c r="F89" s="34" t="s">
        <v>114</v>
      </c>
      <c r="G89" s="34" t="s">
        <v>1386</v>
      </c>
      <c r="H89" s="36">
        <v>2015.0</v>
      </c>
      <c r="I89" s="34" t="s">
        <v>796</v>
      </c>
      <c r="J89" s="34" t="s">
        <v>55</v>
      </c>
      <c r="K89" s="34" t="s">
        <v>1387</v>
      </c>
      <c r="L89" s="34" t="s">
        <v>57</v>
      </c>
      <c r="M89" s="34" t="s">
        <v>114</v>
      </c>
      <c r="N89" s="34" t="s">
        <v>118</v>
      </c>
      <c r="O89" s="34" t="s">
        <v>1388</v>
      </c>
      <c r="P89" s="34" t="s">
        <v>93</v>
      </c>
      <c r="Q89" s="34" t="s">
        <v>57</v>
      </c>
      <c r="R89" s="34" t="s">
        <v>57</v>
      </c>
      <c r="S89" s="34" t="s">
        <v>63</v>
      </c>
      <c r="T89" s="34" t="s">
        <v>1389</v>
      </c>
      <c r="U89" s="34" t="s">
        <v>1390</v>
      </c>
      <c r="V89" s="34" t="s">
        <v>57</v>
      </c>
      <c r="W89" s="34" t="s">
        <v>57</v>
      </c>
      <c r="X89" s="37" t="s">
        <v>57</v>
      </c>
      <c r="Y89" s="34" t="s">
        <v>74</v>
      </c>
      <c r="Z89" s="34" t="s">
        <v>57</v>
      </c>
      <c r="AA89" s="34">
        <v>2005.0</v>
      </c>
      <c r="AB89" s="34">
        <v>2009.0</v>
      </c>
      <c r="AC89" s="34" t="s">
        <v>72</v>
      </c>
      <c r="AD89" s="34" t="s">
        <v>102</v>
      </c>
      <c r="AE89" s="34" t="s">
        <v>69</v>
      </c>
      <c r="AF89" s="34" t="s">
        <v>69</v>
      </c>
      <c r="AG89" s="34" t="s">
        <v>104</v>
      </c>
      <c r="AH89" s="34" t="s">
        <v>76</v>
      </c>
      <c r="AI89" s="34" t="s">
        <v>77</v>
      </c>
      <c r="AJ89" s="34" t="s">
        <v>77</v>
      </c>
      <c r="AK89" s="34" t="s">
        <v>1391</v>
      </c>
      <c r="AL89" s="34" t="s">
        <v>79</v>
      </c>
      <c r="AM89" s="34" t="s">
        <v>57</v>
      </c>
      <c r="AN89" s="34" t="s">
        <v>57</v>
      </c>
      <c r="AO89" s="39"/>
      <c r="AP89" s="34" t="s">
        <v>109</v>
      </c>
      <c r="AQ89" s="96"/>
      <c r="AR89" s="96"/>
      <c r="AS89" s="44"/>
    </row>
    <row r="90">
      <c r="A90" s="32">
        <v>169.0</v>
      </c>
      <c r="B90" s="33">
        <v>3.64026429E8</v>
      </c>
      <c r="C90" s="34" t="s">
        <v>1393</v>
      </c>
      <c r="D90" s="34" t="s">
        <v>1394</v>
      </c>
      <c r="E90" s="34" t="s">
        <v>1395</v>
      </c>
      <c r="F90" s="34" t="s">
        <v>1396</v>
      </c>
      <c r="G90" s="34" t="s">
        <v>1397</v>
      </c>
      <c r="H90" s="36">
        <v>2018.0</v>
      </c>
      <c r="I90" s="34" t="s">
        <v>207</v>
      </c>
      <c r="J90" s="34" t="s">
        <v>55</v>
      </c>
      <c r="K90" s="34" t="s">
        <v>1398</v>
      </c>
      <c r="L90" s="34" t="s">
        <v>57</v>
      </c>
      <c r="M90" s="34" t="s">
        <v>1396</v>
      </c>
      <c r="N90" s="34" t="s">
        <v>1399</v>
      </c>
      <c r="O90" s="34" t="s">
        <v>1400</v>
      </c>
      <c r="P90" s="34" t="s">
        <v>93</v>
      </c>
      <c r="Q90" s="34" t="s">
        <v>57</v>
      </c>
      <c r="R90" s="34" t="s">
        <v>57</v>
      </c>
      <c r="S90" s="34" t="s">
        <v>63</v>
      </c>
      <c r="T90" s="34" t="s">
        <v>1401</v>
      </c>
      <c r="U90" s="34" t="s">
        <v>1402</v>
      </c>
      <c r="V90" s="34" t="s">
        <v>99</v>
      </c>
      <c r="W90" s="34" t="s">
        <v>100</v>
      </c>
      <c r="X90" s="37" t="s">
        <v>100</v>
      </c>
      <c r="Y90" s="34" t="s">
        <v>74</v>
      </c>
      <c r="Z90" s="34" t="s">
        <v>57</v>
      </c>
      <c r="AA90" s="34">
        <v>2003.0</v>
      </c>
      <c r="AB90" s="34">
        <v>2007.0</v>
      </c>
      <c r="AC90" s="34" t="s">
        <v>144</v>
      </c>
      <c r="AD90" s="34" t="s">
        <v>180</v>
      </c>
      <c r="AE90" s="34" t="s">
        <v>69</v>
      </c>
      <c r="AF90" s="34" t="s">
        <v>74</v>
      </c>
      <c r="AG90" s="34" t="s">
        <v>104</v>
      </c>
      <c r="AH90" s="34" t="s">
        <v>105</v>
      </c>
      <c r="AI90" s="34" t="s">
        <v>336</v>
      </c>
      <c r="AJ90" s="34" t="s">
        <v>336</v>
      </c>
      <c r="AK90" s="34" t="s">
        <v>1403</v>
      </c>
      <c r="AL90" s="34" t="s">
        <v>128</v>
      </c>
      <c r="AM90" s="34" t="s">
        <v>895</v>
      </c>
      <c r="AN90" s="34" t="s">
        <v>1404</v>
      </c>
      <c r="AO90" s="39"/>
      <c r="AP90" s="34" t="s">
        <v>109</v>
      </c>
      <c r="AQ90" s="96"/>
      <c r="AR90" s="96"/>
      <c r="AS90" s="44"/>
    </row>
    <row r="91">
      <c r="A91" s="32">
        <v>170.0</v>
      </c>
      <c r="B91" s="33">
        <v>3.6402643E8</v>
      </c>
      <c r="C91" s="34" t="s">
        <v>1406</v>
      </c>
      <c r="D91" s="34" t="s">
        <v>1407</v>
      </c>
      <c r="E91" s="34" t="s">
        <v>1408</v>
      </c>
      <c r="F91" s="34" t="s">
        <v>992</v>
      </c>
      <c r="G91" s="34" t="s">
        <v>1409</v>
      </c>
      <c r="H91" s="36">
        <v>2016.0</v>
      </c>
      <c r="I91" s="34" t="s">
        <v>295</v>
      </c>
      <c r="J91" s="34" t="s">
        <v>55</v>
      </c>
      <c r="K91" s="34" t="s">
        <v>1410</v>
      </c>
      <c r="L91" s="34" t="s">
        <v>57</v>
      </c>
      <c r="M91" s="34" t="s">
        <v>992</v>
      </c>
      <c r="N91" s="34" t="s">
        <v>1114</v>
      </c>
      <c r="O91" s="34" t="s">
        <v>1411</v>
      </c>
      <c r="P91" s="34" t="s">
        <v>554</v>
      </c>
      <c r="Q91" s="34" t="s">
        <v>57</v>
      </c>
      <c r="R91" s="34" t="s">
        <v>57</v>
      </c>
      <c r="S91" s="34" t="s">
        <v>63</v>
      </c>
      <c r="T91" s="34" t="s">
        <v>1412</v>
      </c>
      <c r="U91" s="34" t="s">
        <v>1413</v>
      </c>
      <c r="V91" s="34" t="s">
        <v>99</v>
      </c>
      <c r="W91" s="34" t="s">
        <v>100</v>
      </c>
      <c r="X91" s="37" t="s">
        <v>100</v>
      </c>
      <c r="Y91" s="34" t="s">
        <v>74</v>
      </c>
      <c r="Z91" s="34" t="s">
        <v>57</v>
      </c>
      <c r="AA91" s="34">
        <v>2012.0</v>
      </c>
      <c r="AB91" s="34">
        <v>2013.0</v>
      </c>
      <c r="AC91" s="34" t="s">
        <v>264</v>
      </c>
      <c r="AD91" s="34" t="s">
        <v>71</v>
      </c>
      <c r="AE91" s="34" t="s">
        <v>69</v>
      </c>
      <c r="AF91" s="34" t="s">
        <v>74</v>
      </c>
      <c r="AG91" s="34" t="s">
        <v>104</v>
      </c>
      <c r="AH91" s="34" t="s">
        <v>1414</v>
      </c>
      <c r="AI91" s="34" t="s">
        <v>1415</v>
      </c>
      <c r="AJ91" s="34" t="s">
        <v>107</v>
      </c>
      <c r="AK91" s="34" t="s">
        <v>1416</v>
      </c>
      <c r="AL91" s="34" t="s">
        <v>128</v>
      </c>
      <c r="AM91" s="34" t="s">
        <v>895</v>
      </c>
      <c r="AN91" s="34" t="s">
        <v>1417</v>
      </c>
      <c r="AO91" s="34" t="s">
        <v>1418</v>
      </c>
      <c r="AP91" s="34" t="s">
        <v>109</v>
      </c>
      <c r="AQ91" s="96"/>
      <c r="AR91" s="96"/>
      <c r="AS91" s="44"/>
    </row>
    <row r="92">
      <c r="A92" s="32">
        <v>171.0</v>
      </c>
      <c r="B92" s="33">
        <v>3.64026223E8</v>
      </c>
      <c r="C92" s="34" t="s">
        <v>1421</v>
      </c>
      <c r="D92" s="34" t="s">
        <v>1422</v>
      </c>
      <c r="E92" s="38" t="s">
        <v>1423</v>
      </c>
      <c r="F92" s="34" t="s">
        <v>114</v>
      </c>
      <c r="G92" s="34" t="s">
        <v>1424</v>
      </c>
      <c r="H92" s="36">
        <v>2011.0</v>
      </c>
      <c r="I92" s="34" t="s">
        <v>729</v>
      </c>
      <c r="J92" s="34" t="s">
        <v>55</v>
      </c>
      <c r="K92" s="34" t="s">
        <v>1425</v>
      </c>
      <c r="L92" s="34" t="s">
        <v>57</v>
      </c>
      <c r="M92" s="34" t="s">
        <v>114</v>
      </c>
      <c r="N92" s="34" t="s">
        <v>1007</v>
      </c>
      <c r="O92" s="34" t="s">
        <v>1426</v>
      </c>
      <c r="P92" s="34" t="s">
        <v>93</v>
      </c>
      <c r="Q92" s="38" t="s">
        <v>1427</v>
      </c>
      <c r="R92" s="38" t="s">
        <v>1428</v>
      </c>
      <c r="S92" s="34" t="s">
        <v>63</v>
      </c>
      <c r="T92" s="34" t="s">
        <v>1429</v>
      </c>
      <c r="U92" s="34" t="s">
        <v>1430</v>
      </c>
      <c r="V92" s="34" t="s">
        <v>99</v>
      </c>
      <c r="W92" s="34" t="s">
        <v>100</v>
      </c>
      <c r="X92" s="37" t="s">
        <v>100</v>
      </c>
      <c r="Y92" s="34" t="s">
        <v>74</v>
      </c>
      <c r="Z92" s="34" t="s">
        <v>57</v>
      </c>
      <c r="AA92" s="34">
        <v>2002.0</v>
      </c>
      <c r="AB92" s="34">
        <v>2006.0</v>
      </c>
      <c r="AC92" s="34" t="s">
        <v>180</v>
      </c>
      <c r="AD92" s="34" t="s">
        <v>72</v>
      </c>
      <c r="AE92" s="34" t="s">
        <v>69</v>
      </c>
      <c r="AF92" s="34" t="s">
        <v>74</v>
      </c>
      <c r="AG92" s="34" t="s">
        <v>104</v>
      </c>
      <c r="AH92" s="34" t="s">
        <v>105</v>
      </c>
      <c r="AI92" s="34" t="s">
        <v>336</v>
      </c>
      <c r="AJ92" s="34" t="s">
        <v>336</v>
      </c>
      <c r="AK92" s="34" t="s">
        <v>1431</v>
      </c>
      <c r="AL92" s="34" t="s">
        <v>128</v>
      </c>
      <c r="AM92" s="34" t="s">
        <v>129</v>
      </c>
      <c r="AN92" s="34" t="s">
        <v>1432</v>
      </c>
      <c r="AO92" s="34" t="s">
        <v>1433</v>
      </c>
      <c r="AP92" s="34" t="s">
        <v>109</v>
      </c>
      <c r="AQ92" s="96"/>
      <c r="AR92" s="96"/>
      <c r="AS92" s="44"/>
    </row>
    <row r="93">
      <c r="A93" s="32">
        <v>172.0</v>
      </c>
      <c r="B93" s="33">
        <v>3.64026477E8</v>
      </c>
      <c r="C93" s="34" t="s">
        <v>1435</v>
      </c>
      <c r="D93" s="34" t="s">
        <v>1436</v>
      </c>
      <c r="E93" s="34" t="s">
        <v>1437</v>
      </c>
      <c r="F93" s="34" t="s">
        <v>992</v>
      </c>
      <c r="G93" s="34" t="s">
        <v>1438</v>
      </c>
      <c r="H93" s="36">
        <v>2018.0</v>
      </c>
      <c r="I93" s="34" t="s">
        <v>207</v>
      </c>
      <c r="J93" s="34" t="s">
        <v>55</v>
      </c>
      <c r="K93" s="34" t="s">
        <v>1439</v>
      </c>
      <c r="L93" s="34" t="s">
        <v>57</v>
      </c>
      <c r="M93" s="34" t="s">
        <v>992</v>
      </c>
      <c r="N93" s="34" t="s">
        <v>1364</v>
      </c>
      <c r="O93" s="34" t="s">
        <v>1440</v>
      </c>
      <c r="P93" s="34" t="s">
        <v>554</v>
      </c>
      <c r="Q93" s="34" t="s">
        <v>1441</v>
      </c>
      <c r="R93" s="34" t="s">
        <v>1442</v>
      </c>
      <c r="S93" s="34" t="s">
        <v>96</v>
      </c>
      <c r="T93" s="34" t="s">
        <v>1443</v>
      </c>
      <c r="U93" s="34" t="s">
        <v>1444</v>
      </c>
      <c r="V93" s="34" t="s">
        <v>99</v>
      </c>
      <c r="W93" s="34" t="s">
        <v>100</v>
      </c>
      <c r="X93" s="37" t="s">
        <v>100</v>
      </c>
      <c r="Y93" s="34" t="s">
        <v>74</v>
      </c>
      <c r="Z93" s="34" t="s">
        <v>57</v>
      </c>
      <c r="AA93" s="34">
        <v>2014.0</v>
      </c>
      <c r="AB93" s="34">
        <v>2015.0</v>
      </c>
      <c r="AC93" s="34" t="s">
        <v>102</v>
      </c>
      <c r="AD93" s="34" t="s">
        <v>214</v>
      </c>
      <c r="AE93" s="34" t="s">
        <v>69</v>
      </c>
      <c r="AF93" s="34" t="s">
        <v>74</v>
      </c>
      <c r="AG93" s="34" t="s">
        <v>104</v>
      </c>
      <c r="AH93" s="34" t="s">
        <v>105</v>
      </c>
      <c r="AI93" s="34" t="s">
        <v>1231</v>
      </c>
      <c r="AJ93" s="34" t="s">
        <v>107</v>
      </c>
      <c r="AK93" s="34" t="s">
        <v>1445</v>
      </c>
      <c r="AL93" s="34" t="s">
        <v>128</v>
      </c>
      <c r="AM93" s="34" t="s">
        <v>895</v>
      </c>
      <c r="AN93" s="34" t="s">
        <v>1446</v>
      </c>
      <c r="AO93" s="39"/>
      <c r="AP93" s="34" t="s">
        <v>109</v>
      </c>
      <c r="AQ93" s="96"/>
      <c r="AR93" s="96"/>
      <c r="AS93" s="44"/>
    </row>
    <row r="94">
      <c r="A94" s="32">
        <v>173.0</v>
      </c>
      <c r="B94" s="33">
        <v>3.64026457E8</v>
      </c>
      <c r="C94" s="34" t="s">
        <v>1449</v>
      </c>
      <c r="D94" s="34" t="s">
        <v>1450</v>
      </c>
      <c r="E94" s="34" t="s">
        <v>1451</v>
      </c>
      <c r="F94" s="34" t="s">
        <v>1452</v>
      </c>
      <c r="G94" s="34" t="s">
        <v>1453</v>
      </c>
      <c r="H94" s="36">
        <v>2021.0</v>
      </c>
      <c r="I94" s="34" t="s">
        <v>207</v>
      </c>
      <c r="J94" s="34" t="s">
        <v>55</v>
      </c>
      <c r="K94" s="34" t="s">
        <v>1454</v>
      </c>
      <c r="L94" s="34" t="s">
        <v>57</v>
      </c>
      <c r="M94" s="34" t="s">
        <v>1455</v>
      </c>
      <c r="N94" s="34" t="s">
        <v>1456</v>
      </c>
      <c r="O94" s="34" t="s">
        <v>1457</v>
      </c>
      <c r="P94" s="34" t="s">
        <v>93</v>
      </c>
      <c r="Q94" s="34" t="s">
        <v>1458</v>
      </c>
      <c r="R94" s="34" t="s">
        <v>1459</v>
      </c>
      <c r="S94" s="34" t="s">
        <v>63</v>
      </c>
      <c r="T94" s="34" t="s">
        <v>351</v>
      </c>
      <c r="U94" s="34" t="s">
        <v>1460</v>
      </c>
      <c r="V94" s="34" t="s">
        <v>99</v>
      </c>
      <c r="W94" s="34" t="s">
        <v>100</v>
      </c>
      <c r="X94" s="37" t="s">
        <v>100</v>
      </c>
      <c r="Y94" s="34" t="s">
        <v>74</v>
      </c>
      <c r="Z94" s="34" t="s">
        <v>57</v>
      </c>
      <c r="AA94" s="34">
        <v>2017.0</v>
      </c>
      <c r="AB94" s="34">
        <v>2017.0</v>
      </c>
      <c r="AC94" s="34" t="s">
        <v>144</v>
      </c>
      <c r="AD94" s="34" t="s">
        <v>144</v>
      </c>
      <c r="AE94" s="34" t="s">
        <v>69</v>
      </c>
      <c r="AF94" s="34" t="s">
        <v>74</v>
      </c>
      <c r="AG94" s="34" t="s">
        <v>104</v>
      </c>
      <c r="AH94" s="34" t="s">
        <v>1461</v>
      </c>
      <c r="AI94" s="34" t="s">
        <v>1462</v>
      </c>
      <c r="AJ94" s="34" t="s">
        <v>147</v>
      </c>
      <c r="AK94" s="34" t="s">
        <v>1463</v>
      </c>
      <c r="AL94" s="34" t="s">
        <v>128</v>
      </c>
      <c r="AM94" s="34" t="s">
        <v>129</v>
      </c>
      <c r="AN94" s="34" t="s">
        <v>1464</v>
      </c>
      <c r="AO94" s="39"/>
      <c r="AP94" s="34" t="s">
        <v>109</v>
      </c>
      <c r="AQ94" s="96"/>
      <c r="AR94" s="96"/>
      <c r="AS94" s="44"/>
    </row>
    <row r="95">
      <c r="A95" s="32">
        <v>174.0</v>
      </c>
      <c r="B95" s="33">
        <v>3.64026483E8</v>
      </c>
      <c r="C95" s="34" t="s">
        <v>1466</v>
      </c>
      <c r="D95" s="34" t="s">
        <v>1467</v>
      </c>
      <c r="E95" s="38" t="s">
        <v>1468</v>
      </c>
      <c r="F95" s="34" t="s">
        <v>992</v>
      </c>
      <c r="G95" s="38" t="s">
        <v>1469</v>
      </c>
      <c r="H95" s="36">
        <v>2007.0</v>
      </c>
      <c r="I95" s="34" t="s">
        <v>686</v>
      </c>
      <c r="J95" s="34" t="s">
        <v>55</v>
      </c>
      <c r="K95" s="34" t="s">
        <v>1470</v>
      </c>
      <c r="L95" s="34" t="s">
        <v>57</v>
      </c>
      <c r="M95" s="34" t="s">
        <v>992</v>
      </c>
      <c r="N95" s="34" t="s">
        <v>1471</v>
      </c>
      <c r="O95" s="34" t="s">
        <v>1472</v>
      </c>
      <c r="P95" s="34" t="s">
        <v>554</v>
      </c>
      <c r="Q95" s="34" t="s">
        <v>57</v>
      </c>
      <c r="R95" s="34" t="s">
        <v>57</v>
      </c>
      <c r="S95" s="34" t="s">
        <v>96</v>
      </c>
      <c r="T95" s="34" t="s">
        <v>1473</v>
      </c>
      <c r="U95" s="34" t="s">
        <v>1474</v>
      </c>
      <c r="V95" s="34" t="s">
        <v>99</v>
      </c>
      <c r="W95" s="34" t="s">
        <v>100</v>
      </c>
      <c r="X95" s="37" t="s">
        <v>100</v>
      </c>
      <c r="Y95" s="34" t="s">
        <v>74</v>
      </c>
      <c r="Z95" s="34" t="s">
        <v>57</v>
      </c>
      <c r="AA95" s="34">
        <v>2001.0</v>
      </c>
      <c r="AB95" s="34">
        <v>2003.0</v>
      </c>
      <c r="AC95" s="34" t="s">
        <v>57</v>
      </c>
      <c r="AD95" s="34" t="s">
        <v>57</v>
      </c>
      <c r="AE95" s="34" t="s">
        <v>69</v>
      </c>
      <c r="AF95" s="34" t="s">
        <v>74</v>
      </c>
      <c r="AG95" s="34" t="s">
        <v>104</v>
      </c>
      <c r="AH95" s="34" t="s">
        <v>105</v>
      </c>
      <c r="AI95" s="34" t="s">
        <v>1231</v>
      </c>
      <c r="AJ95" s="34" t="s">
        <v>107</v>
      </c>
      <c r="AK95" s="34" t="s">
        <v>1475</v>
      </c>
      <c r="AL95" s="34" t="s">
        <v>79</v>
      </c>
      <c r="AM95" s="34" t="s">
        <v>57</v>
      </c>
      <c r="AN95" s="34" t="s">
        <v>57</v>
      </c>
      <c r="AO95" s="34" t="s">
        <v>1476</v>
      </c>
      <c r="AP95" s="34" t="s">
        <v>109</v>
      </c>
      <c r="AQ95" s="96"/>
      <c r="AR95" s="96"/>
      <c r="AS95" s="44"/>
    </row>
    <row r="96">
      <c r="A96" s="32">
        <v>175.0</v>
      </c>
      <c r="B96" s="33">
        <v>3.6402647E8</v>
      </c>
      <c r="C96" s="34" t="s">
        <v>1479</v>
      </c>
      <c r="D96" s="34" t="s">
        <v>1480</v>
      </c>
      <c r="E96" s="34" t="s">
        <v>1481</v>
      </c>
      <c r="F96" s="34" t="s">
        <v>114</v>
      </c>
      <c r="G96" s="34" t="s">
        <v>1482</v>
      </c>
      <c r="H96" s="36">
        <v>2013.0</v>
      </c>
      <c r="I96" s="34" t="s">
        <v>295</v>
      </c>
      <c r="J96" s="34" t="s">
        <v>55</v>
      </c>
      <c r="K96" s="34" t="s">
        <v>1483</v>
      </c>
      <c r="L96" s="34" t="s">
        <v>57</v>
      </c>
      <c r="M96" s="34" t="s">
        <v>114</v>
      </c>
      <c r="N96" s="34" t="s">
        <v>1484</v>
      </c>
      <c r="O96" s="34" t="s">
        <v>1485</v>
      </c>
      <c r="P96" s="34" t="s">
        <v>93</v>
      </c>
      <c r="Q96" s="34" t="s">
        <v>1486</v>
      </c>
      <c r="R96" s="34" t="s">
        <v>1487</v>
      </c>
      <c r="S96" s="34" t="s">
        <v>63</v>
      </c>
      <c r="T96" s="34" t="s">
        <v>1488</v>
      </c>
      <c r="U96" s="34" t="s">
        <v>1489</v>
      </c>
      <c r="V96" s="34" t="s">
        <v>99</v>
      </c>
      <c r="W96" s="34" t="s">
        <v>100</v>
      </c>
      <c r="X96" s="37" t="s">
        <v>100</v>
      </c>
      <c r="Y96" s="34" t="s">
        <v>69</v>
      </c>
      <c r="Z96" s="34" t="s">
        <v>1490</v>
      </c>
      <c r="AA96" s="34">
        <v>2005.0</v>
      </c>
      <c r="AB96" s="34">
        <v>2009.0</v>
      </c>
      <c r="AC96" s="34" t="s">
        <v>57</v>
      </c>
      <c r="AD96" s="34" t="s">
        <v>57</v>
      </c>
      <c r="AE96" s="34" t="s">
        <v>69</v>
      </c>
      <c r="AF96" s="34" t="s">
        <v>69</v>
      </c>
      <c r="AG96" s="34" t="s">
        <v>104</v>
      </c>
      <c r="AH96" s="34" t="s">
        <v>105</v>
      </c>
      <c r="AI96" s="34" t="s">
        <v>336</v>
      </c>
      <c r="AJ96" s="34" t="s">
        <v>336</v>
      </c>
      <c r="AK96" s="34" t="s">
        <v>1491</v>
      </c>
      <c r="AL96" s="34" t="s">
        <v>128</v>
      </c>
      <c r="AM96" s="34" t="s">
        <v>129</v>
      </c>
      <c r="AN96" s="34" t="s">
        <v>1492</v>
      </c>
      <c r="AO96" s="39"/>
      <c r="AP96" s="34" t="s">
        <v>109</v>
      </c>
      <c r="AQ96" s="96"/>
      <c r="AR96" s="96"/>
      <c r="AS96" s="44"/>
    </row>
    <row r="97">
      <c r="A97" s="32">
        <v>177.0</v>
      </c>
      <c r="B97" s="33">
        <v>3.6402644E8</v>
      </c>
      <c r="C97" s="34" t="s">
        <v>1495</v>
      </c>
      <c r="D97" s="34" t="s">
        <v>1496</v>
      </c>
      <c r="E97" s="34" t="s">
        <v>1497</v>
      </c>
      <c r="F97" s="34" t="s">
        <v>1455</v>
      </c>
      <c r="G97" s="34" t="s">
        <v>1498</v>
      </c>
      <c r="H97" s="36">
        <v>2021.0</v>
      </c>
      <c r="I97" s="34" t="s">
        <v>1499</v>
      </c>
      <c r="J97" s="34" t="s">
        <v>55</v>
      </c>
      <c r="K97" s="34" t="s">
        <v>1500</v>
      </c>
      <c r="L97" s="34" t="s">
        <v>57</v>
      </c>
      <c r="M97" s="34" t="s">
        <v>1455</v>
      </c>
      <c r="N97" s="34" t="s">
        <v>1501</v>
      </c>
      <c r="O97" s="34" t="s">
        <v>1502</v>
      </c>
      <c r="P97" s="34" t="s">
        <v>93</v>
      </c>
      <c r="Q97" s="34" t="s">
        <v>1503</v>
      </c>
      <c r="R97" s="34" t="s">
        <v>1504</v>
      </c>
      <c r="S97" s="34" t="s">
        <v>96</v>
      </c>
      <c r="T97" s="34" t="s">
        <v>178</v>
      </c>
      <c r="U97" s="34" t="s">
        <v>1505</v>
      </c>
      <c r="V97" s="34" t="s">
        <v>99</v>
      </c>
      <c r="W97" s="34" t="s">
        <v>100</v>
      </c>
      <c r="X97" s="37" t="s">
        <v>100</v>
      </c>
      <c r="Y97" s="34" t="s">
        <v>74</v>
      </c>
      <c r="Z97" s="34" t="s">
        <v>57</v>
      </c>
      <c r="AA97" s="34">
        <v>2017.0</v>
      </c>
      <c r="AB97" s="34">
        <v>2018.0</v>
      </c>
      <c r="AC97" s="34" t="s">
        <v>103</v>
      </c>
      <c r="AD97" s="34" t="s">
        <v>71</v>
      </c>
      <c r="AE97" s="34" t="s">
        <v>69</v>
      </c>
      <c r="AF97" s="34" t="s">
        <v>69</v>
      </c>
      <c r="AG97" s="34" t="s">
        <v>104</v>
      </c>
      <c r="AH97" s="34" t="s">
        <v>105</v>
      </c>
      <c r="AI97" s="34" t="s">
        <v>336</v>
      </c>
      <c r="AJ97" s="34" t="s">
        <v>336</v>
      </c>
      <c r="AK97" s="34" t="s">
        <v>1506</v>
      </c>
      <c r="AL97" s="34" t="s">
        <v>128</v>
      </c>
      <c r="AM97" s="34" t="s">
        <v>129</v>
      </c>
      <c r="AN97" s="34" t="s">
        <v>1507</v>
      </c>
      <c r="AO97" s="39"/>
      <c r="AP97" s="34" t="s">
        <v>109</v>
      </c>
      <c r="AQ97" s="96"/>
      <c r="AR97" s="96"/>
      <c r="AS97" s="44"/>
    </row>
    <row r="98">
      <c r="A98" s="32">
        <v>180.0</v>
      </c>
      <c r="B98" s="33">
        <v>3.64026246E8</v>
      </c>
      <c r="C98" s="34" t="s">
        <v>1510</v>
      </c>
      <c r="D98" s="34" t="s">
        <v>1511</v>
      </c>
      <c r="E98" s="38" t="s">
        <v>1512</v>
      </c>
      <c r="F98" s="34" t="s">
        <v>381</v>
      </c>
      <c r="G98" s="38" t="s">
        <v>1513</v>
      </c>
      <c r="H98" s="36">
        <v>2021.0</v>
      </c>
      <c r="I98" s="38" t="s">
        <v>796</v>
      </c>
      <c r="J98" s="34" t="s">
        <v>55</v>
      </c>
      <c r="K98" s="34" t="s">
        <v>1514</v>
      </c>
      <c r="L98" s="34" t="s">
        <v>57</v>
      </c>
      <c r="M98" s="34" t="s">
        <v>381</v>
      </c>
      <c r="N98" s="34" t="s">
        <v>1515</v>
      </c>
      <c r="O98" s="34" t="s">
        <v>1516</v>
      </c>
      <c r="P98" s="34" t="s">
        <v>93</v>
      </c>
      <c r="Q98" s="38" t="s">
        <v>1517</v>
      </c>
      <c r="R98" s="38" t="s">
        <v>1518</v>
      </c>
      <c r="S98" s="34" t="s">
        <v>96</v>
      </c>
      <c r="T98" s="34" t="s">
        <v>1308</v>
      </c>
      <c r="U98" s="34" t="s">
        <v>1519</v>
      </c>
      <c r="V98" s="34" t="s">
        <v>99</v>
      </c>
      <c r="W98" s="34" t="s">
        <v>100</v>
      </c>
      <c r="X98" s="37" t="s">
        <v>100</v>
      </c>
      <c r="Y98" s="34" t="s">
        <v>74</v>
      </c>
      <c r="Z98" s="34" t="s">
        <v>57</v>
      </c>
      <c r="AA98" s="34">
        <v>2015.0</v>
      </c>
      <c r="AB98" s="34">
        <v>2016.0</v>
      </c>
      <c r="AC98" s="34" t="s">
        <v>264</v>
      </c>
      <c r="AD98" s="34" t="s">
        <v>692</v>
      </c>
      <c r="AE98" s="34" t="s">
        <v>69</v>
      </c>
      <c r="AF98" s="34" t="s">
        <v>74</v>
      </c>
      <c r="AG98" s="34" t="s">
        <v>104</v>
      </c>
      <c r="AH98" s="34" t="s">
        <v>105</v>
      </c>
      <c r="AI98" s="34" t="s">
        <v>336</v>
      </c>
      <c r="AJ98" s="34" t="s">
        <v>336</v>
      </c>
      <c r="AK98" s="34" t="s">
        <v>1520</v>
      </c>
      <c r="AL98" s="34" t="s">
        <v>128</v>
      </c>
      <c r="AM98" s="34" t="s">
        <v>129</v>
      </c>
      <c r="AN98" s="34" t="s">
        <v>1521</v>
      </c>
      <c r="AO98" s="39"/>
      <c r="AP98" s="34" t="s">
        <v>1522</v>
      </c>
      <c r="AQ98" s="96"/>
      <c r="AR98" s="96"/>
      <c r="AS98" s="44"/>
    </row>
    <row r="99">
      <c r="A99" s="32">
        <v>181.0</v>
      </c>
      <c r="B99" s="33">
        <v>3.64026279E8</v>
      </c>
      <c r="C99" s="34" t="s">
        <v>1525</v>
      </c>
      <c r="D99" s="34" t="s">
        <v>1526</v>
      </c>
      <c r="E99" s="34" t="s">
        <v>1527</v>
      </c>
      <c r="F99" s="34" t="s">
        <v>992</v>
      </c>
      <c r="G99" s="34" t="s">
        <v>1528</v>
      </c>
      <c r="H99" s="36">
        <v>2001.0</v>
      </c>
      <c r="I99" s="34" t="s">
        <v>1529</v>
      </c>
      <c r="J99" s="34" t="s">
        <v>55</v>
      </c>
      <c r="K99" s="34" t="s">
        <v>57</v>
      </c>
      <c r="L99" s="34" t="s">
        <v>57</v>
      </c>
      <c r="M99" s="34" t="s">
        <v>992</v>
      </c>
      <c r="N99" s="34" t="s">
        <v>1530</v>
      </c>
      <c r="O99" s="34" t="s">
        <v>1531</v>
      </c>
      <c r="P99" s="34" t="s">
        <v>554</v>
      </c>
      <c r="Q99" s="34" t="s">
        <v>57</v>
      </c>
      <c r="R99" s="34" t="s">
        <v>57</v>
      </c>
      <c r="S99" s="34" t="s">
        <v>96</v>
      </c>
      <c r="T99" s="34" t="s">
        <v>766</v>
      </c>
      <c r="U99" s="34" t="s">
        <v>1532</v>
      </c>
      <c r="V99" s="34" t="s">
        <v>99</v>
      </c>
      <c r="W99" s="34" t="s">
        <v>100</v>
      </c>
      <c r="X99" s="37" t="s">
        <v>100</v>
      </c>
      <c r="Y99" s="34" t="s">
        <v>74</v>
      </c>
      <c r="Z99" s="34" t="s">
        <v>57</v>
      </c>
      <c r="AA99" s="34">
        <v>1995.0</v>
      </c>
      <c r="AB99" s="34">
        <v>1995.0</v>
      </c>
      <c r="AC99" s="34" t="s">
        <v>542</v>
      </c>
      <c r="AD99" s="34" t="s">
        <v>214</v>
      </c>
      <c r="AE99" s="34" t="s">
        <v>69</v>
      </c>
      <c r="AF99" s="34" t="s">
        <v>74</v>
      </c>
      <c r="AG99" s="34" t="s">
        <v>104</v>
      </c>
      <c r="AH99" s="34" t="s">
        <v>105</v>
      </c>
      <c r="AI99" s="34" t="s">
        <v>1231</v>
      </c>
      <c r="AJ99" s="34" t="s">
        <v>107</v>
      </c>
      <c r="AK99" s="34" t="s">
        <v>1533</v>
      </c>
      <c r="AL99" s="34" t="s">
        <v>128</v>
      </c>
      <c r="AM99" s="34" t="s">
        <v>198</v>
      </c>
      <c r="AN99" s="34" t="s">
        <v>1534</v>
      </c>
      <c r="AO99" s="34" t="s">
        <v>1535</v>
      </c>
      <c r="AP99" s="34" t="s">
        <v>109</v>
      </c>
      <c r="AQ99" s="96"/>
      <c r="AR99" s="96"/>
      <c r="AS99" s="44"/>
    </row>
    <row r="100">
      <c r="A100" s="32">
        <v>182.0</v>
      </c>
      <c r="B100" s="33">
        <v>3.64026652E8</v>
      </c>
      <c r="C100" s="34" t="s">
        <v>1537</v>
      </c>
      <c r="D100" s="34" t="s">
        <v>1538</v>
      </c>
      <c r="E100" s="34" t="s">
        <v>1539</v>
      </c>
      <c r="F100" s="34" t="s">
        <v>992</v>
      </c>
      <c r="G100" s="34" t="s">
        <v>1540</v>
      </c>
      <c r="H100" s="36">
        <v>2012.0</v>
      </c>
      <c r="I100" s="34" t="s">
        <v>1541</v>
      </c>
      <c r="J100" s="34" t="s">
        <v>55</v>
      </c>
      <c r="K100" s="34" t="s">
        <v>1542</v>
      </c>
      <c r="L100" s="34" t="s">
        <v>57</v>
      </c>
      <c r="M100" s="34" t="s">
        <v>992</v>
      </c>
      <c r="N100" s="34" t="s">
        <v>1530</v>
      </c>
      <c r="O100" s="34" t="s">
        <v>1543</v>
      </c>
      <c r="P100" s="34" t="s">
        <v>554</v>
      </c>
      <c r="Q100" s="34" t="s">
        <v>57</v>
      </c>
      <c r="R100" s="34" t="s">
        <v>57</v>
      </c>
      <c r="S100" s="34" t="s">
        <v>96</v>
      </c>
      <c r="T100" s="34" t="s">
        <v>1389</v>
      </c>
      <c r="U100" s="34" t="s">
        <v>1544</v>
      </c>
      <c r="V100" s="34" t="s">
        <v>99</v>
      </c>
      <c r="W100" s="34" t="s">
        <v>100</v>
      </c>
      <c r="X100" s="37" t="s">
        <v>100</v>
      </c>
      <c r="Y100" s="34" t="s">
        <v>74</v>
      </c>
      <c r="Z100" s="34" t="s">
        <v>57</v>
      </c>
      <c r="AA100" s="34">
        <v>2010.0</v>
      </c>
      <c r="AB100" s="34">
        <v>2010.0</v>
      </c>
      <c r="AC100" s="34" t="s">
        <v>57</v>
      </c>
      <c r="AD100" s="34" t="s">
        <v>57</v>
      </c>
      <c r="AE100" s="34" t="s">
        <v>69</v>
      </c>
      <c r="AF100" s="34" t="s">
        <v>74</v>
      </c>
      <c r="AG100" s="34" t="s">
        <v>104</v>
      </c>
      <c r="AH100" s="34" t="s">
        <v>105</v>
      </c>
      <c r="AI100" s="34" t="s">
        <v>336</v>
      </c>
      <c r="AJ100" s="34" t="s">
        <v>336</v>
      </c>
      <c r="AK100" s="34" t="s">
        <v>1545</v>
      </c>
      <c r="AL100" s="34" t="s">
        <v>128</v>
      </c>
      <c r="AM100" s="34" t="s">
        <v>129</v>
      </c>
      <c r="AN100" s="34" t="s">
        <v>1546</v>
      </c>
      <c r="AO100" s="39"/>
      <c r="AP100" s="34" t="s">
        <v>109</v>
      </c>
      <c r="AQ100" s="96"/>
      <c r="AR100" s="96"/>
      <c r="AS100" s="44"/>
    </row>
    <row r="101">
      <c r="A101" s="32">
        <v>184.0</v>
      </c>
      <c r="B101" s="33">
        <v>3.64026283E8</v>
      </c>
      <c r="C101" s="34" t="s">
        <v>1548</v>
      </c>
      <c r="D101" s="38" t="s">
        <v>1549</v>
      </c>
      <c r="E101" s="34" t="s">
        <v>1550</v>
      </c>
      <c r="F101" s="34" t="s">
        <v>489</v>
      </c>
      <c r="G101" s="34" t="s">
        <v>1551</v>
      </c>
      <c r="H101" s="36">
        <v>2006.0</v>
      </c>
      <c r="I101" s="34" t="s">
        <v>829</v>
      </c>
      <c r="J101" s="34" t="s">
        <v>55</v>
      </c>
      <c r="K101" s="34" t="s">
        <v>1552</v>
      </c>
      <c r="L101" s="34" t="s">
        <v>57</v>
      </c>
      <c r="M101" s="34" t="s">
        <v>489</v>
      </c>
      <c r="N101" s="34" t="s">
        <v>1553</v>
      </c>
      <c r="O101" s="34" t="s">
        <v>1554</v>
      </c>
      <c r="P101" s="34" t="s">
        <v>93</v>
      </c>
      <c r="Q101" s="34" t="s">
        <v>1555</v>
      </c>
      <c r="R101" s="34" t="s">
        <v>1556</v>
      </c>
      <c r="S101" s="34" t="s">
        <v>63</v>
      </c>
      <c r="T101" s="34" t="s">
        <v>1557</v>
      </c>
      <c r="U101" s="34" t="s">
        <v>1558</v>
      </c>
      <c r="V101" s="34" t="s">
        <v>99</v>
      </c>
      <c r="W101" s="34" t="s">
        <v>100</v>
      </c>
      <c r="X101" s="37" t="s">
        <v>100</v>
      </c>
      <c r="Y101" s="34" t="s">
        <v>74</v>
      </c>
      <c r="Z101" s="34" t="s">
        <v>57</v>
      </c>
      <c r="AA101" s="34">
        <v>2003.0</v>
      </c>
      <c r="AB101" s="34">
        <v>2003.0</v>
      </c>
      <c r="AC101" s="34" t="s">
        <v>144</v>
      </c>
      <c r="AD101" s="34" t="s">
        <v>180</v>
      </c>
      <c r="AE101" s="34" t="s">
        <v>69</v>
      </c>
      <c r="AF101" s="34" t="s">
        <v>69</v>
      </c>
      <c r="AG101" s="34" t="s">
        <v>104</v>
      </c>
      <c r="AH101" s="34" t="s">
        <v>105</v>
      </c>
      <c r="AI101" s="34" t="s">
        <v>336</v>
      </c>
      <c r="AJ101" s="34" t="s">
        <v>336</v>
      </c>
      <c r="AK101" s="34" t="s">
        <v>1559</v>
      </c>
      <c r="AL101" s="34" t="s">
        <v>79</v>
      </c>
      <c r="AM101" s="34" t="s">
        <v>57</v>
      </c>
      <c r="AN101" s="34" t="s">
        <v>57</v>
      </c>
      <c r="AO101" s="39"/>
      <c r="AP101" s="34" t="s">
        <v>109</v>
      </c>
      <c r="AQ101" s="96"/>
      <c r="AR101" s="96"/>
      <c r="AS101" s="44"/>
    </row>
    <row r="102">
      <c r="A102" s="32">
        <v>186.0</v>
      </c>
      <c r="B102" s="33">
        <v>3.64026435E8</v>
      </c>
      <c r="C102" s="34" t="s">
        <v>1561</v>
      </c>
      <c r="D102" s="34" t="s">
        <v>1562</v>
      </c>
      <c r="E102" s="34" t="s">
        <v>1563</v>
      </c>
      <c r="F102" s="34" t="s">
        <v>489</v>
      </c>
      <c r="G102" s="34" t="s">
        <v>1564</v>
      </c>
      <c r="H102" s="36">
        <v>2012.0</v>
      </c>
      <c r="I102" s="34" t="s">
        <v>295</v>
      </c>
      <c r="J102" s="34" t="s">
        <v>55</v>
      </c>
      <c r="K102" s="34" t="s">
        <v>1565</v>
      </c>
      <c r="L102" s="34" t="s">
        <v>57</v>
      </c>
      <c r="M102" s="34" t="s">
        <v>489</v>
      </c>
      <c r="N102" s="34" t="s">
        <v>1553</v>
      </c>
      <c r="O102" s="34" t="s">
        <v>1566</v>
      </c>
      <c r="P102" s="34" t="s">
        <v>93</v>
      </c>
      <c r="Q102" s="34" t="s">
        <v>57</v>
      </c>
      <c r="R102" s="34" t="s">
        <v>57</v>
      </c>
      <c r="S102" s="34" t="s">
        <v>63</v>
      </c>
      <c r="T102" s="34" t="s">
        <v>64</v>
      </c>
      <c r="U102" s="34" t="s">
        <v>1567</v>
      </c>
      <c r="V102" s="34" t="s">
        <v>99</v>
      </c>
      <c r="W102" s="34" t="s">
        <v>100</v>
      </c>
      <c r="X102" s="37" t="s">
        <v>100</v>
      </c>
      <c r="Y102" s="34" t="s">
        <v>74</v>
      </c>
      <c r="Z102" s="34" t="s">
        <v>57</v>
      </c>
      <c r="AA102" s="34">
        <v>2005.0</v>
      </c>
      <c r="AB102" s="34">
        <v>2008.0</v>
      </c>
      <c r="AC102" s="34" t="s">
        <v>214</v>
      </c>
      <c r="AD102" s="34" t="s">
        <v>72</v>
      </c>
      <c r="AE102" s="34" t="s">
        <v>69</v>
      </c>
      <c r="AF102" s="34" t="s">
        <v>74</v>
      </c>
      <c r="AG102" s="34" t="s">
        <v>104</v>
      </c>
      <c r="AH102" s="34" t="s">
        <v>105</v>
      </c>
      <c r="AI102" s="34" t="s">
        <v>336</v>
      </c>
      <c r="AJ102" s="34" t="s">
        <v>336</v>
      </c>
      <c r="AK102" s="34" t="s">
        <v>1568</v>
      </c>
      <c r="AL102" s="34" t="s">
        <v>128</v>
      </c>
      <c r="AM102" s="34" t="s">
        <v>129</v>
      </c>
      <c r="AN102" s="34" t="s">
        <v>1569</v>
      </c>
      <c r="AO102" s="39"/>
      <c r="AP102" s="34" t="s">
        <v>109</v>
      </c>
      <c r="AQ102" s="96"/>
      <c r="AR102" s="96"/>
      <c r="AS102" s="44"/>
    </row>
    <row r="103">
      <c r="A103" s="32">
        <v>187.0</v>
      </c>
      <c r="B103" s="33">
        <v>3.64026461E8</v>
      </c>
      <c r="C103" s="34" t="s">
        <v>1572</v>
      </c>
      <c r="D103" s="34" t="s">
        <v>1573</v>
      </c>
      <c r="E103" s="34" t="s">
        <v>1574</v>
      </c>
      <c r="F103" s="34" t="s">
        <v>760</v>
      </c>
      <c r="G103" s="34" t="s">
        <v>1575</v>
      </c>
      <c r="H103" s="36">
        <v>2014.0</v>
      </c>
      <c r="I103" s="34" t="s">
        <v>207</v>
      </c>
      <c r="J103" s="34" t="s">
        <v>55</v>
      </c>
      <c r="K103" s="34" t="s">
        <v>1576</v>
      </c>
      <c r="L103" s="34" t="s">
        <v>57</v>
      </c>
      <c r="M103" s="34" t="s">
        <v>760</v>
      </c>
      <c r="N103" s="34" t="s">
        <v>1577</v>
      </c>
      <c r="O103" s="34" t="s">
        <v>1578</v>
      </c>
      <c r="P103" s="34" t="s">
        <v>93</v>
      </c>
      <c r="Q103" s="34" t="s">
        <v>57</v>
      </c>
      <c r="R103" s="34" t="s">
        <v>57</v>
      </c>
      <c r="S103" s="34" t="s">
        <v>63</v>
      </c>
      <c r="T103" s="34" t="s">
        <v>1579</v>
      </c>
      <c r="U103" s="34" t="s">
        <v>1580</v>
      </c>
      <c r="V103" s="34" t="s">
        <v>99</v>
      </c>
      <c r="W103" s="34" t="s">
        <v>100</v>
      </c>
      <c r="X103" s="37" t="s">
        <v>100</v>
      </c>
      <c r="Y103" s="34" t="s">
        <v>74</v>
      </c>
      <c r="Z103" s="34" t="s">
        <v>57</v>
      </c>
      <c r="AA103" s="34">
        <v>2007.0</v>
      </c>
      <c r="AB103" s="34">
        <v>2009.0</v>
      </c>
      <c r="AC103" s="34" t="s">
        <v>57</v>
      </c>
      <c r="AD103" s="34" t="s">
        <v>57</v>
      </c>
      <c r="AE103" s="34" t="s">
        <v>69</v>
      </c>
      <c r="AF103" s="34" t="s">
        <v>69</v>
      </c>
      <c r="AG103" s="34" t="s">
        <v>104</v>
      </c>
      <c r="AH103" s="34" t="s">
        <v>105</v>
      </c>
      <c r="AI103" s="34" t="s">
        <v>336</v>
      </c>
      <c r="AJ103" s="34" t="s">
        <v>336</v>
      </c>
      <c r="AK103" s="34" t="s">
        <v>1581</v>
      </c>
      <c r="AL103" s="34" t="s">
        <v>128</v>
      </c>
      <c r="AM103" s="34" t="s">
        <v>129</v>
      </c>
      <c r="AN103" s="34" t="s">
        <v>1582</v>
      </c>
      <c r="AO103" s="39"/>
      <c r="AP103" s="34" t="s">
        <v>109</v>
      </c>
      <c r="AQ103" s="96"/>
      <c r="AR103" s="96"/>
      <c r="AS103" s="44"/>
    </row>
    <row r="104">
      <c r="A104" s="32">
        <v>188.0</v>
      </c>
      <c r="B104" s="33">
        <v>3.6402655E8</v>
      </c>
      <c r="C104" s="34" t="s">
        <v>1584</v>
      </c>
      <c r="D104" s="34" t="s">
        <v>1585</v>
      </c>
      <c r="E104" s="34" t="s">
        <v>1586</v>
      </c>
      <c r="F104" s="34" t="s">
        <v>114</v>
      </c>
      <c r="G104" s="38" t="s">
        <v>1587</v>
      </c>
      <c r="H104" s="36">
        <v>2021.0</v>
      </c>
      <c r="I104" s="34" t="s">
        <v>796</v>
      </c>
      <c r="J104" s="34" t="s">
        <v>55</v>
      </c>
      <c r="K104" s="34" t="s">
        <v>1588</v>
      </c>
      <c r="L104" s="34" t="s">
        <v>57</v>
      </c>
      <c r="M104" s="34" t="s">
        <v>114</v>
      </c>
      <c r="N104" s="34" t="s">
        <v>1589</v>
      </c>
      <c r="O104" s="34" t="s">
        <v>1590</v>
      </c>
      <c r="P104" s="34" t="s">
        <v>93</v>
      </c>
      <c r="Q104" s="34" t="s">
        <v>57</v>
      </c>
      <c r="R104" s="34" t="s">
        <v>57</v>
      </c>
      <c r="S104" s="34" t="s">
        <v>63</v>
      </c>
      <c r="T104" s="34" t="s">
        <v>229</v>
      </c>
      <c r="U104" s="34" t="s">
        <v>1591</v>
      </c>
      <c r="V104" s="34" t="s">
        <v>99</v>
      </c>
      <c r="W104" s="34" t="s">
        <v>100</v>
      </c>
      <c r="X104" s="37" t="s">
        <v>100</v>
      </c>
      <c r="Y104" s="34" t="s">
        <v>74</v>
      </c>
      <c r="Z104" s="34" t="s">
        <v>57</v>
      </c>
      <c r="AA104" s="34">
        <v>2014.0</v>
      </c>
      <c r="AB104" s="34">
        <v>2016.0</v>
      </c>
      <c r="AC104" s="34" t="s">
        <v>180</v>
      </c>
      <c r="AD104" s="34" t="s">
        <v>72</v>
      </c>
      <c r="AE104" s="34" t="s">
        <v>69</v>
      </c>
      <c r="AF104" s="34" t="s">
        <v>69</v>
      </c>
      <c r="AG104" s="34" t="s">
        <v>104</v>
      </c>
      <c r="AH104" s="34" t="s">
        <v>105</v>
      </c>
      <c r="AI104" s="34" t="s">
        <v>1231</v>
      </c>
      <c r="AJ104" s="34" t="s">
        <v>107</v>
      </c>
      <c r="AK104" s="34" t="s">
        <v>1592</v>
      </c>
      <c r="AL104" s="34" t="s">
        <v>128</v>
      </c>
      <c r="AM104" s="34" t="s">
        <v>129</v>
      </c>
      <c r="AN104" s="34" t="s">
        <v>1593</v>
      </c>
      <c r="AO104" s="39"/>
      <c r="AP104" s="34" t="s">
        <v>109</v>
      </c>
      <c r="AQ104" s="96"/>
      <c r="AR104" s="96"/>
      <c r="AS104" s="44"/>
    </row>
    <row r="105">
      <c r="A105" s="32">
        <v>189.0</v>
      </c>
      <c r="B105" s="33">
        <v>3.64026322E8</v>
      </c>
      <c r="C105" s="34" t="s">
        <v>1596</v>
      </c>
      <c r="D105" s="38" t="s">
        <v>1597</v>
      </c>
      <c r="E105" s="38" t="s">
        <v>1598</v>
      </c>
      <c r="F105" s="34" t="s">
        <v>1599</v>
      </c>
      <c r="G105" s="38" t="s">
        <v>1600</v>
      </c>
      <c r="H105" s="36">
        <v>2002.0</v>
      </c>
      <c r="I105" s="34" t="s">
        <v>1601</v>
      </c>
      <c r="J105" s="34" t="s">
        <v>55</v>
      </c>
      <c r="K105" s="34" t="s">
        <v>1602</v>
      </c>
      <c r="L105" s="34" t="s">
        <v>57</v>
      </c>
      <c r="M105" s="34" t="s">
        <v>1599</v>
      </c>
      <c r="N105" s="34" t="s">
        <v>1603</v>
      </c>
      <c r="O105" s="34" t="s">
        <v>1604</v>
      </c>
      <c r="P105" s="34" t="s">
        <v>93</v>
      </c>
      <c r="Q105" s="34" t="s">
        <v>57</v>
      </c>
      <c r="R105" s="34" t="s">
        <v>57</v>
      </c>
      <c r="S105" s="34" t="s">
        <v>96</v>
      </c>
      <c r="T105" s="34" t="s">
        <v>210</v>
      </c>
      <c r="U105" s="34" t="s">
        <v>1605</v>
      </c>
      <c r="V105" s="34" t="s">
        <v>99</v>
      </c>
      <c r="W105" s="34" t="s">
        <v>100</v>
      </c>
      <c r="X105" s="37" t="s">
        <v>100</v>
      </c>
      <c r="Y105" s="34" t="s">
        <v>69</v>
      </c>
      <c r="Z105" s="34" t="s">
        <v>1606</v>
      </c>
      <c r="AA105" s="34">
        <v>1992.0</v>
      </c>
      <c r="AB105" s="34">
        <v>1995.0</v>
      </c>
      <c r="AC105" s="34" t="s">
        <v>214</v>
      </c>
      <c r="AD105" s="34" t="s">
        <v>72</v>
      </c>
      <c r="AE105" s="34" t="s">
        <v>69</v>
      </c>
      <c r="AF105" s="34" t="s">
        <v>74</v>
      </c>
      <c r="AG105" s="34" t="s">
        <v>215</v>
      </c>
      <c r="AH105" s="34" t="s">
        <v>1414</v>
      </c>
      <c r="AI105" s="34" t="s">
        <v>1607</v>
      </c>
      <c r="AJ105" s="34" t="s">
        <v>107</v>
      </c>
      <c r="AK105" s="34" t="s">
        <v>1608</v>
      </c>
      <c r="AL105" s="34" t="s">
        <v>128</v>
      </c>
      <c r="AM105" s="34" t="s">
        <v>198</v>
      </c>
      <c r="AN105" s="34" t="s">
        <v>1609</v>
      </c>
      <c r="AO105" s="39"/>
      <c r="AP105" s="34" t="s">
        <v>1522</v>
      </c>
      <c r="AQ105" s="96"/>
      <c r="AR105" s="96"/>
      <c r="AS105" s="44"/>
    </row>
    <row r="106">
      <c r="A106" s="32">
        <v>190.0</v>
      </c>
      <c r="B106" s="33">
        <v>3.64026323E8</v>
      </c>
      <c r="C106" s="34" t="s">
        <v>1612</v>
      </c>
      <c r="D106" s="34" t="s">
        <v>1613</v>
      </c>
      <c r="E106" s="38" t="s">
        <v>1614</v>
      </c>
      <c r="F106" s="34" t="s">
        <v>1615</v>
      </c>
      <c r="G106" s="38" t="s">
        <v>1616</v>
      </c>
      <c r="H106" s="36">
        <v>2008.0</v>
      </c>
      <c r="I106" s="38" t="s">
        <v>686</v>
      </c>
      <c r="J106" s="34" t="s">
        <v>55</v>
      </c>
      <c r="K106" s="34" t="s">
        <v>1617</v>
      </c>
      <c r="L106" s="34" t="s">
        <v>57</v>
      </c>
      <c r="M106" s="34" t="s">
        <v>114</v>
      </c>
      <c r="N106" s="34" t="s">
        <v>1007</v>
      </c>
      <c r="O106" s="34" t="s">
        <v>1618</v>
      </c>
      <c r="P106" s="34" t="s">
        <v>93</v>
      </c>
      <c r="Q106" s="34" t="s">
        <v>1619</v>
      </c>
      <c r="R106" s="34" t="s">
        <v>1620</v>
      </c>
      <c r="S106" s="34" t="s">
        <v>63</v>
      </c>
      <c r="T106" s="34" t="s">
        <v>229</v>
      </c>
      <c r="U106" s="34" t="s">
        <v>1621</v>
      </c>
      <c r="V106" s="34" t="s">
        <v>99</v>
      </c>
      <c r="W106" s="34" t="s">
        <v>100</v>
      </c>
      <c r="X106" s="37" t="s">
        <v>100</v>
      </c>
      <c r="Y106" s="34" t="s">
        <v>74</v>
      </c>
      <c r="Z106" s="34" t="s">
        <v>57</v>
      </c>
      <c r="AA106" s="34">
        <v>2002.0</v>
      </c>
      <c r="AB106" s="34">
        <v>2002.0</v>
      </c>
      <c r="AC106" s="34" t="s">
        <v>103</v>
      </c>
      <c r="AD106" s="34" t="s">
        <v>144</v>
      </c>
      <c r="AE106" s="34" t="s">
        <v>74</v>
      </c>
      <c r="AF106" s="34" t="s">
        <v>74</v>
      </c>
      <c r="AG106" s="34" t="s">
        <v>215</v>
      </c>
      <c r="AH106" s="34" t="s">
        <v>1622</v>
      </c>
      <c r="AI106" s="34" t="s">
        <v>1623</v>
      </c>
      <c r="AJ106" s="34" t="s">
        <v>147</v>
      </c>
      <c r="AK106" s="34" t="s">
        <v>1624</v>
      </c>
      <c r="AL106" s="34" t="s">
        <v>128</v>
      </c>
      <c r="AM106" s="34" t="s">
        <v>374</v>
      </c>
      <c r="AN106" s="34" t="s">
        <v>1625</v>
      </c>
      <c r="AO106" s="39"/>
      <c r="AP106" s="34" t="s">
        <v>1522</v>
      </c>
      <c r="AQ106" s="96"/>
      <c r="AR106" s="96"/>
      <c r="AS106" s="44"/>
    </row>
    <row r="107">
      <c r="A107" s="32">
        <v>191.0</v>
      </c>
      <c r="B107" s="33">
        <v>3.64026336E8</v>
      </c>
      <c r="C107" s="34" t="s">
        <v>1628</v>
      </c>
      <c r="D107" s="38" t="s">
        <v>1629</v>
      </c>
      <c r="E107" s="34" t="s">
        <v>409</v>
      </c>
      <c r="F107" s="34" t="s">
        <v>273</v>
      </c>
      <c r="G107" s="34" t="s">
        <v>1630</v>
      </c>
      <c r="H107" s="36">
        <v>2000.0</v>
      </c>
      <c r="I107" s="34" t="s">
        <v>1529</v>
      </c>
      <c r="J107" s="34" t="s">
        <v>55</v>
      </c>
      <c r="K107" s="34" t="s">
        <v>1631</v>
      </c>
      <c r="L107" s="34" t="s">
        <v>57</v>
      </c>
      <c r="M107" s="34" t="s">
        <v>273</v>
      </c>
      <c r="N107" s="34" t="s">
        <v>277</v>
      </c>
      <c r="O107" s="34" t="s">
        <v>1632</v>
      </c>
      <c r="P107" s="34" t="s">
        <v>93</v>
      </c>
      <c r="Q107" s="34" t="s">
        <v>57</v>
      </c>
      <c r="R107" s="34" t="s">
        <v>57</v>
      </c>
      <c r="S107" s="34" t="s">
        <v>96</v>
      </c>
      <c r="T107" s="34" t="s">
        <v>1633</v>
      </c>
      <c r="U107" s="34" t="s">
        <v>1634</v>
      </c>
      <c r="V107" s="34" t="s">
        <v>99</v>
      </c>
      <c r="W107" s="34" t="s">
        <v>100</v>
      </c>
      <c r="X107" s="37" t="s">
        <v>100</v>
      </c>
      <c r="Y107" s="34" t="s">
        <v>74</v>
      </c>
      <c r="Z107" s="34" t="s">
        <v>57</v>
      </c>
      <c r="AA107" s="34">
        <v>1997.0</v>
      </c>
      <c r="AB107" s="34">
        <v>1998.0</v>
      </c>
      <c r="AC107" s="34" t="s">
        <v>57</v>
      </c>
      <c r="AD107" s="34" t="s">
        <v>57</v>
      </c>
      <c r="AE107" s="34" t="s">
        <v>69</v>
      </c>
      <c r="AF107" s="34" t="s">
        <v>74</v>
      </c>
      <c r="AG107" s="34" t="s">
        <v>215</v>
      </c>
      <c r="AH107" s="34" t="s">
        <v>105</v>
      </c>
      <c r="AI107" s="34" t="s">
        <v>1231</v>
      </c>
      <c r="AJ107" s="34" t="s">
        <v>107</v>
      </c>
      <c r="AK107" s="34" t="s">
        <v>1635</v>
      </c>
      <c r="AL107" s="34" t="s">
        <v>128</v>
      </c>
      <c r="AM107" s="34" t="s">
        <v>129</v>
      </c>
      <c r="AN107" s="34" t="s">
        <v>1636</v>
      </c>
      <c r="AO107" s="39"/>
      <c r="AP107" s="34" t="s">
        <v>109</v>
      </c>
      <c r="AQ107" s="96"/>
      <c r="AR107" s="96"/>
      <c r="AS107" s="44"/>
    </row>
    <row r="108">
      <c r="A108" s="32">
        <v>192.0</v>
      </c>
      <c r="B108" s="33">
        <v>3.64026373E8</v>
      </c>
      <c r="C108" s="34" t="s">
        <v>1638</v>
      </c>
      <c r="D108" s="34" t="s">
        <v>1639</v>
      </c>
      <c r="E108" s="38" t="s">
        <v>1640</v>
      </c>
      <c r="F108" s="34" t="s">
        <v>396</v>
      </c>
      <c r="G108" s="38" t="s">
        <v>1641</v>
      </c>
      <c r="H108" s="36">
        <v>2014.0</v>
      </c>
      <c r="I108" s="38" t="s">
        <v>1034</v>
      </c>
      <c r="J108" s="34" t="s">
        <v>55</v>
      </c>
      <c r="K108" s="34" t="s">
        <v>1642</v>
      </c>
      <c r="L108" s="34" t="s">
        <v>57</v>
      </c>
      <c r="M108" s="34" t="s">
        <v>396</v>
      </c>
      <c r="N108" s="34" t="s">
        <v>1643</v>
      </c>
      <c r="O108" s="34" t="s">
        <v>1644</v>
      </c>
      <c r="P108" s="34" t="s">
        <v>93</v>
      </c>
      <c r="Q108" s="34" t="s">
        <v>1645</v>
      </c>
      <c r="R108" s="38" t="s">
        <v>1646</v>
      </c>
      <c r="S108" s="34" t="s">
        <v>96</v>
      </c>
      <c r="T108" s="34" t="s">
        <v>1647</v>
      </c>
      <c r="U108" s="34" t="s">
        <v>1648</v>
      </c>
      <c r="V108" s="34" t="s">
        <v>1649</v>
      </c>
      <c r="W108" s="34" t="s">
        <v>1650</v>
      </c>
      <c r="X108" s="37" t="s">
        <v>1651</v>
      </c>
      <c r="Y108" s="34" t="s">
        <v>74</v>
      </c>
      <c r="Z108" s="34" t="s">
        <v>57</v>
      </c>
      <c r="AA108" s="34">
        <v>2003.0</v>
      </c>
      <c r="AB108" s="34">
        <v>2009.0</v>
      </c>
      <c r="AC108" s="34" t="s">
        <v>103</v>
      </c>
      <c r="AD108" s="34" t="s">
        <v>180</v>
      </c>
      <c r="AE108" s="34" t="s">
        <v>69</v>
      </c>
      <c r="AF108" s="34" t="s">
        <v>74</v>
      </c>
      <c r="AG108" s="34" t="s">
        <v>215</v>
      </c>
      <c r="AH108" s="34" t="s">
        <v>1652</v>
      </c>
      <c r="AI108" s="34" t="s">
        <v>1653</v>
      </c>
      <c r="AJ108" s="34" t="s">
        <v>147</v>
      </c>
      <c r="AK108" s="34" t="s">
        <v>1654</v>
      </c>
      <c r="AL108" s="34" t="s">
        <v>128</v>
      </c>
      <c r="AM108" s="34" t="s">
        <v>129</v>
      </c>
      <c r="AN108" s="34" t="s">
        <v>1655</v>
      </c>
      <c r="AO108" s="39"/>
      <c r="AP108" s="34" t="s">
        <v>1522</v>
      </c>
      <c r="AQ108" s="96"/>
      <c r="AR108" s="96"/>
      <c r="AS108" s="44"/>
    </row>
    <row r="109">
      <c r="A109" s="32">
        <v>193.0</v>
      </c>
      <c r="B109" s="33">
        <v>3.64026382E8</v>
      </c>
      <c r="C109" s="34" t="s">
        <v>1658</v>
      </c>
      <c r="D109" s="34" t="s">
        <v>1659</v>
      </c>
      <c r="E109" s="38" t="s">
        <v>1660</v>
      </c>
      <c r="F109" s="34" t="s">
        <v>1661</v>
      </c>
      <c r="G109" s="38" t="s">
        <v>1662</v>
      </c>
      <c r="H109" s="36">
        <v>2015.0</v>
      </c>
      <c r="I109" s="38" t="s">
        <v>686</v>
      </c>
      <c r="J109" s="34" t="s">
        <v>55</v>
      </c>
      <c r="K109" s="34" t="s">
        <v>1663</v>
      </c>
      <c r="L109" s="34" t="s">
        <v>57</v>
      </c>
      <c r="M109" s="34" t="s">
        <v>992</v>
      </c>
      <c r="N109" s="34" t="s">
        <v>1530</v>
      </c>
      <c r="O109" s="34" t="s">
        <v>1664</v>
      </c>
      <c r="P109" s="34" t="s">
        <v>554</v>
      </c>
      <c r="Q109" s="34" t="s">
        <v>1665</v>
      </c>
      <c r="R109" s="34" t="s">
        <v>1666</v>
      </c>
      <c r="S109" s="34" t="s">
        <v>63</v>
      </c>
      <c r="T109" s="34" t="s">
        <v>1308</v>
      </c>
      <c r="U109" s="34" t="s">
        <v>1667</v>
      </c>
      <c r="V109" s="34" t="s">
        <v>1649</v>
      </c>
      <c r="W109" s="34" t="s">
        <v>804</v>
      </c>
      <c r="X109" s="37" t="s">
        <v>100</v>
      </c>
      <c r="Y109" s="34" t="s">
        <v>74</v>
      </c>
      <c r="Z109" s="34" t="s">
        <v>57</v>
      </c>
      <c r="AA109" s="34">
        <v>2012.0</v>
      </c>
      <c r="AB109" s="34">
        <v>2013.0</v>
      </c>
      <c r="AC109" s="34" t="s">
        <v>102</v>
      </c>
      <c r="AD109" s="34" t="s">
        <v>403</v>
      </c>
      <c r="AE109" s="34" t="s">
        <v>69</v>
      </c>
      <c r="AF109" s="34" t="s">
        <v>69</v>
      </c>
      <c r="AG109" s="34" t="s">
        <v>75</v>
      </c>
      <c r="AH109" s="34" t="s">
        <v>105</v>
      </c>
      <c r="AI109" s="34" t="s">
        <v>1231</v>
      </c>
      <c r="AJ109" s="34" t="s">
        <v>107</v>
      </c>
      <c r="AK109" s="34" t="s">
        <v>1668</v>
      </c>
      <c r="AL109" s="34" t="s">
        <v>128</v>
      </c>
      <c r="AM109" s="34" t="s">
        <v>895</v>
      </c>
      <c r="AN109" s="34" t="s">
        <v>1669</v>
      </c>
      <c r="AO109" s="39"/>
      <c r="AP109" s="34" t="s">
        <v>1522</v>
      </c>
      <c r="AQ109" s="96"/>
      <c r="AR109" s="96"/>
      <c r="AS109" s="44"/>
    </row>
    <row r="110">
      <c r="A110" s="32">
        <v>194.0</v>
      </c>
      <c r="B110" s="33">
        <v>3.64026389E8</v>
      </c>
      <c r="C110" s="34" t="s">
        <v>1672</v>
      </c>
      <c r="D110" s="34" t="s">
        <v>1673</v>
      </c>
      <c r="E110" s="38" t="s">
        <v>1674</v>
      </c>
      <c r="F110" s="34" t="s">
        <v>114</v>
      </c>
      <c r="G110" s="38" t="s">
        <v>1675</v>
      </c>
      <c r="H110" s="36">
        <v>2005.0</v>
      </c>
      <c r="I110" s="34" t="s">
        <v>1676</v>
      </c>
      <c r="J110" s="34" t="s">
        <v>55</v>
      </c>
      <c r="K110" s="34" t="s">
        <v>1677</v>
      </c>
      <c r="L110" s="34" t="s">
        <v>57</v>
      </c>
      <c r="M110" s="34" t="s">
        <v>114</v>
      </c>
      <c r="N110" s="34" t="s">
        <v>1678</v>
      </c>
      <c r="O110" s="34" t="s">
        <v>1679</v>
      </c>
      <c r="P110" s="34" t="s">
        <v>93</v>
      </c>
      <c r="Q110" s="34" t="s">
        <v>57</v>
      </c>
      <c r="R110" s="34" t="s">
        <v>57</v>
      </c>
      <c r="S110" s="34" t="s">
        <v>63</v>
      </c>
      <c r="T110" s="34" t="s">
        <v>1265</v>
      </c>
      <c r="U110" s="34" t="s">
        <v>1680</v>
      </c>
      <c r="V110" s="34" t="s">
        <v>1649</v>
      </c>
      <c r="W110" s="34" t="s">
        <v>1681</v>
      </c>
      <c r="X110" s="37" t="s">
        <v>1682</v>
      </c>
      <c r="Y110" s="34" t="s">
        <v>74</v>
      </c>
      <c r="Z110" s="34" t="s">
        <v>57</v>
      </c>
      <c r="AA110" s="34">
        <v>2001.0</v>
      </c>
      <c r="AB110" s="34">
        <v>2003.0</v>
      </c>
      <c r="AC110" s="34" t="s">
        <v>180</v>
      </c>
      <c r="AD110" s="34" t="s">
        <v>370</v>
      </c>
      <c r="AE110" s="34" t="s">
        <v>69</v>
      </c>
      <c r="AF110" s="34" t="s">
        <v>69</v>
      </c>
      <c r="AG110" s="34" t="s">
        <v>75</v>
      </c>
      <c r="AH110" s="34" t="s">
        <v>105</v>
      </c>
      <c r="AI110" s="34" t="s">
        <v>166</v>
      </c>
      <c r="AJ110" s="34" t="s">
        <v>166</v>
      </c>
      <c r="AK110" s="34" t="s">
        <v>1683</v>
      </c>
      <c r="AL110" s="34" t="s">
        <v>128</v>
      </c>
      <c r="AM110" s="34" t="s">
        <v>198</v>
      </c>
      <c r="AN110" s="34" t="s">
        <v>1684</v>
      </c>
      <c r="AO110" s="39"/>
      <c r="AP110" s="34" t="s">
        <v>1522</v>
      </c>
      <c r="AQ110" s="96"/>
      <c r="AR110" s="96"/>
      <c r="AS110" s="44"/>
    </row>
    <row r="111">
      <c r="A111" s="32">
        <v>195.0</v>
      </c>
      <c r="B111" s="33">
        <v>3.64026433E8</v>
      </c>
      <c r="C111" s="34" t="s">
        <v>1687</v>
      </c>
      <c r="D111" s="34" t="s">
        <v>1688</v>
      </c>
      <c r="E111" s="38" t="s">
        <v>1689</v>
      </c>
      <c r="F111" s="34" t="s">
        <v>87</v>
      </c>
      <c r="G111" s="38" t="s">
        <v>1690</v>
      </c>
      <c r="H111" s="36">
        <v>2010.0</v>
      </c>
      <c r="I111" s="38" t="s">
        <v>295</v>
      </c>
      <c r="J111" s="34" t="s">
        <v>55</v>
      </c>
      <c r="K111" s="34" t="s">
        <v>1691</v>
      </c>
      <c r="L111" s="34" t="s">
        <v>57</v>
      </c>
      <c r="M111" s="34" t="s">
        <v>87</v>
      </c>
      <c r="N111" s="34" t="s">
        <v>1692</v>
      </c>
      <c r="O111" s="34" t="s">
        <v>1693</v>
      </c>
      <c r="P111" s="34" t="s">
        <v>93</v>
      </c>
      <c r="Q111" s="34" t="s">
        <v>1694</v>
      </c>
      <c r="R111" s="34" t="s">
        <v>1695</v>
      </c>
      <c r="S111" s="34" t="s">
        <v>63</v>
      </c>
      <c r="T111" s="34" t="s">
        <v>749</v>
      </c>
      <c r="U111" s="34" t="s">
        <v>1696</v>
      </c>
      <c r="V111" s="34" t="s">
        <v>1649</v>
      </c>
      <c r="W111" s="34" t="s">
        <v>804</v>
      </c>
      <c r="X111" s="37" t="s">
        <v>100</v>
      </c>
      <c r="Y111" s="34" t="s">
        <v>74</v>
      </c>
      <c r="Z111" s="34" t="s">
        <v>57</v>
      </c>
      <c r="AA111" s="34">
        <v>2007.0</v>
      </c>
      <c r="AB111" s="34">
        <v>2007.0</v>
      </c>
      <c r="AC111" s="34" t="s">
        <v>370</v>
      </c>
      <c r="AD111" s="34" t="s">
        <v>102</v>
      </c>
      <c r="AE111" s="34" t="s">
        <v>74</v>
      </c>
      <c r="AF111" s="34" t="s">
        <v>74</v>
      </c>
      <c r="AG111" s="34" t="s">
        <v>75</v>
      </c>
      <c r="AH111" s="34" t="s">
        <v>1622</v>
      </c>
      <c r="AI111" s="34" t="s">
        <v>1697</v>
      </c>
      <c r="AJ111" s="34" t="s">
        <v>107</v>
      </c>
      <c r="AK111" s="34" t="s">
        <v>1698</v>
      </c>
      <c r="AL111" s="34" t="s">
        <v>128</v>
      </c>
      <c r="AM111" s="34" t="s">
        <v>129</v>
      </c>
      <c r="AN111" s="34" t="s">
        <v>1699</v>
      </c>
      <c r="AO111" s="34" t="s">
        <v>1700</v>
      </c>
      <c r="AP111" s="34" t="s">
        <v>1522</v>
      </c>
      <c r="AQ111" s="96"/>
      <c r="AR111" s="96"/>
      <c r="AS111" s="44"/>
    </row>
    <row r="112">
      <c r="A112" s="32">
        <v>196.0</v>
      </c>
      <c r="B112" s="33">
        <v>3.64026416E8</v>
      </c>
      <c r="C112" s="34" t="s">
        <v>1703</v>
      </c>
      <c r="D112" s="38" t="s">
        <v>1629</v>
      </c>
      <c r="E112" s="38" t="s">
        <v>409</v>
      </c>
      <c r="F112" s="34" t="s">
        <v>273</v>
      </c>
      <c r="G112" s="38" t="s">
        <v>1704</v>
      </c>
      <c r="H112" s="36">
        <v>2000.0</v>
      </c>
      <c r="I112" s="34" t="s">
        <v>1705</v>
      </c>
      <c r="J112" s="34" t="s">
        <v>55</v>
      </c>
      <c r="K112" s="34" t="s">
        <v>276</v>
      </c>
      <c r="L112" s="34" t="s">
        <v>57</v>
      </c>
      <c r="M112" s="34" t="s">
        <v>273</v>
      </c>
      <c r="N112" s="34" t="s">
        <v>277</v>
      </c>
      <c r="O112" s="34" t="s">
        <v>1706</v>
      </c>
      <c r="P112" s="34" t="s">
        <v>93</v>
      </c>
      <c r="Q112" s="34" t="s">
        <v>57</v>
      </c>
      <c r="R112" s="34" t="s">
        <v>57</v>
      </c>
      <c r="S112" s="34" t="s">
        <v>96</v>
      </c>
      <c r="T112" s="34" t="s">
        <v>351</v>
      </c>
      <c r="U112" s="34" t="s">
        <v>1707</v>
      </c>
      <c r="V112" s="34" t="s">
        <v>99</v>
      </c>
      <c r="W112" s="34" t="s">
        <v>100</v>
      </c>
      <c r="X112" s="37" t="s">
        <v>100</v>
      </c>
      <c r="Y112" s="34" t="s">
        <v>74</v>
      </c>
      <c r="Z112" s="34" t="s">
        <v>57</v>
      </c>
      <c r="AA112" s="34">
        <v>1998.0</v>
      </c>
      <c r="AB112" s="34">
        <v>1998.0</v>
      </c>
      <c r="AC112" s="34" t="s">
        <v>144</v>
      </c>
      <c r="AD112" s="34" t="s">
        <v>72</v>
      </c>
      <c r="AE112" s="34" t="s">
        <v>69</v>
      </c>
      <c r="AF112" s="34" t="s">
        <v>74</v>
      </c>
      <c r="AG112" s="34" t="s">
        <v>104</v>
      </c>
      <c r="AH112" s="34" t="s">
        <v>105</v>
      </c>
      <c r="AI112" s="34" t="s">
        <v>336</v>
      </c>
      <c r="AJ112" s="34" t="s">
        <v>336</v>
      </c>
      <c r="AK112" s="34" t="s">
        <v>1708</v>
      </c>
      <c r="AL112" s="34" t="s">
        <v>128</v>
      </c>
      <c r="AM112" s="34" t="s">
        <v>374</v>
      </c>
      <c r="AN112" s="34" t="s">
        <v>1709</v>
      </c>
      <c r="AO112" s="39"/>
      <c r="AP112" s="34" t="s">
        <v>109</v>
      </c>
      <c r="AQ112" s="96"/>
      <c r="AR112" s="96"/>
      <c r="AS112" s="44"/>
    </row>
    <row r="113">
      <c r="A113" s="32">
        <v>197.0</v>
      </c>
      <c r="B113" s="33">
        <v>3.64026434E8</v>
      </c>
      <c r="C113" s="34" t="s">
        <v>1712</v>
      </c>
      <c r="D113" s="34" t="s">
        <v>1713</v>
      </c>
      <c r="E113" s="38" t="s">
        <v>1714</v>
      </c>
      <c r="F113" s="34" t="s">
        <v>396</v>
      </c>
      <c r="G113" s="38" t="s">
        <v>1715</v>
      </c>
      <c r="H113" s="36">
        <v>2007.0</v>
      </c>
      <c r="I113" s="34" t="s">
        <v>156</v>
      </c>
      <c r="J113" s="34" t="s">
        <v>55</v>
      </c>
      <c r="K113" s="34" t="s">
        <v>1716</v>
      </c>
      <c r="L113" s="34" t="s">
        <v>57</v>
      </c>
      <c r="M113" s="34" t="s">
        <v>396</v>
      </c>
      <c r="N113" s="34" t="s">
        <v>1717</v>
      </c>
      <c r="O113" s="34" t="s">
        <v>1718</v>
      </c>
      <c r="P113" s="34" t="s">
        <v>93</v>
      </c>
      <c r="Q113" s="34" t="s">
        <v>57</v>
      </c>
      <c r="R113" s="34" t="s">
        <v>57</v>
      </c>
      <c r="S113" s="34" t="s">
        <v>63</v>
      </c>
      <c r="T113" s="34" t="s">
        <v>1719</v>
      </c>
      <c r="U113" s="34" t="s">
        <v>1720</v>
      </c>
      <c r="V113" s="34" t="s">
        <v>99</v>
      </c>
      <c r="W113" s="34" t="s">
        <v>100</v>
      </c>
      <c r="X113" s="37" t="s">
        <v>100</v>
      </c>
      <c r="Y113" s="34" t="s">
        <v>74</v>
      </c>
      <c r="Z113" s="34" t="s">
        <v>57</v>
      </c>
      <c r="AA113" s="34">
        <v>2002.0</v>
      </c>
      <c r="AB113" s="34">
        <v>2004.0</v>
      </c>
      <c r="AC113" s="34" t="s">
        <v>57</v>
      </c>
      <c r="AD113" s="34" t="s">
        <v>57</v>
      </c>
      <c r="AE113" s="34" t="s">
        <v>69</v>
      </c>
      <c r="AF113" s="34" t="s">
        <v>74</v>
      </c>
      <c r="AG113" s="34" t="s">
        <v>104</v>
      </c>
      <c r="AH113" s="34" t="s">
        <v>105</v>
      </c>
      <c r="AI113" s="34" t="s">
        <v>336</v>
      </c>
      <c r="AJ113" s="34" t="s">
        <v>336</v>
      </c>
      <c r="AK113" s="34" t="s">
        <v>1721</v>
      </c>
      <c r="AL113" s="34" t="s">
        <v>128</v>
      </c>
      <c r="AM113" s="34" t="s">
        <v>895</v>
      </c>
      <c r="AN113" s="34" t="s">
        <v>1722</v>
      </c>
      <c r="AO113" s="39"/>
      <c r="AP113" s="34" t="s">
        <v>109</v>
      </c>
      <c r="AQ113" s="96"/>
      <c r="AR113" s="96"/>
      <c r="AS113" s="44"/>
    </row>
    <row r="114">
      <c r="A114" s="32">
        <v>198.0</v>
      </c>
      <c r="B114" s="33">
        <v>3.64026438E8</v>
      </c>
      <c r="C114" s="34" t="s">
        <v>1724</v>
      </c>
      <c r="D114" s="34" t="s">
        <v>1725</v>
      </c>
      <c r="E114" s="38" t="s">
        <v>1726</v>
      </c>
      <c r="F114" s="34" t="s">
        <v>1727</v>
      </c>
      <c r="G114" s="38" t="s">
        <v>1728</v>
      </c>
      <c r="H114" s="62">
        <v>2019.0</v>
      </c>
      <c r="I114" s="34" t="s">
        <v>295</v>
      </c>
      <c r="J114" s="34" t="s">
        <v>55</v>
      </c>
      <c r="K114" s="34" t="s">
        <v>1729</v>
      </c>
      <c r="L114" s="34" t="s">
        <v>57</v>
      </c>
      <c r="M114" s="34" t="s">
        <v>1727</v>
      </c>
      <c r="N114" s="34" t="s">
        <v>1730</v>
      </c>
      <c r="O114" s="34" t="s">
        <v>1731</v>
      </c>
      <c r="P114" s="34" t="s">
        <v>93</v>
      </c>
      <c r="Q114" s="38" t="s">
        <v>1732</v>
      </c>
      <c r="R114" s="38" t="s">
        <v>1733</v>
      </c>
      <c r="S114" s="34" t="s">
        <v>63</v>
      </c>
      <c r="T114" s="34" t="s">
        <v>210</v>
      </c>
      <c r="U114" s="34" t="s">
        <v>1734</v>
      </c>
      <c r="V114" s="34" t="s">
        <v>66</v>
      </c>
      <c r="W114" s="34" t="s">
        <v>1735</v>
      </c>
      <c r="X114" s="37" t="s">
        <v>1736</v>
      </c>
      <c r="Y114" s="34" t="s">
        <v>74</v>
      </c>
      <c r="Z114" s="34" t="s">
        <v>57</v>
      </c>
      <c r="AA114" s="34">
        <v>2004.0</v>
      </c>
      <c r="AB114" s="34">
        <v>2012.0</v>
      </c>
      <c r="AC114" s="34" t="s">
        <v>57</v>
      </c>
      <c r="AD114" s="34" t="s">
        <v>57</v>
      </c>
      <c r="AE114" s="34" t="s">
        <v>57</v>
      </c>
      <c r="AF114" s="34" t="s">
        <v>74</v>
      </c>
      <c r="AG114" s="34" t="s">
        <v>215</v>
      </c>
      <c r="AH114" s="34" t="s">
        <v>165</v>
      </c>
      <c r="AI114" s="34" t="s">
        <v>465</v>
      </c>
      <c r="AJ114" s="34" t="s">
        <v>465</v>
      </c>
      <c r="AK114" s="34" t="s">
        <v>1737</v>
      </c>
      <c r="AL114" s="34" t="s">
        <v>128</v>
      </c>
      <c r="AM114" s="34" t="s">
        <v>129</v>
      </c>
      <c r="AN114" s="34" t="s">
        <v>1738</v>
      </c>
      <c r="AO114" s="34" t="s">
        <v>1418</v>
      </c>
      <c r="AP114" s="34" t="s">
        <v>109</v>
      </c>
      <c r="AQ114" s="96"/>
      <c r="AR114" s="96"/>
      <c r="AS114" s="44"/>
    </row>
    <row r="115">
      <c r="A115" s="32">
        <v>199.0</v>
      </c>
      <c r="B115" s="33">
        <v>3.64026441E8</v>
      </c>
      <c r="C115" s="34" t="s">
        <v>1741</v>
      </c>
      <c r="D115" s="34" t="s">
        <v>1742</v>
      </c>
      <c r="E115" s="34" t="s">
        <v>1743</v>
      </c>
      <c r="F115" s="34" t="s">
        <v>1744</v>
      </c>
      <c r="G115" s="34" t="s">
        <v>1745</v>
      </c>
      <c r="H115" s="36">
        <v>2021.0</v>
      </c>
      <c r="I115" s="34" t="s">
        <v>1746</v>
      </c>
      <c r="J115" s="34" t="s">
        <v>55</v>
      </c>
      <c r="K115" s="34" t="s">
        <v>1747</v>
      </c>
      <c r="L115" s="34" t="s">
        <v>57</v>
      </c>
      <c r="M115" s="34" t="s">
        <v>1748</v>
      </c>
      <c r="N115" s="34" t="s">
        <v>1749</v>
      </c>
      <c r="O115" s="34" t="s">
        <v>1750</v>
      </c>
      <c r="P115" s="34" t="s">
        <v>93</v>
      </c>
      <c r="Q115" s="38" t="s">
        <v>1751</v>
      </c>
      <c r="R115" s="38" t="s">
        <v>1752</v>
      </c>
      <c r="S115" s="34" t="s">
        <v>63</v>
      </c>
      <c r="T115" s="34" t="s">
        <v>1753</v>
      </c>
      <c r="U115" s="34" t="s">
        <v>1754</v>
      </c>
      <c r="V115" s="34" t="s">
        <v>99</v>
      </c>
      <c r="W115" s="34" t="s">
        <v>100</v>
      </c>
      <c r="X115" s="37" t="s">
        <v>100</v>
      </c>
      <c r="Y115" s="34" t="s">
        <v>74</v>
      </c>
      <c r="Z115" s="34" t="s">
        <v>57</v>
      </c>
      <c r="AA115" s="34">
        <v>2016.0</v>
      </c>
      <c r="AB115" s="34">
        <v>2020.0</v>
      </c>
      <c r="AC115" s="34" t="s">
        <v>1755</v>
      </c>
      <c r="AD115" s="34" t="s">
        <v>1755</v>
      </c>
      <c r="AE115" s="34" t="s">
        <v>74</v>
      </c>
      <c r="AF115" s="34" t="s">
        <v>74</v>
      </c>
      <c r="AG115" s="34" t="s">
        <v>104</v>
      </c>
      <c r="AH115" s="34" t="s">
        <v>105</v>
      </c>
      <c r="AI115" s="34" t="s">
        <v>1231</v>
      </c>
      <c r="AJ115" s="34" t="s">
        <v>107</v>
      </c>
      <c r="AK115" s="34" t="s">
        <v>1756</v>
      </c>
      <c r="AL115" s="34" t="s">
        <v>128</v>
      </c>
      <c r="AM115" s="34" t="s">
        <v>129</v>
      </c>
      <c r="AN115" s="34" t="s">
        <v>1757</v>
      </c>
      <c r="AO115" s="39"/>
      <c r="AP115" s="34" t="s">
        <v>109</v>
      </c>
      <c r="AQ115" s="96"/>
      <c r="AR115" s="96"/>
      <c r="AS115" s="44"/>
    </row>
    <row r="116">
      <c r="A116" s="32">
        <v>200.0</v>
      </c>
      <c r="B116" s="33">
        <v>3.64026446E8</v>
      </c>
      <c r="C116" s="34" t="s">
        <v>1759</v>
      </c>
      <c r="D116" s="34" t="s">
        <v>1760</v>
      </c>
      <c r="E116" s="38" t="s">
        <v>1761</v>
      </c>
      <c r="F116" s="34" t="s">
        <v>650</v>
      </c>
      <c r="G116" s="38" t="s">
        <v>1762</v>
      </c>
      <c r="H116" s="36">
        <v>2017.0</v>
      </c>
      <c r="I116" s="34" t="s">
        <v>796</v>
      </c>
      <c r="J116" s="34" t="s">
        <v>55</v>
      </c>
      <c r="K116" s="34" t="s">
        <v>1763</v>
      </c>
      <c r="L116" s="34" t="s">
        <v>57</v>
      </c>
      <c r="M116" s="34" t="s">
        <v>859</v>
      </c>
      <c r="N116" s="34" t="s">
        <v>1764</v>
      </c>
      <c r="O116" s="34" t="s">
        <v>1765</v>
      </c>
      <c r="P116" s="34" t="s">
        <v>93</v>
      </c>
      <c r="Q116" s="34" t="s">
        <v>57</v>
      </c>
      <c r="R116" s="34" t="s">
        <v>57</v>
      </c>
      <c r="S116" s="34" t="s">
        <v>96</v>
      </c>
      <c r="T116" s="34" t="s">
        <v>1265</v>
      </c>
      <c r="U116" s="34" t="s">
        <v>1766</v>
      </c>
      <c r="V116" s="34" t="s">
        <v>99</v>
      </c>
      <c r="W116" s="34" t="s">
        <v>100</v>
      </c>
      <c r="X116" s="37" t="s">
        <v>100</v>
      </c>
      <c r="Y116" s="34" t="s">
        <v>74</v>
      </c>
      <c r="Z116" s="34" t="s">
        <v>57</v>
      </c>
      <c r="AA116" s="34">
        <v>2016.0</v>
      </c>
      <c r="AB116" s="34">
        <v>2016.0</v>
      </c>
      <c r="AC116" s="34" t="s">
        <v>180</v>
      </c>
      <c r="AD116" s="34" t="s">
        <v>180</v>
      </c>
      <c r="AE116" s="34" t="s">
        <v>69</v>
      </c>
      <c r="AF116" s="34" t="s">
        <v>74</v>
      </c>
      <c r="AG116" s="34" t="s">
        <v>104</v>
      </c>
      <c r="AH116" s="34" t="s">
        <v>105</v>
      </c>
      <c r="AI116" s="34" t="s">
        <v>1231</v>
      </c>
      <c r="AJ116" s="34" t="s">
        <v>107</v>
      </c>
      <c r="AK116" s="34" t="s">
        <v>1767</v>
      </c>
      <c r="AL116" s="34" t="s">
        <v>79</v>
      </c>
      <c r="AM116" s="34" t="s">
        <v>57</v>
      </c>
      <c r="AN116" s="34" t="s">
        <v>57</v>
      </c>
      <c r="AO116" s="39"/>
      <c r="AP116" s="34" t="s">
        <v>109</v>
      </c>
      <c r="AQ116" s="96"/>
      <c r="AR116" s="96"/>
      <c r="AS116" s="44"/>
    </row>
    <row r="117">
      <c r="A117" s="32">
        <v>201.0</v>
      </c>
      <c r="B117" s="33">
        <v>3.64026442E8</v>
      </c>
      <c r="C117" s="34" t="s">
        <v>1770</v>
      </c>
      <c r="D117" s="34" t="s">
        <v>1771</v>
      </c>
      <c r="E117" s="34" t="s">
        <v>1772</v>
      </c>
      <c r="F117" s="34" t="s">
        <v>114</v>
      </c>
      <c r="G117" s="34" t="s">
        <v>1773</v>
      </c>
      <c r="H117" s="36">
        <v>2020.0</v>
      </c>
      <c r="I117" s="34" t="s">
        <v>295</v>
      </c>
      <c r="J117" s="34" t="s">
        <v>55</v>
      </c>
      <c r="K117" s="34" t="s">
        <v>1774</v>
      </c>
      <c r="L117" s="34" t="s">
        <v>57</v>
      </c>
      <c r="M117" s="34" t="s">
        <v>114</v>
      </c>
      <c r="N117" s="34" t="s">
        <v>1775</v>
      </c>
      <c r="O117" s="34" t="s">
        <v>1776</v>
      </c>
      <c r="P117" s="34" t="s">
        <v>93</v>
      </c>
      <c r="Q117" s="34" t="s">
        <v>57</v>
      </c>
      <c r="R117" s="34" t="s">
        <v>57</v>
      </c>
      <c r="S117" s="34" t="s">
        <v>63</v>
      </c>
      <c r="T117" s="34" t="s">
        <v>463</v>
      </c>
      <c r="U117" s="34" t="s">
        <v>1777</v>
      </c>
      <c r="V117" s="34" t="s">
        <v>99</v>
      </c>
      <c r="W117" s="34" t="s">
        <v>100</v>
      </c>
      <c r="X117" s="37" t="s">
        <v>100</v>
      </c>
      <c r="Y117" s="34" t="s">
        <v>74</v>
      </c>
      <c r="Z117" s="34" t="s">
        <v>57</v>
      </c>
      <c r="AA117" s="34">
        <v>2002.0</v>
      </c>
      <c r="AB117" s="34">
        <v>2019.0</v>
      </c>
      <c r="AC117" s="34" t="s">
        <v>542</v>
      </c>
      <c r="AD117" s="34" t="s">
        <v>692</v>
      </c>
      <c r="AE117" s="34" t="s">
        <v>69</v>
      </c>
      <c r="AF117" s="34" t="s">
        <v>74</v>
      </c>
      <c r="AG117" s="34" t="s">
        <v>104</v>
      </c>
      <c r="AH117" s="34" t="s">
        <v>105</v>
      </c>
      <c r="AI117" s="34" t="s">
        <v>1231</v>
      </c>
      <c r="AJ117" s="34" t="s">
        <v>107</v>
      </c>
      <c r="AK117" s="34" t="s">
        <v>1778</v>
      </c>
      <c r="AL117" s="34" t="s">
        <v>128</v>
      </c>
      <c r="AM117" s="34" t="s">
        <v>129</v>
      </c>
      <c r="AN117" s="34" t="s">
        <v>1779</v>
      </c>
      <c r="AO117" s="39"/>
      <c r="AP117" s="34" t="s">
        <v>109</v>
      </c>
      <c r="AQ117" s="96"/>
      <c r="AR117" s="96"/>
      <c r="AS117" s="44"/>
    </row>
    <row r="118">
      <c r="A118" s="32">
        <v>202.0</v>
      </c>
      <c r="B118" s="33">
        <v>3.64026439E8</v>
      </c>
      <c r="C118" s="34" t="s">
        <v>1781</v>
      </c>
      <c r="D118" s="34" t="s">
        <v>1782</v>
      </c>
      <c r="E118" s="38" t="s">
        <v>1783</v>
      </c>
      <c r="F118" s="34" t="s">
        <v>760</v>
      </c>
      <c r="G118" s="38" t="s">
        <v>1784</v>
      </c>
      <c r="H118" s="36">
        <v>2009.0</v>
      </c>
      <c r="I118" s="38" t="s">
        <v>295</v>
      </c>
      <c r="J118" s="34" t="s">
        <v>55</v>
      </c>
      <c r="K118" s="34" t="s">
        <v>1785</v>
      </c>
      <c r="L118" s="34" t="s">
        <v>57</v>
      </c>
      <c r="M118" s="34" t="s">
        <v>760</v>
      </c>
      <c r="N118" s="34" t="s">
        <v>1786</v>
      </c>
      <c r="O118" s="34" t="s">
        <v>1787</v>
      </c>
      <c r="P118" s="34" t="s">
        <v>93</v>
      </c>
      <c r="Q118" s="34" t="s">
        <v>57</v>
      </c>
      <c r="R118" s="34" t="s">
        <v>57</v>
      </c>
      <c r="S118" s="34" t="s">
        <v>63</v>
      </c>
      <c r="T118" s="34" t="s">
        <v>1265</v>
      </c>
      <c r="U118" s="34" t="s">
        <v>1788</v>
      </c>
      <c r="V118" s="34" t="s">
        <v>1649</v>
      </c>
      <c r="W118" s="34" t="s">
        <v>100</v>
      </c>
      <c r="X118" s="37" t="s">
        <v>100</v>
      </c>
      <c r="Y118" s="34" t="s">
        <v>74</v>
      </c>
      <c r="Z118" s="34" t="s">
        <v>57</v>
      </c>
      <c r="AA118" s="34">
        <v>2006.0</v>
      </c>
      <c r="AB118" s="34">
        <v>2006.0</v>
      </c>
      <c r="AC118" s="34" t="s">
        <v>180</v>
      </c>
      <c r="AD118" s="34" t="s">
        <v>72</v>
      </c>
      <c r="AE118" s="34" t="s">
        <v>69</v>
      </c>
      <c r="AF118" s="34" t="s">
        <v>74</v>
      </c>
      <c r="AG118" s="34" t="s">
        <v>75</v>
      </c>
      <c r="AH118" s="34" t="s">
        <v>1414</v>
      </c>
      <c r="AI118" s="34" t="s">
        <v>1789</v>
      </c>
      <c r="AJ118" s="34" t="s">
        <v>107</v>
      </c>
      <c r="AK118" s="34" t="s">
        <v>1790</v>
      </c>
      <c r="AL118" s="34" t="s">
        <v>128</v>
      </c>
      <c r="AM118" s="34" t="s">
        <v>1791</v>
      </c>
      <c r="AN118" s="34" t="s">
        <v>1792</v>
      </c>
      <c r="AO118" s="39"/>
      <c r="AP118" s="34" t="s">
        <v>1522</v>
      </c>
      <c r="AQ118" s="96"/>
      <c r="AR118" s="96"/>
      <c r="AS118" s="44"/>
    </row>
    <row r="119">
      <c r="A119" s="32">
        <v>203.0</v>
      </c>
      <c r="B119" s="33">
        <v>3.64026437E8</v>
      </c>
      <c r="C119" s="34" t="s">
        <v>1794</v>
      </c>
      <c r="D119" s="34" t="s">
        <v>1795</v>
      </c>
      <c r="E119" s="38" t="s">
        <v>1796</v>
      </c>
      <c r="F119" s="34" t="s">
        <v>1661</v>
      </c>
      <c r="G119" s="38" t="s">
        <v>1797</v>
      </c>
      <c r="H119" s="36">
        <v>2017.0</v>
      </c>
      <c r="I119" s="38" t="s">
        <v>1798</v>
      </c>
      <c r="J119" s="34" t="s">
        <v>55</v>
      </c>
      <c r="K119" s="34" t="s">
        <v>1410</v>
      </c>
      <c r="L119" s="34" t="s">
        <v>57</v>
      </c>
      <c r="M119" s="34" t="s">
        <v>992</v>
      </c>
      <c r="N119" s="34" t="s">
        <v>1114</v>
      </c>
      <c r="O119" s="34" t="s">
        <v>1799</v>
      </c>
      <c r="P119" s="34" t="s">
        <v>554</v>
      </c>
      <c r="Q119" s="34" t="s">
        <v>57</v>
      </c>
      <c r="R119" s="34" t="s">
        <v>57</v>
      </c>
      <c r="S119" s="34" t="s">
        <v>63</v>
      </c>
      <c r="T119" s="34" t="s">
        <v>1800</v>
      </c>
      <c r="U119" s="34" t="s">
        <v>1801</v>
      </c>
      <c r="V119" s="34" t="s">
        <v>1649</v>
      </c>
      <c r="W119" s="34" t="s">
        <v>100</v>
      </c>
      <c r="X119" s="37" t="s">
        <v>100</v>
      </c>
      <c r="Y119" s="34" t="s">
        <v>74</v>
      </c>
      <c r="Z119" s="34" t="s">
        <v>57</v>
      </c>
      <c r="AA119" s="34">
        <v>2012.0</v>
      </c>
      <c r="AB119" s="34">
        <v>2013.0</v>
      </c>
      <c r="AC119" s="34" t="s">
        <v>264</v>
      </c>
      <c r="AD119" s="34" t="s">
        <v>71</v>
      </c>
      <c r="AE119" s="34" t="s">
        <v>69</v>
      </c>
      <c r="AF119" s="34" t="s">
        <v>74</v>
      </c>
      <c r="AG119" s="34" t="s">
        <v>75</v>
      </c>
      <c r="AH119" s="34" t="s">
        <v>105</v>
      </c>
      <c r="AI119" s="34" t="s">
        <v>166</v>
      </c>
      <c r="AJ119" s="34" t="s">
        <v>166</v>
      </c>
      <c r="AK119" s="34" t="s">
        <v>1802</v>
      </c>
      <c r="AL119" s="34" t="s">
        <v>128</v>
      </c>
      <c r="AM119" s="34" t="s">
        <v>129</v>
      </c>
      <c r="AN119" s="34" t="s">
        <v>1803</v>
      </c>
      <c r="AO119" s="39"/>
      <c r="AP119" s="34" t="s">
        <v>1522</v>
      </c>
      <c r="AQ119" s="96"/>
      <c r="AR119" s="96"/>
      <c r="AS119" s="44"/>
    </row>
    <row r="120">
      <c r="A120" s="32">
        <v>208.0</v>
      </c>
      <c r="B120" s="33">
        <v>3.64026819E8</v>
      </c>
      <c r="C120" s="34" t="s">
        <v>1806</v>
      </c>
      <c r="D120" s="34" t="s">
        <v>1807</v>
      </c>
      <c r="E120" s="34" t="s">
        <v>1808</v>
      </c>
      <c r="F120" s="34" t="s">
        <v>114</v>
      </c>
      <c r="G120" s="34" t="s">
        <v>1809</v>
      </c>
      <c r="H120" s="36">
        <v>2005.0</v>
      </c>
      <c r="I120" s="34" t="s">
        <v>207</v>
      </c>
      <c r="J120" s="34" t="s">
        <v>55</v>
      </c>
      <c r="K120" s="34" t="s">
        <v>1810</v>
      </c>
      <c r="L120" s="34" t="s">
        <v>57</v>
      </c>
      <c r="M120" s="34" t="s">
        <v>114</v>
      </c>
      <c r="N120" s="34" t="s">
        <v>1811</v>
      </c>
      <c r="O120" s="34" t="s">
        <v>1812</v>
      </c>
      <c r="P120" s="34" t="s">
        <v>93</v>
      </c>
      <c r="Q120" s="34" t="s">
        <v>57</v>
      </c>
      <c r="R120" s="34" t="s">
        <v>57</v>
      </c>
      <c r="S120" s="34" t="s">
        <v>193</v>
      </c>
      <c r="T120" s="34" t="s">
        <v>1813</v>
      </c>
      <c r="U120" s="34" t="s">
        <v>1814</v>
      </c>
      <c r="V120" s="34" t="s">
        <v>99</v>
      </c>
      <c r="W120" s="34" t="s">
        <v>100</v>
      </c>
      <c r="X120" s="37" t="s">
        <v>100</v>
      </c>
      <c r="Y120" s="34" t="s">
        <v>74</v>
      </c>
      <c r="Z120" s="34" t="s">
        <v>57</v>
      </c>
      <c r="AA120" s="34">
        <v>2002.0</v>
      </c>
      <c r="AB120" s="34">
        <v>2003.0</v>
      </c>
      <c r="AC120" s="34" t="s">
        <v>180</v>
      </c>
      <c r="AD120" s="34" t="s">
        <v>72</v>
      </c>
      <c r="AE120" s="34" t="s">
        <v>69</v>
      </c>
      <c r="AF120" s="34" t="s">
        <v>69</v>
      </c>
      <c r="AG120" s="34" t="s">
        <v>104</v>
      </c>
      <c r="AH120" s="34" t="s">
        <v>165</v>
      </c>
      <c r="AI120" s="34" t="s">
        <v>465</v>
      </c>
      <c r="AJ120" s="34" t="s">
        <v>465</v>
      </c>
      <c r="AK120" s="34" t="s">
        <v>1815</v>
      </c>
      <c r="AL120" s="34" t="s">
        <v>128</v>
      </c>
      <c r="AM120" s="34" t="s">
        <v>374</v>
      </c>
      <c r="AN120" s="34" t="s">
        <v>1816</v>
      </c>
      <c r="AO120" s="39"/>
      <c r="AP120" s="34" t="s">
        <v>184</v>
      </c>
      <c r="AQ120" s="96"/>
      <c r="AR120" s="96"/>
      <c r="AS120" s="44"/>
    </row>
    <row r="121">
      <c r="A121" s="32">
        <v>210.0</v>
      </c>
      <c r="B121" s="33">
        <v>3.64026475E8</v>
      </c>
      <c r="C121" s="34" t="s">
        <v>1819</v>
      </c>
      <c r="D121" s="34" t="s">
        <v>1820</v>
      </c>
      <c r="E121" s="38" t="s">
        <v>1821</v>
      </c>
      <c r="F121" s="34" t="s">
        <v>859</v>
      </c>
      <c r="G121" s="38" t="s">
        <v>1822</v>
      </c>
      <c r="H121" s="36">
        <v>2015.0</v>
      </c>
      <c r="I121" s="34" t="s">
        <v>796</v>
      </c>
      <c r="J121" s="34" t="s">
        <v>55</v>
      </c>
      <c r="K121" s="34" t="s">
        <v>1823</v>
      </c>
      <c r="L121" s="34" t="s">
        <v>57</v>
      </c>
      <c r="M121" s="34" t="s">
        <v>859</v>
      </c>
      <c r="N121" s="34" t="s">
        <v>1824</v>
      </c>
      <c r="O121" s="34" t="s">
        <v>1825</v>
      </c>
      <c r="P121" s="34" t="s">
        <v>93</v>
      </c>
      <c r="Q121" s="38" t="s">
        <v>1826</v>
      </c>
      <c r="R121" s="38" t="s">
        <v>1827</v>
      </c>
      <c r="S121" s="34" t="s">
        <v>96</v>
      </c>
      <c r="T121" s="34" t="s">
        <v>351</v>
      </c>
      <c r="U121" s="34" t="s">
        <v>1828</v>
      </c>
      <c r="V121" s="34" t="s">
        <v>99</v>
      </c>
      <c r="W121" s="34" t="s">
        <v>100</v>
      </c>
      <c r="X121" s="37" t="s">
        <v>100</v>
      </c>
      <c r="Y121" s="34" t="s">
        <v>69</v>
      </c>
      <c r="Z121" s="34" t="s">
        <v>1829</v>
      </c>
      <c r="AA121" s="34">
        <v>2009.0</v>
      </c>
      <c r="AB121" s="34">
        <v>2010.0</v>
      </c>
      <c r="AC121" s="34" t="s">
        <v>403</v>
      </c>
      <c r="AD121" s="34" t="s">
        <v>102</v>
      </c>
      <c r="AE121" s="34" t="s">
        <v>69</v>
      </c>
      <c r="AF121" s="34" t="s">
        <v>74</v>
      </c>
      <c r="AG121" s="34" t="s">
        <v>104</v>
      </c>
      <c r="AH121" s="34" t="s">
        <v>1622</v>
      </c>
      <c r="AI121" s="34" t="s">
        <v>1697</v>
      </c>
      <c r="AJ121" s="34" t="s">
        <v>107</v>
      </c>
      <c r="AK121" s="34" t="s">
        <v>1830</v>
      </c>
      <c r="AL121" s="34" t="s">
        <v>128</v>
      </c>
      <c r="AM121" s="34" t="s">
        <v>129</v>
      </c>
      <c r="AN121" s="34" t="s">
        <v>1831</v>
      </c>
      <c r="AO121" s="34" t="s">
        <v>1832</v>
      </c>
      <c r="AP121" s="34" t="s">
        <v>109</v>
      </c>
      <c r="AQ121" s="96"/>
      <c r="AR121" s="96"/>
      <c r="AS121" s="44"/>
    </row>
    <row r="122">
      <c r="A122" s="32">
        <v>211.0</v>
      </c>
      <c r="B122" s="33">
        <v>3.64026836E8</v>
      </c>
      <c r="C122" s="34" t="s">
        <v>1835</v>
      </c>
      <c r="D122" s="34" t="s">
        <v>1836</v>
      </c>
      <c r="E122" s="34" t="s">
        <v>1837</v>
      </c>
      <c r="F122" s="34" t="s">
        <v>172</v>
      </c>
      <c r="G122" s="34" t="s">
        <v>1838</v>
      </c>
      <c r="H122" s="36">
        <v>2009.0</v>
      </c>
      <c r="I122" s="34" t="s">
        <v>1839</v>
      </c>
      <c r="J122" s="34" t="s">
        <v>55</v>
      </c>
      <c r="K122" s="34" t="s">
        <v>1840</v>
      </c>
      <c r="L122" s="34" t="s">
        <v>57</v>
      </c>
      <c r="M122" s="34" t="s">
        <v>172</v>
      </c>
      <c r="N122" s="34" t="s">
        <v>1841</v>
      </c>
      <c r="O122" s="34" t="s">
        <v>1842</v>
      </c>
      <c r="P122" s="34" t="s">
        <v>93</v>
      </c>
      <c r="Q122" s="34" t="s">
        <v>1843</v>
      </c>
      <c r="R122" s="34" t="s">
        <v>1844</v>
      </c>
      <c r="S122" s="34" t="s">
        <v>96</v>
      </c>
      <c r="T122" s="34" t="s">
        <v>766</v>
      </c>
      <c r="U122" s="34" t="s">
        <v>1845</v>
      </c>
      <c r="V122" s="34" t="s">
        <v>99</v>
      </c>
      <c r="W122" s="34" t="s">
        <v>100</v>
      </c>
      <c r="X122" s="37" t="s">
        <v>100</v>
      </c>
      <c r="Y122" s="34" t="s">
        <v>74</v>
      </c>
      <c r="Z122" s="34" t="s">
        <v>57</v>
      </c>
      <c r="AA122" s="34">
        <v>2005.0</v>
      </c>
      <c r="AB122" s="34">
        <v>2006.0</v>
      </c>
      <c r="AC122" s="34" t="s">
        <v>214</v>
      </c>
      <c r="AD122" s="34" t="s">
        <v>72</v>
      </c>
      <c r="AE122" s="34" t="s">
        <v>69</v>
      </c>
      <c r="AF122" s="34" t="s">
        <v>69</v>
      </c>
      <c r="AG122" s="34" t="s">
        <v>104</v>
      </c>
      <c r="AH122" s="34" t="s">
        <v>105</v>
      </c>
      <c r="AI122" s="34" t="s">
        <v>1231</v>
      </c>
      <c r="AJ122" s="34" t="s">
        <v>107</v>
      </c>
      <c r="AK122" s="34" t="s">
        <v>1846</v>
      </c>
      <c r="AL122" s="34" t="s">
        <v>128</v>
      </c>
      <c r="AM122" s="34" t="s">
        <v>129</v>
      </c>
      <c r="AN122" s="34" t="s">
        <v>1847</v>
      </c>
      <c r="AO122" s="39"/>
      <c r="AP122" s="34" t="s">
        <v>184</v>
      </c>
      <c r="AQ122" s="96"/>
      <c r="AR122" s="96"/>
      <c r="AS122" s="44"/>
    </row>
    <row r="123">
      <c r="A123" s="32">
        <v>214.0</v>
      </c>
      <c r="B123" s="33">
        <v>3.64026484E8</v>
      </c>
      <c r="C123" s="34" t="s">
        <v>1850</v>
      </c>
      <c r="D123" s="34" t="s">
        <v>1851</v>
      </c>
      <c r="E123" s="34" t="s">
        <v>1852</v>
      </c>
      <c r="F123" s="34" t="s">
        <v>489</v>
      </c>
      <c r="G123" s="34" t="s">
        <v>1853</v>
      </c>
      <c r="H123" s="36">
        <v>2020.0</v>
      </c>
      <c r="I123" s="34" t="s">
        <v>207</v>
      </c>
      <c r="J123" s="34" t="s">
        <v>55</v>
      </c>
      <c r="K123" s="34" t="s">
        <v>1854</v>
      </c>
      <c r="L123" s="34" t="s">
        <v>57</v>
      </c>
      <c r="M123" s="34" t="s">
        <v>489</v>
      </c>
      <c r="N123" s="34" t="s">
        <v>1553</v>
      </c>
      <c r="O123" s="34" t="s">
        <v>1855</v>
      </c>
      <c r="P123" s="34" t="s">
        <v>93</v>
      </c>
      <c r="Q123" s="34" t="s">
        <v>57</v>
      </c>
      <c r="R123" s="34" t="s">
        <v>57</v>
      </c>
      <c r="S123" s="34" t="s">
        <v>63</v>
      </c>
      <c r="T123" s="34" t="s">
        <v>351</v>
      </c>
      <c r="U123" s="34" t="s">
        <v>1856</v>
      </c>
      <c r="V123" s="34" t="s">
        <v>66</v>
      </c>
      <c r="W123" s="34" t="s">
        <v>1267</v>
      </c>
      <c r="X123" s="37" t="s">
        <v>1268</v>
      </c>
      <c r="Y123" s="34" t="s">
        <v>74</v>
      </c>
      <c r="Z123" s="34" t="s">
        <v>57</v>
      </c>
      <c r="AA123" s="34">
        <v>2003.0</v>
      </c>
      <c r="AB123" s="34">
        <v>2017.0</v>
      </c>
      <c r="AC123" s="34" t="s">
        <v>214</v>
      </c>
      <c r="AD123" s="34" t="s">
        <v>103</v>
      </c>
      <c r="AE123" s="34" t="s">
        <v>69</v>
      </c>
      <c r="AF123" s="34" t="s">
        <v>74</v>
      </c>
      <c r="AG123" s="34" t="s">
        <v>215</v>
      </c>
      <c r="AH123" s="34" t="s">
        <v>105</v>
      </c>
      <c r="AI123" s="34" t="s">
        <v>166</v>
      </c>
      <c r="AJ123" s="34" t="s">
        <v>166</v>
      </c>
      <c r="AK123" s="34" t="s">
        <v>1857</v>
      </c>
      <c r="AL123" s="34" t="s">
        <v>79</v>
      </c>
      <c r="AM123" s="34" t="s">
        <v>57</v>
      </c>
      <c r="AN123" s="34" t="s">
        <v>57</v>
      </c>
      <c r="AO123" s="39"/>
      <c r="AP123" s="34" t="s">
        <v>109</v>
      </c>
      <c r="AQ123" s="96"/>
      <c r="AR123" s="96"/>
      <c r="AS123" s="44"/>
    </row>
    <row r="124">
      <c r="A124" s="32">
        <v>215.0</v>
      </c>
      <c r="B124" s="33">
        <v>3.64026486E8</v>
      </c>
      <c r="C124" s="34" t="s">
        <v>1859</v>
      </c>
      <c r="D124" s="34" t="s">
        <v>1860</v>
      </c>
      <c r="E124" s="38" t="s">
        <v>1861</v>
      </c>
      <c r="F124" s="34" t="s">
        <v>650</v>
      </c>
      <c r="G124" s="38" t="s">
        <v>1862</v>
      </c>
      <c r="H124" s="36">
        <v>2014.0</v>
      </c>
      <c r="I124" s="34" t="s">
        <v>207</v>
      </c>
      <c r="J124" s="34" t="s">
        <v>55</v>
      </c>
      <c r="K124" s="34" t="s">
        <v>1863</v>
      </c>
      <c r="L124" s="34" t="s">
        <v>57</v>
      </c>
      <c r="M124" s="34" t="s">
        <v>653</v>
      </c>
      <c r="N124" s="34" t="s">
        <v>650</v>
      </c>
      <c r="O124" s="34" t="s">
        <v>1864</v>
      </c>
      <c r="P124" s="34" t="s">
        <v>93</v>
      </c>
      <c r="Q124" s="34" t="s">
        <v>57</v>
      </c>
      <c r="R124" s="34" t="s">
        <v>57</v>
      </c>
      <c r="S124" s="34" t="s">
        <v>63</v>
      </c>
      <c r="T124" s="34" t="s">
        <v>351</v>
      </c>
      <c r="U124" s="34" t="s">
        <v>1865</v>
      </c>
      <c r="V124" s="34" t="s">
        <v>99</v>
      </c>
      <c r="W124" s="34" t="s">
        <v>100</v>
      </c>
      <c r="X124" s="37" t="s">
        <v>100</v>
      </c>
      <c r="Y124" s="34" t="s">
        <v>74</v>
      </c>
      <c r="Z124" s="34" t="s">
        <v>57</v>
      </c>
      <c r="AA124" s="34">
        <v>2007.0</v>
      </c>
      <c r="AB124" s="34">
        <v>2008.0</v>
      </c>
      <c r="AC124" s="34" t="s">
        <v>103</v>
      </c>
      <c r="AD124" s="34" t="s">
        <v>180</v>
      </c>
      <c r="AE124" s="34" t="s">
        <v>69</v>
      </c>
      <c r="AF124" s="34" t="s">
        <v>74</v>
      </c>
      <c r="AG124" s="34" t="s">
        <v>104</v>
      </c>
      <c r="AH124" s="34" t="s">
        <v>105</v>
      </c>
      <c r="AI124" s="34" t="s">
        <v>336</v>
      </c>
      <c r="AJ124" s="34" t="s">
        <v>336</v>
      </c>
      <c r="AK124" s="34" t="s">
        <v>1866</v>
      </c>
      <c r="AL124" s="34" t="s">
        <v>128</v>
      </c>
      <c r="AM124" s="34" t="s">
        <v>129</v>
      </c>
      <c r="AN124" s="34" t="s">
        <v>1867</v>
      </c>
      <c r="AO124" s="39"/>
      <c r="AP124" s="34" t="s">
        <v>109</v>
      </c>
      <c r="AQ124" s="96"/>
      <c r="AR124" s="96"/>
      <c r="AS124" s="44"/>
    </row>
    <row r="125">
      <c r="A125" s="32">
        <v>216.0</v>
      </c>
      <c r="B125" s="33">
        <v>3.6402648E8</v>
      </c>
      <c r="C125" s="34" t="s">
        <v>1870</v>
      </c>
      <c r="D125" s="34" t="s">
        <v>1871</v>
      </c>
      <c r="E125" s="38" t="s">
        <v>1872</v>
      </c>
      <c r="F125" s="34" t="s">
        <v>1873</v>
      </c>
      <c r="G125" s="38" t="s">
        <v>1874</v>
      </c>
      <c r="H125" s="36">
        <v>2021.0</v>
      </c>
      <c r="I125" s="38" t="s">
        <v>796</v>
      </c>
      <c r="J125" s="34" t="s">
        <v>55</v>
      </c>
      <c r="K125" s="34" t="s">
        <v>1875</v>
      </c>
      <c r="L125" s="34" t="s">
        <v>57</v>
      </c>
      <c r="M125" s="34" t="s">
        <v>1873</v>
      </c>
      <c r="N125" s="34" t="s">
        <v>1876</v>
      </c>
      <c r="O125" s="34" t="s">
        <v>1877</v>
      </c>
      <c r="P125" s="34" t="s">
        <v>554</v>
      </c>
      <c r="Q125" s="34" t="s">
        <v>1878</v>
      </c>
      <c r="R125" s="34" t="s">
        <v>1879</v>
      </c>
      <c r="S125" s="34" t="s">
        <v>63</v>
      </c>
      <c r="T125" s="34" t="s">
        <v>1880</v>
      </c>
      <c r="U125" s="34" t="s">
        <v>1881</v>
      </c>
      <c r="V125" s="34" t="s">
        <v>99</v>
      </c>
      <c r="W125" s="34" t="s">
        <v>100</v>
      </c>
      <c r="X125" s="37" t="s">
        <v>100</v>
      </c>
      <c r="Y125" s="34" t="s">
        <v>74</v>
      </c>
      <c r="Z125" s="34" t="s">
        <v>57</v>
      </c>
      <c r="AA125" s="34">
        <v>2015.0</v>
      </c>
      <c r="AB125" s="34">
        <v>2016.0</v>
      </c>
      <c r="AC125" s="34" t="s">
        <v>403</v>
      </c>
      <c r="AD125" s="34" t="s">
        <v>542</v>
      </c>
      <c r="AE125" s="34" t="s">
        <v>69</v>
      </c>
      <c r="AF125" s="34" t="s">
        <v>74</v>
      </c>
      <c r="AG125" s="34" t="s">
        <v>75</v>
      </c>
      <c r="AH125" s="34" t="s">
        <v>105</v>
      </c>
      <c r="AI125" s="34" t="s">
        <v>1231</v>
      </c>
      <c r="AJ125" s="34" t="s">
        <v>107</v>
      </c>
      <c r="AK125" s="34" t="s">
        <v>1882</v>
      </c>
      <c r="AL125" s="34" t="s">
        <v>128</v>
      </c>
      <c r="AM125" s="34" t="s">
        <v>129</v>
      </c>
      <c r="AN125" s="34" t="s">
        <v>1883</v>
      </c>
      <c r="AO125" s="34" t="s">
        <v>1884</v>
      </c>
      <c r="AP125" s="34" t="s">
        <v>1522</v>
      </c>
      <c r="AQ125" s="96"/>
      <c r="AR125" s="96"/>
      <c r="AS125" s="44"/>
    </row>
    <row r="126">
      <c r="A126" s="32">
        <v>217.0</v>
      </c>
      <c r="B126" s="33">
        <v>3.64026501E8</v>
      </c>
      <c r="C126" s="34" t="s">
        <v>1887</v>
      </c>
      <c r="D126" s="34" t="s">
        <v>1888</v>
      </c>
      <c r="E126" s="34" t="s">
        <v>1889</v>
      </c>
      <c r="F126" s="34" t="s">
        <v>992</v>
      </c>
      <c r="G126" s="34" t="s">
        <v>1890</v>
      </c>
      <c r="H126" s="36">
        <v>2012.0</v>
      </c>
      <c r="I126" s="34" t="s">
        <v>207</v>
      </c>
      <c r="J126" s="34" t="s">
        <v>55</v>
      </c>
      <c r="K126" s="34" t="s">
        <v>1891</v>
      </c>
      <c r="L126" s="34" t="s">
        <v>57</v>
      </c>
      <c r="M126" s="34" t="s">
        <v>992</v>
      </c>
      <c r="N126" s="34" t="s">
        <v>1530</v>
      </c>
      <c r="O126" s="34" t="s">
        <v>1892</v>
      </c>
      <c r="P126" s="34" t="s">
        <v>554</v>
      </c>
      <c r="Q126" s="34" t="s">
        <v>57</v>
      </c>
      <c r="R126" s="34" t="s">
        <v>57</v>
      </c>
      <c r="S126" s="34" t="s">
        <v>63</v>
      </c>
      <c r="T126" s="34" t="s">
        <v>1893</v>
      </c>
      <c r="U126" s="34" t="s">
        <v>1894</v>
      </c>
      <c r="V126" s="34" t="s">
        <v>99</v>
      </c>
      <c r="W126" s="34" t="s">
        <v>100</v>
      </c>
      <c r="X126" s="37" t="s">
        <v>100</v>
      </c>
      <c r="Y126" s="34" t="s">
        <v>74</v>
      </c>
      <c r="Z126" s="34" t="s">
        <v>57</v>
      </c>
      <c r="AA126" s="34">
        <v>2008.0</v>
      </c>
      <c r="AB126" s="34">
        <v>2008.0</v>
      </c>
      <c r="AC126" s="34" t="s">
        <v>57</v>
      </c>
      <c r="AD126" s="34" t="s">
        <v>57</v>
      </c>
      <c r="AE126" s="34" t="s">
        <v>69</v>
      </c>
      <c r="AF126" s="34" t="s">
        <v>74</v>
      </c>
      <c r="AG126" s="34" t="s">
        <v>104</v>
      </c>
      <c r="AH126" s="34" t="s">
        <v>105</v>
      </c>
      <c r="AI126" s="34" t="s">
        <v>166</v>
      </c>
      <c r="AJ126" s="34" t="s">
        <v>166</v>
      </c>
      <c r="AK126" s="34" t="s">
        <v>1895</v>
      </c>
      <c r="AL126" s="34" t="s">
        <v>128</v>
      </c>
      <c r="AM126" s="34" t="s">
        <v>1283</v>
      </c>
      <c r="AN126" s="34" t="s">
        <v>1896</v>
      </c>
      <c r="AO126" s="39"/>
      <c r="AP126" s="34" t="s">
        <v>109</v>
      </c>
      <c r="AQ126" s="96"/>
      <c r="AR126" s="96"/>
      <c r="AS126" s="44"/>
    </row>
    <row r="127">
      <c r="A127" s="32">
        <v>218.0</v>
      </c>
      <c r="B127" s="33">
        <v>3.64026507E8</v>
      </c>
      <c r="C127" s="34" t="s">
        <v>1898</v>
      </c>
      <c r="D127" s="34" t="s">
        <v>1899</v>
      </c>
      <c r="E127" s="34" t="s">
        <v>1900</v>
      </c>
      <c r="F127" s="34" t="s">
        <v>87</v>
      </c>
      <c r="G127" s="34" t="s">
        <v>1901</v>
      </c>
      <c r="H127" s="36">
        <v>2016.0</v>
      </c>
      <c r="I127" s="34" t="s">
        <v>796</v>
      </c>
      <c r="J127" s="34" t="s">
        <v>55</v>
      </c>
      <c r="K127" s="34" t="s">
        <v>1902</v>
      </c>
      <c r="L127" s="34" t="s">
        <v>57</v>
      </c>
      <c r="M127" s="34" t="s">
        <v>1903</v>
      </c>
      <c r="N127" s="34" t="s">
        <v>87</v>
      </c>
      <c r="O127" s="34" t="s">
        <v>1904</v>
      </c>
      <c r="P127" s="34" t="s">
        <v>93</v>
      </c>
      <c r="Q127" s="34" t="s">
        <v>57</v>
      </c>
      <c r="R127" s="34" t="s">
        <v>57</v>
      </c>
      <c r="S127" s="34" t="s">
        <v>96</v>
      </c>
      <c r="T127" s="34" t="s">
        <v>1905</v>
      </c>
      <c r="U127" s="34" t="s">
        <v>1906</v>
      </c>
      <c r="V127" s="34" t="s">
        <v>99</v>
      </c>
      <c r="W127" s="34" t="s">
        <v>100</v>
      </c>
      <c r="X127" s="37" t="s">
        <v>100</v>
      </c>
      <c r="Y127" s="34" t="s">
        <v>74</v>
      </c>
      <c r="Z127" s="34" t="s">
        <v>57</v>
      </c>
      <c r="AA127" s="34">
        <v>2009.0</v>
      </c>
      <c r="AB127" s="34">
        <v>2010.0</v>
      </c>
      <c r="AC127" s="34" t="s">
        <v>264</v>
      </c>
      <c r="AD127" s="34" t="s">
        <v>180</v>
      </c>
      <c r="AE127" s="34" t="s">
        <v>69</v>
      </c>
      <c r="AF127" s="34" t="s">
        <v>74</v>
      </c>
      <c r="AG127" s="34" t="s">
        <v>104</v>
      </c>
      <c r="AH127" s="34" t="s">
        <v>105</v>
      </c>
      <c r="AI127" s="34" t="s">
        <v>106</v>
      </c>
      <c r="AJ127" s="34" t="s">
        <v>107</v>
      </c>
      <c r="AK127" s="34" t="s">
        <v>1907</v>
      </c>
      <c r="AL127" s="34" t="s">
        <v>128</v>
      </c>
      <c r="AM127" s="34" t="s">
        <v>129</v>
      </c>
      <c r="AN127" s="34" t="s">
        <v>1908</v>
      </c>
      <c r="AO127" s="39"/>
      <c r="AP127" s="34" t="s">
        <v>109</v>
      </c>
      <c r="AQ127" s="96"/>
      <c r="AR127" s="96"/>
      <c r="AS127" s="44"/>
    </row>
    <row r="128">
      <c r="A128" s="32">
        <v>219.0</v>
      </c>
      <c r="B128" s="33">
        <v>3.64026509E8</v>
      </c>
      <c r="C128" s="34" t="s">
        <v>1910</v>
      </c>
      <c r="D128" s="34" t="s">
        <v>1911</v>
      </c>
      <c r="E128" s="34" t="s">
        <v>1912</v>
      </c>
      <c r="F128" s="34" t="s">
        <v>581</v>
      </c>
      <c r="G128" s="38" t="s">
        <v>1913</v>
      </c>
      <c r="H128" s="36">
        <v>2013.0</v>
      </c>
      <c r="I128" s="34" t="s">
        <v>1914</v>
      </c>
      <c r="J128" s="34" t="s">
        <v>55</v>
      </c>
      <c r="K128" s="34" t="s">
        <v>1915</v>
      </c>
      <c r="L128" s="34" t="s">
        <v>57</v>
      </c>
      <c r="M128" s="34" t="s">
        <v>581</v>
      </c>
      <c r="N128" s="34" t="s">
        <v>1916</v>
      </c>
      <c r="O128" s="34" t="s">
        <v>1917</v>
      </c>
      <c r="P128" s="34" t="s">
        <v>554</v>
      </c>
      <c r="Q128" s="34" t="s">
        <v>57</v>
      </c>
      <c r="R128" s="34" t="s">
        <v>57</v>
      </c>
      <c r="S128" s="34" t="s">
        <v>96</v>
      </c>
      <c r="T128" s="34" t="s">
        <v>1918</v>
      </c>
      <c r="U128" s="34" t="s">
        <v>1919</v>
      </c>
      <c r="V128" s="34" t="s">
        <v>99</v>
      </c>
      <c r="W128" s="34" t="s">
        <v>100</v>
      </c>
      <c r="X128" s="37" t="s">
        <v>100</v>
      </c>
      <c r="Y128" s="34" t="s">
        <v>74</v>
      </c>
      <c r="Z128" s="34" t="s">
        <v>57</v>
      </c>
      <c r="AA128" s="34">
        <v>2009.0</v>
      </c>
      <c r="AB128" s="34">
        <v>2009.0</v>
      </c>
      <c r="AC128" s="34" t="s">
        <v>57</v>
      </c>
      <c r="AD128" s="34" t="s">
        <v>57</v>
      </c>
      <c r="AE128" s="34" t="s">
        <v>69</v>
      </c>
      <c r="AF128" s="34" t="s">
        <v>74</v>
      </c>
      <c r="AG128" s="34" t="s">
        <v>104</v>
      </c>
      <c r="AH128" s="34" t="s">
        <v>105</v>
      </c>
      <c r="AI128" s="34" t="s">
        <v>1231</v>
      </c>
      <c r="AJ128" s="34" t="s">
        <v>107</v>
      </c>
      <c r="AK128" s="34" t="s">
        <v>1920</v>
      </c>
      <c r="AL128" s="34" t="s">
        <v>128</v>
      </c>
      <c r="AM128" s="34" t="s">
        <v>129</v>
      </c>
      <c r="AN128" s="34" t="s">
        <v>1921</v>
      </c>
      <c r="AO128" s="39"/>
      <c r="AP128" s="34" t="s">
        <v>109</v>
      </c>
      <c r="AQ128" s="96"/>
      <c r="AR128" s="96"/>
      <c r="AS128" s="44"/>
    </row>
    <row r="129">
      <c r="A129" s="32">
        <v>223.0</v>
      </c>
      <c r="B129" s="33">
        <v>3.64026541E8</v>
      </c>
      <c r="C129" s="34" t="s">
        <v>1924</v>
      </c>
      <c r="D129" s="34" t="s">
        <v>1925</v>
      </c>
      <c r="E129" s="34" t="s">
        <v>1926</v>
      </c>
      <c r="F129" s="34" t="s">
        <v>992</v>
      </c>
      <c r="G129" s="34" t="s">
        <v>1927</v>
      </c>
      <c r="H129" s="36">
        <v>2013.0</v>
      </c>
      <c r="I129" s="34" t="s">
        <v>669</v>
      </c>
      <c r="J129" s="34" t="s">
        <v>55</v>
      </c>
      <c r="K129" s="34" t="s">
        <v>1891</v>
      </c>
      <c r="L129" s="34" t="s">
        <v>57</v>
      </c>
      <c r="M129" s="34" t="s">
        <v>992</v>
      </c>
      <c r="N129" s="34" t="s">
        <v>1530</v>
      </c>
      <c r="O129" s="34" t="s">
        <v>1928</v>
      </c>
      <c r="P129" s="34" t="s">
        <v>554</v>
      </c>
      <c r="Q129" s="34" t="s">
        <v>57</v>
      </c>
      <c r="R129" s="34" t="s">
        <v>57</v>
      </c>
      <c r="S129" s="34" t="s">
        <v>63</v>
      </c>
      <c r="T129" s="34" t="s">
        <v>463</v>
      </c>
      <c r="U129" s="34" t="s">
        <v>1929</v>
      </c>
      <c r="V129" s="34" t="s">
        <v>1649</v>
      </c>
      <c r="W129" s="34" t="s">
        <v>100</v>
      </c>
      <c r="X129" s="37" t="s">
        <v>100</v>
      </c>
      <c r="Y129" s="34" t="s">
        <v>74</v>
      </c>
      <c r="Z129" s="34" t="s">
        <v>57</v>
      </c>
      <c r="AA129" s="34">
        <v>2010.0</v>
      </c>
      <c r="AB129" s="34">
        <v>2010.0</v>
      </c>
      <c r="AC129" s="34" t="s">
        <v>403</v>
      </c>
      <c r="AD129" s="34" t="s">
        <v>692</v>
      </c>
      <c r="AE129" s="34" t="s">
        <v>69</v>
      </c>
      <c r="AF129" s="34" t="s">
        <v>74</v>
      </c>
      <c r="AG129" s="34" t="s">
        <v>104</v>
      </c>
      <c r="AH129" s="34" t="s">
        <v>105</v>
      </c>
      <c r="AI129" s="34" t="s">
        <v>106</v>
      </c>
      <c r="AJ129" s="34" t="s">
        <v>107</v>
      </c>
      <c r="AK129" s="34" t="s">
        <v>1930</v>
      </c>
      <c r="AL129" s="34" t="s">
        <v>128</v>
      </c>
      <c r="AM129" s="34" t="s">
        <v>129</v>
      </c>
      <c r="AN129" s="34" t="s">
        <v>1931</v>
      </c>
      <c r="AO129" s="34" t="s">
        <v>1932</v>
      </c>
      <c r="AP129" s="34" t="s">
        <v>109</v>
      </c>
      <c r="AQ129" s="96"/>
      <c r="AR129" s="96"/>
      <c r="AS129" s="44"/>
    </row>
    <row r="130">
      <c r="A130" s="32">
        <v>224.0</v>
      </c>
      <c r="B130" s="33">
        <v>3.64026548E8</v>
      </c>
      <c r="C130" s="34" t="s">
        <v>1935</v>
      </c>
      <c r="D130" s="34" t="s">
        <v>1925</v>
      </c>
      <c r="E130" s="34" t="s">
        <v>1889</v>
      </c>
      <c r="F130" s="34" t="s">
        <v>992</v>
      </c>
      <c r="G130" s="38" t="s">
        <v>1936</v>
      </c>
      <c r="H130" s="36">
        <v>2013.0</v>
      </c>
      <c r="I130" s="34" t="s">
        <v>729</v>
      </c>
      <c r="J130" s="34" t="s">
        <v>55</v>
      </c>
      <c r="K130" s="34" t="s">
        <v>1891</v>
      </c>
      <c r="L130" s="34" t="s">
        <v>57</v>
      </c>
      <c r="M130" s="34" t="s">
        <v>992</v>
      </c>
      <c r="N130" s="34" t="s">
        <v>1530</v>
      </c>
      <c r="O130" s="34" t="s">
        <v>1937</v>
      </c>
      <c r="P130" s="34" t="s">
        <v>554</v>
      </c>
      <c r="Q130" s="34" t="s">
        <v>57</v>
      </c>
      <c r="R130" s="34" t="s">
        <v>57</v>
      </c>
      <c r="S130" s="34" t="s">
        <v>63</v>
      </c>
      <c r="T130" s="34" t="s">
        <v>1938</v>
      </c>
      <c r="U130" s="34" t="s">
        <v>1939</v>
      </c>
      <c r="V130" s="34" t="s">
        <v>99</v>
      </c>
      <c r="W130" s="34" t="s">
        <v>100</v>
      </c>
      <c r="X130" s="37" t="s">
        <v>100</v>
      </c>
      <c r="Y130" s="34" t="s">
        <v>74</v>
      </c>
      <c r="Z130" s="34" t="s">
        <v>57</v>
      </c>
      <c r="AA130" s="34">
        <v>2009.0</v>
      </c>
      <c r="AB130" s="34">
        <v>2009.0</v>
      </c>
      <c r="AC130" s="34" t="s">
        <v>57</v>
      </c>
      <c r="AD130" s="34" t="s">
        <v>57</v>
      </c>
      <c r="AE130" s="34" t="s">
        <v>69</v>
      </c>
      <c r="AF130" s="34" t="s">
        <v>69</v>
      </c>
      <c r="AG130" s="34" t="s">
        <v>104</v>
      </c>
      <c r="AH130" s="34" t="s">
        <v>105</v>
      </c>
      <c r="AI130" s="34" t="s">
        <v>1231</v>
      </c>
      <c r="AJ130" s="34" t="s">
        <v>107</v>
      </c>
      <c r="AK130" s="34" t="s">
        <v>1940</v>
      </c>
      <c r="AL130" s="34" t="s">
        <v>128</v>
      </c>
      <c r="AM130" s="34" t="s">
        <v>198</v>
      </c>
      <c r="AN130" s="34" t="s">
        <v>1941</v>
      </c>
      <c r="AO130" s="39"/>
      <c r="AP130" s="34" t="s">
        <v>109</v>
      </c>
      <c r="AQ130" s="96"/>
      <c r="AR130" s="96"/>
      <c r="AS130" s="44"/>
    </row>
    <row r="131">
      <c r="A131" s="32">
        <v>225.0</v>
      </c>
      <c r="B131" s="33">
        <v>3.64026559E8</v>
      </c>
      <c r="C131" s="34" t="s">
        <v>1944</v>
      </c>
      <c r="D131" s="34" t="s">
        <v>1945</v>
      </c>
      <c r="E131" s="38" t="s">
        <v>1946</v>
      </c>
      <c r="F131" s="34" t="s">
        <v>114</v>
      </c>
      <c r="G131" s="38" t="s">
        <v>1947</v>
      </c>
      <c r="H131" s="36">
        <v>2008.0</v>
      </c>
      <c r="I131" s="38" t="s">
        <v>1125</v>
      </c>
      <c r="J131" s="34" t="s">
        <v>55</v>
      </c>
      <c r="K131" s="34" t="s">
        <v>1948</v>
      </c>
      <c r="L131" s="34" t="s">
        <v>57</v>
      </c>
      <c r="M131" s="34" t="s">
        <v>114</v>
      </c>
      <c r="N131" s="34" t="s">
        <v>1949</v>
      </c>
      <c r="O131" s="34" t="s">
        <v>1950</v>
      </c>
      <c r="P131" s="34" t="s">
        <v>93</v>
      </c>
      <c r="Q131" s="34" t="s">
        <v>57</v>
      </c>
      <c r="R131" s="34" t="s">
        <v>57</v>
      </c>
      <c r="S131" s="34" t="s">
        <v>193</v>
      </c>
      <c r="T131" s="34" t="s">
        <v>1024</v>
      </c>
      <c r="U131" s="34" t="s">
        <v>1951</v>
      </c>
      <c r="V131" s="34" t="s">
        <v>1649</v>
      </c>
      <c r="W131" s="34" t="s">
        <v>100</v>
      </c>
      <c r="X131" s="37" t="s">
        <v>100</v>
      </c>
      <c r="Y131" s="34" t="s">
        <v>74</v>
      </c>
      <c r="Z131" s="34" t="s">
        <v>57</v>
      </c>
      <c r="AA131" s="34">
        <v>2001.0</v>
      </c>
      <c r="AB131" s="34">
        <v>2002.0</v>
      </c>
      <c r="AC131" s="34" t="s">
        <v>103</v>
      </c>
      <c r="AD131" s="34" t="s">
        <v>72</v>
      </c>
      <c r="AE131" s="34" t="s">
        <v>69</v>
      </c>
      <c r="AF131" s="34" t="s">
        <v>69</v>
      </c>
      <c r="AG131" s="34" t="s">
        <v>104</v>
      </c>
      <c r="AH131" s="34" t="s">
        <v>105</v>
      </c>
      <c r="AI131" s="34" t="s">
        <v>166</v>
      </c>
      <c r="AJ131" s="34" t="s">
        <v>166</v>
      </c>
      <c r="AK131" s="34" t="s">
        <v>1952</v>
      </c>
      <c r="AL131" s="34" t="s">
        <v>128</v>
      </c>
      <c r="AM131" s="34" t="s">
        <v>1791</v>
      </c>
      <c r="AN131" s="34" t="s">
        <v>1953</v>
      </c>
      <c r="AO131" s="39"/>
      <c r="AP131" s="34" t="s">
        <v>1522</v>
      </c>
      <c r="AQ131" s="96"/>
      <c r="AR131" s="96"/>
      <c r="AS131" s="44"/>
    </row>
    <row r="132">
      <c r="A132" s="32">
        <v>226.0</v>
      </c>
      <c r="B132" s="33">
        <v>3.64026557E8</v>
      </c>
      <c r="C132" s="34" t="s">
        <v>1956</v>
      </c>
      <c r="D132" s="34" t="s">
        <v>1957</v>
      </c>
      <c r="E132" s="38" t="s">
        <v>1958</v>
      </c>
      <c r="F132" s="34" t="s">
        <v>114</v>
      </c>
      <c r="G132" s="38" t="s">
        <v>1959</v>
      </c>
      <c r="H132" s="36">
        <v>2012.0</v>
      </c>
      <c r="I132" s="38" t="s">
        <v>207</v>
      </c>
      <c r="J132" s="34" t="s">
        <v>55</v>
      </c>
      <c r="K132" s="34" t="s">
        <v>1960</v>
      </c>
      <c r="L132" s="34" t="s">
        <v>57</v>
      </c>
      <c r="M132" s="34" t="s">
        <v>114</v>
      </c>
      <c r="N132" s="34" t="s">
        <v>1961</v>
      </c>
      <c r="O132" s="34" t="s">
        <v>1962</v>
      </c>
      <c r="P132" s="34" t="s">
        <v>93</v>
      </c>
      <c r="Q132" s="34" t="s">
        <v>1963</v>
      </c>
      <c r="R132" s="38" t="s">
        <v>1964</v>
      </c>
      <c r="S132" s="34" t="s">
        <v>193</v>
      </c>
      <c r="T132" s="34" t="s">
        <v>463</v>
      </c>
      <c r="U132" s="34" t="s">
        <v>1965</v>
      </c>
      <c r="V132" s="34" t="s">
        <v>1649</v>
      </c>
      <c r="W132" s="34" t="s">
        <v>100</v>
      </c>
      <c r="X132" s="37" t="s">
        <v>100</v>
      </c>
      <c r="Y132" s="34" t="s">
        <v>74</v>
      </c>
      <c r="Z132" s="34" t="s">
        <v>57</v>
      </c>
      <c r="AA132" s="34">
        <v>2009.0</v>
      </c>
      <c r="AB132" s="34">
        <v>2010.0</v>
      </c>
      <c r="AC132" s="34" t="s">
        <v>144</v>
      </c>
      <c r="AD132" s="34" t="s">
        <v>180</v>
      </c>
      <c r="AE132" s="34" t="s">
        <v>69</v>
      </c>
      <c r="AF132" s="34" t="s">
        <v>74</v>
      </c>
      <c r="AG132" s="34" t="s">
        <v>75</v>
      </c>
      <c r="AH132" s="34" t="s">
        <v>498</v>
      </c>
      <c r="AI132" s="34" t="s">
        <v>1339</v>
      </c>
      <c r="AJ132" s="34" t="s">
        <v>107</v>
      </c>
      <c r="AK132" s="34" t="s">
        <v>1966</v>
      </c>
      <c r="AL132" s="34" t="s">
        <v>128</v>
      </c>
      <c r="AM132" s="34" t="s">
        <v>895</v>
      </c>
      <c r="AN132" s="34" t="s">
        <v>1967</v>
      </c>
      <c r="AO132" s="39"/>
      <c r="AP132" s="34" t="s">
        <v>1522</v>
      </c>
      <c r="AQ132" s="96"/>
      <c r="AR132" s="96"/>
      <c r="AS132" s="44"/>
    </row>
    <row r="133">
      <c r="A133" s="32">
        <v>227.0</v>
      </c>
      <c r="B133" s="33">
        <v>3.64026565E8</v>
      </c>
      <c r="C133" s="34" t="s">
        <v>1969</v>
      </c>
      <c r="D133" s="34" t="s">
        <v>1970</v>
      </c>
      <c r="E133" s="34" t="s">
        <v>1971</v>
      </c>
      <c r="F133" s="39"/>
      <c r="G133" s="34" t="s">
        <v>1972</v>
      </c>
      <c r="H133" s="36">
        <v>2020.0</v>
      </c>
      <c r="I133" s="34" t="s">
        <v>1085</v>
      </c>
      <c r="J133" s="34" t="s">
        <v>55</v>
      </c>
      <c r="K133" s="34" t="s">
        <v>1973</v>
      </c>
      <c r="L133" s="34" t="s">
        <v>57</v>
      </c>
      <c r="M133" s="34" t="s">
        <v>114</v>
      </c>
      <c r="N133" s="34" t="s">
        <v>1974</v>
      </c>
      <c r="O133" s="34" t="s">
        <v>1975</v>
      </c>
      <c r="P133" s="34" t="s">
        <v>93</v>
      </c>
      <c r="Q133" s="34" t="s">
        <v>57</v>
      </c>
      <c r="R133" s="34" t="s">
        <v>57</v>
      </c>
      <c r="S133" s="34" t="s">
        <v>96</v>
      </c>
      <c r="T133" s="34" t="s">
        <v>1976</v>
      </c>
      <c r="U133" s="34" t="s">
        <v>1977</v>
      </c>
      <c r="V133" s="34" t="s">
        <v>99</v>
      </c>
      <c r="W133" s="34" t="s">
        <v>100</v>
      </c>
      <c r="X133" s="37" t="s">
        <v>100</v>
      </c>
      <c r="Y133" s="34" t="s">
        <v>74</v>
      </c>
      <c r="Z133" s="34" t="s">
        <v>57</v>
      </c>
      <c r="AA133" s="34">
        <v>2016.0</v>
      </c>
      <c r="AB133" s="34">
        <v>2018.0</v>
      </c>
      <c r="AC133" s="34" t="s">
        <v>403</v>
      </c>
      <c r="AD133" s="34" t="s">
        <v>214</v>
      </c>
      <c r="AE133" s="34" t="s">
        <v>69</v>
      </c>
      <c r="AF133" s="34" t="s">
        <v>74</v>
      </c>
      <c r="AG133" s="34" t="s">
        <v>104</v>
      </c>
      <c r="AH133" s="34" t="s">
        <v>105</v>
      </c>
      <c r="AI133" s="34" t="s">
        <v>166</v>
      </c>
      <c r="AJ133" s="34" t="s">
        <v>166</v>
      </c>
      <c r="AK133" s="34" t="s">
        <v>1978</v>
      </c>
      <c r="AL133" s="34" t="s">
        <v>128</v>
      </c>
      <c r="AM133" s="34" t="s">
        <v>129</v>
      </c>
      <c r="AN133" s="34" t="s">
        <v>1979</v>
      </c>
      <c r="AO133" s="34" t="s">
        <v>1980</v>
      </c>
      <c r="AP133" s="34" t="s">
        <v>109</v>
      </c>
      <c r="AQ133" s="96"/>
      <c r="AR133" s="96"/>
      <c r="AS133" s="44"/>
    </row>
    <row r="134">
      <c r="A134" s="32">
        <v>228.0</v>
      </c>
      <c r="B134" s="33">
        <v>3.64026588E8</v>
      </c>
      <c r="C134" s="34" t="s">
        <v>1982</v>
      </c>
      <c r="D134" s="34" t="s">
        <v>1983</v>
      </c>
      <c r="E134" s="38" t="s">
        <v>1984</v>
      </c>
      <c r="F134" s="34" t="s">
        <v>1727</v>
      </c>
      <c r="G134" s="38" t="s">
        <v>1985</v>
      </c>
      <c r="H134" s="36">
        <v>2011.0</v>
      </c>
      <c r="I134" s="34" t="s">
        <v>295</v>
      </c>
      <c r="J134" s="34" t="s">
        <v>55</v>
      </c>
      <c r="K134" s="34" t="s">
        <v>1986</v>
      </c>
      <c r="L134" s="34" t="s">
        <v>57</v>
      </c>
      <c r="M134" s="34" t="s">
        <v>1727</v>
      </c>
      <c r="N134" s="34" t="s">
        <v>1987</v>
      </c>
      <c r="O134" s="34" t="s">
        <v>1988</v>
      </c>
      <c r="P134" s="34" t="s">
        <v>93</v>
      </c>
      <c r="Q134" s="34" t="s">
        <v>57</v>
      </c>
      <c r="R134" s="34" t="s">
        <v>57</v>
      </c>
      <c r="S134" s="34" t="s">
        <v>301</v>
      </c>
      <c r="T134" s="34" t="s">
        <v>1989</v>
      </c>
      <c r="U134" s="34" t="s">
        <v>1990</v>
      </c>
      <c r="V134" s="34" t="s">
        <v>99</v>
      </c>
      <c r="W134" s="34" t="s">
        <v>100</v>
      </c>
      <c r="X134" s="37" t="s">
        <v>100</v>
      </c>
      <c r="Y134" s="34" t="s">
        <v>74</v>
      </c>
      <c r="Z134" s="34" t="s">
        <v>57</v>
      </c>
      <c r="AA134" s="34">
        <v>2007.0</v>
      </c>
      <c r="AB134" s="34">
        <v>2007.0</v>
      </c>
      <c r="AC134" s="34" t="s">
        <v>103</v>
      </c>
      <c r="AD134" s="34" t="s">
        <v>180</v>
      </c>
      <c r="AE134" s="34" t="s">
        <v>69</v>
      </c>
      <c r="AF134" s="34" t="s">
        <v>69</v>
      </c>
      <c r="AG134" s="34" t="s">
        <v>104</v>
      </c>
      <c r="AH134" s="34" t="s">
        <v>105</v>
      </c>
      <c r="AI134" s="34" t="s">
        <v>336</v>
      </c>
      <c r="AJ134" s="34" t="s">
        <v>336</v>
      </c>
      <c r="AK134" s="34" t="s">
        <v>1991</v>
      </c>
      <c r="AL134" s="34" t="s">
        <v>128</v>
      </c>
      <c r="AM134" s="34" t="s">
        <v>129</v>
      </c>
      <c r="AN134" s="34" t="s">
        <v>1992</v>
      </c>
      <c r="AO134" s="39"/>
      <c r="AP134" s="34" t="s">
        <v>109</v>
      </c>
      <c r="AQ134" s="96"/>
      <c r="AR134" s="96"/>
      <c r="AS134" s="44"/>
    </row>
    <row r="135">
      <c r="A135" s="32">
        <v>230.0</v>
      </c>
      <c r="B135" s="33">
        <v>3.64026614E8</v>
      </c>
      <c r="C135" s="34" t="s">
        <v>1994</v>
      </c>
      <c r="D135" s="34" t="s">
        <v>1995</v>
      </c>
      <c r="E135" s="34" t="s">
        <v>1996</v>
      </c>
      <c r="F135" s="34" t="s">
        <v>114</v>
      </c>
      <c r="G135" s="34" t="s">
        <v>1997</v>
      </c>
      <c r="H135" s="36">
        <v>2014.0</v>
      </c>
      <c r="I135" s="34" t="s">
        <v>207</v>
      </c>
      <c r="J135" s="34" t="s">
        <v>55</v>
      </c>
      <c r="K135" s="34" t="s">
        <v>1998</v>
      </c>
      <c r="L135" s="34" t="s">
        <v>57</v>
      </c>
      <c r="M135" s="34" t="s">
        <v>114</v>
      </c>
      <c r="N135" s="34" t="s">
        <v>1999</v>
      </c>
      <c r="O135" s="34" t="s">
        <v>2000</v>
      </c>
      <c r="P135" s="34" t="s">
        <v>93</v>
      </c>
      <c r="Q135" s="34" t="s">
        <v>57</v>
      </c>
      <c r="R135" s="34" t="s">
        <v>57</v>
      </c>
      <c r="S135" s="34" t="s">
        <v>193</v>
      </c>
      <c r="T135" s="34" t="s">
        <v>229</v>
      </c>
      <c r="U135" s="34" t="s">
        <v>2001</v>
      </c>
      <c r="V135" s="34" t="s">
        <v>99</v>
      </c>
      <c r="W135" s="34" t="s">
        <v>100</v>
      </c>
      <c r="X135" s="37" t="s">
        <v>100</v>
      </c>
      <c r="Y135" s="34" t="s">
        <v>74</v>
      </c>
      <c r="Z135" s="34" t="s">
        <v>57</v>
      </c>
      <c r="AA135" s="34">
        <v>2006.0</v>
      </c>
      <c r="AB135" s="34">
        <v>2010.0</v>
      </c>
      <c r="AC135" s="34" t="s">
        <v>57</v>
      </c>
      <c r="AD135" s="34" t="s">
        <v>57</v>
      </c>
      <c r="AE135" s="34" t="s">
        <v>69</v>
      </c>
      <c r="AF135" s="34" t="s">
        <v>74</v>
      </c>
      <c r="AG135" s="34" t="s">
        <v>104</v>
      </c>
      <c r="AH135" s="34" t="s">
        <v>105</v>
      </c>
      <c r="AI135" s="34" t="s">
        <v>336</v>
      </c>
      <c r="AJ135" s="34" t="s">
        <v>336</v>
      </c>
      <c r="AK135" s="34" t="s">
        <v>2002</v>
      </c>
      <c r="AL135" s="34" t="s">
        <v>128</v>
      </c>
      <c r="AM135" s="34" t="s">
        <v>129</v>
      </c>
      <c r="AN135" s="34" t="s">
        <v>2003</v>
      </c>
      <c r="AO135" s="39"/>
      <c r="AP135" s="34" t="s">
        <v>109</v>
      </c>
      <c r="AQ135" s="96"/>
      <c r="AR135" s="96"/>
      <c r="AS135" s="44"/>
    </row>
    <row r="136">
      <c r="A136" s="32">
        <v>231.0</v>
      </c>
      <c r="B136" s="33">
        <v>3.6402663E8</v>
      </c>
      <c r="C136" s="34" t="s">
        <v>2005</v>
      </c>
      <c r="D136" s="34" t="s">
        <v>2006</v>
      </c>
      <c r="E136" s="34" t="s">
        <v>2007</v>
      </c>
      <c r="F136" s="34" t="s">
        <v>114</v>
      </c>
      <c r="G136" s="34" t="s">
        <v>2008</v>
      </c>
      <c r="H136" s="36">
        <v>2011.0</v>
      </c>
      <c r="I136" s="34" t="s">
        <v>1085</v>
      </c>
      <c r="J136" s="34" t="s">
        <v>55</v>
      </c>
      <c r="K136" s="34" t="s">
        <v>2009</v>
      </c>
      <c r="L136" s="34" t="s">
        <v>57</v>
      </c>
      <c r="M136" s="34" t="s">
        <v>114</v>
      </c>
      <c r="N136" s="34" t="s">
        <v>2010</v>
      </c>
      <c r="O136" s="34" t="s">
        <v>2011</v>
      </c>
      <c r="P136" s="34" t="s">
        <v>93</v>
      </c>
      <c r="Q136" s="34" t="s">
        <v>57</v>
      </c>
      <c r="R136" s="34" t="s">
        <v>57</v>
      </c>
      <c r="S136" s="34" t="s">
        <v>63</v>
      </c>
      <c r="T136" s="34" t="s">
        <v>1579</v>
      </c>
      <c r="U136" s="34" t="s">
        <v>2012</v>
      </c>
      <c r="V136" s="34" t="s">
        <v>99</v>
      </c>
      <c r="W136" s="34" t="s">
        <v>100</v>
      </c>
      <c r="X136" s="37" t="s">
        <v>100</v>
      </c>
      <c r="Y136" s="34" t="s">
        <v>74</v>
      </c>
      <c r="Z136" s="34" t="s">
        <v>57</v>
      </c>
      <c r="AA136" s="34">
        <v>2006.0</v>
      </c>
      <c r="AB136" s="34">
        <v>2008.0</v>
      </c>
      <c r="AC136" s="34" t="s">
        <v>264</v>
      </c>
      <c r="AD136" s="34" t="s">
        <v>214</v>
      </c>
      <c r="AE136" s="34" t="s">
        <v>69</v>
      </c>
      <c r="AF136" s="34" t="s">
        <v>69</v>
      </c>
      <c r="AG136" s="34" t="s">
        <v>104</v>
      </c>
      <c r="AH136" s="34" t="s">
        <v>105</v>
      </c>
      <c r="AI136" s="34" t="s">
        <v>336</v>
      </c>
      <c r="AJ136" s="34" t="s">
        <v>336</v>
      </c>
      <c r="AK136" s="34" t="s">
        <v>2013</v>
      </c>
      <c r="AL136" s="34" t="s">
        <v>79</v>
      </c>
      <c r="AM136" s="34" t="s">
        <v>57</v>
      </c>
      <c r="AN136" s="34" t="s">
        <v>57</v>
      </c>
      <c r="AO136" s="39"/>
      <c r="AP136" s="34" t="s">
        <v>109</v>
      </c>
      <c r="AQ136" s="96"/>
      <c r="AR136" s="96"/>
      <c r="AS136" s="44"/>
    </row>
    <row r="137">
      <c r="A137" s="32">
        <v>232.0</v>
      </c>
      <c r="B137" s="33">
        <v>3.64026666E8</v>
      </c>
      <c r="C137" s="34" t="s">
        <v>2015</v>
      </c>
      <c r="D137" s="34" t="s">
        <v>2016</v>
      </c>
      <c r="E137" s="34" t="s">
        <v>2017</v>
      </c>
      <c r="F137" s="34" t="s">
        <v>114</v>
      </c>
      <c r="G137" s="38" t="s">
        <v>2018</v>
      </c>
      <c r="H137" s="36">
        <v>2008.0</v>
      </c>
      <c r="I137" s="34" t="s">
        <v>686</v>
      </c>
      <c r="J137" s="34" t="s">
        <v>55</v>
      </c>
      <c r="K137" s="34" t="s">
        <v>2019</v>
      </c>
      <c r="L137" s="34" t="s">
        <v>57</v>
      </c>
      <c r="M137" s="34" t="s">
        <v>114</v>
      </c>
      <c r="N137" s="34" t="s">
        <v>1114</v>
      </c>
      <c r="O137" s="34" t="s">
        <v>2020</v>
      </c>
      <c r="P137" s="34" t="s">
        <v>93</v>
      </c>
      <c r="Q137" s="38" t="s">
        <v>2021</v>
      </c>
      <c r="R137" s="38" t="s">
        <v>2022</v>
      </c>
      <c r="S137" s="34" t="s">
        <v>63</v>
      </c>
      <c r="T137" s="34" t="s">
        <v>1800</v>
      </c>
      <c r="U137" s="34" t="s">
        <v>2023</v>
      </c>
      <c r="V137" s="34" t="s">
        <v>99</v>
      </c>
      <c r="W137" s="34" t="s">
        <v>100</v>
      </c>
      <c r="X137" s="37" t="s">
        <v>100</v>
      </c>
      <c r="Y137" s="34" t="s">
        <v>74</v>
      </c>
      <c r="Z137" s="34" t="s">
        <v>57</v>
      </c>
      <c r="AA137" s="34">
        <v>2003.0</v>
      </c>
      <c r="AB137" s="34">
        <v>2003.0</v>
      </c>
      <c r="AC137" s="34" t="s">
        <v>103</v>
      </c>
      <c r="AD137" s="34" t="s">
        <v>72</v>
      </c>
      <c r="AE137" s="34" t="s">
        <v>69</v>
      </c>
      <c r="AF137" s="34" t="s">
        <v>74</v>
      </c>
      <c r="AG137" s="34" t="s">
        <v>104</v>
      </c>
      <c r="AH137" s="34" t="s">
        <v>105</v>
      </c>
      <c r="AI137" s="34" t="s">
        <v>336</v>
      </c>
      <c r="AJ137" s="34" t="s">
        <v>336</v>
      </c>
      <c r="AK137" s="34" t="s">
        <v>2024</v>
      </c>
      <c r="AL137" s="34" t="s">
        <v>128</v>
      </c>
      <c r="AM137" s="34" t="s">
        <v>895</v>
      </c>
      <c r="AN137" s="34" t="s">
        <v>2025</v>
      </c>
      <c r="AO137" s="39"/>
      <c r="AP137" s="34" t="s">
        <v>109</v>
      </c>
      <c r="AQ137" s="96"/>
      <c r="AR137" s="96"/>
      <c r="AS137" s="44"/>
    </row>
    <row r="138">
      <c r="A138" s="32">
        <v>235.0</v>
      </c>
      <c r="B138" s="33">
        <v>3.64026933E8</v>
      </c>
      <c r="C138" s="34" t="s">
        <v>2027</v>
      </c>
      <c r="D138" s="34" t="s">
        <v>2028</v>
      </c>
      <c r="E138" s="34" t="s">
        <v>2029</v>
      </c>
      <c r="F138" s="34" t="s">
        <v>114</v>
      </c>
      <c r="G138" s="34" t="s">
        <v>2030</v>
      </c>
      <c r="H138" s="36">
        <v>2009.0</v>
      </c>
      <c r="I138" s="34" t="s">
        <v>207</v>
      </c>
      <c r="J138" s="34" t="s">
        <v>55</v>
      </c>
      <c r="K138" s="34" t="s">
        <v>2031</v>
      </c>
      <c r="L138" s="34" t="s">
        <v>57</v>
      </c>
      <c r="M138" s="34" t="s">
        <v>114</v>
      </c>
      <c r="N138" s="34" t="s">
        <v>2032</v>
      </c>
      <c r="O138" s="34" t="s">
        <v>2033</v>
      </c>
      <c r="P138" s="34" t="s">
        <v>93</v>
      </c>
      <c r="Q138" s="34" t="s">
        <v>57</v>
      </c>
      <c r="R138" s="34" t="s">
        <v>57</v>
      </c>
      <c r="S138" s="34" t="s">
        <v>96</v>
      </c>
      <c r="T138" s="34" t="s">
        <v>2034</v>
      </c>
      <c r="U138" s="34" t="s">
        <v>2035</v>
      </c>
      <c r="V138" s="34" t="s">
        <v>99</v>
      </c>
      <c r="W138" s="34" t="s">
        <v>100</v>
      </c>
      <c r="X138" s="37" t="s">
        <v>100</v>
      </c>
      <c r="Y138" s="34" t="s">
        <v>74</v>
      </c>
      <c r="Z138" s="34" t="s">
        <v>57</v>
      </c>
      <c r="AA138" s="34">
        <v>2004.0</v>
      </c>
      <c r="AB138" s="34">
        <v>2005.0</v>
      </c>
      <c r="AC138" s="34" t="s">
        <v>103</v>
      </c>
      <c r="AD138" s="34" t="s">
        <v>403</v>
      </c>
      <c r="AE138" s="34" t="s">
        <v>69</v>
      </c>
      <c r="AF138" s="34" t="s">
        <v>69</v>
      </c>
      <c r="AG138" s="34" t="s">
        <v>104</v>
      </c>
      <c r="AH138" s="34" t="s">
        <v>105</v>
      </c>
      <c r="AI138" s="34" t="s">
        <v>1231</v>
      </c>
      <c r="AJ138" s="34" t="s">
        <v>107</v>
      </c>
      <c r="AK138" s="34" t="s">
        <v>2036</v>
      </c>
      <c r="AL138" s="34" t="s">
        <v>128</v>
      </c>
      <c r="AM138" s="34" t="s">
        <v>2037</v>
      </c>
      <c r="AN138" s="34" t="s">
        <v>2038</v>
      </c>
      <c r="AO138" s="39"/>
      <c r="AP138" s="34" t="s">
        <v>184</v>
      </c>
      <c r="AQ138" s="96"/>
      <c r="AR138" s="96"/>
      <c r="AS138" s="44"/>
    </row>
    <row r="139">
      <c r="A139" s="32">
        <v>236.0</v>
      </c>
      <c r="B139" s="33">
        <v>3.64026933E8</v>
      </c>
      <c r="C139" s="34" t="s">
        <v>2040</v>
      </c>
      <c r="D139" s="34" t="s">
        <v>2041</v>
      </c>
      <c r="E139" s="34" t="s">
        <v>2042</v>
      </c>
      <c r="F139" s="34" t="s">
        <v>992</v>
      </c>
      <c r="G139" s="34" t="s">
        <v>2043</v>
      </c>
      <c r="H139" s="36">
        <v>2016.0</v>
      </c>
      <c r="I139" s="34" t="s">
        <v>2044</v>
      </c>
      <c r="J139" s="34" t="s">
        <v>55</v>
      </c>
      <c r="K139" s="34" t="s">
        <v>2045</v>
      </c>
      <c r="L139" s="34" t="s">
        <v>57</v>
      </c>
      <c r="M139" s="34" t="s">
        <v>992</v>
      </c>
      <c r="N139" s="34" t="s">
        <v>2046</v>
      </c>
      <c r="O139" s="34" t="s">
        <v>2047</v>
      </c>
      <c r="P139" s="34" t="s">
        <v>554</v>
      </c>
      <c r="Q139" s="34" t="s">
        <v>2048</v>
      </c>
      <c r="R139" s="34" t="s">
        <v>2049</v>
      </c>
      <c r="S139" s="34" t="s">
        <v>63</v>
      </c>
      <c r="T139" s="34" t="s">
        <v>64</v>
      </c>
      <c r="U139" s="34" t="s">
        <v>2050</v>
      </c>
      <c r="V139" s="34" t="s">
        <v>66</v>
      </c>
      <c r="W139" s="34" t="s">
        <v>2051</v>
      </c>
      <c r="X139" s="37" t="s">
        <v>2052</v>
      </c>
      <c r="Y139" s="34" t="s">
        <v>74</v>
      </c>
      <c r="Z139" s="34" t="s">
        <v>57</v>
      </c>
      <c r="AA139" s="34">
        <v>2009.0</v>
      </c>
      <c r="AB139" s="34">
        <v>2009.0</v>
      </c>
      <c r="AC139" s="34" t="s">
        <v>144</v>
      </c>
      <c r="AD139" s="34" t="s">
        <v>370</v>
      </c>
      <c r="AE139" s="34" t="s">
        <v>74</v>
      </c>
      <c r="AF139" s="34" t="s">
        <v>69</v>
      </c>
      <c r="AG139" s="34" t="s">
        <v>215</v>
      </c>
      <c r="AH139" s="34" t="s">
        <v>285</v>
      </c>
      <c r="AI139" s="34" t="s">
        <v>2053</v>
      </c>
      <c r="AJ139" s="34" t="s">
        <v>147</v>
      </c>
      <c r="AK139" s="34" t="s">
        <v>2054</v>
      </c>
      <c r="AL139" s="34" t="s">
        <v>128</v>
      </c>
      <c r="AM139" s="34" t="s">
        <v>374</v>
      </c>
      <c r="AN139" s="34" t="s">
        <v>2055</v>
      </c>
      <c r="AO139" s="39"/>
      <c r="AP139" s="34" t="s">
        <v>184</v>
      </c>
      <c r="AQ139" s="96"/>
      <c r="AR139" s="96"/>
      <c r="AS139" s="44"/>
    </row>
    <row r="140">
      <c r="A140" s="32">
        <v>237.0</v>
      </c>
      <c r="B140" s="33">
        <v>3.64026737E8</v>
      </c>
      <c r="C140" s="34" t="s">
        <v>2057</v>
      </c>
      <c r="D140" s="34" t="s">
        <v>2058</v>
      </c>
      <c r="E140" s="34" t="s">
        <v>2059</v>
      </c>
      <c r="F140" s="34" t="s">
        <v>992</v>
      </c>
      <c r="G140" s="34" t="s">
        <v>2060</v>
      </c>
      <c r="H140" s="36">
        <v>2009.0</v>
      </c>
      <c r="I140" s="34" t="s">
        <v>295</v>
      </c>
      <c r="J140" s="34" t="s">
        <v>55</v>
      </c>
      <c r="K140" s="34" t="s">
        <v>2061</v>
      </c>
      <c r="L140" s="34" t="s">
        <v>57</v>
      </c>
      <c r="M140" s="34" t="s">
        <v>992</v>
      </c>
      <c r="N140" s="34" t="s">
        <v>1471</v>
      </c>
      <c r="O140" s="34" t="s">
        <v>2062</v>
      </c>
      <c r="P140" s="34" t="s">
        <v>554</v>
      </c>
      <c r="Q140" s="34" t="s">
        <v>2063</v>
      </c>
      <c r="R140" s="34" t="s">
        <v>2064</v>
      </c>
      <c r="S140" s="34" t="s">
        <v>63</v>
      </c>
      <c r="T140" s="34" t="s">
        <v>366</v>
      </c>
      <c r="U140" s="34" t="s">
        <v>2065</v>
      </c>
      <c r="V140" s="34" t="s">
        <v>99</v>
      </c>
      <c r="W140" s="34" t="s">
        <v>100</v>
      </c>
      <c r="X140" s="37" t="s">
        <v>100</v>
      </c>
      <c r="Y140" s="34" t="s">
        <v>74</v>
      </c>
      <c r="Z140" s="34" t="s">
        <v>57</v>
      </c>
      <c r="AA140" s="34">
        <v>2006.0</v>
      </c>
      <c r="AB140" s="34">
        <v>2006.0</v>
      </c>
      <c r="AC140" s="34" t="s">
        <v>102</v>
      </c>
      <c r="AD140" s="34" t="s">
        <v>692</v>
      </c>
      <c r="AE140" s="34" t="s">
        <v>69</v>
      </c>
      <c r="AF140" s="34" t="s">
        <v>69</v>
      </c>
      <c r="AG140" s="34" t="s">
        <v>104</v>
      </c>
      <c r="AH140" s="34" t="s">
        <v>105</v>
      </c>
      <c r="AI140" s="34" t="s">
        <v>166</v>
      </c>
      <c r="AJ140" s="34" t="s">
        <v>166</v>
      </c>
      <c r="AK140" s="34" t="s">
        <v>2066</v>
      </c>
      <c r="AL140" s="34" t="s">
        <v>128</v>
      </c>
      <c r="AM140" s="34" t="s">
        <v>2067</v>
      </c>
      <c r="AN140" s="34" t="s">
        <v>2068</v>
      </c>
      <c r="AO140" s="39"/>
      <c r="AP140" s="34" t="s">
        <v>109</v>
      </c>
      <c r="AQ140" s="96"/>
      <c r="AR140" s="96"/>
      <c r="AS140" s="44"/>
    </row>
    <row r="141">
      <c r="A141" s="32">
        <v>238.0</v>
      </c>
      <c r="B141" s="33">
        <v>3.64026638E8</v>
      </c>
      <c r="C141" s="34" t="s">
        <v>2070</v>
      </c>
      <c r="D141" s="34" t="s">
        <v>2071</v>
      </c>
      <c r="E141" s="34" t="s">
        <v>2072</v>
      </c>
      <c r="F141" s="34" t="s">
        <v>489</v>
      </c>
      <c r="G141" s="34" t="s">
        <v>2073</v>
      </c>
      <c r="H141" s="36">
        <v>2013.0</v>
      </c>
      <c r="I141" s="34" t="s">
        <v>686</v>
      </c>
      <c r="J141" s="34" t="s">
        <v>55</v>
      </c>
      <c r="K141" s="34" t="s">
        <v>2074</v>
      </c>
      <c r="L141" s="34" t="s">
        <v>57</v>
      </c>
      <c r="M141" s="34" t="s">
        <v>489</v>
      </c>
      <c r="N141" s="34" t="s">
        <v>1553</v>
      </c>
      <c r="O141" s="34" t="s">
        <v>2075</v>
      </c>
      <c r="P141" s="34" t="s">
        <v>93</v>
      </c>
      <c r="Q141" s="34" t="s">
        <v>57</v>
      </c>
      <c r="R141" s="34" t="s">
        <v>57</v>
      </c>
      <c r="S141" s="34" t="s">
        <v>63</v>
      </c>
      <c r="T141" s="34" t="s">
        <v>2076</v>
      </c>
      <c r="U141" s="34" t="s">
        <v>2077</v>
      </c>
      <c r="V141" s="34" t="s">
        <v>99</v>
      </c>
      <c r="W141" s="34" t="s">
        <v>100</v>
      </c>
      <c r="X141" s="37" t="s">
        <v>100</v>
      </c>
      <c r="Y141" s="34" t="s">
        <v>74</v>
      </c>
      <c r="Z141" s="34" t="s">
        <v>57</v>
      </c>
      <c r="AA141" s="34">
        <v>2009.0</v>
      </c>
      <c r="AB141" s="34">
        <v>2009.0</v>
      </c>
      <c r="AC141" s="34" t="s">
        <v>103</v>
      </c>
      <c r="AD141" s="34" t="s">
        <v>144</v>
      </c>
      <c r="AE141" s="34" t="s">
        <v>69</v>
      </c>
      <c r="AF141" s="34" t="s">
        <v>74</v>
      </c>
      <c r="AG141" s="34" t="s">
        <v>104</v>
      </c>
      <c r="AH141" s="34" t="s">
        <v>105</v>
      </c>
      <c r="AI141" s="34" t="s">
        <v>336</v>
      </c>
      <c r="AJ141" s="34" t="s">
        <v>336</v>
      </c>
      <c r="AK141" s="34" t="s">
        <v>2078</v>
      </c>
      <c r="AL141" s="34" t="s">
        <v>128</v>
      </c>
      <c r="AM141" s="34" t="s">
        <v>129</v>
      </c>
      <c r="AN141" s="34" t="s">
        <v>2079</v>
      </c>
      <c r="AO141" s="39"/>
      <c r="AP141" s="34" t="s">
        <v>109</v>
      </c>
      <c r="AQ141" s="96"/>
      <c r="AR141" s="96"/>
      <c r="AS141" s="44"/>
    </row>
    <row r="142">
      <c r="A142" s="32">
        <v>239.0</v>
      </c>
      <c r="B142" s="33">
        <v>3.64026604E8</v>
      </c>
      <c r="C142" s="34" t="s">
        <v>2081</v>
      </c>
      <c r="D142" s="34" t="s">
        <v>2082</v>
      </c>
      <c r="E142" s="34" t="s">
        <v>2083</v>
      </c>
      <c r="F142" s="34" t="s">
        <v>114</v>
      </c>
      <c r="G142" s="34" t="s">
        <v>2084</v>
      </c>
      <c r="H142" s="36">
        <v>2020.0</v>
      </c>
      <c r="I142" s="34" t="s">
        <v>207</v>
      </c>
      <c r="J142" s="34" t="s">
        <v>55</v>
      </c>
      <c r="K142" s="34" t="s">
        <v>2085</v>
      </c>
      <c r="L142" s="34" t="s">
        <v>57</v>
      </c>
      <c r="M142" s="34" t="s">
        <v>114</v>
      </c>
      <c r="N142" s="34" t="s">
        <v>2086</v>
      </c>
      <c r="O142" s="34" t="s">
        <v>2087</v>
      </c>
      <c r="P142" s="34" t="s">
        <v>93</v>
      </c>
      <c r="Q142" s="34" t="s">
        <v>57</v>
      </c>
      <c r="R142" s="34" t="s">
        <v>57</v>
      </c>
      <c r="S142" s="34" t="s">
        <v>96</v>
      </c>
      <c r="T142" s="34" t="s">
        <v>2088</v>
      </c>
      <c r="U142" s="34" t="s">
        <v>2089</v>
      </c>
      <c r="V142" s="34" t="s">
        <v>99</v>
      </c>
      <c r="W142" s="34" t="s">
        <v>100</v>
      </c>
      <c r="X142" s="37" t="s">
        <v>100</v>
      </c>
      <c r="Y142" s="34" t="s">
        <v>74</v>
      </c>
      <c r="Z142" s="34" t="s">
        <v>57</v>
      </c>
      <c r="AA142" s="34">
        <v>2015.0</v>
      </c>
      <c r="AB142" s="34">
        <v>2015.0</v>
      </c>
      <c r="AC142" s="34" t="s">
        <v>180</v>
      </c>
      <c r="AD142" s="34" t="s">
        <v>102</v>
      </c>
      <c r="AE142" s="34" t="s">
        <v>69</v>
      </c>
      <c r="AF142" s="34" t="s">
        <v>69</v>
      </c>
      <c r="AG142" s="34" t="s">
        <v>104</v>
      </c>
      <c r="AH142" s="34" t="s">
        <v>105</v>
      </c>
      <c r="AI142" s="34" t="s">
        <v>1231</v>
      </c>
      <c r="AJ142" s="34" t="s">
        <v>107</v>
      </c>
      <c r="AK142" s="34" t="s">
        <v>2090</v>
      </c>
      <c r="AL142" s="34" t="s">
        <v>128</v>
      </c>
      <c r="AM142" s="34" t="s">
        <v>198</v>
      </c>
      <c r="AN142" s="34" t="s">
        <v>2091</v>
      </c>
      <c r="AO142" s="39"/>
      <c r="AP142" s="34" t="s">
        <v>109</v>
      </c>
      <c r="AQ142" s="96"/>
      <c r="AR142" s="96"/>
      <c r="AS142" s="44"/>
    </row>
    <row r="143">
      <c r="A143" s="32">
        <v>242.0</v>
      </c>
      <c r="B143" s="33">
        <v>3.64026724E8</v>
      </c>
      <c r="C143" s="34" t="s">
        <v>2093</v>
      </c>
      <c r="D143" s="34" t="s">
        <v>2094</v>
      </c>
      <c r="E143" s="34" t="s">
        <v>2095</v>
      </c>
      <c r="F143" s="34" t="s">
        <v>992</v>
      </c>
      <c r="G143" s="34" t="s">
        <v>2096</v>
      </c>
      <c r="H143" s="36">
        <v>2005.0</v>
      </c>
      <c r="I143" s="34" t="s">
        <v>295</v>
      </c>
      <c r="J143" s="34" t="s">
        <v>55</v>
      </c>
      <c r="K143" s="34" t="s">
        <v>2097</v>
      </c>
      <c r="L143" s="34" t="s">
        <v>57</v>
      </c>
      <c r="M143" s="34" t="s">
        <v>992</v>
      </c>
      <c r="N143" s="34" t="s">
        <v>1114</v>
      </c>
      <c r="O143" s="34" t="s">
        <v>2098</v>
      </c>
      <c r="P143" s="34" t="s">
        <v>554</v>
      </c>
      <c r="Q143" s="34" t="s">
        <v>57</v>
      </c>
      <c r="R143" s="34" t="s">
        <v>57</v>
      </c>
      <c r="S143" s="34" t="s">
        <v>63</v>
      </c>
      <c r="T143" s="34" t="s">
        <v>2099</v>
      </c>
      <c r="U143" s="34" t="s">
        <v>2100</v>
      </c>
      <c r="V143" s="34" t="s">
        <v>99</v>
      </c>
      <c r="W143" s="34" t="s">
        <v>100</v>
      </c>
      <c r="X143" s="37" t="s">
        <v>100</v>
      </c>
      <c r="Y143" s="34" t="s">
        <v>74</v>
      </c>
      <c r="Z143" s="34" t="s">
        <v>57</v>
      </c>
      <c r="AA143" s="34">
        <v>2002.0</v>
      </c>
      <c r="AB143" s="34">
        <v>2002.0</v>
      </c>
      <c r="AC143" s="34" t="s">
        <v>214</v>
      </c>
      <c r="AD143" s="34" t="s">
        <v>180</v>
      </c>
      <c r="AE143" s="34" t="s">
        <v>69</v>
      </c>
      <c r="AF143" s="34" t="s">
        <v>74</v>
      </c>
      <c r="AG143" s="34" t="s">
        <v>104</v>
      </c>
      <c r="AH143" s="34" t="s">
        <v>105</v>
      </c>
      <c r="AI143" s="34" t="s">
        <v>106</v>
      </c>
      <c r="AJ143" s="34" t="s">
        <v>107</v>
      </c>
      <c r="AK143" s="34" t="s">
        <v>2101</v>
      </c>
      <c r="AL143" s="34" t="s">
        <v>79</v>
      </c>
      <c r="AM143" s="34" t="s">
        <v>57</v>
      </c>
      <c r="AN143" s="34" t="s">
        <v>57</v>
      </c>
      <c r="AO143" s="39"/>
      <c r="AP143" s="34" t="s">
        <v>109</v>
      </c>
      <c r="AQ143" s="96"/>
      <c r="AR143" s="96"/>
      <c r="AS143" s="44"/>
    </row>
    <row r="144">
      <c r="A144" s="32">
        <v>243.0</v>
      </c>
      <c r="B144" s="33">
        <v>3.64026643E8</v>
      </c>
      <c r="C144" s="34" t="s">
        <v>2103</v>
      </c>
      <c r="D144" s="34" t="s">
        <v>2104</v>
      </c>
      <c r="E144" s="34" t="s">
        <v>2105</v>
      </c>
      <c r="F144" s="34" t="s">
        <v>87</v>
      </c>
      <c r="G144" s="34" t="s">
        <v>2106</v>
      </c>
      <c r="H144" s="36">
        <v>2021.0</v>
      </c>
      <c r="I144" s="34" t="s">
        <v>2107</v>
      </c>
      <c r="J144" s="34" t="s">
        <v>55</v>
      </c>
      <c r="K144" s="34" t="s">
        <v>2108</v>
      </c>
      <c r="L144" s="34" t="s">
        <v>57</v>
      </c>
      <c r="M144" s="34" t="s">
        <v>87</v>
      </c>
      <c r="N144" s="34" t="s">
        <v>1903</v>
      </c>
      <c r="O144" s="34" t="s">
        <v>2109</v>
      </c>
      <c r="P144" s="34" t="s">
        <v>93</v>
      </c>
      <c r="Q144" s="34" t="s">
        <v>57</v>
      </c>
      <c r="R144" s="34" t="s">
        <v>57</v>
      </c>
      <c r="S144" s="34" t="s">
        <v>96</v>
      </c>
      <c r="T144" s="34" t="s">
        <v>1753</v>
      </c>
      <c r="U144" s="34" t="s">
        <v>2110</v>
      </c>
      <c r="V144" s="34" t="s">
        <v>99</v>
      </c>
      <c r="W144" s="34" t="s">
        <v>100</v>
      </c>
      <c r="X144" s="37" t="s">
        <v>100</v>
      </c>
      <c r="Y144" s="34" t="s">
        <v>74</v>
      </c>
      <c r="Z144" s="34" t="s">
        <v>57</v>
      </c>
      <c r="AA144" s="34">
        <v>2015.0</v>
      </c>
      <c r="AB144" s="34">
        <v>2016.0</v>
      </c>
      <c r="AC144" s="34" t="s">
        <v>264</v>
      </c>
      <c r="AD144" s="34" t="s">
        <v>72</v>
      </c>
      <c r="AE144" s="34" t="s">
        <v>69</v>
      </c>
      <c r="AF144" s="34" t="s">
        <v>69</v>
      </c>
      <c r="AG144" s="34" t="s">
        <v>104</v>
      </c>
      <c r="AH144" s="34" t="s">
        <v>105</v>
      </c>
      <c r="AI144" s="34" t="s">
        <v>106</v>
      </c>
      <c r="AJ144" s="34" t="s">
        <v>107</v>
      </c>
      <c r="AK144" s="34" t="s">
        <v>2111</v>
      </c>
      <c r="AL144" s="34" t="s">
        <v>79</v>
      </c>
      <c r="AM144" s="34" t="s">
        <v>57</v>
      </c>
      <c r="AN144" s="34" t="s">
        <v>57</v>
      </c>
      <c r="AO144" s="39"/>
      <c r="AP144" s="34" t="s">
        <v>109</v>
      </c>
      <c r="AQ144" s="96"/>
      <c r="AR144" s="96"/>
      <c r="AS144" s="44"/>
    </row>
    <row r="145">
      <c r="A145" s="32">
        <v>244.0</v>
      </c>
      <c r="B145" s="33">
        <v>3.64026646E8</v>
      </c>
      <c r="C145" s="34" t="s">
        <v>2113</v>
      </c>
      <c r="D145" s="34" t="s">
        <v>2114</v>
      </c>
      <c r="E145" s="34" t="s">
        <v>2115</v>
      </c>
      <c r="F145" s="34" t="s">
        <v>258</v>
      </c>
      <c r="G145" s="34" t="s">
        <v>2116</v>
      </c>
      <c r="H145" s="36">
        <v>2019.0</v>
      </c>
      <c r="I145" s="34" t="s">
        <v>2117</v>
      </c>
      <c r="J145" s="34" t="s">
        <v>55</v>
      </c>
      <c r="K145" s="34" t="s">
        <v>2118</v>
      </c>
      <c r="L145" s="34" t="s">
        <v>57</v>
      </c>
      <c r="M145" s="34" t="s">
        <v>114</v>
      </c>
      <c r="N145" s="34" t="s">
        <v>258</v>
      </c>
      <c r="O145" s="34" t="s">
        <v>2119</v>
      </c>
      <c r="P145" s="34" t="s">
        <v>93</v>
      </c>
      <c r="Q145" s="34" t="s">
        <v>2120</v>
      </c>
      <c r="R145" s="34" t="s">
        <v>2121</v>
      </c>
      <c r="S145" s="34" t="s">
        <v>96</v>
      </c>
      <c r="T145" s="34" t="s">
        <v>210</v>
      </c>
      <c r="U145" s="34" t="s">
        <v>2122</v>
      </c>
      <c r="V145" s="34" t="s">
        <v>99</v>
      </c>
      <c r="W145" s="34" t="s">
        <v>100</v>
      </c>
      <c r="X145" s="37" t="s">
        <v>100</v>
      </c>
      <c r="Y145" s="34" t="s">
        <v>74</v>
      </c>
      <c r="Z145" s="34" t="s">
        <v>57</v>
      </c>
      <c r="AA145" s="34" t="s">
        <v>57</v>
      </c>
      <c r="AB145" s="34" t="s">
        <v>57</v>
      </c>
      <c r="AC145" s="34" t="s">
        <v>180</v>
      </c>
      <c r="AD145" s="34" t="s">
        <v>72</v>
      </c>
      <c r="AE145" s="34" t="s">
        <v>69</v>
      </c>
      <c r="AF145" s="34" t="s">
        <v>74</v>
      </c>
      <c r="AG145" s="34" t="s">
        <v>104</v>
      </c>
      <c r="AH145" s="34" t="s">
        <v>105</v>
      </c>
      <c r="AI145" s="34" t="s">
        <v>336</v>
      </c>
      <c r="AJ145" s="34" t="s">
        <v>336</v>
      </c>
      <c r="AK145" s="34" t="s">
        <v>2123</v>
      </c>
      <c r="AL145" s="34" t="s">
        <v>79</v>
      </c>
      <c r="AM145" s="34" t="s">
        <v>57</v>
      </c>
      <c r="AN145" s="34" t="s">
        <v>57</v>
      </c>
      <c r="AO145" s="39"/>
      <c r="AP145" s="34" t="s">
        <v>109</v>
      </c>
      <c r="AQ145" s="96"/>
      <c r="AR145" s="96"/>
      <c r="AS145" s="44"/>
    </row>
    <row r="146">
      <c r="A146" s="32">
        <v>245.0</v>
      </c>
      <c r="B146" s="33">
        <v>3.64026682E8</v>
      </c>
      <c r="C146" s="34" t="s">
        <v>2125</v>
      </c>
      <c r="D146" s="34" t="s">
        <v>2126</v>
      </c>
      <c r="E146" s="34" t="s">
        <v>2127</v>
      </c>
      <c r="F146" s="34" t="s">
        <v>2128</v>
      </c>
      <c r="G146" s="34" t="s">
        <v>2129</v>
      </c>
      <c r="H146" s="36">
        <v>2021.0</v>
      </c>
      <c r="I146" s="34" t="s">
        <v>2130</v>
      </c>
      <c r="J146" s="34" t="s">
        <v>55</v>
      </c>
      <c r="K146" s="34" t="s">
        <v>2131</v>
      </c>
      <c r="L146" s="34" t="s">
        <v>57</v>
      </c>
      <c r="M146" s="34" t="s">
        <v>2128</v>
      </c>
      <c r="N146" s="34" t="s">
        <v>2132</v>
      </c>
      <c r="O146" s="34" t="s">
        <v>2133</v>
      </c>
      <c r="P146" s="34" t="s">
        <v>93</v>
      </c>
      <c r="Q146" s="34" t="s">
        <v>57</v>
      </c>
      <c r="R146" s="34" t="s">
        <v>57</v>
      </c>
      <c r="S146" s="34" t="s">
        <v>96</v>
      </c>
      <c r="T146" s="34" t="s">
        <v>64</v>
      </c>
      <c r="U146" s="34" t="s">
        <v>2134</v>
      </c>
      <c r="V146" s="34" t="s">
        <v>99</v>
      </c>
      <c r="W146" s="34" t="s">
        <v>100</v>
      </c>
      <c r="X146" s="37" t="s">
        <v>100</v>
      </c>
      <c r="Y146" s="34" t="s">
        <v>74</v>
      </c>
      <c r="Z146" s="34" t="s">
        <v>57</v>
      </c>
      <c r="AA146" s="34">
        <v>2019.0</v>
      </c>
      <c r="AB146" s="34">
        <v>2019.0</v>
      </c>
      <c r="AC146" s="34" t="s">
        <v>102</v>
      </c>
      <c r="AD146" s="34" t="s">
        <v>102</v>
      </c>
      <c r="AE146" s="34" t="s">
        <v>74</v>
      </c>
      <c r="AF146" s="34" t="s">
        <v>74</v>
      </c>
      <c r="AG146" s="34" t="s">
        <v>104</v>
      </c>
      <c r="AH146" s="34" t="s">
        <v>105</v>
      </c>
      <c r="AI146" s="34" t="s">
        <v>336</v>
      </c>
      <c r="AJ146" s="34" t="s">
        <v>336</v>
      </c>
      <c r="AK146" s="34" t="s">
        <v>2135</v>
      </c>
      <c r="AL146" s="34" t="s">
        <v>128</v>
      </c>
      <c r="AM146" s="34" t="s">
        <v>129</v>
      </c>
      <c r="AN146" s="34" t="s">
        <v>2136</v>
      </c>
      <c r="AO146" s="39"/>
      <c r="AP146" s="34" t="s">
        <v>109</v>
      </c>
      <c r="AQ146" s="96"/>
      <c r="AR146" s="96"/>
      <c r="AS146" s="44"/>
    </row>
    <row r="147">
      <c r="A147" s="32">
        <v>246.0</v>
      </c>
      <c r="B147" s="33">
        <v>3.640268E8</v>
      </c>
      <c r="C147" s="34" t="s">
        <v>2138</v>
      </c>
      <c r="D147" s="34" t="s">
        <v>2139</v>
      </c>
      <c r="E147" s="38" t="s">
        <v>2140</v>
      </c>
      <c r="F147" s="34" t="s">
        <v>114</v>
      </c>
      <c r="G147" s="34" t="s">
        <v>2141</v>
      </c>
      <c r="H147" s="36">
        <v>2016.0</v>
      </c>
      <c r="I147" s="34" t="s">
        <v>2142</v>
      </c>
      <c r="J147" s="34" t="s">
        <v>55</v>
      </c>
      <c r="K147" s="34" t="s">
        <v>2143</v>
      </c>
      <c r="L147" s="34" t="s">
        <v>57</v>
      </c>
      <c r="M147" s="34" t="s">
        <v>114</v>
      </c>
      <c r="N147" s="34" t="s">
        <v>2144</v>
      </c>
      <c r="O147" s="34" t="s">
        <v>2145</v>
      </c>
      <c r="P147" s="34" t="s">
        <v>93</v>
      </c>
      <c r="Q147" s="34" t="s">
        <v>57</v>
      </c>
      <c r="R147" s="34" t="s">
        <v>57</v>
      </c>
      <c r="S147" s="34" t="s">
        <v>63</v>
      </c>
      <c r="T147" s="34" t="s">
        <v>2146</v>
      </c>
      <c r="U147" s="34" t="s">
        <v>2147</v>
      </c>
      <c r="V147" s="34" t="s">
        <v>99</v>
      </c>
      <c r="W147" s="34" t="s">
        <v>100</v>
      </c>
      <c r="X147" s="37" t="s">
        <v>100</v>
      </c>
      <c r="Y147" s="34" t="s">
        <v>74</v>
      </c>
      <c r="Z147" s="34" t="s">
        <v>57</v>
      </c>
      <c r="AA147" s="34">
        <v>2013.0</v>
      </c>
      <c r="AB147" s="34">
        <v>2014.0</v>
      </c>
      <c r="AC147" s="34" t="s">
        <v>144</v>
      </c>
      <c r="AD147" s="34" t="s">
        <v>72</v>
      </c>
      <c r="AE147" s="34" t="s">
        <v>69</v>
      </c>
      <c r="AF147" s="34" t="s">
        <v>74</v>
      </c>
      <c r="AG147" s="34" t="s">
        <v>104</v>
      </c>
      <c r="AH147" s="34" t="s">
        <v>105</v>
      </c>
      <c r="AI147" s="34" t="s">
        <v>106</v>
      </c>
      <c r="AJ147" s="34" t="s">
        <v>107</v>
      </c>
      <c r="AK147" s="34" t="s">
        <v>2148</v>
      </c>
      <c r="AL147" s="34" t="s">
        <v>79</v>
      </c>
      <c r="AM147" s="34" t="s">
        <v>57</v>
      </c>
      <c r="AN147" s="34" t="s">
        <v>57</v>
      </c>
      <c r="AO147" s="39"/>
      <c r="AP147" s="34" t="s">
        <v>109</v>
      </c>
      <c r="AQ147" s="96"/>
      <c r="AR147" s="96"/>
      <c r="AS147" s="44"/>
    </row>
    <row r="148">
      <c r="A148" s="32">
        <v>248.0</v>
      </c>
      <c r="B148" s="33">
        <v>3.64026747E8</v>
      </c>
      <c r="C148" s="34" t="s">
        <v>2150</v>
      </c>
      <c r="D148" s="34" t="s">
        <v>2151</v>
      </c>
      <c r="E148" s="34" t="s">
        <v>2152</v>
      </c>
      <c r="F148" s="34" t="s">
        <v>172</v>
      </c>
      <c r="G148" s="34" t="s">
        <v>2153</v>
      </c>
      <c r="H148" s="36">
        <v>2017.0</v>
      </c>
      <c r="I148" s="34" t="s">
        <v>1347</v>
      </c>
      <c r="J148" s="34" t="s">
        <v>55</v>
      </c>
      <c r="K148" s="34" t="s">
        <v>2154</v>
      </c>
      <c r="L148" s="34" t="s">
        <v>57</v>
      </c>
      <c r="M148" s="34" t="s">
        <v>172</v>
      </c>
      <c r="N148" s="34" t="s">
        <v>347</v>
      </c>
      <c r="O148" s="34" t="s">
        <v>2155</v>
      </c>
      <c r="P148" s="34" t="s">
        <v>93</v>
      </c>
      <c r="Q148" s="34" t="s">
        <v>57</v>
      </c>
      <c r="R148" s="34" t="s">
        <v>57</v>
      </c>
      <c r="S148" s="34" t="s">
        <v>193</v>
      </c>
      <c r="T148" s="34" t="s">
        <v>351</v>
      </c>
      <c r="U148" s="34" t="s">
        <v>2156</v>
      </c>
      <c r="V148" s="34" t="s">
        <v>99</v>
      </c>
      <c r="W148" s="34" t="s">
        <v>100</v>
      </c>
      <c r="X148" s="37" t="s">
        <v>100</v>
      </c>
      <c r="Y148" s="34" t="s">
        <v>74</v>
      </c>
      <c r="Z148" s="34" t="s">
        <v>57</v>
      </c>
      <c r="AA148" s="34">
        <v>1992.0</v>
      </c>
      <c r="AB148" s="34">
        <v>2016.0</v>
      </c>
      <c r="AC148" s="34" t="s">
        <v>144</v>
      </c>
      <c r="AD148" s="34" t="s">
        <v>180</v>
      </c>
      <c r="AE148" s="34" t="s">
        <v>69</v>
      </c>
      <c r="AF148" s="34" t="s">
        <v>74</v>
      </c>
      <c r="AG148" s="34" t="s">
        <v>104</v>
      </c>
      <c r="AH148" s="34" t="s">
        <v>105</v>
      </c>
      <c r="AI148" s="34" t="s">
        <v>336</v>
      </c>
      <c r="AJ148" s="34" t="s">
        <v>336</v>
      </c>
      <c r="AK148" s="34" t="s">
        <v>2157</v>
      </c>
      <c r="AL148" s="34" t="s">
        <v>79</v>
      </c>
      <c r="AM148" s="34" t="s">
        <v>57</v>
      </c>
      <c r="AN148" s="34" t="s">
        <v>57</v>
      </c>
      <c r="AO148" s="39"/>
      <c r="AP148" s="34" t="s">
        <v>109</v>
      </c>
      <c r="AQ148" s="96"/>
      <c r="AR148" s="96"/>
      <c r="AS148" s="44"/>
    </row>
    <row r="149">
      <c r="A149" s="32">
        <v>251.0</v>
      </c>
      <c r="B149" s="33">
        <v>3.64026823E8</v>
      </c>
      <c r="C149" s="34" t="s">
        <v>2159</v>
      </c>
      <c r="D149" s="34" t="s">
        <v>2160</v>
      </c>
      <c r="E149" s="34" t="s">
        <v>2161</v>
      </c>
      <c r="F149" s="34" t="s">
        <v>114</v>
      </c>
      <c r="G149" s="34" t="s">
        <v>2162</v>
      </c>
      <c r="H149" s="36">
        <v>2006.0</v>
      </c>
      <c r="I149" s="34" t="s">
        <v>686</v>
      </c>
      <c r="J149" s="34" t="s">
        <v>55</v>
      </c>
      <c r="K149" s="34" t="s">
        <v>2163</v>
      </c>
      <c r="L149" s="34" t="s">
        <v>57</v>
      </c>
      <c r="M149" s="34" t="s">
        <v>114</v>
      </c>
      <c r="N149" s="34" t="s">
        <v>2164</v>
      </c>
      <c r="O149" s="34" t="s">
        <v>2165</v>
      </c>
      <c r="P149" s="34" t="s">
        <v>93</v>
      </c>
      <c r="Q149" s="34" t="s">
        <v>57</v>
      </c>
      <c r="R149" s="34" t="s">
        <v>57</v>
      </c>
      <c r="S149" s="34" t="s">
        <v>63</v>
      </c>
      <c r="T149" s="34" t="s">
        <v>229</v>
      </c>
      <c r="U149" s="34" t="s">
        <v>2166</v>
      </c>
      <c r="V149" s="34" t="s">
        <v>99</v>
      </c>
      <c r="W149" s="34" t="s">
        <v>100</v>
      </c>
      <c r="X149" s="37" t="s">
        <v>100</v>
      </c>
      <c r="Y149" s="34" t="s">
        <v>74</v>
      </c>
      <c r="Z149" s="34" t="s">
        <v>57</v>
      </c>
      <c r="AA149" s="34">
        <v>2001.0</v>
      </c>
      <c r="AB149" s="34">
        <v>2002.0</v>
      </c>
      <c r="AC149" s="34" t="s">
        <v>144</v>
      </c>
      <c r="AD149" s="34" t="s">
        <v>72</v>
      </c>
      <c r="AE149" s="34" t="s">
        <v>69</v>
      </c>
      <c r="AF149" s="34" t="s">
        <v>69</v>
      </c>
      <c r="AG149" s="34" t="s">
        <v>104</v>
      </c>
      <c r="AH149" s="34" t="s">
        <v>105</v>
      </c>
      <c r="AI149" s="34" t="s">
        <v>336</v>
      </c>
      <c r="AJ149" s="34" t="s">
        <v>336</v>
      </c>
      <c r="AK149" s="34" t="s">
        <v>2167</v>
      </c>
      <c r="AL149" s="34" t="s">
        <v>79</v>
      </c>
      <c r="AM149" s="34" t="s">
        <v>57</v>
      </c>
      <c r="AN149" s="34" t="s">
        <v>57</v>
      </c>
      <c r="AO149" s="39"/>
      <c r="AP149" s="34" t="s">
        <v>109</v>
      </c>
      <c r="AQ149" s="96"/>
      <c r="AR149" s="96"/>
      <c r="AS149" s="44"/>
    </row>
    <row r="150">
      <c r="A150" s="32">
        <v>254.0</v>
      </c>
      <c r="B150" s="33">
        <v>3.64026779E8</v>
      </c>
      <c r="C150" s="34" t="s">
        <v>2169</v>
      </c>
      <c r="D150" s="34" t="s">
        <v>2170</v>
      </c>
      <c r="E150" s="34" t="s">
        <v>2171</v>
      </c>
      <c r="F150" s="34" t="s">
        <v>114</v>
      </c>
      <c r="G150" s="34" t="s">
        <v>2172</v>
      </c>
      <c r="H150" s="36">
        <v>2017.0</v>
      </c>
      <c r="I150" s="34" t="s">
        <v>1085</v>
      </c>
      <c r="J150" s="34" t="s">
        <v>55</v>
      </c>
      <c r="K150" s="34" t="s">
        <v>2173</v>
      </c>
      <c r="L150" s="34" t="s">
        <v>57</v>
      </c>
      <c r="M150" s="34" t="s">
        <v>114</v>
      </c>
      <c r="N150" s="34" t="s">
        <v>2174</v>
      </c>
      <c r="O150" s="34" t="s">
        <v>2175</v>
      </c>
      <c r="P150" s="34" t="s">
        <v>93</v>
      </c>
      <c r="Q150" s="34" t="s">
        <v>57</v>
      </c>
      <c r="R150" s="34" t="s">
        <v>57</v>
      </c>
      <c r="S150" s="34" t="s">
        <v>63</v>
      </c>
      <c r="T150" s="34" t="s">
        <v>2176</v>
      </c>
      <c r="U150" s="34" t="s">
        <v>2177</v>
      </c>
      <c r="V150" s="34" t="s">
        <v>99</v>
      </c>
      <c r="W150" s="34" t="s">
        <v>100</v>
      </c>
      <c r="X150" s="37" t="s">
        <v>100</v>
      </c>
      <c r="Y150" s="34" t="s">
        <v>74</v>
      </c>
      <c r="Z150" s="34" t="s">
        <v>57</v>
      </c>
      <c r="AA150" s="34">
        <v>2013.0</v>
      </c>
      <c r="AB150" s="34">
        <v>2014.0</v>
      </c>
      <c r="AC150" s="34" t="s">
        <v>144</v>
      </c>
      <c r="AD150" s="34" t="s">
        <v>180</v>
      </c>
      <c r="AE150" s="34" t="s">
        <v>69</v>
      </c>
      <c r="AF150" s="34" t="s">
        <v>69</v>
      </c>
      <c r="AG150" s="34" t="s">
        <v>104</v>
      </c>
      <c r="AH150" s="34" t="s">
        <v>105</v>
      </c>
      <c r="AI150" s="34" t="s">
        <v>166</v>
      </c>
      <c r="AJ150" s="34" t="s">
        <v>166</v>
      </c>
      <c r="AK150" s="34" t="s">
        <v>2178</v>
      </c>
      <c r="AL150" s="34" t="s">
        <v>128</v>
      </c>
      <c r="AM150" s="34" t="s">
        <v>198</v>
      </c>
      <c r="AN150" s="34" t="s">
        <v>2179</v>
      </c>
      <c r="AO150" s="39"/>
      <c r="AP150" s="34" t="s">
        <v>109</v>
      </c>
      <c r="AQ150" s="96"/>
      <c r="AR150" s="96"/>
      <c r="AS150" s="44"/>
    </row>
    <row r="151">
      <c r="A151" s="32">
        <v>256.0</v>
      </c>
      <c r="B151" s="33">
        <v>3.64026693E8</v>
      </c>
      <c r="C151" s="34" t="s">
        <v>2181</v>
      </c>
      <c r="D151" s="34" t="s">
        <v>2182</v>
      </c>
      <c r="E151" s="34" t="s">
        <v>2183</v>
      </c>
      <c r="F151" s="34" t="s">
        <v>114</v>
      </c>
      <c r="G151" s="34" t="s">
        <v>2184</v>
      </c>
      <c r="H151" s="36">
        <v>2014.0</v>
      </c>
      <c r="I151" s="34" t="s">
        <v>1085</v>
      </c>
      <c r="J151" s="34" t="s">
        <v>55</v>
      </c>
      <c r="K151" s="34" t="s">
        <v>2185</v>
      </c>
      <c r="L151" s="34" t="s">
        <v>57</v>
      </c>
      <c r="M151" s="34" t="s">
        <v>114</v>
      </c>
      <c r="N151" s="34" t="s">
        <v>258</v>
      </c>
      <c r="O151" s="34" t="s">
        <v>2186</v>
      </c>
      <c r="P151" s="34" t="s">
        <v>93</v>
      </c>
      <c r="Q151" s="34" t="s">
        <v>57</v>
      </c>
      <c r="R151" s="34" t="s">
        <v>57</v>
      </c>
      <c r="S151" s="34" t="s">
        <v>96</v>
      </c>
      <c r="T151" s="34" t="s">
        <v>2187</v>
      </c>
      <c r="U151" s="34" t="s">
        <v>2188</v>
      </c>
      <c r="V151" s="34" t="s">
        <v>99</v>
      </c>
      <c r="W151" s="34" t="s">
        <v>100</v>
      </c>
      <c r="X151" s="37" t="s">
        <v>100</v>
      </c>
      <c r="Y151" s="34" t="s">
        <v>74</v>
      </c>
      <c r="Z151" s="34" t="s">
        <v>57</v>
      </c>
      <c r="AA151" s="34">
        <v>2012.0</v>
      </c>
      <c r="AB151" s="34">
        <v>2012.0</v>
      </c>
      <c r="AC151" s="34" t="s">
        <v>180</v>
      </c>
      <c r="AD151" s="34" t="s">
        <v>72</v>
      </c>
      <c r="AE151" s="34" t="s">
        <v>69</v>
      </c>
      <c r="AF151" s="34" t="s">
        <v>74</v>
      </c>
      <c r="AG151" s="34" t="s">
        <v>104</v>
      </c>
      <c r="AH151" s="34" t="s">
        <v>105</v>
      </c>
      <c r="AI151" s="34" t="s">
        <v>336</v>
      </c>
      <c r="AJ151" s="34" t="s">
        <v>336</v>
      </c>
      <c r="AK151" s="34" t="s">
        <v>2189</v>
      </c>
      <c r="AL151" s="34" t="s">
        <v>128</v>
      </c>
      <c r="AM151" s="34" t="s">
        <v>129</v>
      </c>
      <c r="AN151" s="34" t="s">
        <v>2190</v>
      </c>
      <c r="AO151" s="39"/>
      <c r="AP151" s="34" t="s">
        <v>109</v>
      </c>
      <c r="AQ151" s="96"/>
      <c r="AR151" s="96"/>
      <c r="AS151" s="44"/>
    </row>
    <row r="152">
      <c r="A152" s="32">
        <v>257.0</v>
      </c>
      <c r="B152" s="33">
        <v>3.6402671E8</v>
      </c>
      <c r="C152" s="34" t="s">
        <v>2192</v>
      </c>
      <c r="D152" s="34" t="s">
        <v>2193</v>
      </c>
      <c r="E152" s="34" t="s">
        <v>2194</v>
      </c>
      <c r="F152" s="34" t="s">
        <v>381</v>
      </c>
      <c r="G152" s="34" t="s">
        <v>2195</v>
      </c>
      <c r="H152" s="36">
        <v>2011.0</v>
      </c>
      <c r="I152" s="34" t="s">
        <v>517</v>
      </c>
      <c r="J152" s="34" t="s">
        <v>55</v>
      </c>
      <c r="K152" s="34" t="s">
        <v>2196</v>
      </c>
      <c r="L152" s="34" t="s">
        <v>57</v>
      </c>
      <c r="M152" s="34" t="s">
        <v>381</v>
      </c>
      <c r="N152" s="34" t="s">
        <v>2197</v>
      </c>
      <c r="O152" s="34" t="s">
        <v>2198</v>
      </c>
      <c r="P152" s="34" t="s">
        <v>93</v>
      </c>
      <c r="Q152" s="34" t="s">
        <v>2199</v>
      </c>
      <c r="R152" s="34" t="s">
        <v>2200</v>
      </c>
      <c r="S152" s="34" t="s">
        <v>63</v>
      </c>
      <c r="T152" s="34" t="s">
        <v>2201</v>
      </c>
      <c r="U152" s="34" t="s">
        <v>2202</v>
      </c>
      <c r="V152" s="34" t="s">
        <v>99</v>
      </c>
      <c r="W152" s="34" t="s">
        <v>100</v>
      </c>
      <c r="X152" s="37" t="s">
        <v>100</v>
      </c>
      <c r="Y152" s="34" t="s">
        <v>74</v>
      </c>
      <c r="Z152" s="34" t="s">
        <v>57</v>
      </c>
      <c r="AA152" s="34" t="s">
        <v>57</v>
      </c>
      <c r="AB152" s="34" t="s">
        <v>57</v>
      </c>
      <c r="AC152" s="34" t="s">
        <v>57</v>
      </c>
      <c r="AD152" s="34" t="s">
        <v>57</v>
      </c>
      <c r="AE152" s="34" t="s">
        <v>69</v>
      </c>
      <c r="AF152" s="34" t="s">
        <v>74</v>
      </c>
      <c r="AG152" s="34" t="s">
        <v>104</v>
      </c>
      <c r="AH152" s="34" t="s">
        <v>105</v>
      </c>
      <c r="AI152" s="34" t="s">
        <v>336</v>
      </c>
      <c r="AJ152" s="34" t="s">
        <v>336</v>
      </c>
      <c r="AK152" s="34" t="s">
        <v>2203</v>
      </c>
      <c r="AL152" s="34" t="s">
        <v>79</v>
      </c>
      <c r="AM152" s="34" t="s">
        <v>57</v>
      </c>
      <c r="AN152" s="34" t="s">
        <v>57</v>
      </c>
      <c r="AO152" s="39"/>
      <c r="AP152" s="34" t="s">
        <v>109</v>
      </c>
      <c r="AQ152" s="96"/>
      <c r="AR152" s="96"/>
      <c r="AS152" s="44"/>
    </row>
    <row r="153">
      <c r="A153" s="32">
        <v>258.0</v>
      </c>
      <c r="B153" s="33">
        <v>3.64026714E8</v>
      </c>
      <c r="C153" s="34" t="s">
        <v>2206</v>
      </c>
      <c r="D153" s="34" t="s">
        <v>990</v>
      </c>
      <c r="E153" s="38" t="s">
        <v>2207</v>
      </c>
      <c r="F153" s="34" t="s">
        <v>992</v>
      </c>
      <c r="G153" s="38" t="s">
        <v>2208</v>
      </c>
      <c r="H153" s="36">
        <v>2011.0</v>
      </c>
      <c r="I153" s="38" t="s">
        <v>686</v>
      </c>
      <c r="J153" s="34" t="s">
        <v>55</v>
      </c>
      <c r="K153" s="34" t="s">
        <v>995</v>
      </c>
      <c r="L153" s="34" t="s">
        <v>57</v>
      </c>
      <c r="M153" s="34" t="s">
        <v>992</v>
      </c>
      <c r="N153" s="34" t="s">
        <v>996</v>
      </c>
      <c r="O153" s="34" t="s">
        <v>2209</v>
      </c>
      <c r="P153" s="34" t="s">
        <v>93</v>
      </c>
      <c r="Q153" s="34" t="s">
        <v>57</v>
      </c>
      <c r="R153" s="34" t="s">
        <v>57</v>
      </c>
      <c r="S153" s="34" t="s">
        <v>96</v>
      </c>
      <c r="T153" s="34" t="s">
        <v>2210</v>
      </c>
      <c r="U153" s="34" t="s">
        <v>2211</v>
      </c>
      <c r="V153" s="34" t="s">
        <v>99</v>
      </c>
      <c r="W153" s="34" t="s">
        <v>100</v>
      </c>
      <c r="X153" s="37" t="s">
        <v>100</v>
      </c>
      <c r="Y153" s="34" t="s">
        <v>69</v>
      </c>
      <c r="Z153" s="34" t="s">
        <v>2212</v>
      </c>
      <c r="AA153" s="34">
        <v>2008.0</v>
      </c>
      <c r="AB153" s="34">
        <v>2008.0</v>
      </c>
      <c r="AC153" s="34" t="s">
        <v>403</v>
      </c>
      <c r="AD153" s="34" t="s">
        <v>264</v>
      </c>
      <c r="AE153" s="34" t="s">
        <v>69</v>
      </c>
      <c r="AF153" s="34" t="s">
        <v>74</v>
      </c>
      <c r="AG153" s="34" t="s">
        <v>104</v>
      </c>
      <c r="AH153" s="34" t="s">
        <v>105</v>
      </c>
      <c r="AI153" s="34" t="s">
        <v>106</v>
      </c>
      <c r="AJ153" s="34" t="s">
        <v>107</v>
      </c>
      <c r="AK153" s="34" t="s">
        <v>2213</v>
      </c>
      <c r="AL153" s="34" t="s">
        <v>128</v>
      </c>
      <c r="AM153" s="34" t="s">
        <v>129</v>
      </c>
      <c r="AN153" s="34" t="s">
        <v>2214</v>
      </c>
      <c r="AO153" s="39"/>
      <c r="AP153" s="34" t="s">
        <v>1522</v>
      </c>
      <c r="AQ153" s="96"/>
      <c r="AR153" s="96"/>
      <c r="AS153" s="44"/>
    </row>
    <row r="154">
      <c r="A154" s="32">
        <v>259.0</v>
      </c>
      <c r="B154" s="33">
        <v>3.64026726E8</v>
      </c>
      <c r="C154" s="34" t="s">
        <v>2216</v>
      </c>
      <c r="D154" s="34" t="s">
        <v>2217</v>
      </c>
      <c r="E154" s="38" t="s">
        <v>2218</v>
      </c>
      <c r="F154" s="34" t="s">
        <v>172</v>
      </c>
      <c r="G154" s="38" t="s">
        <v>2219</v>
      </c>
      <c r="H154" s="36">
        <v>2018.0</v>
      </c>
      <c r="I154" s="38" t="s">
        <v>207</v>
      </c>
      <c r="J154" s="34" t="s">
        <v>55</v>
      </c>
      <c r="K154" s="34" t="s">
        <v>2220</v>
      </c>
      <c r="L154" s="34" t="s">
        <v>57</v>
      </c>
      <c r="M154" s="34" t="s">
        <v>172</v>
      </c>
      <c r="N154" s="34" t="s">
        <v>347</v>
      </c>
      <c r="O154" s="34" t="s">
        <v>2221</v>
      </c>
      <c r="P154" s="34" t="s">
        <v>93</v>
      </c>
      <c r="Q154" s="34" t="s">
        <v>57</v>
      </c>
      <c r="R154" s="34" t="s">
        <v>57</v>
      </c>
      <c r="S154" s="34" t="s">
        <v>63</v>
      </c>
      <c r="T154" s="34" t="s">
        <v>2222</v>
      </c>
      <c r="U154" s="34" t="s">
        <v>2223</v>
      </c>
      <c r="V154" s="34" t="s">
        <v>99</v>
      </c>
      <c r="W154" s="34" t="s">
        <v>100</v>
      </c>
      <c r="X154" s="37" t="s">
        <v>100</v>
      </c>
      <c r="Y154" s="34" t="s">
        <v>74</v>
      </c>
      <c r="Z154" s="34" t="s">
        <v>57</v>
      </c>
      <c r="AA154" s="34">
        <v>2014.0</v>
      </c>
      <c r="AB154" s="34">
        <v>2014.0</v>
      </c>
      <c r="AC154" s="34" t="s">
        <v>103</v>
      </c>
      <c r="AD154" s="34" t="s">
        <v>180</v>
      </c>
      <c r="AE154" s="34" t="s">
        <v>74</v>
      </c>
      <c r="AF154" s="34" t="s">
        <v>74</v>
      </c>
      <c r="AG154" s="34" t="s">
        <v>104</v>
      </c>
      <c r="AH154" s="34" t="s">
        <v>105</v>
      </c>
      <c r="AI154" s="34" t="s">
        <v>106</v>
      </c>
      <c r="AJ154" s="34" t="s">
        <v>107</v>
      </c>
      <c r="AK154" s="34" t="s">
        <v>2224</v>
      </c>
      <c r="AL154" s="34" t="s">
        <v>79</v>
      </c>
      <c r="AM154" s="34" t="s">
        <v>57</v>
      </c>
      <c r="AN154" s="34" t="s">
        <v>57</v>
      </c>
      <c r="AO154" s="39"/>
      <c r="AP154" s="34" t="s">
        <v>1522</v>
      </c>
      <c r="AQ154" s="96"/>
      <c r="AR154" s="96"/>
      <c r="AS154" s="44"/>
    </row>
    <row r="155">
      <c r="A155" s="32">
        <v>261.0</v>
      </c>
      <c r="B155" s="33">
        <v>3.64026782E8</v>
      </c>
      <c r="C155" s="34" t="s">
        <v>2226</v>
      </c>
      <c r="D155" s="34" t="s">
        <v>2227</v>
      </c>
      <c r="E155" s="34" t="s">
        <v>2228</v>
      </c>
      <c r="F155" s="34" t="s">
        <v>859</v>
      </c>
      <c r="G155" s="34" t="s">
        <v>2229</v>
      </c>
      <c r="H155" s="36">
        <v>2013.0</v>
      </c>
      <c r="I155" s="34" t="s">
        <v>295</v>
      </c>
      <c r="J155" s="34" t="s">
        <v>55</v>
      </c>
      <c r="K155" s="34" t="s">
        <v>2230</v>
      </c>
      <c r="L155" s="34" t="s">
        <v>57</v>
      </c>
      <c r="M155" s="34" t="s">
        <v>859</v>
      </c>
      <c r="N155" s="34" t="s">
        <v>2231</v>
      </c>
      <c r="O155" s="34" t="s">
        <v>2232</v>
      </c>
      <c r="P155" s="34" t="s">
        <v>93</v>
      </c>
      <c r="Q155" s="34" t="s">
        <v>57</v>
      </c>
      <c r="R155" s="34" t="s">
        <v>57</v>
      </c>
      <c r="S155" s="34" t="s">
        <v>96</v>
      </c>
      <c r="T155" s="34" t="s">
        <v>1401</v>
      </c>
      <c r="U155" s="34" t="s">
        <v>2233</v>
      </c>
      <c r="V155" s="34" t="s">
        <v>99</v>
      </c>
      <c r="W155" s="34" t="s">
        <v>100</v>
      </c>
      <c r="X155" s="37" t="s">
        <v>100</v>
      </c>
      <c r="Y155" s="34" t="s">
        <v>74</v>
      </c>
      <c r="Z155" s="34" t="s">
        <v>57</v>
      </c>
      <c r="AA155" s="34">
        <v>1997.0</v>
      </c>
      <c r="AB155" s="34">
        <v>1997.0</v>
      </c>
      <c r="AC155" s="34" t="s">
        <v>542</v>
      </c>
      <c r="AD155" s="34" t="s">
        <v>264</v>
      </c>
      <c r="AE155" s="34" t="s">
        <v>69</v>
      </c>
      <c r="AF155" s="34" t="s">
        <v>69</v>
      </c>
      <c r="AG155" s="34" t="s">
        <v>104</v>
      </c>
      <c r="AH155" s="34" t="s">
        <v>105</v>
      </c>
      <c r="AI155" s="34" t="s">
        <v>2234</v>
      </c>
      <c r="AJ155" s="34" t="s">
        <v>107</v>
      </c>
      <c r="AK155" s="34" t="s">
        <v>2235</v>
      </c>
      <c r="AL155" s="34" t="s">
        <v>128</v>
      </c>
      <c r="AM155" s="34" t="s">
        <v>895</v>
      </c>
      <c r="AN155" s="34" t="s">
        <v>2236</v>
      </c>
      <c r="AO155" s="39"/>
      <c r="AP155" s="34" t="s">
        <v>184</v>
      </c>
      <c r="AQ155" s="96"/>
      <c r="AR155" s="96"/>
      <c r="AS155" s="44"/>
    </row>
    <row r="156">
      <c r="A156" s="32">
        <v>262.0</v>
      </c>
      <c r="B156" s="33">
        <v>3.64026783E8</v>
      </c>
      <c r="C156" s="34" t="s">
        <v>2238</v>
      </c>
      <c r="D156" s="34" t="s">
        <v>2239</v>
      </c>
      <c r="E156" s="34" t="s">
        <v>2240</v>
      </c>
      <c r="F156" s="34" t="s">
        <v>992</v>
      </c>
      <c r="G156" s="34" t="s">
        <v>2241</v>
      </c>
      <c r="H156" s="36">
        <v>2018.0</v>
      </c>
      <c r="I156" s="34" t="s">
        <v>729</v>
      </c>
      <c r="J156" s="34" t="s">
        <v>55</v>
      </c>
      <c r="K156" s="34" t="s">
        <v>2242</v>
      </c>
      <c r="L156" s="34" t="s">
        <v>57</v>
      </c>
      <c r="M156" s="34" t="s">
        <v>992</v>
      </c>
      <c r="N156" s="34" t="s">
        <v>1530</v>
      </c>
      <c r="O156" s="34" t="s">
        <v>2243</v>
      </c>
      <c r="P156" s="34" t="s">
        <v>554</v>
      </c>
      <c r="Q156" s="34" t="s">
        <v>2244</v>
      </c>
      <c r="R156" s="34" t="s">
        <v>2245</v>
      </c>
      <c r="S156" s="34" t="s">
        <v>63</v>
      </c>
      <c r="T156" s="34" t="s">
        <v>2246</v>
      </c>
      <c r="U156" s="34" t="s">
        <v>2247</v>
      </c>
      <c r="V156" s="34" t="s">
        <v>99</v>
      </c>
      <c r="W156" s="34" t="s">
        <v>100</v>
      </c>
      <c r="X156" s="37" t="s">
        <v>100</v>
      </c>
      <c r="Y156" s="34" t="s">
        <v>74</v>
      </c>
      <c r="Z156" s="34" t="s">
        <v>57</v>
      </c>
      <c r="AA156" s="34">
        <v>2012.0</v>
      </c>
      <c r="AB156" s="34">
        <v>2014.0</v>
      </c>
      <c r="AC156" s="34" t="s">
        <v>102</v>
      </c>
      <c r="AD156" s="34" t="s">
        <v>692</v>
      </c>
      <c r="AE156" s="34" t="s">
        <v>69</v>
      </c>
      <c r="AF156" s="34" t="s">
        <v>69</v>
      </c>
      <c r="AG156" s="34" t="s">
        <v>104</v>
      </c>
      <c r="AH156" s="34" t="s">
        <v>105</v>
      </c>
      <c r="AI156" s="34" t="s">
        <v>958</v>
      </c>
      <c r="AJ156" s="34" t="s">
        <v>147</v>
      </c>
      <c r="AK156" s="34" t="s">
        <v>2248</v>
      </c>
      <c r="AL156" s="34" t="s">
        <v>128</v>
      </c>
      <c r="AM156" s="34" t="s">
        <v>129</v>
      </c>
      <c r="AN156" s="34" t="s">
        <v>2249</v>
      </c>
      <c r="AO156" s="39"/>
      <c r="AP156" s="34" t="s">
        <v>184</v>
      </c>
      <c r="AQ156" s="96"/>
      <c r="AR156" s="96"/>
      <c r="AS156" s="44"/>
    </row>
    <row r="157">
      <c r="A157" s="32">
        <v>266.0</v>
      </c>
      <c r="B157" s="33">
        <v>3.64026873E8</v>
      </c>
      <c r="C157" s="34" t="s">
        <v>2251</v>
      </c>
      <c r="D157" s="34" t="s">
        <v>2252</v>
      </c>
      <c r="E157" s="34" t="s">
        <v>2253</v>
      </c>
      <c r="F157" s="34" t="s">
        <v>992</v>
      </c>
      <c r="G157" s="34" t="s">
        <v>2254</v>
      </c>
      <c r="H157" s="36">
        <v>2015.0</v>
      </c>
      <c r="I157" s="34" t="s">
        <v>2255</v>
      </c>
      <c r="J157" s="34" t="s">
        <v>55</v>
      </c>
      <c r="K157" s="34" t="s">
        <v>2256</v>
      </c>
      <c r="L157" s="34" t="s">
        <v>57</v>
      </c>
      <c r="M157" s="34" t="s">
        <v>992</v>
      </c>
      <c r="N157" s="34" t="s">
        <v>2257</v>
      </c>
      <c r="O157" s="34" t="s">
        <v>2258</v>
      </c>
      <c r="P157" s="34" t="s">
        <v>554</v>
      </c>
      <c r="Q157" s="34" t="s">
        <v>57</v>
      </c>
      <c r="R157" s="34" t="s">
        <v>57</v>
      </c>
      <c r="S157" s="34" t="s">
        <v>193</v>
      </c>
      <c r="T157" s="34" t="s">
        <v>2259</v>
      </c>
      <c r="U157" s="34" t="s">
        <v>2260</v>
      </c>
      <c r="V157" s="34" t="s">
        <v>66</v>
      </c>
      <c r="W157" s="34" t="s">
        <v>2261</v>
      </c>
      <c r="X157" s="37" t="s">
        <v>2262</v>
      </c>
      <c r="Y157" s="34" t="s">
        <v>74</v>
      </c>
      <c r="Z157" s="34" t="s">
        <v>57</v>
      </c>
      <c r="AA157" s="34">
        <v>1952.0</v>
      </c>
      <c r="AB157" s="34" t="s">
        <v>57</v>
      </c>
      <c r="AC157" s="34" t="s">
        <v>57</v>
      </c>
      <c r="AD157" s="34" t="s">
        <v>57</v>
      </c>
      <c r="AE157" s="34" t="s">
        <v>69</v>
      </c>
      <c r="AF157" s="34" t="s">
        <v>69</v>
      </c>
      <c r="AG157" s="34" t="s">
        <v>75</v>
      </c>
      <c r="AH157" s="34" t="s">
        <v>165</v>
      </c>
      <c r="AI157" s="34" t="s">
        <v>465</v>
      </c>
      <c r="AJ157" s="34" t="s">
        <v>465</v>
      </c>
      <c r="AK157" s="34" t="s">
        <v>2263</v>
      </c>
      <c r="AL157" s="34" t="s">
        <v>79</v>
      </c>
      <c r="AM157" s="34" t="s">
        <v>57</v>
      </c>
      <c r="AN157" s="34" t="s">
        <v>57</v>
      </c>
      <c r="AO157" s="39"/>
      <c r="AP157" s="39"/>
      <c r="AQ157" s="96"/>
      <c r="AR157" s="96"/>
      <c r="AS157" s="44"/>
    </row>
    <row r="158">
      <c r="A158" s="32">
        <v>267.0</v>
      </c>
      <c r="B158" s="33">
        <v>3.64026829E8</v>
      </c>
      <c r="C158" s="34" t="s">
        <v>2265</v>
      </c>
      <c r="D158" s="34" t="s">
        <v>2266</v>
      </c>
      <c r="E158" s="38" t="s">
        <v>2267</v>
      </c>
      <c r="F158" s="34" t="s">
        <v>2268</v>
      </c>
      <c r="G158" s="38" t="s">
        <v>2269</v>
      </c>
      <c r="H158" s="36">
        <v>2017.0</v>
      </c>
      <c r="I158" s="38" t="s">
        <v>1183</v>
      </c>
      <c r="J158" s="34" t="s">
        <v>55</v>
      </c>
      <c r="K158" s="34" t="s">
        <v>2270</v>
      </c>
      <c r="L158" s="34" t="s">
        <v>57</v>
      </c>
      <c r="M158" s="34" t="s">
        <v>2268</v>
      </c>
      <c r="N158" s="34" t="s">
        <v>2271</v>
      </c>
      <c r="O158" s="34" t="s">
        <v>2272</v>
      </c>
      <c r="P158" s="34" t="s">
        <v>93</v>
      </c>
      <c r="Q158" s="34" t="s">
        <v>2273</v>
      </c>
      <c r="R158" s="34" t="s">
        <v>2274</v>
      </c>
      <c r="S158" s="34" t="s">
        <v>96</v>
      </c>
      <c r="T158" s="34" t="s">
        <v>2275</v>
      </c>
      <c r="U158" s="34" t="s">
        <v>2276</v>
      </c>
      <c r="V158" s="34" t="s">
        <v>99</v>
      </c>
      <c r="W158" s="34" t="s">
        <v>2277</v>
      </c>
      <c r="X158" s="37" t="s">
        <v>2278</v>
      </c>
      <c r="Y158" s="34" t="s">
        <v>74</v>
      </c>
      <c r="Z158" s="34" t="s">
        <v>57</v>
      </c>
      <c r="AA158" s="34">
        <v>2005.0</v>
      </c>
      <c r="AB158" s="34">
        <v>2015.0</v>
      </c>
      <c r="AC158" s="34" t="s">
        <v>692</v>
      </c>
      <c r="AD158" s="34" t="s">
        <v>542</v>
      </c>
      <c r="AE158" s="34" t="s">
        <v>69</v>
      </c>
      <c r="AF158" s="34" t="s">
        <v>74</v>
      </c>
      <c r="AG158" s="34" t="s">
        <v>75</v>
      </c>
      <c r="AH158" s="34" t="s">
        <v>105</v>
      </c>
      <c r="AI158" s="34" t="s">
        <v>166</v>
      </c>
      <c r="AJ158" s="34" t="s">
        <v>166</v>
      </c>
      <c r="AK158" s="34" t="s">
        <v>2279</v>
      </c>
      <c r="AL158" s="34" t="s">
        <v>128</v>
      </c>
      <c r="AM158" s="34" t="s">
        <v>129</v>
      </c>
      <c r="AN158" s="34" t="s">
        <v>2280</v>
      </c>
      <c r="AO158" s="39"/>
      <c r="AP158" s="34" t="s">
        <v>1522</v>
      </c>
      <c r="AQ158" s="96"/>
      <c r="AR158" s="96"/>
      <c r="AS158" s="44"/>
    </row>
    <row r="159">
      <c r="A159" s="32">
        <v>269.0</v>
      </c>
      <c r="B159" s="33">
        <v>3.64026875E8</v>
      </c>
      <c r="C159" s="34" t="s">
        <v>2282</v>
      </c>
      <c r="D159" s="34" t="s">
        <v>2283</v>
      </c>
      <c r="E159" s="38" t="s">
        <v>2284</v>
      </c>
      <c r="F159" s="34" t="s">
        <v>273</v>
      </c>
      <c r="G159" s="38" t="s">
        <v>2285</v>
      </c>
      <c r="H159" s="36">
        <v>2014.0</v>
      </c>
      <c r="I159" s="38" t="s">
        <v>2286</v>
      </c>
      <c r="J159" s="34" t="s">
        <v>55</v>
      </c>
      <c r="K159" s="34" t="s">
        <v>1021</v>
      </c>
      <c r="L159" s="34" t="s">
        <v>57</v>
      </c>
      <c r="M159" s="34" t="s">
        <v>273</v>
      </c>
      <c r="N159" s="34" t="s">
        <v>1022</v>
      </c>
      <c r="O159" s="34" t="s">
        <v>2287</v>
      </c>
      <c r="P159" s="34" t="s">
        <v>93</v>
      </c>
      <c r="Q159" s="34" t="s">
        <v>2288</v>
      </c>
      <c r="R159" s="34" t="s">
        <v>2289</v>
      </c>
      <c r="S159" s="34" t="s">
        <v>96</v>
      </c>
      <c r="T159" s="34" t="s">
        <v>892</v>
      </c>
      <c r="U159" s="34" t="s">
        <v>2290</v>
      </c>
      <c r="V159" s="34" t="s">
        <v>99</v>
      </c>
      <c r="W159" s="34" t="s">
        <v>100</v>
      </c>
      <c r="X159" s="37" t="s">
        <v>100</v>
      </c>
      <c r="Y159" s="34" t="s">
        <v>74</v>
      </c>
      <c r="Z159" s="34" t="s">
        <v>57</v>
      </c>
      <c r="AA159" s="34">
        <v>1998.0</v>
      </c>
      <c r="AB159" s="34">
        <v>2013.0</v>
      </c>
      <c r="AC159" s="34" t="s">
        <v>102</v>
      </c>
      <c r="AD159" s="34" t="s">
        <v>71</v>
      </c>
      <c r="AE159" s="34" t="s">
        <v>69</v>
      </c>
      <c r="AF159" s="34" t="s">
        <v>74</v>
      </c>
      <c r="AG159" s="34" t="s">
        <v>75</v>
      </c>
      <c r="AH159" s="34" t="s">
        <v>851</v>
      </c>
      <c r="AI159" s="34" t="s">
        <v>2291</v>
      </c>
      <c r="AJ159" s="34" t="s">
        <v>107</v>
      </c>
      <c r="AK159" s="34" t="s">
        <v>2292</v>
      </c>
      <c r="AL159" s="34" t="s">
        <v>128</v>
      </c>
      <c r="AM159" s="34" t="s">
        <v>129</v>
      </c>
      <c r="AN159" s="34" t="s">
        <v>2293</v>
      </c>
      <c r="AO159" s="34" t="s">
        <v>2294</v>
      </c>
      <c r="AP159" s="34" t="s">
        <v>1522</v>
      </c>
      <c r="AQ159" s="96"/>
      <c r="AR159" s="96"/>
      <c r="AS159" s="44"/>
    </row>
    <row r="160">
      <c r="A160" s="144">
        <v>271.0</v>
      </c>
      <c r="B160" s="145">
        <v>3.6402649E8</v>
      </c>
      <c r="C160" s="121" t="s">
        <v>2296</v>
      </c>
      <c r="D160" s="121" t="s">
        <v>2297</v>
      </c>
      <c r="E160" s="146" t="s">
        <v>2298</v>
      </c>
      <c r="F160" s="121" t="s">
        <v>2299</v>
      </c>
      <c r="G160" s="146" t="s">
        <v>2300</v>
      </c>
      <c r="H160" s="147">
        <v>2018.0</v>
      </c>
      <c r="I160" s="146" t="s">
        <v>2301</v>
      </c>
      <c r="J160" s="121" t="s">
        <v>55</v>
      </c>
      <c r="K160" s="121" t="s">
        <v>2302</v>
      </c>
      <c r="L160" s="121" t="s">
        <v>57</v>
      </c>
      <c r="M160" s="121" t="s">
        <v>2299</v>
      </c>
      <c r="N160" s="121" t="s">
        <v>2303</v>
      </c>
      <c r="O160" s="121" t="s">
        <v>2304</v>
      </c>
      <c r="P160" s="121" t="s">
        <v>93</v>
      </c>
      <c r="Q160" s="121" t="s">
        <v>57</v>
      </c>
      <c r="R160" s="121" t="s">
        <v>57</v>
      </c>
      <c r="S160" s="121" t="s">
        <v>96</v>
      </c>
      <c r="T160" s="121" t="s">
        <v>351</v>
      </c>
      <c r="U160" s="121" t="s">
        <v>2305</v>
      </c>
      <c r="V160" s="121" t="s">
        <v>99</v>
      </c>
      <c r="W160" s="121" t="s">
        <v>100</v>
      </c>
      <c r="X160" s="148" t="s">
        <v>100</v>
      </c>
      <c r="Y160" s="121" t="s">
        <v>69</v>
      </c>
      <c r="Z160" s="121" t="s">
        <v>2306</v>
      </c>
      <c r="AA160" s="121">
        <v>2015.0</v>
      </c>
      <c r="AB160" s="121">
        <v>2016.0</v>
      </c>
      <c r="AC160" s="121" t="s">
        <v>102</v>
      </c>
      <c r="AD160" s="121" t="s">
        <v>102</v>
      </c>
      <c r="AE160" s="121" t="s">
        <v>69</v>
      </c>
      <c r="AF160" s="121" t="s">
        <v>74</v>
      </c>
      <c r="AG160" s="121" t="s">
        <v>75</v>
      </c>
      <c r="AH160" s="121" t="s">
        <v>2307</v>
      </c>
      <c r="AI160" s="121" t="s">
        <v>2308</v>
      </c>
      <c r="AJ160" s="121" t="s">
        <v>107</v>
      </c>
      <c r="AK160" s="121" t="s">
        <v>2309</v>
      </c>
      <c r="AL160" s="121" t="s">
        <v>128</v>
      </c>
      <c r="AM160" s="121" t="s">
        <v>129</v>
      </c>
      <c r="AN160" s="121" t="s">
        <v>2310</v>
      </c>
      <c r="AO160" s="149"/>
      <c r="AP160" s="121" t="s">
        <v>1522</v>
      </c>
      <c r="AQ160" s="96"/>
      <c r="AR160" s="96"/>
      <c r="AS160" s="44"/>
    </row>
    <row r="161">
      <c r="A161" s="32">
        <v>276.0</v>
      </c>
      <c r="B161" s="150">
        <v>5.27597309E8</v>
      </c>
      <c r="C161" s="130" t="s">
        <v>2312</v>
      </c>
      <c r="D161" s="130" t="s">
        <v>2313</v>
      </c>
      <c r="E161" s="130" t="s">
        <v>2314</v>
      </c>
      <c r="F161" s="130" t="s">
        <v>2315</v>
      </c>
      <c r="G161" s="130" t="s">
        <v>2316</v>
      </c>
      <c r="H161" s="151">
        <v>1982.0</v>
      </c>
      <c r="I161" s="130" t="s">
        <v>136</v>
      </c>
      <c r="J161" s="130" t="s">
        <v>55</v>
      </c>
      <c r="K161" s="130" t="s">
        <v>57</v>
      </c>
      <c r="L161" s="130" t="s">
        <v>57</v>
      </c>
      <c r="M161" s="130" t="s">
        <v>2315</v>
      </c>
      <c r="N161" s="130" t="s">
        <v>2317</v>
      </c>
      <c r="O161" s="130" t="s">
        <v>2317</v>
      </c>
      <c r="P161" s="130" t="s">
        <v>93</v>
      </c>
      <c r="Q161" s="130" t="s">
        <v>57</v>
      </c>
      <c r="R161" s="130" t="s">
        <v>57</v>
      </c>
      <c r="S161" s="130" t="s">
        <v>96</v>
      </c>
      <c r="T161" s="130" t="s">
        <v>210</v>
      </c>
      <c r="U161" s="130" t="s">
        <v>2318</v>
      </c>
      <c r="V161" s="130" t="s">
        <v>99</v>
      </c>
      <c r="W161" s="130" t="s">
        <v>100</v>
      </c>
      <c r="X161" s="152" t="s">
        <v>100</v>
      </c>
      <c r="Y161" s="130" t="s">
        <v>69</v>
      </c>
      <c r="Z161" s="130" t="s">
        <v>2319</v>
      </c>
      <c r="AA161" s="130">
        <v>1976.0</v>
      </c>
      <c r="AB161" s="130">
        <v>1976.0</v>
      </c>
      <c r="AC161" s="130" t="s">
        <v>144</v>
      </c>
      <c r="AD161" s="130" t="s">
        <v>72</v>
      </c>
      <c r="AE161" s="130" t="s">
        <v>74</v>
      </c>
      <c r="AF161" s="130" t="s">
        <v>69</v>
      </c>
      <c r="AG161" s="130" t="s">
        <v>104</v>
      </c>
      <c r="AH161" s="130" t="s">
        <v>105</v>
      </c>
      <c r="AI161" s="130" t="s">
        <v>336</v>
      </c>
      <c r="AJ161" s="153"/>
      <c r="AK161" s="130" t="s">
        <v>2320</v>
      </c>
      <c r="AL161" s="88" t="s">
        <v>128</v>
      </c>
      <c r="AM161" s="130" t="s">
        <v>129</v>
      </c>
      <c r="AN161" s="130" t="s">
        <v>2321</v>
      </c>
      <c r="AO161" s="88"/>
      <c r="AP161" s="130" t="s">
        <v>184</v>
      </c>
      <c r="AQ161" s="91"/>
      <c r="AR161" s="91"/>
      <c r="AS161" s="44"/>
    </row>
    <row r="162">
      <c r="A162" s="92"/>
      <c r="B162" s="93"/>
      <c r="C162" s="39"/>
      <c r="D162" s="39"/>
      <c r="E162" s="39"/>
      <c r="F162" s="39"/>
      <c r="G162" s="39"/>
      <c r="H162" s="95"/>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96"/>
      <c r="AR162" s="96"/>
      <c r="AS162" s="44"/>
    </row>
    <row r="163">
      <c r="A163" s="92"/>
      <c r="B163" s="93"/>
      <c r="C163" s="39"/>
      <c r="D163" s="39"/>
      <c r="E163" s="39"/>
      <c r="F163" s="39"/>
      <c r="G163" s="39"/>
      <c r="H163" s="95"/>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96"/>
      <c r="AR163" s="96"/>
      <c r="AS163" s="44"/>
    </row>
    <row r="164">
      <c r="A164" s="92"/>
      <c r="B164" s="93"/>
      <c r="C164" s="39"/>
      <c r="D164" s="39"/>
      <c r="E164" s="39"/>
      <c r="F164" s="39"/>
      <c r="G164" s="39"/>
      <c r="H164" s="95"/>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96"/>
      <c r="AR164" s="96"/>
      <c r="AS164" s="44"/>
    </row>
    <row r="165">
      <c r="A165" s="92"/>
      <c r="B165" s="93"/>
      <c r="C165" s="39"/>
      <c r="D165" s="39"/>
      <c r="E165" s="39"/>
      <c r="F165" s="39"/>
      <c r="G165" s="39"/>
      <c r="H165" s="95"/>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96"/>
      <c r="AR165" s="96"/>
      <c r="AS165" s="44"/>
    </row>
    <row r="166">
      <c r="A166" s="92"/>
      <c r="B166" s="93"/>
      <c r="C166" s="39"/>
      <c r="D166" s="39"/>
      <c r="E166" s="39"/>
      <c r="F166" s="39"/>
      <c r="G166" s="39"/>
      <c r="H166" s="95"/>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96"/>
      <c r="AR166" s="96"/>
      <c r="AS166" s="44"/>
    </row>
    <row r="167">
      <c r="A167" s="92"/>
      <c r="B167" s="93"/>
      <c r="C167" s="39"/>
      <c r="D167" s="39"/>
      <c r="E167" s="39"/>
      <c r="F167" s="39"/>
      <c r="G167" s="39"/>
      <c r="H167" s="95"/>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96"/>
      <c r="AR167" s="96"/>
      <c r="AS167" s="44"/>
    </row>
    <row r="168">
      <c r="A168" s="92"/>
      <c r="B168" s="93"/>
      <c r="C168" s="39"/>
      <c r="D168" s="39"/>
      <c r="E168" s="39"/>
      <c r="F168" s="39"/>
      <c r="G168" s="39"/>
      <c r="H168" s="95"/>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96"/>
      <c r="AR168" s="96"/>
      <c r="AS168" s="44"/>
    </row>
    <row r="169">
      <c r="A169" s="92"/>
      <c r="B169" s="93"/>
      <c r="C169" s="39"/>
      <c r="D169" s="39"/>
      <c r="E169" s="39"/>
      <c r="F169" s="39"/>
      <c r="G169" s="39"/>
      <c r="H169" s="95"/>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96"/>
      <c r="AR169" s="96"/>
      <c r="AS169" s="44"/>
    </row>
    <row r="170">
      <c r="A170" s="92"/>
      <c r="B170" s="93"/>
      <c r="C170" s="39"/>
      <c r="D170" s="39"/>
      <c r="E170" s="39"/>
      <c r="F170" s="39"/>
      <c r="G170" s="39"/>
      <c r="H170" s="95"/>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96"/>
      <c r="AR170" s="96"/>
      <c r="AS170" s="44"/>
    </row>
    <row r="171">
      <c r="A171" s="92"/>
      <c r="B171" s="93"/>
      <c r="C171" s="39"/>
      <c r="D171" s="39"/>
      <c r="E171" s="39"/>
      <c r="F171" s="39"/>
      <c r="G171" s="39"/>
      <c r="H171" s="95"/>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96"/>
      <c r="AR171" s="96"/>
      <c r="AS171" s="44"/>
    </row>
    <row r="172">
      <c r="A172" s="92"/>
      <c r="B172" s="93"/>
      <c r="C172" s="39"/>
      <c r="D172" s="39"/>
      <c r="E172" s="39"/>
      <c r="F172" s="39"/>
      <c r="G172" s="39"/>
      <c r="H172" s="95"/>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96"/>
      <c r="AR172" s="96"/>
      <c r="AS172" s="44"/>
    </row>
    <row r="173">
      <c r="A173" s="92"/>
      <c r="B173" s="93"/>
      <c r="C173" s="39"/>
      <c r="D173" s="39"/>
      <c r="E173" s="39"/>
      <c r="F173" s="39"/>
      <c r="G173" s="39"/>
      <c r="H173" s="95"/>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96"/>
      <c r="AR173" s="96"/>
      <c r="AS173" s="44"/>
    </row>
    <row r="174">
      <c r="A174" s="92"/>
      <c r="B174" s="93"/>
      <c r="C174" s="39"/>
      <c r="D174" s="39"/>
      <c r="E174" s="39"/>
      <c r="F174" s="39"/>
      <c r="G174" s="39"/>
      <c r="H174" s="95"/>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96"/>
      <c r="AR174" s="96"/>
      <c r="AS174" s="44"/>
    </row>
    <row r="175">
      <c r="A175" s="92"/>
      <c r="B175" s="93"/>
      <c r="C175" s="39"/>
      <c r="D175" s="39"/>
      <c r="E175" s="39"/>
      <c r="F175" s="39"/>
      <c r="G175" s="39"/>
      <c r="H175" s="95"/>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96"/>
      <c r="AR175" s="96"/>
      <c r="AS175" s="44"/>
    </row>
    <row r="176">
      <c r="A176" s="92"/>
      <c r="B176" s="93"/>
      <c r="C176" s="39"/>
      <c r="D176" s="39"/>
      <c r="E176" s="39"/>
      <c r="F176" s="39"/>
      <c r="G176" s="39"/>
      <c r="H176" s="95"/>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96"/>
      <c r="AR176" s="96"/>
      <c r="AS176" s="44"/>
    </row>
    <row r="177">
      <c r="A177" s="92"/>
      <c r="B177" s="93"/>
      <c r="C177" s="39"/>
      <c r="D177" s="39"/>
      <c r="E177" s="39"/>
      <c r="F177" s="39"/>
      <c r="G177" s="39"/>
      <c r="H177" s="95"/>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96"/>
      <c r="AR177" s="96"/>
      <c r="AS177" s="44"/>
    </row>
    <row r="178">
      <c r="A178" s="92"/>
      <c r="B178" s="93"/>
      <c r="C178" s="39"/>
      <c r="D178" s="39"/>
      <c r="E178" s="39"/>
      <c r="F178" s="39"/>
      <c r="G178" s="39"/>
      <c r="H178" s="95"/>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96"/>
      <c r="AR178" s="96"/>
      <c r="AS178" s="44"/>
    </row>
    <row r="179">
      <c r="A179" s="92"/>
      <c r="B179" s="93"/>
      <c r="C179" s="39"/>
      <c r="D179" s="39"/>
      <c r="E179" s="39"/>
      <c r="F179" s="39"/>
      <c r="G179" s="39"/>
      <c r="H179" s="95"/>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96"/>
      <c r="AR179" s="96"/>
      <c r="AS179" s="44"/>
    </row>
    <row r="180">
      <c r="A180" s="92"/>
      <c r="B180" s="93"/>
      <c r="C180" s="39"/>
      <c r="D180" s="39"/>
      <c r="E180" s="39"/>
      <c r="F180" s="39"/>
      <c r="G180" s="39"/>
      <c r="H180" s="95"/>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96"/>
      <c r="AR180" s="96"/>
      <c r="AS180" s="44"/>
    </row>
    <row r="181">
      <c r="A181" s="92"/>
      <c r="B181" s="93"/>
      <c r="C181" s="39"/>
      <c r="D181" s="39"/>
      <c r="E181" s="39"/>
      <c r="F181" s="39"/>
      <c r="G181" s="39"/>
      <c r="H181" s="95"/>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96"/>
      <c r="AR181" s="96"/>
      <c r="AS181" s="44"/>
    </row>
    <row r="182">
      <c r="A182" s="92"/>
      <c r="B182" s="93"/>
      <c r="C182" s="39"/>
      <c r="D182" s="39"/>
      <c r="E182" s="39"/>
      <c r="F182" s="39"/>
      <c r="G182" s="39"/>
      <c r="H182" s="95"/>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96"/>
      <c r="AR182" s="96"/>
      <c r="AS182" s="44"/>
    </row>
    <row r="183">
      <c r="A183" s="92"/>
      <c r="B183" s="93"/>
      <c r="C183" s="39"/>
      <c r="D183" s="39"/>
      <c r="E183" s="39"/>
      <c r="F183" s="39"/>
      <c r="G183" s="39"/>
      <c r="H183" s="95"/>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96"/>
      <c r="AR183" s="96"/>
      <c r="AS183" s="44"/>
    </row>
    <row r="184">
      <c r="A184" s="92"/>
      <c r="B184" s="93"/>
      <c r="C184" s="39"/>
      <c r="D184" s="39"/>
      <c r="E184" s="39"/>
      <c r="F184" s="39"/>
      <c r="G184" s="39"/>
      <c r="H184" s="95"/>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96"/>
      <c r="AR184" s="96"/>
      <c r="AS184" s="44"/>
    </row>
    <row r="185">
      <c r="A185" s="92"/>
      <c r="B185" s="93"/>
      <c r="C185" s="39"/>
      <c r="D185" s="39"/>
      <c r="E185" s="39"/>
      <c r="F185" s="39"/>
      <c r="G185" s="39"/>
      <c r="H185" s="95"/>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96"/>
      <c r="AR185" s="96"/>
      <c r="AS185" s="44"/>
    </row>
    <row r="186">
      <c r="A186" s="92"/>
      <c r="B186" s="93"/>
      <c r="C186" s="39"/>
      <c r="D186" s="39"/>
      <c r="E186" s="39"/>
      <c r="F186" s="39"/>
      <c r="G186" s="39"/>
      <c r="H186" s="95"/>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96"/>
      <c r="AR186" s="96"/>
      <c r="AS186" s="44"/>
    </row>
    <row r="187">
      <c r="A187" s="92"/>
      <c r="B187" s="93"/>
      <c r="C187" s="39"/>
      <c r="D187" s="39"/>
      <c r="E187" s="39"/>
      <c r="F187" s="39"/>
      <c r="G187" s="39"/>
      <c r="H187" s="95"/>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96"/>
      <c r="AR187" s="96"/>
      <c r="AS187" s="44"/>
    </row>
    <row r="188">
      <c r="A188" s="92"/>
      <c r="B188" s="93"/>
      <c r="C188" s="39"/>
      <c r="D188" s="39"/>
      <c r="E188" s="39"/>
      <c r="F188" s="39"/>
      <c r="G188" s="39"/>
      <c r="H188" s="95"/>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96"/>
      <c r="AR188" s="96"/>
      <c r="AS188" s="44"/>
    </row>
    <row r="189">
      <c r="A189" s="92"/>
      <c r="B189" s="93"/>
      <c r="C189" s="39"/>
      <c r="D189" s="39"/>
      <c r="E189" s="39"/>
      <c r="F189" s="39"/>
      <c r="G189" s="39"/>
      <c r="H189" s="95"/>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96"/>
      <c r="AR189" s="96"/>
      <c r="AS189" s="44"/>
    </row>
    <row r="190">
      <c r="A190" s="92"/>
      <c r="B190" s="93"/>
      <c r="C190" s="39"/>
      <c r="D190" s="39"/>
      <c r="E190" s="39"/>
      <c r="F190" s="39"/>
      <c r="G190" s="39"/>
      <c r="H190" s="95"/>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96"/>
      <c r="AR190" s="96"/>
      <c r="AS190" s="44"/>
    </row>
    <row r="191">
      <c r="A191" s="92"/>
      <c r="B191" s="93"/>
      <c r="C191" s="39"/>
      <c r="D191" s="39"/>
      <c r="E191" s="39"/>
      <c r="F191" s="39"/>
      <c r="G191" s="39"/>
      <c r="H191" s="95"/>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96"/>
      <c r="AR191" s="96"/>
      <c r="AS191" s="44"/>
    </row>
    <row r="192">
      <c r="A192" s="92"/>
      <c r="B192" s="93"/>
      <c r="C192" s="39"/>
      <c r="D192" s="39"/>
      <c r="E192" s="39"/>
      <c r="F192" s="39"/>
      <c r="G192" s="39"/>
      <c r="H192" s="95"/>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96"/>
      <c r="AR192" s="96"/>
      <c r="AS192" s="44"/>
    </row>
    <row r="193">
      <c r="A193" s="92"/>
      <c r="B193" s="93"/>
      <c r="C193" s="39"/>
      <c r="D193" s="39"/>
      <c r="E193" s="39"/>
      <c r="F193" s="39"/>
      <c r="G193" s="39"/>
      <c r="H193" s="95"/>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96"/>
      <c r="AR193" s="96"/>
      <c r="AS193" s="44"/>
    </row>
    <row r="194">
      <c r="A194" s="92"/>
      <c r="B194" s="93"/>
      <c r="C194" s="39"/>
      <c r="D194" s="39"/>
      <c r="E194" s="39"/>
      <c r="F194" s="39"/>
      <c r="G194" s="39"/>
      <c r="H194" s="95"/>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96"/>
      <c r="AR194" s="96"/>
      <c r="AS194" s="44"/>
    </row>
    <row r="195">
      <c r="A195" s="92"/>
      <c r="B195" s="93"/>
      <c r="C195" s="39"/>
      <c r="D195" s="39"/>
      <c r="E195" s="39"/>
      <c r="F195" s="39"/>
      <c r="G195" s="39"/>
      <c r="H195" s="95"/>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96"/>
      <c r="AR195" s="96"/>
      <c r="AS195" s="44"/>
    </row>
    <row r="196">
      <c r="A196" s="92"/>
      <c r="B196" s="93"/>
      <c r="C196" s="39"/>
      <c r="D196" s="39"/>
      <c r="E196" s="39"/>
      <c r="F196" s="39"/>
      <c r="G196" s="39"/>
      <c r="H196" s="95"/>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96"/>
      <c r="AR196" s="96"/>
      <c r="AS196" s="44"/>
    </row>
    <row r="197">
      <c r="A197" s="92"/>
      <c r="B197" s="93"/>
      <c r="C197" s="39"/>
      <c r="D197" s="39"/>
      <c r="E197" s="39"/>
      <c r="F197" s="39"/>
      <c r="G197" s="39"/>
      <c r="H197" s="95"/>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96"/>
      <c r="AR197" s="96"/>
      <c r="AS197" s="44"/>
    </row>
    <row r="198">
      <c r="A198" s="92"/>
      <c r="B198" s="93"/>
      <c r="C198" s="39"/>
      <c r="D198" s="39"/>
      <c r="E198" s="39"/>
      <c r="F198" s="39"/>
      <c r="G198" s="39"/>
      <c r="H198" s="95"/>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96"/>
      <c r="AR198" s="96"/>
      <c r="AS198" s="44"/>
    </row>
    <row r="199">
      <c r="A199" s="92"/>
      <c r="B199" s="93"/>
      <c r="C199" s="39"/>
      <c r="D199" s="39"/>
      <c r="E199" s="39"/>
      <c r="F199" s="39"/>
      <c r="G199" s="39"/>
      <c r="H199" s="95"/>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96"/>
      <c r="AR199" s="96"/>
      <c r="AS199" s="44"/>
    </row>
    <row r="200">
      <c r="A200" s="92"/>
      <c r="B200" s="93"/>
      <c r="C200" s="39"/>
      <c r="D200" s="39"/>
      <c r="E200" s="39"/>
      <c r="F200" s="39"/>
      <c r="G200" s="39"/>
      <c r="H200" s="95"/>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96"/>
      <c r="AR200" s="96"/>
      <c r="AS200" s="44"/>
    </row>
    <row r="201">
      <c r="A201" s="92"/>
      <c r="B201" s="93"/>
      <c r="C201" s="39"/>
      <c r="D201" s="39"/>
      <c r="E201" s="39"/>
      <c r="F201" s="39"/>
      <c r="G201" s="39"/>
      <c r="H201" s="95"/>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96"/>
      <c r="AR201" s="96"/>
      <c r="AS201" s="44"/>
    </row>
    <row r="202">
      <c r="A202" s="92"/>
      <c r="B202" s="93"/>
      <c r="C202" s="39"/>
      <c r="D202" s="39"/>
      <c r="E202" s="39"/>
      <c r="F202" s="39"/>
      <c r="G202" s="39"/>
      <c r="H202" s="95"/>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96"/>
      <c r="AR202" s="96"/>
      <c r="AS202" s="44"/>
    </row>
    <row r="203">
      <c r="A203" s="92"/>
      <c r="B203" s="93"/>
      <c r="C203" s="39"/>
      <c r="D203" s="39"/>
      <c r="E203" s="39"/>
      <c r="F203" s="39"/>
      <c r="G203" s="39"/>
      <c r="H203" s="95"/>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96"/>
      <c r="AR203" s="96"/>
      <c r="AS203" s="44"/>
    </row>
    <row r="204">
      <c r="A204" s="92"/>
      <c r="B204" s="93"/>
      <c r="C204" s="39"/>
      <c r="D204" s="39"/>
      <c r="E204" s="39"/>
      <c r="F204" s="39"/>
      <c r="G204" s="39"/>
      <c r="H204" s="95"/>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96"/>
      <c r="AR204" s="96"/>
      <c r="AS204" s="44"/>
    </row>
    <row r="205">
      <c r="A205" s="92"/>
      <c r="B205" s="93"/>
      <c r="C205" s="39"/>
      <c r="D205" s="39"/>
      <c r="E205" s="39"/>
      <c r="F205" s="39"/>
      <c r="G205" s="39"/>
      <c r="H205" s="95"/>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96"/>
      <c r="AR205" s="96"/>
      <c r="AS205" s="44"/>
    </row>
    <row r="206">
      <c r="A206" s="92"/>
      <c r="B206" s="93"/>
      <c r="C206" s="39"/>
      <c r="D206" s="39"/>
      <c r="E206" s="39"/>
      <c r="F206" s="39"/>
      <c r="G206" s="39"/>
      <c r="H206" s="95"/>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96"/>
      <c r="AR206" s="96"/>
      <c r="AS206" s="44"/>
    </row>
    <row r="207">
      <c r="A207" s="92"/>
      <c r="B207" s="93"/>
      <c r="C207" s="39"/>
      <c r="D207" s="39"/>
      <c r="E207" s="39"/>
      <c r="F207" s="39"/>
      <c r="G207" s="39"/>
      <c r="H207" s="95"/>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96"/>
      <c r="AR207" s="96"/>
      <c r="AS207" s="44"/>
    </row>
    <row r="208">
      <c r="A208" s="92"/>
      <c r="B208" s="93"/>
      <c r="C208" s="39"/>
      <c r="D208" s="39"/>
      <c r="E208" s="39"/>
      <c r="F208" s="39"/>
      <c r="G208" s="39"/>
      <c r="H208" s="95"/>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96"/>
      <c r="AR208" s="96"/>
      <c r="AS208" s="44"/>
    </row>
    <row r="209">
      <c r="A209" s="92"/>
      <c r="B209" s="93"/>
      <c r="C209" s="39"/>
      <c r="D209" s="39"/>
      <c r="E209" s="39"/>
      <c r="F209" s="39"/>
      <c r="G209" s="39"/>
      <c r="H209" s="95"/>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96"/>
      <c r="AR209" s="96"/>
      <c r="AS209" s="44"/>
    </row>
    <row r="210">
      <c r="A210" s="92"/>
      <c r="B210" s="93"/>
      <c r="C210" s="39"/>
      <c r="D210" s="39"/>
      <c r="E210" s="39"/>
      <c r="F210" s="39"/>
      <c r="G210" s="39"/>
      <c r="H210" s="95"/>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96"/>
      <c r="AR210" s="96"/>
      <c r="AS210" s="44"/>
    </row>
    <row r="211">
      <c r="A211" s="92"/>
      <c r="B211" s="93"/>
      <c r="C211" s="39"/>
      <c r="D211" s="39"/>
      <c r="E211" s="39"/>
      <c r="F211" s="39"/>
      <c r="G211" s="39"/>
      <c r="H211" s="95"/>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96"/>
      <c r="AR211" s="96"/>
      <c r="AS211" s="44"/>
    </row>
    <row r="212">
      <c r="A212" s="92"/>
      <c r="B212" s="93"/>
      <c r="C212" s="39"/>
      <c r="D212" s="39"/>
      <c r="E212" s="39"/>
      <c r="F212" s="39"/>
      <c r="G212" s="39"/>
      <c r="H212" s="95"/>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96"/>
      <c r="AR212" s="96"/>
      <c r="AS212" s="44"/>
    </row>
    <row r="213">
      <c r="A213" s="92"/>
      <c r="B213" s="93"/>
      <c r="C213" s="39"/>
      <c r="D213" s="39"/>
      <c r="E213" s="39"/>
      <c r="F213" s="39"/>
      <c r="G213" s="39"/>
      <c r="H213" s="95"/>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96"/>
      <c r="AR213" s="96"/>
      <c r="AS213" s="44"/>
    </row>
    <row r="214">
      <c r="A214" s="92"/>
      <c r="B214" s="93"/>
      <c r="C214" s="39"/>
      <c r="D214" s="39"/>
      <c r="E214" s="39"/>
      <c r="F214" s="39"/>
      <c r="G214" s="39"/>
      <c r="H214" s="95"/>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96"/>
      <c r="AR214" s="96"/>
      <c r="AS214" s="44"/>
    </row>
    <row r="215">
      <c r="A215" s="92"/>
      <c r="B215" s="93"/>
      <c r="C215" s="39"/>
      <c r="D215" s="39"/>
      <c r="E215" s="39"/>
      <c r="F215" s="39"/>
      <c r="G215" s="39"/>
      <c r="H215" s="95"/>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96"/>
      <c r="AR215" s="96"/>
      <c r="AS215" s="44"/>
    </row>
    <row r="216">
      <c r="A216" s="92"/>
      <c r="B216" s="93"/>
      <c r="C216" s="39"/>
      <c r="D216" s="39"/>
      <c r="E216" s="39"/>
      <c r="F216" s="39"/>
      <c r="G216" s="39"/>
      <c r="H216" s="95"/>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96"/>
      <c r="AR216" s="96"/>
      <c r="AS216" s="44"/>
    </row>
    <row r="217">
      <c r="A217" s="92"/>
      <c r="B217" s="93"/>
      <c r="C217" s="39"/>
      <c r="D217" s="39"/>
      <c r="E217" s="39"/>
      <c r="F217" s="39"/>
      <c r="G217" s="39"/>
      <c r="H217" s="95"/>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96"/>
      <c r="AR217" s="96"/>
      <c r="AS217" s="44"/>
    </row>
    <row r="218">
      <c r="A218" s="92"/>
      <c r="B218" s="93"/>
      <c r="C218" s="39"/>
      <c r="D218" s="39"/>
      <c r="E218" s="39"/>
      <c r="F218" s="39"/>
      <c r="G218" s="39"/>
      <c r="H218" s="95"/>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96"/>
      <c r="AR218" s="96"/>
      <c r="AS218" s="44"/>
    </row>
    <row r="219">
      <c r="A219" s="92"/>
      <c r="B219" s="93"/>
      <c r="C219" s="39"/>
      <c r="D219" s="39"/>
      <c r="E219" s="39"/>
      <c r="F219" s="39"/>
      <c r="G219" s="39"/>
      <c r="H219" s="95"/>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96"/>
      <c r="AR219" s="96"/>
      <c r="AS219" s="44"/>
    </row>
    <row r="220">
      <c r="A220" s="92"/>
      <c r="B220" s="93"/>
      <c r="C220" s="39"/>
      <c r="D220" s="39"/>
      <c r="E220" s="39"/>
      <c r="F220" s="39"/>
      <c r="G220" s="39"/>
      <c r="H220" s="95"/>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96"/>
      <c r="AR220" s="96"/>
      <c r="AS220" s="44"/>
    </row>
    <row r="221">
      <c r="A221" s="92"/>
      <c r="B221" s="93"/>
      <c r="C221" s="39"/>
      <c r="D221" s="39"/>
      <c r="E221" s="39"/>
      <c r="F221" s="39"/>
      <c r="G221" s="39"/>
      <c r="H221" s="95"/>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96"/>
      <c r="AR221" s="96"/>
      <c r="AS221" s="44"/>
    </row>
    <row r="222">
      <c r="A222" s="92"/>
      <c r="B222" s="93"/>
      <c r="C222" s="39"/>
      <c r="D222" s="39"/>
      <c r="E222" s="39"/>
      <c r="F222" s="39"/>
      <c r="G222" s="39"/>
      <c r="H222" s="95"/>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96"/>
      <c r="AR222" s="96"/>
      <c r="AS222" s="44"/>
    </row>
    <row r="223">
      <c r="A223" s="92"/>
      <c r="B223" s="93"/>
      <c r="C223" s="39"/>
      <c r="D223" s="39"/>
      <c r="E223" s="39"/>
      <c r="F223" s="39"/>
      <c r="G223" s="39"/>
      <c r="H223" s="95"/>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96"/>
      <c r="AR223" s="96"/>
      <c r="AS223" s="44"/>
    </row>
    <row r="224">
      <c r="A224" s="92"/>
      <c r="B224" s="93"/>
      <c r="C224" s="39"/>
      <c r="D224" s="39"/>
      <c r="E224" s="39"/>
      <c r="F224" s="39"/>
      <c r="G224" s="39"/>
      <c r="H224" s="95"/>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96"/>
      <c r="AR224" s="96"/>
      <c r="AS224" s="44"/>
    </row>
    <row r="225">
      <c r="A225" s="92"/>
      <c r="B225" s="93"/>
      <c r="C225" s="39"/>
      <c r="D225" s="39"/>
      <c r="E225" s="39"/>
      <c r="F225" s="39"/>
      <c r="G225" s="39"/>
      <c r="H225" s="95"/>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96"/>
      <c r="AR225" s="96"/>
      <c r="AS225" s="44"/>
    </row>
    <row r="226">
      <c r="A226" s="92"/>
      <c r="B226" s="93"/>
      <c r="C226" s="39"/>
      <c r="D226" s="39"/>
      <c r="E226" s="39"/>
      <c r="F226" s="39"/>
      <c r="G226" s="39"/>
      <c r="H226" s="95"/>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96"/>
      <c r="AR226" s="96"/>
      <c r="AS226" s="44"/>
    </row>
    <row r="227">
      <c r="A227" s="92"/>
      <c r="B227" s="93"/>
      <c r="C227" s="39"/>
      <c r="D227" s="39"/>
      <c r="E227" s="39"/>
      <c r="F227" s="39"/>
      <c r="G227" s="39"/>
      <c r="H227" s="95"/>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96"/>
      <c r="AR227" s="96"/>
      <c r="AS227" s="44"/>
    </row>
    <row r="228">
      <c r="A228" s="92"/>
      <c r="B228" s="93"/>
      <c r="C228" s="39"/>
      <c r="D228" s="39"/>
      <c r="E228" s="39"/>
      <c r="F228" s="39"/>
      <c r="G228" s="39"/>
      <c r="H228" s="95"/>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96"/>
      <c r="AR228" s="96"/>
      <c r="AS228" s="44"/>
    </row>
    <row r="229">
      <c r="A229" s="92"/>
      <c r="B229" s="93"/>
      <c r="C229" s="39"/>
      <c r="D229" s="39"/>
      <c r="E229" s="39"/>
      <c r="F229" s="39"/>
      <c r="G229" s="39"/>
      <c r="H229" s="95"/>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96"/>
      <c r="AR229" s="96"/>
      <c r="AS229" s="44"/>
    </row>
    <row r="230">
      <c r="A230" s="92"/>
      <c r="B230" s="93"/>
      <c r="C230" s="39"/>
      <c r="D230" s="39"/>
      <c r="E230" s="39"/>
      <c r="F230" s="39"/>
      <c r="G230" s="39"/>
      <c r="H230" s="95"/>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96"/>
      <c r="AR230" s="96"/>
      <c r="AS230" s="44"/>
    </row>
    <row r="231">
      <c r="A231" s="92"/>
      <c r="B231" s="93"/>
      <c r="C231" s="39"/>
      <c r="D231" s="39"/>
      <c r="E231" s="39"/>
      <c r="F231" s="39"/>
      <c r="G231" s="39"/>
      <c r="H231" s="95"/>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96"/>
      <c r="AR231" s="96"/>
      <c r="AS231" s="44"/>
    </row>
    <row r="232">
      <c r="A232" s="92"/>
      <c r="B232" s="93"/>
      <c r="C232" s="39"/>
      <c r="D232" s="39"/>
      <c r="E232" s="39"/>
      <c r="F232" s="39"/>
      <c r="G232" s="39"/>
      <c r="H232" s="95"/>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96"/>
      <c r="AR232" s="96"/>
      <c r="AS232" s="44"/>
    </row>
    <row r="233">
      <c r="A233" s="92"/>
      <c r="B233" s="93"/>
      <c r="C233" s="39"/>
      <c r="D233" s="39"/>
      <c r="E233" s="39"/>
      <c r="F233" s="39"/>
      <c r="G233" s="39"/>
      <c r="H233" s="95"/>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96"/>
      <c r="AR233" s="96"/>
      <c r="AS233" s="44"/>
    </row>
    <row r="234">
      <c r="A234" s="92"/>
      <c r="B234" s="93"/>
      <c r="C234" s="39"/>
      <c r="D234" s="39"/>
      <c r="E234" s="39"/>
      <c r="F234" s="39"/>
      <c r="G234" s="39"/>
      <c r="H234" s="95"/>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96"/>
      <c r="AR234" s="96"/>
      <c r="AS234" s="44"/>
    </row>
    <row r="235">
      <c r="A235" s="92"/>
      <c r="B235" s="93"/>
      <c r="C235" s="39"/>
      <c r="D235" s="39"/>
      <c r="E235" s="39"/>
      <c r="F235" s="39"/>
      <c r="G235" s="39"/>
      <c r="H235" s="95"/>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96"/>
      <c r="AR235" s="96"/>
      <c r="AS235" s="44"/>
    </row>
    <row r="236">
      <c r="A236" s="92"/>
      <c r="B236" s="93"/>
      <c r="C236" s="39"/>
      <c r="D236" s="39"/>
      <c r="E236" s="39"/>
      <c r="F236" s="39"/>
      <c r="G236" s="39"/>
      <c r="H236" s="95"/>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96"/>
      <c r="AR236" s="96"/>
      <c r="AS236" s="44"/>
    </row>
    <row r="237">
      <c r="A237" s="92"/>
      <c r="B237" s="93"/>
      <c r="C237" s="39"/>
      <c r="D237" s="39"/>
      <c r="E237" s="39"/>
      <c r="F237" s="39"/>
      <c r="G237" s="39"/>
      <c r="H237" s="95"/>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96"/>
      <c r="AR237" s="96"/>
      <c r="AS237" s="44"/>
    </row>
    <row r="238">
      <c r="A238" s="92"/>
      <c r="B238" s="93"/>
      <c r="C238" s="39"/>
      <c r="D238" s="39"/>
      <c r="E238" s="39"/>
      <c r="F238" s="39"/>
      <c r="G238" s="39"/>
      <c r="H238" s="95"/>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96"/>
      <c r="AR238" s="96"/>
      <c r="AS238" s="44"/>
    </row>
    <row r="239">
      <c r="A239" s="92"/>
      <c r="B239" s="93"/>
      <c r="C239" s="39"/>
      <c r="D239" s="39"/>
      <c r="E239" s="39"/>
      <c r="F239" s="39"/>
      <c r="G239" s="39"/>
      <c r="H239" s="95"/>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96"/>
      <c r="AR239" s="96"/>
      <c r="AS239" s="44"/>
    </row>
    <row r="240">
      <c r="A240" s="92"/>
      <c r="B240" s="93"/>
      <c r="C240" s="39"/>
      <c r="D240" s="39"/>
      <c r="E240" s="39"/>
      <c r="F240" s="39"/>
      <c r="G240" s="39"/>
      <c r="H240" s="95"/>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96"/>
      <c r="AR240" s="96"/>
      <c r="AS240" s="44"/>
    </row>
    <row r="241">
      <c r="A241" s="92"/>
      <c r="B241" s="93"/>
      <c r="C241" s="39"/>
      <c r="D241" s="39"/>
      <c r="E241" s="39"/>
      <c r="F241" s="39"/>
      <c r="G241" s="39"/>
      <c r="H241" s="95"/>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96"/>
      <c r="AR241" s="96"/>
      <c r="AS241" s="44"/>
    </row>
    <row r="242">
      <c r="A242" s="92"/>
      <c r="B242" s="93"/>
      <c r="C242" s="39"/>
      <c r="D242" s="39"/>
      <c r="E242" s="39"/>
      <c r="F242" s="39"/>
      <c r="G242" s="39"/>
      <c r="H242" s="95"/>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96"/>
      <c r="AR242" s="96"/>
      <c r="AS242" s="44"/>
    </row>
    <row r="243">
      <c r="A243" s="92"/>
      <c r="B243" s="93"/>
      <c r="C243" s="39"/>
      <c r="D243" s="39"/>
      <c r="E243" s="39"/>
      <c r="F243" s="39"/>
      <c r="G243" s="39"/>
      <c r="H243" s="95"/>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96"/>
      <c r="AR243" s="96"/>
      <c r="AS243" s="44"/>
    </row>
    <row r="244">
      <c r="A244" s="92"/>
      <c r="B244" s="93"/>
      <c r="C244" s="39"/>
      <c r="D244" s="39"/>
      <c r="E244" s="39"/>
      <c r="F244" s="39"/>
      <c r="G244" s="39"/>
      <c r="H244" s="95"/>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96"/>
      <c r="AR244" s="96"/>
      <c r="AS244" s="44"/>
    </row>
    <row r="245">
      <c r="A245" s="92"/>
      <c r="B245" s="93"/>
      <c r="C245" s="39"/>
      <c r="D245" s="39"/>
      <c r="E245" s="39"/>
      <c r="F245" s="39"/>
      <c r="G245" s="39"/>
      <c r="H245" s="95"/>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96"/>
      <c r="AR245" s="96"/>
      <c r="AS245" s="44"/>
    </row>
    <row r="246">
      <c r="A246" s="92"/>
      <c r="B246" s="93"/>
      <c r="C246" s="39"/>
      <c r="D246" s="39"/>
      <c r="E246" s="39"/>
      <c r="F246" s="39"/>
      <c r="G246" s="39"/>
      <c r="H246" s="95"/>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96"/>
      <c r="AR246" s="96"/>
      <c r="AS246" s="44"/>
    </row>
    <row r="247">
      <c r="A247" s="92"/>
      <c r="B247" s="93"/>
      <c r="C247" s="39"/>
      <c r="D247" s="39"/>
      <c r="E247" s="39"/>
      <c r="F247" s="39"/>
      <c r="G247" s="39"/>
      <c r="H247" s="95"/>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96"/>
      <c r="AR247" s="96"/>
      <c r="AS247" s="44"/>
    </row>
    <row r="248">
      <c r="A248" s="92"/>
      <c r="B248" s="93"/>
      <c r="C248" s="39"/>
      <c r="D248" s="39"/>
      <c r="E248" s="39"/>
      <c r="F248" s="39"/>
      <c r="G248" s="39"/>
      <c r="H248" s="95"/>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96"/>
      <c r="AR248" s="96"/>
      <c r="AS248" s="44"/>
    </row>
    <row r="249">
      <c r="A249" s="92"/>
      <c r="B249" s="93"/>
      <c r="C249" s="39"/>
      <c r="D249" s="39"/>
      <c r="E249" s="39"/>
      <c r="F249" s="39"/>
      <c r="G249" s="39"/>
      <c r="H249" s="95"/>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96"/>
      <c r="AR249" s="96"/>
      <c r="AS249" s="44"/>
    </row>
    <row r="250">
      <c r="A250" s="92"/>
      <c r="B250" s="93"/>
      <c r="C250" s="39"/>
      <c r="D250" s="39"/>
      <c r="E250" s="39"/>
      <c r="F250" s="39"/>
      <c r="G250" s="39"/>
      <c r="H250" s="95"/>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96"/>
      <c r="AR250" s="96"/>
      <c r="AS250" s="44"/>
    </row>
    <row r="251">
      <c r="A251" s="92"/>
      <c r="B251" s="93"/>
      <c r="C251" s="39"/>
      <c r="D251" s="39"/>
      <c r="E251" s="39"/>
      <c r="F251" s="39"/>
      <c r="G251" s="39"/>
      <c r="H251" s="95"/>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96"/>
      <c r="AR251" s="96"/>
      <c r="AS251" s="44"/>
    </row>
    <row r="252">
      <c r="A252" s="92"/>
      <c r="B252" s="93"/>
      <c r="C252" s="39"/>
      <c r="D252" s="39"/>
      <c r="E252" s="39"/>
      <c r="F252" s="39"/>
      <c r="G252" s="39"/>
      <c r="H252" s="95"/>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96"/>
      <c r="AR252" s="96"/>
      <c r="AS252" s="44"/>
    </row>
    <row r="253">
      <c r="A253" s="92"/>
      <c r="B253" s="93"/>
      <c r="C253" s="39"/>
      <c r="D253" s="39"/>
      <c r="E253" s="39"/>
      <c r="F253" s="39"/>
      <c r="G253" s="39"/>
      <c r="H253" s="95"/>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96"/>
      <c r="AR253" s="96"/>
      <c r="AS253" s="44"/>
    </row>
    <row r="254">
      <c r="A254" s="92"/>
      <c r="B254" s="93"/>
      <c r="C254" s="39"/>
      <c r="D254" s="39"/>
      <c r="E254" s="39"/>
      <c r="F254" s="39"/>
      <c r="G254" s="39"/>
      <c r="H254" s="95"/>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96"/>
      <c r="AR254" s="96"/>
      <c r="AS254" s="44"/>
    </row>
    <row r="255">
      <c r="A255" s="92"/>
      <c r="B255" s="93"/>
      <c r="C255" s="39"/>
      <c r="D255" s="39"/>
      <c r="E255" s="39"/>
      <c r="F255" s="39"/>
      <c r="G255" s="39"/>
      <c r="H255" s="95"/>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96"/>
      <c r="AR255" s="96"/>
      <c r="AS255" s="44"/>
    </row>
    <row r="256">
      <c r="A256" s="92"/>
      <c r="B256" s="93"/>
      <c r="C256" s="39"/>
      <c r="D256" s="39"/>
      <c r="E256" s="39"/>
      <c r="F256" s="39"/>
      <c r="G256" s="39"/>
      <c r="H256" s="95"/>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96"/>
      <c r="AR256" s="96"/>
      <c r="AS256" s="44"/>
    </row>
    <row r="257">
      <c r="A257" s="92"/>
      <c r="B257" s="93"/>
      <c r="C257" s="39"/>
      <c r="D257" s="39"/>
      <c r="E257" s="39"/>
      <c r="F257" s="39"/>
      <c r="G257" s="39"/>
      <c r="H257" s="95"/>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96"/>
      <c r="AR257" s="96"/>
      <c r="AS257" s="44"/>
    </row>
    <row r="258">
      <c r="A258" s="92"/>
      <c r="B258" s="93"/>
      <c r="C258" s="39"/>
      <c r="D258" s="39"/>
      <c r="E258" s="39"/>
      <c r="F258" s="39"/>
      <c r="G258" s="39"/>
      <c r="H258" s="95"/>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96"/>
      <c r="AR258" s="96"/>
      <c r="AS258" s="44"/>
    </row>
    <row r="259">
      <c r="A259" s="92"/>
      <c r="B259" s="93"/>
      <c r="C259" s="39"/>
      <c r="D259" s="39"/>
      <c r="E259" s="39"/>
      <c r="F259" s="39"/>
      <c r="G259" s="39"/>
      <c r="H259" s="95"/>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96"/>
      <c r="AR259" s="96"/>
      <c r="AS259" s="44"/>
    </row>
    <row r="260">
      <c r="A260" s="92"/>
      <c r="B260" s="93"/>
      <c r="C260" s="39"/>
      <c r="D260" s="39"/>
      <c r="E260" s="39"/>
      <c r="F260" s="39"/>
      <c r="G260" s="39"/>
      <c r="H260" s="95"/>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96"/>
      <c r="AR260" s="96"/>
      <c r="AS260" s="44"/>
    </row>
    <row r="261">
      <c r="A261" s="92"/>
      <c r="B261" s="93"/>
      <c r="C261" s="39"/>
      <c r="D261" s="39"/>
      <c r="E261" s="39"/>
      <c r="F261" s="39"/>
      <c r="G261" s="39"/>
      <c r="H261" s="95"/>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96"/>
      <c r="AR261" s="96"/>
      <c r="AS261" s="44"/>
    </row>
    <row r="262">
      <c r="A262" s="92"/>
      <c r="B262" s="93"/>
      <c r="C262" s="39"/>
      <c r="D262" s="39"/>
      <c r="E262" s="39"/>
      <c r="F262" s="39"/>
      <c r="G262" s="39"/>
      <c r="H262" s="95"/>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96"/>
      <c r="AR262" s="96"/>
      <c r="AS262" s="44"/>
    </row>
    <row r="263">
      <c r="A263" s="92"/>
      <c r="B263" s="93"/>
      <c r="C263" s="39"/>
      <c r="D263" s="39"/>
      <c r="E263" s="39"/>
      <c r="F263" s="39"/>
      <c r="G263" s="39"/>
      <c r="H263" s="95"/>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96"/>
      <c r="AR263" s="96"/>
      <c r="AS263" s="44"/>
    </row>
    <row r="264">
      <c r="A264" s="92"/>
      <c r="B264" s="93"/>
      <c r="C264" s="39"/>
      <c r="D264" s="39"/>
      <c r="E264" s="39"/>
      <c r="F264" s="39"/>
      <c r="G264" s="39"/>
      <c r="H264" s="95"/>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96"/>
      <c r="AR264" s="96"/>
      <c r="AS264" s="44"/>
    </row>
    <row r="265">
      <c r="A265" s="92"/>
      <c r="B265" s="93"/>
      <c r="C265" s="39"/>
      <c r="D265" s="39"/>
      <c r="E265" s="39"/>
      <c r="F265" s="39"/>
      <c r="G265" s="39"/>
      <c r="H265" s="95"/>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96"/>
      <c r="AR265" s="96"/>
      <c r="AS265" s="44"/>
    </row>
    <row r="266">
      <c r="A266" s="92"/>
      <c r="B266" s="93"/>
      <c r="C266" s="39"/>
      <c r="D266" s="39"/>
      <c r="E266" s="39"/>
      <c r="F266" s="39"/>
      <c r="G266" s="39"/>
      <c r="H266" s="95"/>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96"/>
      <c r="AR266" s="96"/>
      <c r="AS266" s="44"/>
    </row>
    <row r="267">
      <c r="A267" s="92"/>
      <c r="B267" s="93"/>
      <c r="C267" s="39"/>
      <c r="D267" s="39"/>
      <c r="E267" s="39"/>
      <c r="F267" s="39"/>
      <c r="G267" s="39"/>
      <c r="H267" s="95"/>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96"/>
      <c r="AR267" s="96"/>
      <c r="AS267" s="44"/>
    </row>
    <row r="268">
      <c r="A268" s="92"/>
      <c r="B268" s="93"/>
      <c r="C268" s="39"/>
      <c r="D268" s="39"/>
      <c r="E268" s="39"/>
      <c r="F268" s="39"/>
      <c r="G268" s="39"/>
      <c r="H268" s="95"/>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96"/>
      <c r="AR268" s="96"/>
      <c r="AS268" s="44"/>
    </row>
    <row r="269">
      <c r="A269" s="92"/>
      <c r="B269" s="93"/>
      <c r="C269" s="39"/>
      <c r="D269" s="39"/>
      <c r="E269" s="39"/>
      <c r="F269" s="39"/>
      <c r="G269" s="39"/>
      <c r="H269" s="95"/>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96"/>
      <c r="AR269" s="96"/>
      <c r="AS269" s="44"/>
    </row>
    <row r="270">
      <c r="A270" s="92"/>
      <c r="B270" s="93"/>
      <c r="C270" s="39"/>
      <c r="D270" s="39"/>
      <c r="E270" s="39"/>
      <c r="F270" s="39"/>
      <c r="G270" s="39"/>
      <c r="H270" s="95"/>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96"/>
      <c r="AR270" s="96"/>
      <c r="AS270" s="44"/>
    </row>
    <row r="271">
      <c r="A271" s="92"/>
      <c r="B271" s="93"/>
      <c r="C271" s="39"/>
      <c r="D271" s="39"/>
      <c r="E271" s="39"/>
      <c r="F271" s="39"/>
      <c r="G271" s="39"/>
      <c r="H271" s="95"/>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96"/>
      <c r="AR271" s="96"/>
      <c r="AS271" s="44"/>
    </row>
    <row r="272">
      <c r="A272" s="92"/>
      <c r="B272" s="93"/>
      <c r="C272" s="39"/>
      <c r="D272" s="39"/>
      <c r="E272" s="39"/>
      <c r="F272" s="39"/>
      <c r="G272" s="39"/>
      <c r="H272" s="95"/>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96"/>
      <c r="AR272" s="96"/>
      <c r="AS272" s="44"/>
    </row>
    <row r="273">
      <c r="A273" s="92"/>
      <c r="B273" s="93"/>
      <c r="C273" s="39"/>
      <c r="D273" s="39"/>
      <c r="E273" s="39"/>
      <c r="F273" s="39"/>
      <c r="G273" s="39"/>
      <c r="H273" s="95"/>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96"/>
      <c r="AR273" s="96"/>
      <c r="AS273" s="44"/>
    </row>
    <row r="274">
      <c r="A274" s="92"/>
      <c r="B274" s="93"/>
      <c r="C274" s="39"/>
      <c r="D274" s="39"/>
      <c r="E274" s="39"/>
      <c r="F274" s="39"/>
      <c r="G274" s="39"/>
      <c r="H274" s="95"/>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96"/>
      <c r="AR274" s="96"/>
      <c r="AS274" s="44"/>
    </row>
    <row r="275">
      <c r="A275" s="92"/>
      <c r="B275" s="93"/>
      <c r="C275" s="39"/>
      <c r="D275" s="39"/>
      <c r="E275" s="39"/>
      <c r="F275" s="39"/>
      <c r="G275" s="39"/>
      <c r="H275" s="95"/>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96"/>
      <c r="AR275" s="96"/>
      <c r="AS275" s="44"/>
    </row>
    <row r="276">
      <c r="A276" s="92"/>
      <c r="B276" s="93"/>
      <c r="C276" s="39"/>
      <c r="D276" s="39"/>
      <c r="E276" s="39"/>
      <c r="F276" s="39"/>
      <c r="G276" s="39"/>
      <c r="H276" s="95"/>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96"/>
      <c r="AR276" s="96"/>
      <c r="AS276" s="44"/>
    </row>
    <row r="277">
      <c r="A277" s="92"/>
      <c r="B277" s="93"/>
      <c r="C277" s="39"/>
      <c r="D277" s="39"/>
      <c r="E277" s="39"/>
      <c r="F277" s="39"/>
      <c r="G277" s="39"/>
      <c r="H277" s="95"/>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96"/>
      <c r="AR277" s="96"/>
      <c r="AS277" s="44"/>
    </row>
    <row r="278">
      <c r="A278" s="92"/>
      <c r="B278" s="93"/>
      <c r="C278" s="39"/>
      <c r="D278" s="39"/>
      <c r="E278" s="39"/>
      <c r="F278" s="39"/>
      <c r="G278" s="39"/>
      <c r="H278" s="95"/>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96"/>
      <c r="AR278" s="96"/>
      <c r="AS278" s="44"/>
    </row>
    <row r="279">
      <c r="A279" s="92"/>
      <c r="B279" s="93"/>
      <c r="C279" s="39"/>
      <c r="D279" s="39"/>
      <c r="E279" s="39"/>
      <c r="F279" s="39"/>
      <c r="G279" s="39"/>
      <c r="H279" s="95"/>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96"/>
      <c r="AR279" s="96"/>
      <c r="AS279" s="44"/>
    </row>
    <row r="280">
      <c r="A280" s="92"/>
      <c r="B280" s="93"/>
      <c r="C280" s="39"/>
      <c r="D280" s="39"/>
      <c r="E280" s="39"/>
      <c r="F280" s="39"/>
      <c r="G280" s="39"/>
      <c r="H280" s="95"/>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96"/>
      <c r="AR280" s="96"/>
      <c r="AS280" s="44"/>
    </row>
    <row r="281">
      <c r="A281" s="92"/>
      <c r="B281" s="93"/>
      <c r="C281" s="39"/>
      <c r="D281" s="39"/>
      <c r="E281" s="39"/>
      <c r="F281" s="39"/>
      <c r="G281" s="39"/>
      <c r="H281" s="95"/>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96"/>
      <c r="AR281" s="96"/>
      <c r="AS281" s="44"/>
    </row>
    <row r="282">
      <c r="A282" s="92"/>
      <c r="B282" s="93"/>
      <c r="C282" s="39"/>
      <c r="D282" s="39"/>
      <c r="E282" s="39"/>
      <c r="F282" s="39"/>
      <c r="G282" s="39"/>
      <c r="H282" s="95"/>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96"/>
      <c r="AR282" s="96"/>
      <c r="AS282" s="44"/>
    </row>
    <row r="283">
      <c r="A283" s="92"/>
      <c r="B283" s="93"/>
      <c r="C283" s="39"/>
      <c r="D283" s="39"/>
      <c r="E283" s="39"/>
      <c r="F283" s="39"/>
      <c r="G283" s="39"/>
      <c r="H283" s="95"/>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96"/>
      <c r="AR283" s="96"/>
      <c r="AS283" s="44"/>
    </row>
    <row r="284">
      <c r="A284" s="92"/>
      <c r="B284" s="93"/>
      <c r="C284" s="39"/>
      <c r="D284" s="39"/>
      <c r="E284" s="39"/>
      <c r="F284" s="39"/>
      <c r="G284" s="39"/>
      <c r="H284" s="95"/>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96"/>
      <c r="AR284" s="96"/>
      <c r="AS284" s="44"/>
    </row>
    <row r="285">
      <c r="A285" s="92"/>
      <c r="B285" s="93"/>
      <c r="C285" s="39"/>
      <c r="D285" s="39"/>
      <c r="E285" s="39"/>
      <c r="F285" s="39"/>
      <c r="G285" s="39"/>
      <c r="H285" s="95"/>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96"/>
      <c r="AR285" s="96"/>
      <c r="AS285" s="44"/>
    </row>
    <row r="286">
      <c r="A286" s="92"/>
      <c r="B286" s="93"/>
      <c r="C286" s="39"/>
      <c r="D286" s="39"/>
      <c r="E286" s="39"/>
      <c r="F286" s="39"/>
      <c r="G286" s="39"/>
      <c r="H286" s="95"/>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96"/>
      <c r="AR286" s="96"/>
      <c r="AS286" s="44"/>
    </row>
    <row r="287">
      <c r="A287" s="92"/>
      <c r="B287" s="93"/>
      <c r="C287" s="39"/>
      <c r="D287" s="39"/>
      <c r="E287" s="39"/>
      <c r="F287" s="39"/>
      <c r="G287" s="39"/>
      <c r="H287" s="95"/>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96"/>
      <c r="AR287" s="96"/>
      <c r="AS287" s="44"/>
    </row>
    <row r="288">
      <c r="A288" s="92"/>
      <c r="B288" s="93"/>
      <c r="C288" s="39"/>
      <c r="D288" s="39"/>
      <c r="E288" s="39"/>
      <c r="F288" s="39"/>
      <c r="G288" s="39"/>
      <c r="H288" s="95"/>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96"/>
      <c r="AR288" s="96"/>
      <c r="AS288" s="44"/>
    </row>
    <row r="289">
      <c r="A289" s="92"/>
      <c r="B289" s="93"/>
      <c r="C289" s="39"/>
      <c r="D289" s="39"/>
      <c r="E289" s="39"/>
      <c r="F289" s="39"/>
      <c r="G289" s="39"/>
      <c r="H289" s="95"/>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96"/>
      <c r="AR289" s="96"/>
      <c r="AS289" s="44"/>
    </row>
    <row r="290">
      <c r="A290" s="92"/>
      <c r="B290" s="93"/>
      <c r="C290" s="39"/>
      <c r="D290" s="39"/>
      <c r="E290" s="39"/>
      <c r="F290" s="39"/>
      <c r="G290" s="39"/>
      <c r="H290" s="95"/>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96"/>
      <c r="AR290" s="96"/>
      <c r="AS290" s="44"/>
    </row>
    <row r="291">
      <c r="A291" s="92"/>
      <c r="B291" s="93"/>
      <c r="C291" s="39"/>
      <c r="D291" s="39"/>
      <c r="E291" s="39"/>
      <c r="F291" s="39"/>
      <c r="G291" s="39"/>
      <c r="H291" s="95"/>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96"/>
      <c r="AR291" s="96"/>
      <c r="AS291" s="44"/>
    </row>
    <row r="292">
      <c r="A292" s="92"/>
      <c r="B292" s="93"/>
      <c r="C292" s="39"/>
      <c r="D292" s="39"/>
      <c r="E292" s="39"/>
      <c r="F292" s="39"/>
      <c r="G292" s="39"/>
      <c r="H292" s="95"/>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96"/>
      <c r="AR292" s="96"/>
      <c r="AS292" s="44"/>
    </row>
    <row r="293">
      <c r="A293" s="92"/>
      <c r="B293" s="93"/>
      <c r="C293" s="39"/>
      <c r="D293" s="39"/>
      <c r="E293" s="39"/>
      <c r="F293" s="39"/>
      <c r="G293" s="39"/>
      <c r="H293" s="95"/>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96"/>
      <c r="AR293" s="96"/>
      <c r="AS293" s="44"/>
    </row>
    <row r="294">
      <c r="A294" s="92"/>
      <c r="B294" s="93"/>
      <c r="C294" s="39"/>
      <c r="D294" s="39"/>
      <c r="E294" s="39"/>
      <c r="F294" s="39"/>
      <c r="G294" s="39"/>
      <c r="H294" s="95"/>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96"/>
      <c r="AR294" s="96"/>
      <c r="AS294" s="44"/>
    </row>
    <row r="295">
      <c r="A295" s="92"/>
      <c r="B295" s="93"/>
      <c r="C295" s="39"/>
      <c r="D295" s="39"/>
      <c r="E295" s="39"/>
      <c r="F295" s="39"/>
      <c r="G295" s="39"/>
      <c r="H295" s="95"/>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96"/>
      <c r="AR295" s="96"/>
      <c r="AS295" s="44"/>
    </row>
    <row r="296">
      <c r="A296" s="92"/>
      <c r="B296" s="93"/>
      <c r="C296" s="39"/>
      <c r="D296" s="39"/>
      <c r="E296" s="39"/>
      <c r="F296" s="39"/>
      <c r="G296" s="39"/>
      <c r="H296" s="95"/>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96"/>
      <c r="AR296" s="96"/>
      <c r="AS296" s="44"/>
    </row>
    <row r="297">
      <c r="A297" s="92"/>
      <c r="B297" s="93"/>
      <c r="C297" s="39"/>
      <c r="D297" s="39"/>
      <c r="E297" s="39"/>
      <c r="F297" s="39"/>
      <c r="G297" s="39"/>
      <c r="H297" s="95"/>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96"/>
      <c r="AR297" s="96"/>
      <c r="AS297" s="44"/>
    </row>
    <row r="298">
      <c r="A298" s="92"/>
      <c r="B298" s="93"/>
      <c r="C298" s="39"/>
      <c r="D298" s="39"/>
      <c r="E298" s="39"/>
      <c r="F298" s="39"/>
      <c r="G298" s="39"/>
      <c r="H298" s="95"/>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96"/>
      <c r="AR298" s="96"/>
      <c r="AS298" s="44"/>
    </row>
    <row r="299">
      <c r="A299" s="92"/>
      <c r="B299" s="93"/>
      <c r="C299" s="39"/>
      <c r="D299" s="39"/>
      <c r="E299" s="39"/>
      <c r="F299" s="39"/>
      <c r="G299" s="39"/>
      <c r="H299" s="95"/>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96"/>
      <c r="AR299" s="96"/>
      <c r="AS299" s="44"/>
    </row>
    <row r="300">
      <c r="A300" s="92"/>
      <c r="B300" s="93"/>
      <c r="C300" s="39"/>
      <c r="D300" s="39"/>
      <c r="E300" s="39"/>
      <c r="F300" s="39"/>
      <c r="G300" s="39"/>
      <c r="H300" s="95"/>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96"/>
      <c r="AR300" s="96"/>
      <c r="AS300" s="44"/>
    </row>
    <row r="301">
      <c r="A301" s="92"/>
      <c r="B301" s="93"/>
      <c r="C301" s="39"/>
      <c r="D301" s="39"/>
      <c r="E301" s="39"/>
      <c r="F301" s="39"/>
      <c r="G301" s="39"/>
      <c r="H301" s="95"/>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96"/>
      <c r="AR301" s="96"/>
      <c r="AS301" s="44"/>
    </row>
    <row r="302">
      <c r="A302" s="92"/>
      <c r="B302" s="93"/>
      <c r="C302" s="39"/>
      <c r="D302" s="39"/>
      <c r="E302" s="39"/>
      <c r="F302" s="39"/>
      <c r="G302" s="39"/>
      <c r="H302" s="95"/>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96"/>
      <c r="AR302" s="96"/>
      <c r="AS302" s="44"/>
    </row>
    <row r="303">
      <c r="A303" s="92"/>
      <c r="B303" s="93"/>
      <c r="C303" s="39"/>
      <c r="D303" s="39"/>
      <c r="E303" s="39"/>
      <c r="F303" s="39"/>
      <c r="G303" s="39"/>
      <c r="H303" s="95"/>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96"/>
      <c r="AR303" s="96"/>
      <c r="AS303" s="44"/>
    </row>
    <row r="304">
      <c r="A304" s="92"/>
      <c r="B304" s="93"/>
      <c r="C304" s="39"/>
      <c r="D304" s="39"/>
      <c r="E304" s="39"/>
      <c r="F304" s="39"/>
      <c r="G304" s="39"/>
      <c r="H304" s="95"/>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96"/>
      <c r="AR304" s="96"/>
      <c r="AS304" s="44"/>
    </row>
    <row r="305">
      <c r="A305" s="92"/>
      <c r="B305" s="93"/>
      <c r="C305" s="39"/>
      <c r="D305" s="39"/>
      <c r="E305" s="39"/>
      <c r="F305" s="39"/>
      <c r="G305" s="39"/>
      <c r="H305" s="95"/>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96"/>
      <c r="AR305" s="96"/>
      <c r="AS305" s="44"/>
    </row>
    <row r="306">
      <c r="A306" s="92"/>
      <c r="B306" s="93"/>
      <c r="C306" s="39"/>
      <c r="D306" s="39"/>
      <c r="E306" s="39"/>
      <c r="F306" s="39"/>
      <c r="G306" s="39"/>
      <c r="H306" s="95"/>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96"/>
      <c r="AR306" s="96"/>
      <c r="AS306" s="44"/>
    </row>
    <row r="307">
      <c r="A307" s="92"/>
      <c r="B307" s="93"/>
      <c r="C307" s="39"/>
      <c r="D307" s="39"/>
      <c r="E307" s="39"/>
      <c r="F307" s="39"/>
      <c r="G307" s="39"/>
      <c r="H307" s="95"/>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96"/>
      <c r="AR307" s="96"/>
      <c r="AS307" s="44"/>
    </row>
    <row r="308">
      <c r="A308" s="92"/>
      <c r="B308" s="93"/>
      <c r="C308" s="39"/>
      <c r="D308" s="39"/>
      <c r="E308" s="39"/>
      <c r="F308" s="39"/>
      <c r="G308" s="39"/>
      <c r="H308" s="95"/>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96"/>
      <c r="AR308" s="96"/>
      <c r="AS308" s="44"/>
    </row>
    <row r="309">
      <c r="A309" s="92"/>
      <c r="B309" s="93"/>
      <c r="C309" s="39"/>
      <c r="D309" s="39"/>
      <c r="E309" s="39"/>
      <c r="F309" s="39"/>
      <c r="G309" s="39"/>
      <c r="H309" s="95"/>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96"/>
      <c r="AR309" s="96"/>
      <c r="AS309" s="44"/>
    </row>
    <row r="310">
      <c r="A310" s="92"/>
      <c r="B310" s="93"/>
      <c r="C310" s="39"/>
      <c r="D310" s="39"/>
      <c r="E310" s="39"/>
      <c r="F310" s="39"/>
      <c r="G310" s="39"/>
      <c r="H310" s="95"/>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96"/>
      <c r="AR310" s="96"/>
      <c r="AS310" s="44"/>
    </row>
    <row r="311">
      <c r="A311" s="92"/>
      <c r="B311" s="93"/>
      <c r="C311" s="39"/>
      <c r="D311" s="39"/>
      <c r="E311" s="39"/>
      <c r="F311" s="39"/>
      <c r="G311" s="39"/>
      <c r="H311" s="95"/>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96"/>
      <c r="AR311" s="96"/>
      <c r="AS311" s="44"/>
    </row>
    <row r="312">
      <c r="A312" s="92"/>
      <c r="B312" s="93"/>
      <c r="C312" s="39"/>
      <c r="D312" s="39"/>
      <c r="E312" s="39"/>
      <c r="F312" s="39"/>
      <c r="G312" s="39"/>
      <c r="H312" s="95"/>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96"/>
      <c r="AR312" s="96"/>
      <c r="AS312" s="44"/>
    </row>
    <row r="313">
      <c r="A313" s="92"/>
      <c r="B313" s="93"/>
      <c r="C313" s="39"/>
      <c r="D313" s="39"/>
      <c r="E313" s="39"/>
      <c r="F313" s="39"/>
      <c r="G313" s="39"/>
      <c r="H313" s="95"/>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96"/>
      <c r="AR313" s="96"/>
      <c r="AS313" s="44"/>
    </row>
    <row r="314">
      <c r="A314" s="92"/>
      <c r="B314" s="93"/>
      <c r="C314" s="39"/>
      <c r="D314" s="39"/>
      <c r="E314" s="39"/>
      <c r="F314" s="39"/>
      <c r="G314" s="39"/>
      <c r="H314" s="95"/>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96"/>
      <c r="AR314" s="96"/>
      <c r="AS314" s="44"/>
    </row>
    <row r="315">
      <c r="A315" s="92"/>
      <c r="B315" s="93"/>
      <c r="C315" s="39"/>
      <c r="D315" s="39"/>
      <c r="E315" s="39"/>
      <c r="F315" s="39"/>
      <c r="G315" s="39"/>
      <c r="H315" s="95"/>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96"/>
      <c r="AR315" s="96"/>
      <c r="AS315" s="44"/>
    </row>
    <row r="316">
      <c r="A316" s="92"/>
      <c r="B316" s="93"/>
      <c r="C316" s="39"/>
      <c r="D316" s="39"/>
      <c r="E316" s="39"/>
      <c r="F316" s="39"/>
      <c r="G316" s="39"/>
      <c r="H316" s="95"/>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96"/>
      <c r="AR316" s="96"/>
      <c r="AS316" s="44"/>
    </row>
    <row r="317">
      <c r="A317" s="92"/>
      <c r="B317" s="93"/>
      <c r="C317" s="39"/>
      <c r="D317" s="39"/>
      <c r="E317" s="39"/>
      <c r="F317" s="39"/>
      <c r="G317" s="39"/>
      <c r="H317" s="95"/>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96"/>
      <c r="AR317" s="96"/>
      <c r="AS317" s="44"/>
    </row>
    <row r="318">
      <c r="A318" s="92"/>
      <c r="B318" s="93"/>
      <c r="C318" s="39"/>
      <c r="D318" s="39"/>
      <c r="E318" s="39"/>
      <c r="F318" s="39"/>
      <c r="G318" s="39"/>
      <c r="H318" s="95"/>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96"/>
      <c r="AR318" s="96"/>
      <c r="AS318" s="44"/>
    </row>
    <row r="319">
      <c r="A319" s="92"/>
      <c r="B319" s="93"/>
      <c r="C319" s="39"/>
      <c r="D319" s="39"/>
      <c r="E319" s="39"/>
      <c r="F319" s="39"/>
      <c r="G319" s="39"/>
      <c r="H319" s="95"/>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96"/>
      <c r="AR319" s="96"/>
      <c r="AS319" s="44"/>
    </row>
    <row r="320">
      <c r="A320" s="92"/>
      <c r="B320" s="93"/>
      <c r="C320" s="39"/>
      <c r="D320" s="39"/>
      <c r="E320" s="39"/>
      <c r="F320" s="39"/>
      <c r="G320" s="39"/>
      <c r="H320" s="95"/>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96"/>
      <c r="AR320" s="96"/>
      <c r="AS320" s="44"/>
    </row>
    <row r="321">
      <c r="A321" s="92"/>
      <c r="B321" s="93"/>
      <c r="C321" s="39"/>
      <c r="D321" s="39"/>
      <c r="E321" s="39"/>
      <c r="F321" s="39"/>
      <c r="G321" s="39"/>
      <c r="H321" s="95"/>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96"/>
      <c r="AR321" s="96"/>
      <c r="AS321" s="44"/>
    </row>
    <row r="322">
      <c r="A322" s="92"/>
      <c r="B322" s="93"/>
      <c r="C322" s="39"/>
      <c r="D322" s="39"/>
      <c r="E322" s="39"/>
      <c r="F322" s="39"/>
      <c r="G322" s="39"/>
      <c r="H322" s="95"/>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96"/>
      <c r="AR322" s="96"/>
      <c r="AS322" s="44"/>
    </row>
    <row r="323">
      <c r="A323" s="92"/>
      <c r="B323" s="93"/>
      <c r="C323" s="39"/>
      <c r="D323" s="39"/>
      <c r="E323" s="39"/>
      <c r="F323" s="39"/>
      <c r="G323" s="39"/>
      <c r="H323" s="95"/>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96"/>
      <c r="AR323" s="96"/>
      <c r="AS323" s="44"/>
    </row>
    <row r="324">
      <c r="A324" s="92"/>
      <c r="B324" s="93"/>
      <c r="C324" s="39"/>
      <c r="D324" s="39"/>
      <c r="E324" s="39"/>
      <c r="F324" s="39"/>
      <c r="G324" s="39"/>
      <c r="H324" s="95"/>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96"/>
      <c r="AR324" s="96"/>
      <c r="AS324" s="44"/>
    </row>
    <row r="325">
      <c r="A325" s="92"/>
      <c r="B325" s="93"/>
      <c r="C325" s="39"/>
      <c r="D325" s="39"/>
      <c r="E325" s="39"/>
      <c r="F325" s="39"/>
      <c r="G325" s="39"/>
      <c r="H325" s="95"/>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96"/>
      <c r="AR325" s="96"/>
      <c r="AS325" s="44"/>
    </row>
    <row r="326">
      <c r="A326" s="92"/>
      <c r="B326" s="93"/>
      <c r="C326" s="39"/>
      <c r="D326" s="39"/>
      <c r="E326" s="39"/>
      <c r="F326" s="39"/>
      <c r="G326" s="39"/>
      <c r="H326" s="95"/>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96"/>
      <c r="AR326" s="96"/>
      <c r="AS326" s="44"/>
    </row>
    <row r="327">
      <c r="A327" s="92"/>
      <c r="B327" s="93"/>
      <c r="C327" s="39"/>
      <c r="D327" s="39"/>
      <c r="E327" s="39"/>
      <c r="F327" s="39"/>
      <c r="G327" s="39"/>
      <c r="H327" s="95"/>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96"/>
      <c r="AR327" s="96"/>
      <c r="AS327" s="44"/>
    </row>
    <row r="328">
      <c r="A328" s="92"/>
      <c r="B328" s="93"/>
      <c r="C328" s="39"/>
      <c r="D328" s="39"/>
      <c r="E328" s="39"/>
      <c r="F328" s="39"/>
      <c r="G328" s="39"/>
      <c r="H328" s="95"/>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96"/>
      <c r="AR328" s="96"/>
      <c r="AS328" s="44"/>
    </row>
    <row r="329">
      <c r="A329" s="92"/>
      <c r="B329" s="93"/>
      <c r="C329" s="39"/>
      <c r="D329" s="39"/>
      <c r="E329" s="39"/>
      <c r="F329" s="39"/>
      <c r="G329" s="39"/>
      <c r="H329" s="95"/>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96"/>
      <c r="AR329" s="96"/>
      <c r="AS329" s="44"/>
    </row>
    <row r="330">
      <c r="A330" s="92"/>
      <c r="B330" s="93"/>
      <c r="C330" s="39"/>
      <c r="D330" s="39"/>
      <c r="E330" s="39"/>
      <c r="F330" s="39"/>
      <c r="G330" s="39"/>
      <c r="H330" s="95"/>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96"/>
      <c r="AR330" s="96"/>
      <c r="AS330" s="44"/>
    </row>
    <row r="331">
      <c r="A331" s="92"/>
      <c r="B331" s="93"/>
      <c r="C331" s="39"/>
      <c r="D331" s="39"/>
      <c r="E331" s="39"/>
      <c r="F331" s="39"/>
      <c r="G331" s="39"/>
      <c r="H331" s="95"/>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96"/>
      <c r="AR331" s="96"/>
      <c r="AS331" s="44"/>
    </row>
    <row r="332">
      <c r="A332" s="92"/>
      <c r="B332" s="93"/>
      <c r="C332" s="39"/>
      <c r="D332" s="39"/>
      <c r="E332" s="39"/>
      <c r="F332" s="39"/>
      <c r="G332" s="39"/>
      <c r="H332" s="95"/>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96"/>
      <c r="AR332" s="96"/>
      <c r="AS332" s="44"/>
    </row>
    <row r="333">
      <c r="A333" s="92"/>
      <c r="B333" s="93"/>
      <c r="C333" s="39"/>
      <c r="D333" s="39"/>
      <c r="E333" s="39"/>
      <c r="F333" s="39"/>
      <c r="G333" s="39"/>
      <c r="H333" s="95"/>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96"/>
      <c r="AR333" s="96"/>
      <c r="AS333" s="44"/>
    </row>
    <row r="334">
      <c r="A334" s="92"/>
      <c r="B334" s="93"/>
      <c r="C334" s="39"/>
      <c r="D334" s="39"/>
      <c r="E334" s="39"/>
      <c r="F334" s="39"/>
      <c r="G334" s="39"/>
      <c r="H334" s="95"/>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96"/>
      <c r="AR334" s="96"/>
      <c r="AS334" s="44"/>
    </row>
    <row r="335">
      <c r="A335" s="92"/>
      <c r="B335" s="93"/>
      <c r="C335" s="39"/>
      <c r="D335" s="39"/>
      <c r="E335" s="39"/>
      <c r="F335" s="39"/>
      <c r="G335" s="39"/>
      <c r="H335" s="95"/>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96"/>
      <c r="AR335" s="96"/>
      <c r="AS335" s="44"/>
    </row>
    <row r="336">
      <c r="A336" s="92"/>
      <c r="B336" s="93"/>
      <c r="C336" s="39"/>
      <c r="D336" s="39"/>
      <c r="E336" s="39"/>
      <c r="F336" s="39"/>
      <c r="G336" s="39"/>
      <c r="H336" s="95"/>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96"/>
      <c r="AR336" s="96"/>
      <c r="AS336" s="44"/>
    </row>
    <row r="337">
      <c r="A337" s="92"/>
      <c r="B337" s="93"/>
      <c r="C337" s="39"/>
      <c r="D337" s="39"/>
      <c r="E337" s="39"/>
      <c r="F337" s="39"/>
      <c r="G337" s="39"/>
      <c r="H337" s="95"/>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96"/>
      <c r="AR337" s="96"/>
      <c r="AS337" s="44"/>
    </row>
    <row r="338">
      <c r="A338" s="92"/>
      <c r="B338" s="93"/>
      <c r="C338" s="39"/>
      <c r="D338" s="39"/>
      <c r="E338" s="39"/>
      <c r="F338" s="39"/>
      <c r="G338" s="39"/>
      <c r="H338" s="95"/>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96"/>
      <c r="AR338" s="96"/>
      <c r="AS338" s="44"/>
    </row>
    <row r="339">
      <c r="A339" s="92"/>
      <c r="B339" s="93"/>
      <c r="C339" s="39"/>
      <c r="D339" s="39"/>
      <c r="E339" s="39"/>
      <c r="F339" s="39"/>
      <c r="G339" s="39"/>
      <c r="H339" s="95"/>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96"/>
      <c r="AR339" s="96"/>
      <c r="AS339" s="44"/>
    </row>
    <row r="340">
      <c r="A340" s="92"/>
      <c r="B340" s="93"/>
      <c r="C340" s="39"/>
      <c r="D340" s="39"/>
      <c r="E340" s="39"/>
      <c r="F340" s="39"/>
      <c r="G340" s="39"/>
      <c r="H340" s="95"/>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96"/>
      <c r="AR340" s="96"/>
      <c r="AS340" s="44"/>
    </row>
    <row r="341">
      <c r="A341" s="92"/>
      <c r="B341" s="93"/>
      <c r="C341" s="39"/>
      <c r="D341" s="39"/>
      <c r="E341" s="39"/>
      <c r="F341" s="39"/>
      <c r="G341" s="39"/>
      <c r="H341" s="95"/>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96"/>
      <c r="AR341" s="96"/>
      <c r="AS341" s="44"/>
    </row>
    <row r="342">
      <c r="A342" s="92"/>
      <c r="B342" s="93"/>
      <c r="C342" s="39"/>
      <c r="D342" s="39"/>
      <c r="E342" s="39"/>
      <c r="F342" s="39"/>
      <c r="G342" s="39"/>
      <c r="H342" s="95"/>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96"/>
      <c r="AR342" s="96"/>
      <c r="AS342" s="44"/>
    </row>
    <row r="343">
      <c r="A343" s="92"/>
      <c r="B343" s="93"/>
      <c r="C343" s="39"/>
      <c r="D343" s="39"/>
      <c r="E343" s="39"/>
      <c r="F343" s="39"/>
      <c r="G343" s="39"/>
      <c r="H343" s="95"/>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96"/>
      <c r="AR343" s="96"/>
      <c r="AS343" s="44"/>
    </row>
    <row r="344">
      <c r="A344" s="92"/>
      <c r="B344" s="93"/>
      <c r="C344" s="39"/>
      <c r="D344" s="39"/>
      <c r="E344" s="39"/>
      <c r="F344" s="39"/>
      <c r="G344" s="39"/>
      <c r="H344" s="95"/>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96"/>
      <c r="AR344" s="96"/>
      <c r="AS344" s="44"/>
    </row>
    <row r="345">
      <c r="A345" s="92"/>
      <c r="B345" s="93"/>
      <c r="C345" s="39"/>
      <c r="D345" s="39"/>
      <c r="E345" s="39"/>
      <c r="F345" s="39"/>
      <c r="G345" s="39"/>
      <c r="H345" s="95"/>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96"/>
      <c r="AR345" s="96"/>
      <c r="AS345" s="44"/>
    </row>
    <row r="346">
      <c r="A346" s="92"/>
      <c r="B346" s="93"/>
      <c r="C346" s="39"/>
      <c r="D346" s="39"/>
      <c r="E346" s="39"/>
      <c r="F346" s="39"/>
      <c r="G346" s="39"/>
      <c r="H346" s="95"/>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96"/>
      <c r="AR346" s="96"/>
      <c r="AS346" s="44"/>
    </row>
    <row r="347">
      <c r="A347" s="92"/>
      <c r="B347" s="93"/>
      <c r="C347" s="39"/>
      <c r="D347" s="39"/>
      <c r="E347" s="39"/>
      <c r="F347" s="39"/>
      <c r="G347" s="39"/>
      <c r="H347" s="95"/>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96"/>
      <c r="AR347" s="96"/>
      <c r="AS347" s="44"/>
    </row>
    <row r="348">
      <c r="A348" s="92"/>
      <c r="B348" s="93"/>
      <c r="C348" s="39"/>
      <c r="D348" s="39"/>
      <c r="E348" s="39"/>
      <c r="F348" s="39"/>
      <c r="G348" s="39"/>
      <c r="H348" s="95"/>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96"/>
      <c r="AR348" s="96"/>
      <c r="AS348" s="44"/>
    </row>
    <row r="349">
      <c r="A349" s="92"/>
      <c r="B349" s="93"/>
      <c r="C349" s="39"/>
      <c r="D349" s="39"/>
      <c r="E349" s="39"/>
      <c r="F349" s="39"/>
      <c r="G349" s="39"/>
      <c r="H349" s="95"/>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96"/>
      <c r="AR349" s="96"/>
      <c r="AS349" s="44"/>
    </row>
    <row r="350">
      <c r="A350" s="92"/>
      <c r="B350" s="93"/>
      <c r="C350" s="39"/>
      <c r="D350" s="39"/>
      <c r="E350" s="39"/>
      <c r="F350" s="39"/>
      <c r="G350" s="39"/>
      <c r="H350" s="95"/>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96"/>
      <c r="AR350" s="96"/>
      <c r="AS350" s="44"/>
    </row>
    <row r="351">
      <c r="A351" s="92"/>
      <c r="B351" s="93"/>
      <c r="C351" s="39"/>
      <c r="D351" s="39"/>
      <c r="E351" s="39"/>
      <c r="F351" s="39"/>
      <c r="G351" s="39"/>
      <c r="H351" s="95"/>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96"/>
      <c r="AR351" s="96"/>
      <c r="AS351" s="44"/>
    </row>
    <row r="352">
      <c r="A352" s="92"/>
      <c r="B352" s="93"/>
      <c r="C352" s="39"/>
      <c r="D352" s="39"/>
      <c r="E352" s="39"/>
      <c r="F352" s="39"/>
      <c r="G352" s="39"/>
      <c r="H352" s="95"/>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96"/>
      <c r="AR352" s="96"/>
      <c r="AS352" s="44"/>
    </row>
    <row r="353">
      <c r="A353" s="92"/>
      <c r="B353" s="93"/>
      <c r="C353" s="39"/>
      <c r="D353" s="39"/>
      <c r="E353" s="39"/>
      <c r="F353" s="39"/>
      <c r="G353" s="39"/>
      <c r="H353" s="95"/>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96"/>
      <c r="AR353" s="96"/>
      <c r="AS353" s="44"/>
    </row>
    <row r="354">
      <c r="A354" s="92"/>
      <c r="B354" s="93"/>
      <c r="C354" s="39"/>
      <c r="D354" s="39"/>
      <c r="E354" s="39"/>
      <c r="F354" s="39"/>
      <c r="G354" s="39"/>
      <c r="H354" s="95"/>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96"/>
      <c r="AR354" s="96"/>
      <c r="AS354" s="44"/>
    </row>
    <row r="355">
      <c r="A355" s="92"/>
      <c r="B355" s="93"/>
      <c r="C355" s="39"/>
      <c r="D355" s="39"/>
      <c r="E355" s="39"/>
      <c r="F355" s="39"/>
      <c r="G355" s="39"/>
      <c r="H355" s="95"/>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96"/>
      <c r="AR355" s="96"/>
      <c r="AS355" s="44"/>
    </row>
    <row r="356">
      <c r="A356" s="92"/>
      <c r="B356" s="93"/>
      <c r="C356" s="39"/>
      <c r="D356" s="39"/>
      <c r="E356" s="39"/>
      <c r="F356" s="39"/>
      <c r="G356" s="39"/>
      <c r="H356" s="95"/>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96"/>
      <c r="AR356" s="96"/>
      <c r="AS356" s="44"/>
    </row>
    <row r="357">
      <c r="A357" s="92"/>
      <c r="B357" s="93"/>
      <c r="C357" s="39"/>
      <c r="D357" s="39"/>
      <c r="E357" s="39"/>
      <c r="F357" s="39"/>
      <c r="G357" s="39"/>
      <c r="H357" s="95"/>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96"/>
      <c r="AR357" s="96"/>
      <c r="AS357" s="44"/>
    </row>
    <row r="358">
      <c r="A358" s="92"/>
      <c r="B358" s="93"/>
      <c r="C358" s="39"/>
      <c r="D358" s="39"/>
      <c r="E358" s="39"/>
      <c r="F358" s="39"/>
      <c r="G358" s="39"/>
      <c r="H358" s="95"/>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96"/>
      <c r="AR358" s="96"/>
      <c r="AS358" s="44"/>
    </row>
    <row r="359">
      <c r="A359" s="92"/>
      <c r="B359" s="93"/>
      <c r="C359" s="39"/>
      <c r="D359" s="39"/>
      <c r="E359" s="39"/>
      <c r="F359" s="39"/>
      <c r="G359" s="39"/>
      <c r="H359" s="95"/>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96"/>
      <c r="AR359" s="96"/>
      <c r="AS359" s="44"/>
    </row>
    <row r="360">
      <c r="A360" s="92"/>
      <c r="B360" s="93"/>
      <c r="C360" s="39"/>
      <c r="D360" s="39"/>
      <c r="E360" s="39"/>
      <c r="F360" s="39"/>
      <c r="G360" s="39"/>
      <c r="H360" s="95"/>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96"/>
      <c r="AR360" s="96"/>
      <c r="AS360" s="44"/>
    </row>
    <row r="361">
      <c r="A361" s="92"/>
      <c r="B361" s="93"/>
      <c r="C361" s="39"/>
      <c r="D361" s="39"/>
      <c r="E361" s="39"/>
      <c r="F361" s="39"/>
      <c r="G361" s="39"/>
      <c r="H361" s="95"/>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96"/>
      <c r="AR361" s="96"/>
      <c r="AS361" s="44"/>
    </row>
    <row r="362">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c r="AB362" s="97"/>
      <c r="AC362" s="97"/>
      <c r="AD362" s="97"/>
      <c r="AE362" s="97"/>
      <c r="AF362" s="97"/>
      <c r="AG362" s="97"/>
      <c r="AH362" s="97"/>
      <c r="AI362" s="97"/>
      <c r="AJ362" s="97"/>
      <c r="AK362" s="97"/>
      <c r="AL362" s="97"/>
      <c r="AM362" s="97"/>
      <c r="AN362" s="97"/>
      <c r="AO362" s="97"/>
      <c r="AP362" s="97"/>
      <c r="AQ362" s="99"/>
      <c r="AR362" s="99"/>
      <c r="AS362" s="99"/>
    </row>
    <row r="363">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c r="AB363" s="97"/>
      <c r="AC363" s="97"/>
      <c r="AD363" s="97"/>
      <c r="AE363" s="97"/>
      <c r="AF363" s="97"/>
      <c r="AG363" s="97"/>
      <c r="AH363" s="97"/>
      <c r="AI363" s="97"/>
      <c r="AJ363" s="97"/>
      <c r="AK363" s="97"/>
      <c r="AL363" s="97"/>
      <c r="AM363" s="97"/>
      <c r="AN363" s="97"/>
      <c r="AO363" s="97"/>
      <c r="AP363" s="97"/>
      <c r="AQ363" s="99"/>
      <c r="AR363" s="99"/>
      <c r="AS363" s="99"/>
    </row>
    <row r="364">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c r="AB364" s="97"/>
      <c r="AC364" s="97"/>
      <c r="AD364" s="97"/>
      <c r="AE364" s="97"/>
      <c r="AF364" s="97"/>
      <c r="AG364" s="97"/>
      <c r="AH364" s="97"/>
      <c r="AI364" s="97"/>
      <c r="AJ364" s="97"/>
      <c r="AK364" s="97"/>
      <c r="AL364" s="97"/>
      <c r="AM364" s="97"/>
      <c r="AN364" s="97"/>
      <c r="AO364" s="97"/>
      <c r="AP364" s="97"/>
      <c r="AQ364" s="99"/>
      <c r="AR364" s="99"/>
      <c r="AS364" s="99"/>
    </row>
    <row r="365">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c r="AB365" s="97"/>
      <c r="AC365" s="97"/>
      <c r="AD365" s="97"/>
      <c r="AE365" s="97"/>
      <c r="AF365" s="97"/>
      <c r="AG365" s="97"/>
      <c r="AH365" s="97"/>
      <c r="AI365" s="97"/>
      <c r="AJ365" s="97"/>
      <c r="AK365" s="97"/>
      <c r="AL365" s="97"/>
      <c r="AM365" s="97"/>
      <c r="AN365" s="97"/>
      <c r="AO365" s="97"/>
      <c r="AP365" s="97"/>
      <c r="AQ365" s="99"/>
      <c r="AR365" s="99"/>
      <c r="AS365" s="99"/>
    </row>
    <row r="366">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c r="AB366" s="97"/>
      <c r="AC366" s="97"/>
      <c r="AD366" s="97"/>
      <c r="AE366" s="97"/>
      <c r="AF366" s="97"/>
      <c r="AG366" s="97"/>
      <c r="AH366" s="97"/>
      <c r="AI366" s="97"/>
      <c r="AJ366" s="97"/>
      <c r="AK366" s="97"/>
      <c r="AL366" s="97"/>
      <c r="AM366" s="97"/>
      <c r="AN366" s="97"/>
      <c r="AO366" s="97"/>
      <c r="AP366" s="97"/>
      <c r="AQ366" s="99"/>
      <c r="AR366" s="99"/>
      <c r="AS366" s="99"/>
    </row>
    <row r="367">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c r="AE367" s="97"/>
      <c r="AF367" s="97"/>
      <c r="AG367" s="97"/>
      <c r="AH367" s="97"/>
      <c r="AI367" s="97"/>
      <c r="AJ367" s="97"/>
      <c r="AK367" s="97"/>
      <c r="AL367" s="97"/>
      <c r="AM367" s="97"/>
      <c r="AN367" s="97"/>
      <c r="AO367" s="97"/>
      <c r="AP367" s="97"/>
      <c r="AQ367" s="99"/>
      <c r="AR367" s="99"/>
      <c r="AS367" s="99"/>
    </row>
    <row r="368">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c r="AB368" s="97"/>
      <c r="AC368" s="97"/>
      <c r="AD368" s="97"/>
      <c r="AE368" s="97"/>
      <c r="AF368" s="97"/>
      <c r="AG368" s="97"/>
      <c r="AH368" s="97"/>
      <c r="AI368" s="97"/>
      <c r="AJ368" s="97"/>
      <c r="AK368" s="97"/>
      <c r="AL368" s="97"/>
      <c r="AM368" s="97"/>
      <c r="AN368" s="97"/>
      <c r="AO368" s="97"/>
      <c r="AP368" s="97"/>
      <c r="AQ368" s="99"/>
      <c r="AR368" s="99"/>
      <c r="AS368" s="99"/>
    </row>
    <row r="369">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c r="AB369" s="97"/>
      <c r="AC369" s="97"/>
      <c r="AD369" s="97"/>
      <c r="AE369" s="97"/>
      <c r="AF369" s="97"/>
      <c r="AG369" s="97"/>
      <c r="AH369" s="97"/>
      <c r="AI369" s="97"/>
      <c r="AJ369" s="97"/>
      <c r="AK369" s="97"/>
      <c r="AL369" s="97"/>
      <c r="AM369" s="97"/>
      <c r="AN369" s="97"/>
      <c r="AO369" s="97"/>
      <c r="AP369" s="97"/>
      <c r="AQ369" s="99"/>
      <c r="AR369" s="99"/>
      <c r="AS369" s="99"/>
    </row>
    <row r="370">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c r="AB370" s="97"/>
      <c r="AC370" s="97"/>
      <c r="AD370" s="97"/>
      <c r="AE370" s="97"/>
      <c r="AF370" s="97"/>
      <c r="AG370" s="97"/>
      <c r="AH370" s="97"/>
      <c r="AI370" s="97"/>
      <c r="AJ370" s="97"/>
      <c r="AK370" s="97"/>
      <c r="AL370" s="97"/>
      <c r="AM370" s="97"/>
      <c r="AN370" s="97"/>
      <c r="AO370" s="97"/>
      <c r="AP370" s="97"/>
      <c r="AQ370" s="99"/>
      <c r="AR370" s="99"/>
      <c r="AS370" s="99"/>
    </row>
    <row r="37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c r="AB371" s="97"/>
      <c r="AC371" s="97"/>
      <c r="AD371" s="97"/>
      <c r="AE371" s="97"/>
      <c r="AF371" s="97"/>
      <c r="AG371" s="97"/>
      <c r="AH371" s="97"/>
      <c r="AI371" s="97"/>
      <c r="AJ371" s="97"/>
      <c r="AK371" s="97"/>
      <c r="AL371" s="97"/>
      <c r="AM371" s="97"/>
      <c r="AN371" s="97"/>
      <c r="AO371" s="97"/>
      <c r="AP371" s="97"/>
      <c r="AQ371" s="99"/>
      <c r="AR371" s="99"/>
      <c r="AS371" s="99"/>
    </row>
    <row r="372">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c r="AB372" s="97"/>
      <c r="AC372" s="97"/>
      <c r="AD372" s="97"/>
      <c r="AE372" s="97"/>
      <c r="AF372" s="97"/>
      <c r="AG372" s="97"/>
      <c r="AH372" s="97"/>
      <c r="AI372" s="97"/>
      <c r="AJ372" s="97"/>
      <c r="AK372" s="97"/>
      <c r="AL372" s="97"/>
      <c r="AM372" s="97"/>
      <c r="AN372" s="97"/>
      <c r="AO372" s="97"/>
      <c r="AP372" s="97"/>
      <c r="AQ372" s="99"/>
      <c r="AR372" s="99"/>
      <c r="AS372" s="99"/>
    </row>
    <row r="373">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c r="AB373" s="97"/>
      <c r="AC373" s="97"/>
      <c r="AD373" s="97"/>
      <c r="AE373" s="97"/>
      <c r="AF373" s="97"/>
      <c r="AG373" s="97"/>
      <c r="AH373" s="97"/>
      <c r="AI373" s="97"/>
      <c r="AJ373" s="97"/>
      <c r="AK373" s="97"/>
      <c r="AL373" s="97"/>
      <c r="AM373" s="97"/>
      <c r="AN373" s="97"/>
      <c r="AO373" s="97"/>
      <c r="AP373" s="97"/>
      <c r="AQ373" s="99"/>
      <c r="AR373" s="99"/>
      <c r="AS373" s="99"/>
    </row>
    <row r="374">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c r="AB374" s="97"/>
      <c r="AC374" s="97"/>
      <c r="AD374" s="97"/>
      <c r="AE374" s="97"/>
      <c r="AF374" s="97"/>
      <c r="AG374" s="97"/>
      <c r="AH374" s="97"/>
      <c r="AI374" s="97"/>
      <c r="AJ374" s="97"/>
      <c r="AK374" s="97"/>
      <c r="AL374" s="97"/>
      <c r="AM374" s="97"/>
      <c r="AN374" s="97"/>
      <c r="AO374" s="97"/>
      <c r="AP374" s="97"/>
      <c r="AQ374" s="99"/>
      <c r="AR374" s="99"/>
      <c r="AS374" s="99"/>
    </row>
    <row r="375">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7"/>
      <c r="AC375" s="97"/>
      <c r="AD375" s="97"/>
      <c r="AE375" s="97"/>
      <c r="AF375" s="97"/>
      <c r="AG375" s="97"/>
      <c r="AH375" s="97"/>
      <c r="AI375" s="97"/>
      <c r="AJ375" s="97"/>
      <c r="AK375" s="97"/>
      <c r="AL375" s="97"/>
      <c r="AM375" s="97"/>
      <c r="AN375" s="97"/>
      <c r="AO375" s="97"/>
      <c r="AP375" s="97"/>
      <c r="AQ375" s="99"/>
      <c r="AR375" s="99"/>
      <c r="AS375" s="99"/>
    </row>
    <row r="376">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c r="AE376" s="97"/>
      <c r="AF376" s="97"/>
      <c r="AG376" s="97"/>
      <c r="AH376" s="97"/>
      <c r="AI376" s="97"/>
      <c r="AJ376" s="97"/>
      <c r="AK376" s="97"/>
      <c r="AL376" s="97"/>
      <c r="AM376" s="97"/>
      <c r="AN376" s="97"/>
      <c r="AO376" s="97"/>
      <c r="AP376" s="97"/>
      <c r="AQ376" s="99"/>
      <c r="AR376" s="99"/>
      <c r="AS376" s="99"/>
    </row>
    <row r="377">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c r="AB377" s="97"/>
      <c r="AC377" s="97"/>
      <c r="AD377" s="97"/>
      <c r="AE377" s="97"/>
      <c r="AF377" s="97"/>
      <c r="AG377" s="97"/>
      <c r="AH377" s="97"/>
      <c r="AI377" s="97"/>
      <c r="AJ377" s="97"/>
      <c r="AK377" s="97"/>
      <c r="AL377" s="97"/>
      <c r="AM377" s="97"/>
      <c r="AN377" s="97"/>
      <c r="AO377" s="97"/>
      <c r="AP377" s="97"/>
      <c r="AQ377" s="99"/>
      <c r="AR377" s="99"/>
      <c r="AS377" s="99"/>
    </row>
    <row r="378">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c r="AB378" s="97"/>
      <c r="AC378" s="97"/>
      <c r="AD378" s="97"/>
      <c r="AE378" s="97"/>
      <c r="AF378" s="97"/>
      <c r="AG378" s="97"/>
      <c r="AH378" s="97"/>
      <c r="AI378" s="97"/>
      <c r="AJ378" s="97"/>
      <c r="AK378" s="97"/>
      <c r="AL378" s="97"/>
      <c r="AM378" s="97"/>
      <c r="AN378" s="97"/>
      <c r="AO378" s="97"/>
      <c r="AP378" s="97"/>
      <c r="AQ378" s="99"/>
      <c r="AR378" s="99"/>
      <c r="AS378" s="99"/>
    </row>
    <row r="379">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c r="AB379" s="97"/>
      <c r="AC379" s="97"/>
      <c r="AD379" s="97"/>
      <c r="AE379" s="97"/>
      <c r="AF379" s="97"/>
      <c r="AG379" s="97"/>
      <c r="AH379" s="97"/>
      <c r="AI379" s="97"/>
      <c r="AJ379" s="97"/>
      <c r="AK379" s="97"/>
      <c r="AL379" s="97"/>
      <c r="AM379" s="97"/>
      <c r="AN379" s="97"/>
      <c r="AO379" s="97"/>
      <c r="AP379" s="97"/>
      <c r="AQ379" s="99"/>
      <c r="AR379" s="99"/>
      <c r="AS379" s="99"/>
    </row>
    <row r="380">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c r="AB380" s="97"/>
      <c r="AC380" s="97"/>
      <c r="AD380" s="97"/>
      <c r="AE380" s="97"/>
      <c r="AF380" s="97"/>
      <c r="AG380" s="97"/>
      <c r="AH380" s="97"/>
      <c r="AI380" s="97"/>
      <c r="AJ380" s="97"/>
      <c r="AK380" s="97"/>
      <c r="AL380" s="97"/>
      <c r="AM380" s="97"/>
      <c r="AN380" s="97"/>
      <c r="AO380" s="97"/>
      <c r="AP380" s="97"/>
      <c r="AQ380" s="99"/>
      <c r="AR380" s="99"/>
      <c r="AS380" s="99"/>
    </row>
    <row r="38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c r="AB381" s="97"/>
      <c r="AC381" s="97"/>
      <c r="AD381" s="97"/>
      <c r="AE381" s="97"/>
      <c r="AF381" s="97"/>
      <c r="AG381" s="97"/>
      <c r="AH381" s="97"/>
      <c r="AI381" s="97"/>
      <c r="AJ381" s="97"/>
      <c r="AK381" s="97"/>
      <c r="AL381" s="97"/>
      <c r="AM381" s="97"/>
      <c r="AN381" s="97"/>
      <c r="AO381" s="97"/>
      <c r="AP381" s="97"/>
      <c r="AQ381" s="99"/>
      <c r="AR381" s="99"/>
      <c r="AS381" s="99"/>
    </row>
    <row r="382">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c r="AB382" s="97"/>
      <c r="AC382" s="97"/>
      <c r="AD382" s="97"/>
      <c r="AE382" s="97"/>
      <c r="AF382" s="97"/>
      <c r="AG382" s="97"/>
      <c r="AH382" s="97"/>
      <c r="AI382" s="97"/>
      <c r="AJ382" s="97"/>
      <c r="AK382" s="97"/>
      <c r="AL382" s="97"/>
      <c r="AM382" s="97"/>
      <c r="AN382" s="97"/>
      <c r="AO382" s="97"/>
      <c r="AP382" s="97"/>
      <c r="AQ382" s="99"/>
      <c r="AR382" s="99"/>
      <c r="AS382" s="99"/>
    </row>
    <row r="383">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c r="AB383" s="97"/>
      <c r="AC383" s="97"/>
      <c r="AD383" s="97"/>
      <c r="AE383" s="97"/>
      <c r="AF383" s="97"/>
      <c r="AG383" s="97"/>
      <c r="AH383" s="97"/>
      <c r="AI383" s="97"/>
      <c r="AJ383" s="97"/>
      <c r="AK383" s="97"/>
      <c r="AL383" s="97"/>
      <c r="AM383" s="97"/>
      <c r="AN383" s="97"/>
      <c r="AO383" s="97"/>
      <c r="AP383" s="97"/>
      <c r="AQ383" s="99"/>
      <c r="AR383" s="99"/>
      <c r="AS383" s="99"/>
    </row>
    <row r="384">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c r="AB384" s="97"/>
      <c r="AC384" s="97"/>
      <c r="AD384" s="97"/>
      <c r="AE384" s="97"/>
      <c r="AF384" s="97"/>
      <c r="AG384" s="97"/>
      <c r="AH384" s="97"/>
      <c r="AI384" s="97"/>
      <c r="AJ384" s="97"/>
      <c r="AK384" s="97"/>
      <c r="AL384" s="97"/>
      <c r="AM384" s="97"/>
      <c r="AN384" s="97"/>
      <c r="AO384" s="97"/>
      <c r="AP384" s="97"/>
      <c r="AQ384" s="99"/>
      <c r="AR384" s="99"/>
      <c r="AS384" s="99"/>
    </row>
    <row r="385">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c r="AB385" s="97"/>
      <c r="AC385" s="97"/>
      <c r="AD385" s="97"/>
      <c r="AE385" s="97"/>
      <c r="AF385" s="97"/>
      <c r="AG385" s="97"/>
      <c r="AH385" s="97"/>
      <c r="AI385" s="97"/>
      <c r="AJ385" s="97"/>
      <c r="AK385" s="97"/>
      <c r="AL385" s="97"/>
      <c r="AM385" s="97"/>
      <c r="AN385" s="97"/>
      <c r="AO385" s="97"/>
      <c r="AP385" s="97"/>
      <c r="AQ385" s="99"/>
      <c r="AR385" s="99"/>
      <c r="AS385" s="99"/>
    </row>
    <row r="386">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c r="AB386" s="97"/>
      <c r="AC386" s="97"/>
      <c r="AD386" s="97"/>
      <c r="AE386" s="97"/>
      <c r="AF386" s="97"/>
      <c r="AG386" s="97"/>
      <c r="AH386" s="97"/>
      <c r="AI386" s="97"/>
      <c r="AJ386" s="97"/>
      <c r="AK386" s="97"/>
      <c r="AL386" s="97"/>
      <c r="AM386" s="97"/>
      <c r="AN386" s="97"/>
      <c r="AO386" s="97"/>
      <c r="AP386" s="97"/>
      <c r="AQ386" s="99"/>
      <c r="AR386" s="99"/>
      <c r="AS386" s="99"/>
    </row>
    <row r="387">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c r="AB387" s="97"/>
      <c r="AC387" s="97"/>
      <c r="AD387" s="97"/>
      <c r="AE387" s="97"/>
      <c r="AF387" s="97"/>
      <c r="AG387" s="97"/>
      <c r="AH387" s="97"/>
      <c r="AI387" s="97"/>
      <c r="AJ387" s="97"/>
      <c r="AK387" s="97"/>
      <c r="AL387" s="97"/>
      <c r="AM387" s="97"/>
      <c r="AN387" s="97"/>
      <c r="AO387" s="97"/>
      <c r="AP387" s="97"/>
      <c r="AQ387" s="99"/>
      <c r="AR387" s="99"/>
      <c r="AS387" s="99"/>
    </row>
    <row r="388">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c r="AB388" s="97"/>
      <c r="AC388" s="97"/>
      <c r="AD388" s="97"/>
      <c r="AE388" s="97"/>
      <c r="AF388" s="97"/>
      <c r="AG388" s="97"/>
      <c r="AH388" s="97"/>
      <c r="AI388" s="97"/>
      <c r="AJ388" s="97"/>
      <c r="AK388" s="97"/>
      <c r="AL388" s="97"/>
      <c r="AM388" s="97"/>
      <c r="AN388" s="97"/>
      <c r="AO388" s="97"/>
      <c r="AP388" s="97"/>
      <c r="AQ388" s="99"/>
      <c r="AR388" s="99"/>
      <c r="AS388" s="99"/>
    </row>
    <row r="389">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c r="AB389" s="97"/>
      <c r="AC389" s="97"/>
      <c r="AD389" s="97"/>
      <c r="AE389" s="97"/>
      <c r="AF389" s="97"/>
      <c r="AG389" s="97"/>
      <c r="AH389" s="97"/>
      <c r="AI389" s="97"/>
      <c r="AJ389" s="97"/>
      <c r="AK389" s="97"/>
      <c r="AL389" s="97"/>
      <c r="AM389" s="97"/>
      <c r="AN389" s="97"/>
      <c r="AO389" s="97"/>
      <c r="AP389" s="97"/>
      <c r="AQ389" s="99"/>
      <c r="AR389" s="99"/>
      <c r="AS389" s="99"/>
    </row>
    <row r="390">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c r="AB390" s="97"/>
      <c r="AC390" s="97"/>
      <c r="AD390" s="97"/>
      <c r="AE390" s="97"/>
      <c r="AF390" s="97"/>
      <c r="AG390" s="97"/>
      <c r="AH390" s="97"/>
      <c r="AI390" s="97"/>
      <c r="AJ390" s="97"/>
      <c r="AK390" s="97"/>
      <c r="AL390" s="97"/>
      <c r="AM390" s="97"/>
      <c r="AN390" s="97"/>
      <c r="AO390" s="97"/>
      <c r="AP390" s="97"/>
      <c r="AQ390" s="99"/>
      <c r="AR390" s="99"/>
      <c r="AS390" s="99"/>
    </row>
    <row r="39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c r="AB391" s="97"/>
      <c r="AC391" s="97"/>
      <c r="AD391" s="97"/>
      <c r="AE391" s="97"/>
      <c r="AF391" s="97"/>
      <c r="AG391" s="97"/>
      <c r="AH391" s="97"/>
      <c r="AI391" s="97"/>
      <c r="AJ391" s="97"/>
      <c r="AK391" s="97"/>
      <c r="AL391" s="97"/>
      <c r="AM391" s="97"/>
      <c r="AN391" s="97"/>
      <c r="AO391" s="97"/>
      <c r="AP391" s="97"/>
      <c r="AQ391" s="99"/>
      <c r="AR391" s="99"/>
      <c r="AS391" s="99"/>
    </row>
    <row r="392">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c r="AB392" s="97"/>
      <c r="AC392" s="97"/>
      <c r="AD392" s="97"/>
      <c r="AE392" s="97"/>
      <c r="AF392" s="97"/>
      <c r="AG392" s="97"/>
      <c r="AH392" s="97"/>
      <c r="AI392" s="97"/>
      <c r="AJ392" s="97"/>
      <c r="AK392" s="97"/>
      <c r="AL392" s="97"/>
      <c r="AM392" s="97"/>
      <c r="AN392" s="97"/>
      <c r="AO392" s="97"/>
      <c r="AP392" s="97"/>
      <c r="AQ392" s="99"/>
      <c r="AR392" s="99"/>
      <c r="AS392" s="99"/>
    </row>
    <row r="393">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7"/>
      <c r="AC393" s="97"/>
      <c r="AD393" s="97"/>
      <c r="AE393" s="97"/>
      <c r="AF393" s="97"/>
      <c r="AG393" s="97"/>
      <c r="AH393" s="97"/>
      <c r="AI393" s="97"/>
      <c r="AJ393" s="97"/>
      <c r="AK393" s="97"/>
      <c r="AL393" s="97"/>
      <c r="AM393" s="97"/>
      <c r="AN393" s="97"/>
      <c r="AO393" s="97"/>
      <c r="AP393" s="97"/>
      <c r="AQ393" s="99"/>
      <c r="AR393" s="99"/>
      <c r="AS393" s="99"/>
    </row>
    <row r="394">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7"/>
      <c r="AC394" s="97"/>
      <c r="AD394" s="97"/>
      <c r="AE394" s="97"/>
      <c r="AF394" s="97"/>
      <c r="AG394" s="97"/>
      <c r="AH394" s="97"/>
      <c r="AI394" s="97"/>
      <c r="AJ394" s="97"/>
      <c r="AK394" s="97"/>
      <c r="AL394" s="97"/>
      <c r="AM394" s="97"/>
      <c r="AN394" s="97"/>
      <c r="AO394" s="97"/>
      <c r="AP394" s="97"/>
      <c r="AQ394" s="99"/>
      <c r="AR394" s="99"/>
      <c r="AS394" s="99"/>
    </row>
    <row r="395">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c r="AB395" s="97"/>
      <c r="AC395" s="97"/>
      <c r="AD395" s="97"/>
      <c r="AE395" s="97"/>
      <c r="AF395" s="97"/>
      <c r="AG395" s="97"/>
      <c r="AH395" s="97"/>
      <c r="AI395" s="97"/>
      <c r="AJ395" s="97"/>
      <c r="AK395" s="97"/>
      <c r="AL395" s="97"/>
      <c r="AM395" s="97"/>
      <c r="AN395" s="97"/>
      <c r="AO395" s="97"/>
      <c r="AP395" s="97"/>
      <c r="AQ395" s="99"/>
      <c r="AR395" s="99"/>
      <c r="AS395" s="99"/>
    </row>
    <row r="396">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c r="AB396" s="97"/>
      <c r="AC396" s="97"/>
      <c r="AD396" s="97"/>
      <c r="AE396" s="97"/>
      <c r="AF396" s="97"/>
      <c r="AG396" s="97"/>
      <c r="AH396" s="97"/>
      <c r="AI396" s="97"/>
      <c r="AJ396" s="97"/>
      <c r="AK396" s="97"/>
      <c r="AL396" s="97"/>
      <c r="AM396" s="97"/>
      <c r="AN396" s="97"/>
      <c r="AO396" s="97"/>
      <c r="AP396" s="97"/>
      <c r="AQ396" s="99"/>
      <c r="AR396" s="99"/>
      <c r="AS396" s="99"/>
    </row>
    <row r="397">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c r="AB397" s="97"/>
      <c r="AC397" s="97"/>
      <c r="AD397" s="97"/>
      <c r="AE397" s="97"/>
      <c r="AF397" s="97"/>
      <c r="AG397" s="97"/>
      <c r="AH397" s="97"/>
      <c r="AI397" s="97"/>
      <c r="AJ397" s="97"/>
      <c r="AK397" s="97"/>
      <c r="AL397" s="97"/>
      <c r="AM397" s="97"/>
      <c r="AN397" s="97"/>
      <c r="AO397" s="97"/>
      <c r="AP397" s="97"/>
      <c r="AQ397" s="99"/>
      <c r="AR397" s="99"/>
      <c r="AS397" s="99"/>
    </row>
    <row r="398">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c r="AB398" s="97"/>
      <c r="AC398" s="97"/>
      <c r="AD398" s="97"/>
      <c r="AE398" s="97"/>
      <c r="AF398" s="97"/>
      <c r="AG398" s="97"/>
      <c r="AH398" s="97"/>
      <c r="AI398" s="97"/>
      <c r="AJ398" s="97"/>
      <c r="AK398" s="97"/>
      <c r="AL398" s="97"/>
      <c r="AM398" s="97"/>
      <c r="AN398" s="97"/>
      <c r="AO398" s="97"/>
      <c r="AP398" s="97"/>
      <c r="AQ398" s="99"/>
      <c r="AR398" s="99"/>
      <c r="AS398" s="99"/>
    </row>
    <row r="399">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c r="AB399" s="97"/>
      <c r="AC399" s="97"/>
      <c r="AD399" s="97"/>
      <c r="AE399" s="97"/>
      <c r="AF399" s="97"/>
      <c r="AG399" s="97"/>
      <c r="AH399" s="97"/>
      <c r="AI399" s="97"/>
      <c r="AJ399" s="97"/>
      <c r="AK399" s="97"/>
      <c r="AL399" s="97"/>
      <c r="AM399" s="97"/>
      <c r="AN399" s="97"/>
      <c r="AO399" s="97"/>
      <c r="AP399" s="97"/>
      <c r="AQ399" s="99"/>
      <c r="AR399" s="99"/>
      <c r="AS399" s="99"/>
    </row>
    <row r="400">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c r="AB400" s="97"/>
      <c r="AC400" s="97"/>
      <c r="AD400" s="97"/>
      <c r="AE400" s="97"/>
      <c r="AF400" s="97"/>
      <c r="AG400" s="97"/>
      <c r="AH400" s="97"/>
      <c r="AI400" s="97"/>
      <c r="AJ400" s="97"/>
      <c r="AK400" s="97"/>
      <c r="AL400" s="97"/>
      <c r="AM400" s="97"/>
      <c r="AN400" s="97"/>
      <c r="AO400" s="97"/>
      <c r="AP400" s="97"/>
      <c r="AQ400" s="99"/>
      <c r="AR400" s="99"/>
      <c r="AS400" s="99"/>
    </row>
    <row r="40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c r="AB401" s="97"/>
      <c r="AC401" s="97"/>
      <c r="AD401" s="97"/>
      <c r="AE401" s="97"/>
      <c r="AF401" s="97"/>
      <c r="AG401" s="97"/>
      <c r="AH401" s="97"/>
      <c r="AI401" s="97"/>
      <c r="AJ401" s="97"/>
      <c r="AK401" s="97"/>
      <c r="AL401" s="97"/>
      <c r="AM401" s="97"/>
      <c r="AN401" s="97"/>
      <c r="AO401" s="97"/>
      <c r="AP401" s="97"/>
      <c r="AQ401" s="99"/>
      <c r="AR401" s="99"/>
      <c r="AS401" s="99"/>
    </row>
    <row r="402">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c r="AB402" s="97"/>
      <c r="AC402" s="97"/>
      <c r="AD402" s="97"/>
      <c r="AE402" s="97"/>
      <c r="AF402" s="97"/>
      <c r="AG402" s="97"/>
      <c r="AH402" s="97"/>
      <c r="AI402" s="97"/>
      <c r="AJ402" s="97"/>
      <c r="AK402" s="97"/>
      <c r="AL402" s="97"/>
      <c r="AM402" s="97"/>
      <c r="AN402" s="97"/>
      <c r="AO402" s="97"/>
      <c r="AP402" s="97"/>
      <c r="AQ402" s="99"/>
      <c r="AR402" s="99"/>
      <c r="AS402" s="99"/>
    </row>
    <row r="403">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c r="AB403" s="97"/>
      <c r="AC403" s="97"/>
      <c r="AD403" s="97"/>
      <c r="AE403" s="97"/>
      <c r="AF403" s="97"/>
      <c r="AG403" s="97"/>
      <c r="AH403" s="97"/>
      <c r="AI403" s="97"/>
      <c r="AJ403" s="97"/>
      <c r="AK403" s="97"/>
      <c r="AL403" s="97"/>
      <c r="AM403" s="97"/>
      <c r="AN403" s="97"/>
      <c r="AO403" s="97"/>
      <c r="AP403" s="97"/>
      <c r="AQ403" s="99"/>
      <c r="AR403" s="99"/>
      <c r="AS403" s="99"/>
    </row>
    <row r="404">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c r="AB404" s="97"/>
      <c r="AC404" s="97"/>
      <c r="AD404" s="97"/>
      <c r="AE404" s="97"/>
      <c r="AF404" s="97"/>
      <c r="AG404" s="97"/>
      <c r="AH404" s="97"/>
      <c r="AI404" s="97"/>
      <c r="AJ404" s="97"/>
      <c r="AK404" s="97"/>
      <c r="AL404" s="97"/>
      <c r="AM404" s="97"/>
      <c r="AN404" s="97"/>
      <c r="AO404" s="97"/>
      <c r="AP404" s="97"/>
      <c r="AQ404" s="99"/>
      <c r="AR404" s="99"/>
      <c r="AS404" s="99"/>
    </row>
    <row r="405">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7"/>
      <c r="AC405" s="97"/>
      <c r="AD405" s="97"/>
      <c r="AE405" s="97"/>
      <c r="AF405" s="97"/>
      <c r="AG405" s="97"/>
      <c r="AH405" s="97"/>
      <c r="AI405" s="97"/>
      <c r="AJ405" s="97"/>
      <c r="AK405" s="97"/>
      <c r="AL405" s="97"/>
      <c r="AM405" s="97"/>
      <c r="AN405" s="97"/>
      <c r="AO405" s="97"/>
      <c r="AP405" s="97"/>
      <c r="AQ405" s="99"/>
      <c r="AR405" s="99"/>
      <c r="AS405" s="99"/>
    </row>
    <row r="406">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7"/>
      <c r="AC406" s="97"/>
      <c r="AD406" s="97"/>
      <c r="AE406" s="97"/>
      <c r="AF406" s="97"/>
      <c r="AG406" s="97"/>
      <c r="AH406" s="97"/>
      <c r="AI406" s="97"/>
      <c r="AJ406" s="97"/>
      <c r="AK406" s="97"/>
      <c r="AL406" s="97"/>
      <c r="AM406" s="97"/>
      <c r="AN406" s="97"/>
      <c r="AO406" s="97"/>
      <c r="AP406" s="97"/>
      <c r="AQ406" s="99"/>
      <c r="AR406" s="99"/>
      <c r="AS406" s="99"/>
    </row>
    <row r="407">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c r="AB407" s="97"/>
      <c r="AC407" s="97"/>
      <c r="AD407" s="97"/>
      <c r="AE407" s="97"/>
      <c r="AF407" s="97"/>
      <c r="AG407" s="97"/>
      <c r="AH407" s="97"/>
      <c r="AI407" s="97"/>
      <c r="AJ407" s="97"/>
      <c r="AK407" s="97"/>
      <c r="AL407" s="97"/>
      <c r="AM407" s="97"/>
      <c r="AN407" s="97"/>
      <c r="AO407" s="97"/>
      <c r="AP407" s="97"/>
      <c r="AQ407" s="99"/>
      <c r="AR407" s="99"/>
      <c r="AS407" s="99"/>
    </row>
    <row r="408">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c r="AB408" s="97"/>
      <c r="AC408" s="97"/>
      <c r="AD408" s="97"/>
      <c r="AE408" s="97"/>
      <c r="AF408" s="97"/>
      <c r="AG408" s="97"/>
      <c r="AH408" s="97"/>
      <c r="AI408" s="97"/>
      <c r="AJ408" s="97"/>
      <c r="AK408" s="97"/>
      <c r="AL408" s="97"/>
      <c r="AM408" s="97"/>
      <c r="AN408" s="97"/>
      <c r="AO408" s="97"/>
      <c r="AP408" s="97"/>
      <c r="AQ408" s="99"/>
      <c r="AR408" s="99"/>
      <c r="AS408" s="99"/>
    </row>
    <row r="409">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c r="AB409" s="97"/>
      <c r="AC409" s="97"/>
      <c r="AD409" s="97"/>
      <c r="AE409" s="97"/>
      <c r="AF409" s="97"/>
      <c r="AG409" s="97"/>
      <c r="AH409" s="97"/>
      <c r="AI409" s="97"/>
      <c r="AJ409" s="97"/>
      <c r="AK409" s="97"/>
      <c r="AL409" s="97"/>
      <c r="AM409" s="97"/>
      <c r="AN409" s="97"/>
      <c r="AO409" s="97"/>
      <c r="AP409" s="97"/>
      <c r="AQ409" s="99"/>
      <c r="AR409" s="99"/>
      <c r="AS409" s="99"/>
    </row>
    <row r="410">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c r="AB410" s="97"/>
      <c r="AC410" s="97"/>
      <c r="AD410" s="97"/>
      <c r="AE410" s="97"/>
      <c r="AF410" s="97"/>
      <c r="AG410" s="97"/>
      <c r="AH410" s="97"/>
      <c r="AI410" s="97"/>
      <c r="AJ410" s="97"/>
      <c r="AK410" s="97"/>
      <c r="AL410" s="97"/>
      <c r="AM410" s="97"/>
      <c r="AN410" s="97"/>
      <c r="AO410" s="97"/>
      <c r="AP410" s="97"/>
      <c r="AQ410" s="99"/>
      <c r="AR410" s="99"/>
      <c r="AS410" s="99"/>
    </row>
    <row r="41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c r="AB411" s="97"/>
      <c r="AC411" s="97"/>
      <c r="AD411" s="97"/>
      <c r="AE411" s="97"/>
      <c r="AF411" s="97"/>
      <c r="AG411" s="97"/>
      <c r="AH411" s="97"/>
      <c r="AI411" s="97"/>
      <c r="AJ411" s="97"/>
      <c r="AK411" s="97"/>
      <c r="AL411" s="97"/>
      <c r="AM411" s="97"/>
      <c r="AN411" s="97"/>
      <c r="AO411" s="97"/>
      <c r="AP411" s="97"/>
      <c r="AQ411" s="99"/>
      <c r="AR411" s="99"/>
      <c r="AS411" s="99"/>
    </row>
    <row r="412">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c r="AB412" s="97"/>
      <c r="AC412" s="97"/>
      <c r="AD412" s="97"/>
      <c r="AE412" s="97"/>
      <c r="AF412" s="97"/>
      <c r="AG412" s="97"/>
      <c r="AH412" s="97"/>
      <c r="AI412" s="97"/>
      <c r="AJ412" s="97"/>
      <c r="AK412" s="97"/>
      <c r="AL412" s="97"/>
      <c r="AM412" s="97"/>
      <c r="AN412" s="97"/>
      <c r="AO412" s="97"/>
      <c r="AP412" s="97"/>
      <c r="AQ412" s="99"/>
      <c r="AR412" s="99"/>
      <c r="AS412" s="99"/>
    </row>
    <row r="413">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c r="AB413" s="97"/>
      <c r="AC413" s="97"/>
      <c r="AD413" s="97"/>
      <c r="AE413" s="97"/>
      <c r="AF413" s="97"/>
      <c r="AG413" s="97"/>
      <c r="AH413" s="97"/>
      <c r="AI413" s="97"/>
      <c r="AJ413" s="97"/>
      <c r="AK413" s="97"/>
      <c r="AL413" s="97"/>
      <c r="AM413" s="97"/>
      <c r="AN413" s="97"/>
      <c r="AO413" s="97"/>
      <c r="AP413" s="97"/>
      <c r="AQ413" s="99"/>
      <c r="AR413" s="99"/>
      <c r="AS413" s="99"/>
    </row>
    <row r="414">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c r="AB414" s="97"/>
      <c r="AC414" s="97"/>
      <c r="AD414" s="97"/>
      <c r="AE414" s="97"/>
      <c r="AF414" s="97"/>
      <c r="AG414" s="97"/>
      <c r="AH414" s="97"/>
      <c r="AI414" s="97"/>
      <c r="AJ414" s="97"/>
      <c r="AK414" s="97"/>
      <c r="AL414" s="97"/>
      <c r="AM414" s="97"/>
      <c r="AN414" s="97"/>
      <c r="AO414" s="97"/>
      <c r="AP414" s="97"/>
      <c r="AQ414" s="99"/>
      <c r="AR414" s="99"/>
      <c r="AS414" s="99"/>
    </row>
    <row r="415">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c r="AB415" s="97"/>
      <c r="AC415" s="97"/>
      <c r="AD415" s="97"/>
      <c r="AE415" s="97"/>
      <c r="AF415" s="97"/>
      <c r="AG415" s="97"/>
      <c r="AH415" s="97"/>
      <c r="AI415" s="97"/>
      <c r="AJ415" s="97"/>
      <c r="AK415" s="97"/>
      <c r="AL415" s="97"/>
      <c r="AM415" s="97"/>
      <c r="AN415" s="97"/>
      <c r="AO415" s="97"/>
      <c r="AP415" s="97"/>
      <c r="AQ415" s="99"/>
      <c r="AR415" s="99"/>
      <c r="AS415" s="99"/>
    </row>
    <row r="416">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7"/>
      <c r="AC416" s="97"/>
      <c r="AD416" s="97"/>
      <c r="AE416" s="97"/>
      <c r="AF416" s="97"/>
      <c r="AG416" s="97"/>
      <c r="AH416" s="97"/>
      <c r="AI416" s="97"/>
      <c r="AJ416" s="97"/>
      <c r="AK416" s="97"/>
      <c r="AL416" s="97"/>
      <c r="AM416" s="97"/>
      <c r="AN416" s="97"/>
      <c r="AO416" s="97"/>
      <c r="AP416" s="97"/>
      <c r="AQ416" s="99"/>
      <c r="AR416" s="99"/>
      <c r="AS416" s="99"/>
    </row>
    <row r="417">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c r="AB417" s="97"/>
      <c r="AC417" s="97"/>
      <c r="AD417" s="97"/>
      <c r="AE417" s="97"/>
      <c r="AF417" s="97"/>
      <c r="AG417" s="97"/>
      <c r="AH417" s="97"/>
      <c r="AI417" s="97"/>
      <c r="AJ417" s="97"/>
      <c r="AK417" s="97"/>
      <c r="AL417" s="97"/>
      <c r="AM417" s="97"/>
      <c r="AN417" s="97"/>
      <c r="AO417" s="97"/>
      <c r="AP417" s="97"/>
      <c r="AQ417" s="99"/>
      <c r="AR417" s="99"/>
      <c r="AS417" s="99"/>
    </row>
    <row r="418">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c r="AB418" s="97"/>
      <c r="AC418" s="97"/>
      <c r="AD418" s="97"/>
      <c r="AE418" s="97"/>
      <c r="AF418" s="97"/>
      <c r="AG418" s="97"/>
      <c r="AH418" s="97"/>
      <c r="AI418" s="97"/>
      <c r="AJ418" s="97"/>
      <c r="AK418" s="97"/>
      <c r="AL418" s="97"/>
      <c r="AM418" s="97"/>
      <c r="AN418" s="97"/>
      <c r="AO418" s="97"/>
      <c r="AP418" s="97"/>
      <c r="AQ418" s="99"/>
      <c r="AR418" s="99"/>
      <c r="AS418" s="99"/>
    </row>
    <row r="419">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c r="AB419" s="97"/>
      <c r="AC419" s="97"/>
      <c r="AD419" s="97"/>
      <c r="AE419" s="97"/>
      <c r="AF419" s="97"/>
      <c r="AG419" s="97"/>
      <c r="AH419" s="97"/>
      <c r="AI419" s="97"/>
      <c r="AJ419" s="97"/>
      <c r="AK419" s="97"/>
      <c r="AL419" s="97"/>
      <c r="AM419" s="97"/>
      <c r="AN419" s="97"/>
      <c r="AO419" s="97"/>
      <c r="AP419" s="97"/>
      <c r="AQ419" s="99"/>
      <c r="AR419" s="99"/>
      <c r="AS419" s="99"/>
    </row>
    <row r="420">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c r="AB420" s="97"/>
      <c r="AC420" s="97"/>
      <c r="AD420" s="97"/>
      <c r="AE420" s="97"/>
      <c r="AF420" s="97"/>
      <c r="AG420" s="97"/>
      <c r="AH420" s="97"/>
      <c r="AI420" s="97"/>
      <c r="AJ420" s="97"/>
      <c r="AK420" s="97"/>
      <c r="AL420" s="97"/>
      <c r="AM420" s="97"/>
      <c r="AN420" s="97"/>
      <c r="AO420" s="97"/>
      <c r="AP420" s="97"/>
      <c r="AQ420" s="99"/>
      <c r="AR420" s="99"/>
      <c r="AS420" s="99"/>
    </row>
    <row r="42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c r="AB421" s="97"/>
      <c r="AC421" s="97"/>
      <c r="AD421" s="97"/>
      <c r="AE421" s="97"/>
      <c r="AF421" s="97"/>
      <c r="AG421" s="97"/>
      <c r="AH421" s="97"/>
      <c r="AI421" s="97"/>
      <c r="AJ421" s="97"/>
      <c r="AK421" s="97"/>
      <c r="AL421" s="97"/>
      <c r="AM421" s="97"/>
      <c r="AN421" s="97"/>
      <c r="AO421" s="97"/>
      <c r="AP421" s="97"/>
      <c r="AQ421" s="99"/>
      <c r="AR421" s="99"/>
      <c r="AS421" s="99"/>
    </row>
    <row r="422">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c r="AB422" s="97"/>
      <c r="AC422" s="97"/>
      <c r="AD422" s="97"/>
      <c r="AE422" s="97"/>
      <c r="AF422" s="97"/>
      <c r="AG422" s="97"/>
      <c r="AH422" s="97"/>
      <c r="AI422" s="97"/>
      <c r="AJ422" s="97"/>
      <c r="AK422" s="97"/>
      <c r="AL422" s="97"/>
      <c r="AM422" s="97"/>
      <c r="AN422" s="97"/>
      <c r="AO422" s="97"/>
      <c r="AP422" s="97"/>
      <c r="AQ422" s="99"/>
      <c r="AR422" s="99"/>
      <c r="AS422" s="99"/>
    </row>
    <row r="423">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c r="AB423" s="97"/>
      <c r="AC423" s="97"/>
      <c r="AD423" s="97"/>
      <c r="AE423" s="97"/>
      <c r="AF423" s="97"/>
      <c r="AG423" s="97"/>
      <c r="AH423" s="97"/>
      <c r="AI423" s="97"/>
      <c r="AJ423" s="97"/>
      <c r="AK423" s="97"/>
      <c r="AL423" s="97"/>
      <c r="AM423" s="97"/>
      <c r="AN423" s="97"/>
      <c r="AO423" s="97"/>
      <c r="AP423" s="97"/>
      <c r="AQ423" s="99"/>
      <c r="AR423" s="99"/>
      <c r="AS423" s="99"/>
    </row>
    <row r="424">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c r="AB424" s="97"/>
      <c r="AC424" s="97"/>
      <c r="AD424" s="97"/>
      <c r="AE424" s="97"/>
      <c r="AF424" s="97"/>
      <c r="AG424" s="97"/>
      <c r="AH424" s="97"/>
      <c r="AI424" s="97"/>
      <c r="AJ424" s="97"/>
      <c r="AK424" s="97"/>
      <c r="AL424" s="97"/>
      <c r="AM424" s="97"/>
      <c r="AN424" s="97"/>
      <c r="AO424" s="97"/>
      <c r="AP424" s="97"/>
      <c r="AQ424" s="99"/>
      <c r="AR424" s="99"/>
      <c r="AS424" s="99"/>
    </row>
    <row r="425">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c r="AB425" s="97"/>
      <c r="AC425" s="97"/>
      <c r="AD425" s="97"/>
      <c r="AE425" s="97"/>
      <c r="AF425" s="97"/>
      <c r="AG425" s="97"/>
      <c r="AH425" s="97"/>
      <c r="AI425" s="97"/>
      <c r="AJ425" s="97"/>
      <c r="AK425" s="97"/>
      <c r="AL425" s="97"/>
      <c r="AM425" s="97"/>
      <c r="AN425" s="97"/>
      <c r="AO425" s="97"/>
      <c r="AP425" s="97"/>
      <c r="AQ425" s="99"/>
      <c r="AR425" s="99"/>
      <c r="AS425" s="99"/>
    </row>
    <row r="426">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c r="AB426" s="97"/>
      <c r="AC426" s="97"/>
      <c r="AD426" s="97"/>
      <c r="AE426" s="97"/>
      <c r="AF426" s="97"/>
      <c r="AG426" s="97"/>
      <c r="AH426" s="97"/>
      <c r="AI426" s="97"/>
      <c r="AJ426" s="97"/>
      <c r="AK426" s="97"/>
      <c r="AL426" s="97"/>
      <c r="AM426" s="97"/>
      <c r="AN426" s="97"/>
      <c r="AO426" s="97"/>
      <c r="AP426" s="97"/>
      <c r="AQ426" s="99"/>
      <c r="AR426" s="99"/>
      <c r="AS426" s="99"/>
    </row>
    <row r="427">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c r="AB427" s="97"/>
      <c r="AC427" s="97"/>
      <c r="AD427" s="97"/>
      <c r="AE427" s="97"/>
      <c r="AF427" s="97"/>
      <c r="AG427" s="97"/>
      <c r="AH427" s="97"/>
      <c r="AI427" s="97"/>
      <c r="AJ427" s="97"/>
      <c r="AK427" s="97"/>
      <c r="AL427" s="97"/>
      <c r="AM427" s="97"/>
      <c r="AN427" s="97"/>
      <c r="AO427" s="97"/>
      <c r="AP427" s="97"/>
      <c r="AQ427" s="99"/>
      <c r="AR427" s="99"/>
      <c r="AS427" s="99"/>
    </row>
    <row r="428">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c r="AB428" s="97"/>
      <c r="AC428" s="97"/>
      <c r="AD428" s="97"/>
      <c r="AE428" s="97"/>
      <c r="AF428" s="97"/>
      <c r="AG428" s="97"/>
      <c r="AH428" s="97"/>
      <c r="AI428" s="97"/>
      <c r="AJ428" s="97"/>
      <c r="AK428" s="97"/>
      <c r="AL428" s="97"/>
      <c r="AM428" s="97"/>
      <c r="AN428" s="97"/>
      <c r="AO428" s="97"/>
      <c r="AP428" s="97"/>
      <c r="AQ428" s="99"/>
      <c r="AR428" s="99"/>
      <c r="AS428" s="99"/>
    </row>
    <row r="429">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c r="AB429" s="97"/>
      <c r="AC429" s="97"/>
      <c r="AD429" s="97"/>
      <c r="AE429" s="97"/>
      <c r="AF429" s="97"/>
      <c r="AG429" s="97"/>
      <c r="AH429" s="97"/>
      <c r="AI429" s="97"/>
      <c r="AJ429" s="97"/>
      <c r="AK429" s="97"/>
      <c r="AL429" s="97"/>
      <c r="AM429" s="97"/>
      <c r="AN429" s="97"/>
      <c r="AO429" s="97"/>
      <c r="AP429" s="97"/>
      <c r="AQ429" s="99"/>
      <c r="AR429" s="99"/>
      <c r="AS429" s="99"/>
    </row>
    <row r="430">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c r="AB430" s="97"/>
      <c r="AC430" s="97"/>
      <c r="AD430" s="97"/>
      <c r="AE430" s="97"/>
      <c r="AF430" s="97"/>
      <c r="AG430" s="97"/>
      <c r="AH430" s="97"/>
      <c r="AI430" s="97"/>
      <c r="AJ430" s="97"/>
      <c r="AK430" s="97"/>
      <c r="AL430" s="97"/>
      <c r="AM430" s="97"/>
      <c r="AN430" s="97"/>
      <c r="AO430" s="97"/>
      <c r="AP430" s="97"/>
      <c r="AQ430" s="99"/>
      <c r="AR430" s="99"/>
      <c r="AS430" s="99"/>
    </row>
    <row r="43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c r="AB431" s="97"/>
      <c r="AC431" s="97"/>
      <c r="AD431" s="97"/>
      <c r="AE431" s="97"/>
      <c r="AF431" s="97"/>
      <c r="AG431" s="97"/>
      <c r="AH431" s="97"/>
      <c r="AI431" s="97"/>
      <c r="AJ431" s="97"/>
      <c r="AK431" s="97"/>
      <c r="AL431" s="97"/>
      <c r="AM431" s="97"/>
      <c r="AN431" s="97"/>
      <c r="AO431" s="97"/>
      <c r="AP431" s="97"/>
      <c r="AQ431" s="99"/>
      <c r="AR431" s="99"/>
      <c r="AS431" s="99"/>
    </row>
    <row r="432">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c r="AB432" s="97"/>
      <c r="AC432" s="97"/>
      <c r="AD432" s="97"/>
      <c r="AE432" s="97"/>
      <c r="AF432" s="97"/>
      <c r="AG432" s="97"/>
      <c r="AH432" s="97"/>
      <c r="AI432" s="97"/>
      <c r="AJ432" s="97"/>
      <c r="AK432" s="97"/>
      <c r="AL432" s="97"/>
      <c r="AM432" s="97"/>
      <c r="AN432" s="97"/>
      <c r="AO432" s="97"/>
      <c r="AP432" s="97"/>
      <c r="AQ432" s="99"/>
      <c r="AR432" s="99"/>
      <c r="AS432" s="99"/>
    </row>
    <row r="433">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c r="AB433" s="97"/>
      <c r="AC433" s="97"/>
      <c r="AD433" s="97"/>
      <c r="AE433" s="97"/>
      <c r="AF433" s="97"/>
      <c r="AG433" s="97"/>
      <c r="AH433" s="97"/>
      <c r="AI433" s="97"/>
      <c r="AJ433" s="97"/>
      <c r="AK433" s="97"/>
      <c r="AL433" s="97"/>
      <c r="AM433" s="97"/>
      <c r="AN433" s="97"/>
      <c r="AO433" s="97"/>
      <c r="AP433" s="97"/>
      <c r="AQ433" s="99"/>
      <c r="AR433" s="99"/>
      <c r="AS433" s="99"/>
    </row>
    <row r="434">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c r="AB434" s="97"/>
      <c r="AC434" s="97"/>
      <c r="AD434" s="97"/>
      <c r="AE434" s="97"/>
      <c r="AF434" s="97"/>
      <c r="AG434" s="97"/>
      <c r="AH434" s="97"/>
      <c r="AI434" s="97"/>
      <c r="AJ434" s="97"/>
      <c r="AK434" s="97"/>
      <c r="AL434" s="97"/>
      <c r="AM434" s="97"/>
      <c r="AN434" s="97"/>
      <c r="AO434" s="97"/>
      <c r="AP434" s="97"/>
      <c r="AQ434" s="99"/>
      <c r="AR434" s="99"/>
      <c r="AS434" s="99"/>
    </row>
    <row r="435">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c r="AB435" s="97"/>
      <c r="AC435" s="97"/>
      <c r="AD435" s="97"/>
      <c r="AE435" s="97"/>
      <c r="AF435" s="97"/>
      <c r="AG435" s="97"/>
      <c r="AH435" s="97"/>
      <c r="AI435" s="97"/>
      <c r="AJ435" s="97"/>
      <c r="AK435" s="97"/>
      <c r="AL435" s="97"/>
      <c r="AM435" s="97"/>
      <c r="AN435" s="97"/>
      <c r="AO435" s="97"/>
      <c r="AP435" s="97"/>
      <c r="AQ435" s="99"/>
      <c r="AR435" s="99"/>
      <c r="AS435" s="99"/>
    </row>
    <row r="436">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c r="AB436" s="97"/>
      <c r="AC436" s="97"/>
      <c r="AD436" s="97"/>
      <c r="AE436" s="97"/>
      <c r="AF436" s="97"/>
      <c r="AG436" s="97"/>
      <c r="AH436" s="97"/>
      <c r="AI436" s="97"/>
      <c r="AJ436" s="97"/>
      <c r="AK436" s="97"/>
      <c r="AL436" s="97"/>
      <c r="AM436" s="97"/>
      <c r="AN436" s="97"/>
      <c r="AO436" s="97"/>
      <c r="AP436" s="97"/>
      <c r="AQ436" s="99"/>
      <c r="AR436" s="99"/>
      <c r="AS436" s="99"/>
    </row>
    <row r="437">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c r="AB437" s="97"/>
      <c r="AC437" s="97"/>
      <c r="AD437" s="97"/>
      <c r="AE437" s="97"/>
      <c r="AF437" s="97"/>
      <c r="AG437" s="97"/>
      <c r="AH437" s="97"/>
      <c r="AI437" s="97"/>
      <c r="AJ437" s="97"/>
      <c r="AK437" s="97"/>
      <c r="AL437" s="97"/>
      <c r="AM437" s="97"/>
      <c r="AN437" s="97"/>
      <c r="AO437" s="97"/>
      <c r="AP437" s="97"/>
      <c r="AQ437" s="99"/>
      <c r="AR437" s="99"/>
      <c r="AS437" s="99"/>
    </row>
    <row r="438">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c r="AB438" s="97"/>
      <c r="AC438" s="97"/>
      <c r="AD438" s="97"/>
      <c r="AE438" s="97"/>
      <c r="AF438" s="97"/>
      <c r="AG438" s="97"/>
      <c r="AH438" s="97"/>
      <c r="AI438" s="97"/>
      <c r="AJ438" s="97"/>
      <c r="AK438" s="97"/>
      <c r="AL438" s="97"/>
      <c r="AM438" s="97"/>
      <c r="AN438" s="97"/>
      <c r="AO438" s="97"/>
      <c r="AP438" s="97"/>
      <c r="AQ438" s="99"/>
      <c r="AR438" s="99"/>
      <c r="AS438" s="99"/>
    </row>
    <row r="439">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c r="AB439" s="97"/>
      <c r="AC439" s="97"/>
      <c r="AD439" s="97"/>
      <c r="AE439" s="97"/>
      <c r="AF439" s="97"/>
      <c r="AG439" s="97"/>
      <c r="AH439" s="97"/>
      <c r="AI439" s="97"/>
      <c r="AJ439" s="97"/>
      <c r="AK439" s="97"/>
      <c r="AL439" s="97"/>
      <c r="AM439" s="97"/>
      <c r="AN439" s="97"/>
      <c r="AO439" s="97"/>
      <c r="AP439" s="97"/>
      <c r="AQ439" s="99"/>
      <c r="AR439" s="99"/>
      <c r="AS439" s="99"/>
    </row>
    <row r="440">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c r="AB440" s="97"/>
      <c r="AC440" s="97"/>
      <c r="AD440" s="97"/>
      <c r="AE440" s="97"/>
      <c r="AF440" s="97"/>
      <c r="AG440" s="97"/>
      <c r="AH440" s="97"/>
      <c r="AI440" s="97"/>
      <c r="AJ440" s="97"/>
      <c r="AK440" s="97"/>
      <c r="AL440" s="97"/>
      <c r="AM440" s="97"/>
      <c r="AN440" s="97"/>
      <c r="AO440" s="97"/>
      <c r="AP440" s="97"/>
      <c r="AQ440" s="99"/>
      <c r="AR440" s="99"/>
      <c r="AS440" s="99"/>
    </row>
    <row r="44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c r="AB441" s="97"/>
      <c r="AC441" s="97"/>
      <c r="AD441" s="97"/>
      <c r="AE441" s="97"/>
      <c r="AF441" s="97"/>
      <c r="AG441" s="97"/>
      <c r="AH441" s="97"/>
      <c r="AI441" s="97"/>
      <c r="AJ441" s="97"/>
      <c r="AK441" s="97"/>
      <c r="AL441" s="97"/>
      <c r="AM441" s="97"/>
      <c r="AN441" s="97"/>
      <c r="AO441" s="97"/>
      <c r="AP441" s="97"/>
      <c r="AQ441" s="99"/>
      <c r="AR441" s="99"/>
      <c r="AS441" s="99"/>
    </row>
    <row r="442">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c r="AB442" s="97"/>
      <c r="AC442" s="97"/>
      <c r="AD442" s="97"/>
      <c r="AE442" s="97"/>
      <c r="AF442" s="97"/>
      <c r="AG442" s="97"/>
      <c r="AH442" s="97"/>
      <c r="AI442" s="97"/>
      <c r="AJ442" s="97"/>
      <c r="AK442" s="97"/>
      <c r="AL442" s="97"/>
      <c r="AM442" s="97"/>
      <c r="AN442" s="97"/>
      <c r="AO442" s="97"/>
      <c r="AP442" s="97"/>
      <c r="AQ442" s="99"/>
      <c r="AR442" s="99"/>
      <c r="AS442" s="99"/>
    </row>
    <row r="443">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c r="AB443" s="97"/>
      <c r="AC443" s="97"/>
      <c r="AD443" s="97"/>
      <c r="AE443" s="97"/>
      <c r="AF443" s="97"/>
      <c r="AG443" s="97"/>
      <c r="AH443" s="97"/>
      <c r="AI443" s="97"/>
      <c r="AJ443" s="97"/>
      <c r="AK443" s="97"/>
      <c r="AL443" s="97"/>
      <c r="AM443" s="97"/>
      <c r="AN443" s="97"/>
      <c r="AO443" s="97"/>
      <c r="AP443" s="97"/>
      <c r="AQ443" s="99"/>
      <c r="AR443" s="99"/>
      <c r="AS443" s="99"/>
    </row>
    <row r="444">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c r="AB444" s="97"/>
      <c r="AC444" s="97"/>
      <c r="AD444" s="97"/>
      <c r="AE444" s="97"/>
      <c r="AF444" s="97"/>
      <c r="AG444" s="97"/>
      <c r="AH444" s="97"/>
      <c r="AI444" s="97"/>
      <c r="AJ444" s="97"/>
      <c r="AK444" s="97"/>
      <c r="AL444" s="97"/>
      <c r="AM444" s="97"/>
      <c r="AN444" s="97"/>
      <c r="AO444" s="97"/>
      <c r="AP444" s="97"/>
      <c r="AQ444" s="99"/>
      <c r="AR444" s="99"/>
      <c r="AS444" s="99"/>
    </row>
    <row r="445">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c r="AB445" s="97"/>
      <c r="AC445" s="97"/>
      <c r="AD445" s="97"/>
      <c r="AE445" s="97"/>
      <c r="AF445" s="97"/>
      <c r="AG445" s="97"/>
      <c r="AH445" s="97"/>
      <c r="AI445" s="97"/>
      <c r="AJ445" s="97"/>
      <c r="AK445" s="97"/>
      <c r="AL445" s="97"/>
      <c r="AM445" s="97"/>
      <c r="AN445" s="97"/>
      <c r="AO445" s="97"/>
      <c r="AP445" s="97"/>
      <c r="AQ445" s="99"/>
      <c r="AR445" s="99"/>
      <c r="AS445" s="99"/>
    </row>
    <row r="446">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7"/>
      <c r="AC446" s="97"/>
      <c r="AD446" s="97"/>
      <c r="AE446" s="97"/>
      <c r="AF446" s="97"/>
      <c r="AG446" s="97"/>
      <c r="AH446" s="97"/>
      <c r="AI446" s="97"/>
      <c r="AJ446" s="97"/>
      <c r="AK446" s="97"/>
      <c r="AL446" s="97"/>
      <c r="AM446" s="97"/>
      <c r="AN446" s="97"/>
      <c r="AO446" s="97"/>
      <c r="AP446" s="97"/>
      <c r="AQ446" s="99"/>
      <c r="AR446" s="99"/>
      <c r="AS446" s="99"/>
    </row>
    <row r="447">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c r="AB447" s="97"/>
      <c r="AC447" s="97"/>
      <c r="AD447" s="97"/>
      <c r="AE447" s="97"/>
      <c r="AF447" s="97"/>
      <c r="AG447" s="97"/>
      <c r="AH447" s="97"/>
      <c r="AI447" s="97"/>
      <c r="AJ447" s="97"/>
      <c r="AK447" s="97"/>
      <c r="AL447" s="97"/>
      <c r="AM447" s="97"/>
      <c r="AN447" s="97"/>
      <c r="AO447" s="97"/>
      <c r="AP447" s="97"/>
      <c r="AQ447" s="99"/>
      <c r="AR447" s="99"/>
      <c r="AS447" s="99"/>
    </row>
    <row r="448">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7"/>
      <c r="AC448" s="97"/>
      <c r="AD448" s="97"/>
      <c r="AE448" s="97"/>
      <c r="AF448" s="97"/>
      <c r="AG448" s="97"/>
      <c r="AH448" s="97"/>
      <c r="AI448" s="97"/>
      <c r="AJ448" s="97"/>
      <c r="AK448" s="97"/>
      <c r="AL448" s="97"/>
      <c r="AM448" s="97"/>
      <c r="AN448" s="97"/>
      <c r="AO448" s="97"/>
      <c r="AP448" s="97"/>
      <c r="AQ448" s="99"/>
      <c r="AR448" s="99"/>
      <c r="AS448" s="99"/>
    </row>
    <row r="449">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c r="AB449" s="97"/>
      <c r="AC449" s="97"/>
      <c r="AD449" s="97"/>
      <c r="AE449" s="97"/>
      <c r="AF449" s="97"/>
      <c r="AG449" s="97"/>
      <c r="AH449" s="97"/>
      <c r="AI449" s="97"/>
      <c r="AJ449" s="97"/>
      <c r="AK449" s="97"/>
      <c r="AL449" s="97"/>
      <c r="AM449" s="97"/>
      <c r="AN449" s="97"/>
      <c r="AO449" s="97"/>
      <c r="AP449" s="97"/>
      <c r="AQ449" s="99"/>
      <c r="AR449" s="99"/>
      <c r="AS449" s="99"/>
    </row>
    <row r="450">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7"/>
      <c r="AC450" s="97"/>
      <c r="AD450" s="97"/>
      <c r="AE450" s="97"/>
      <c r="AF450" s="97"/>
      <c r="AG450" s="97"/>
      <c r="AH450" s="97"/>
      <c r="AI450" s="97"/>
      <c r="AJ450" s="97"/>
      <c r="AK450" s="97"/>
      <c r="AL450" s="97"/>
      <c r="AM450" s="97"/>
      <c r="AN450" s="97"/>
      <c r="AO450" s="97"/>
      <c r="AP450" s="97"/>
      <c r="AQ450" s="99"/>
      <c r="AR450" s="99"/>
      <c r="AS450" s="99"/>
    </row>
    <row r="45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c r="AB451" s="97"/>
      <c r="AC451" s="97"/>
      <c r="AD451" s="97"/>
      <c r="AE451" s="97"/>
      <c r="AF451" s="97"/>
      <c r="AG451" s="97"/>
      <c r="AH451" s="97"/>
      <c r="AI451" s="97"/>
      <c r="AJ451" s="97"/>
      <c r="AK451" s="97"/>
      <c r="AL451" s="97"/>
      <c r="AM451" s="97"/>
      <c r="AN451" s="97"/>
      <c r="AO451" s="97"/>
      <c r="AP451" s="97"/>
      <c r="AQ451" s="99"/>
      <c r="AR451" s="99"/>
      <c r="AS451" s="99"/>
    </row>
    <row r="452">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c r="AH452" s="97"/>
      <c r="AI452" s="97"/>
      <c r="AJ452" s="97"/>
      <c r="AK452" s="97"/>
      <c r="AL452" s="97"/>
      <c r="AM452" s="97"/>
      <c r="AN452" s="97"/>
      <c r="AO452" s="97"/>
      <c r="AP452" s="97"/>
      <c r="AQ452" s="99"/>
      <c r="AR452" s="99"/>
      <c r="AS452" s="99"/>
    </row>
    <row r="453">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7"/>
      <c r="AC453" s="97"/>
      <c r="AD453" s="97"/>
      <c r="AE453" s="97"/>
      <c r="AF453" s="97"/>
      <c r="AG453" s="97"/>
      <c r="AH453" s="97"/>
      <c r="AI453" s="97"/>
      <c r="AJ453" s="97"/>
      <c r="AK453" s="97"/>
      <c r="AL453" s="97"/>
      <c r="AM453" s="97"/>
      <c r="AN453" s="97"/>
      <c r="AO453" s="97"/>
      <c r="AP453" s="97"/>
      <c r="AQ453" s="99"/>
      <c r="AR453" s="99"/>
      <c r="AS453" s="99"/>
    </row>
    <row r="454">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c r="AE454" s="97"/>
      <c r="AF454" s="97"/>
      <c r="AG454" s="97"/>
      <c r="AH454" s="97"/>
      <c r="AI454" s="97"/>
      <c r="AJ454" s="97"/>
      <c r="AK454" s="97"/>
      <c r="AL454" s="97"/>
      <c r="AM454" s="97"/>
      <c r="AN454" s="97"/>
      <c r="AO454" s="97"/>
      <c r="AP454" s="97"/>
      <c r="AQ454" s="99"/>
      <c r="AR454" s="99"/>
      <c r="AS454" s="99"/>
    </row>
    <row r="455">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c r="AB455" s="97"/>
      <c r="AC455" s="97"/>
      <c r="AD455" s="97"/>
      <c r="AE455" s="97"/>
      <c r="AF455" s="97"/>
      <c r="AG455" s="97"/>
      <c r="AH455" s="97"/>
      <c r="AI455" s="97"/>
      <c r="AJ455" s="97"/>
      <c r="AK455" s="97"/>
      <c r="AL455" s="97"/>
      <c r="AM455" s="97"/>
      <c r="AN455" s="97"/>
      <c r="AO455" s="97"/>
      <c r="AP455" s="97"/>
      <c r="AQ455" s="99"/>
      <c r="AR455" s="99"/>
      <c r="AS455" s="99"/>
    </row>
    <row r="456">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c r="AB456" s="97"/>
      <c r="AC456" s="97"/>
      <c r="AD456" s="97"/>
      <c r="AE456" s="97"/>
      <c r="AF456" s="97"/>
      <c r="AG456" s="97"/>
      <c r="AH456" s="97"/>
      <c r="AI456" s="97"/>
      <c r="AJ456" s="97"/>
      <c r="AK456" s="97"/>
      <c r="AL456" s="97"/>
      <c r="AM456" s="97"/>
      <c r="AN456" s="97"/>
      <c r="AO456" s="97"/>
      <c r="AP456" s="97"/>
      <c r="AQ456" s="99"/>
      <c r="AR456" s="99"/>
      <c r="AS456" s="99"/>
    </row>
    <row r="457">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c r="AB457" s="97"/>
      <c r="AC457" s="97"/>
      <c r="AD457" s="97"/>
      <c r="AE457" s="97"/>
      <c r="AF457" s="97"/>
      <c r="AG457" s="97"/>
      <c r="AH457" s="97"/>
      <c r="AI457" s="97"/>
      <c r="AJ457" s="97"/>
      <c r="AK457" s="97"/>
      <c r="AL457" s="97"/>
      <c r="AM457" s="97"/>
      <c r="AN457" s="97"/>
      <c r="AO457" s="97"/>
      <c r="AP457" s="97"/>
      <c r="AQ457" s="99"/>
      <c r="AR457" s="99"/>
      <c r="AS457" s="99"/>
    </row>
    <row r="458">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7"/>
      <c r="AC458" s="97"/>
      <c r="AD458" s="97"/>
      <c r="AE458" s="97"/>
      <c r="AF458" s="97"/>
      <c r="AG458" s="97"/>
      <c r="AH458" s="97"/>
      <c r="AI458" s="97"/>
      <c r="AJ458" s="97"/>
      <c r="AK458" s="97"/>
      <c r="AL458" s="97"/>
      <c r="AM458" s="97"/>
      <c r="AN458" s="97"/>
      <c r="AO458" s="97"/>
      <c r="AP458" s="97"/>
      <c r="AQ458" s="99"/>
      <c r="AR458" s="99"/>
      <c r="AS458" s="99"/>
    </row>
    <row r="459">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c r="AB459" s="97"/>
      <c r="AC459" s="97"/>
      <c r="AD459" s="97"/>
      <c r="AE459" s="97"/>
      <c r="AF459" s="97"/>
      <c r="AG459" s="97"/>
      <c r="AH459" s="97"/>
      <c r="AI459" s="97"/>
      <c r="AJ459" s="97"/>
      <c r="AK459" s="97"/>
      <c r="AL459" s="97"/>
      <c r="AM459" s="97"/>
      <c r="AN459" s="97"/>
      <c r="AO459" s="97"/>
      <c r="AP459" s="97"/>
      <c r="AQ459" s="99"/>
      <c r="AR459" s="99"/>
      <c r="AS459" s="99"/>
    </row>
    <row r="460">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c r="AB460" s="97"/>
      <c r="AC460" s="97"/>
      <c r="AD460" s="97"/>
      <c r="AE460" s="97"/>
      <c r="AF460" s="97"/>
      <c r="AG460" s="97"/>
      <c r="AH460" s="97"/>
      <c r="AI460" s="97"/>
      <c r="AJ460" s="97"/>
      <c r="AK460" s="97"/>
      <c r="AL460" s="97"/>
      <c r="AM460" s="97"/>
      <c r="AN460" s="97"/>
      <c r="AO460" s="97"/>
      <c r="AP460" s="97"/>
      <c r="AQ460" s="99"/>
      <c r="AR460" s="99"/>
      <c r="AS460" s="99"/>
    </row>
    <row r="46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c r="AB461" s="97"/>
      <c r="AC461" s="97"/>
      <c r="AD461" s="97"/>
      <c r="AE461" s="97"/>
      <c r="AF461" s="97"/>
      <c r="AG461" s="97"/>
      <c r="AH461" s="97"/>
      <c r="AI461" s="97"/>
      <c r="AJ461" s="97"/>
      <c r="AK461" s="97"/>
      <c r="AL461" s="97"/>
      <c r="AM461" s="97"/>
      <c r="AN461" s="97"/>
      <c r="AO461" s="97"/>
      <c r="AP461" s="97"/>
      <c r="AQ461" s="99"/>
      <c r="AR461" s="99"/>
      <c r="AS461" s="99"/>
    </row>
    <row r="462">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c r="AB462" s="97"/>
      <c r="AC462" s="97"/>
      <c r="AD462" s="97"/>
      <c r="AE462" s="97"/>
      <c r="AF462" s="97"/>
      <c r="AG462" s="97"/>
      <c r="AH462" s="97"/>
      <c r="AI462" s="97"/>
      <c r="AJ462" s="97"/>
      <c r="AK462" s="97"/>
      <c r="AL462" s="97"/>
      <c r="AM462" s="97"/>
      <c r="AN462" s="97"/>
      <c r="AO462" s="97"/>
      <c r="AP462" s="97"/>
      <c r="AQ462" s="99"/>
      <c r="AR462" s="99"/>
      <c r="AS462" s="99"/>
    </row>
    <row r="463">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c r="AB463" s="97"/>
      <c r="AC463" s="97"/>
      <c r="AD463" s="97"/>
      <c r="AE463" s="97"/>
      <c r="AF463" s="97"/>
      <c r="AG463" s="97"/>
      <c r="AH463" s="97"/>
      <c r="AI463" s="97"/>
      <c r="AJ463" s="97"/>
      <c r="AK463" s="97"/>
      <c r="AL463" s="97"/>
      <c r="AM463" s="97"/>
      <c r="AN463" s="97"/>
      <c r="AO463" s="97"/>
      <c r="AP463" s="97"/>
      <c r="AQ463" s="99"/>
      <c r="AR463" s="99"/>
      <c r="AS463" s="99"/>
    </row>
    <row r="464">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c r="AB464" s="97"/>
      <c r="AC464" s="97"/>
      <c r="AD464" s="97"/>
      <c r="AE464" s="97"/>
      <c r="AF464" s="97"/>
      <c r="AG464" s="97"/>
      <c r="AH464" s="97"/>
      <c r="AI464" s="97"/>
      <c r="AJ464" s="97"/>
      <c r="AK464" s="97"/>
      <c r="AL464" s="97"/>
      <c r="AM464" s="97"/>
      <c r="AN464" s="97"/>
      <c r="AO464" s="97"/>
      <c r="AP464" s="97"/>
      <c r="AQ464" s="99"/>
      <c r="AR464" s="99"/>
      <c r="AS464" s="99"/>
    </row>
    <row r="465">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c r="AB465" s="97"/>
      <c r="AC465" s="97"/>
      <c r="AD465" s="97"/>
      <c r="AE465" s="97"/>
      <c r="AF465" s="97"/>
      <c r="AG465" s="97"/>
      <c r="AH465" s="97"/>
      <c r="AI465" s="97"/>
      <c r="AJ465" s="97"/>
      <c r="AK465" s="97"/>
      <c r="AL465" s="97"/>
      <c r="AM465" s="97"/>
      <c r="AN465" s="97"/>
      <c r="AO465" s="97"/>
      <c r="AP465" s="97"/>
      <c r="AQ465" s="99"/>
      <c r="AR465" s="99"/>
      <c r="AS465" s="99"/>
    </row>
    <row r="466">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c r="AB466" s="97"/>
      <c r="AC466" s="97"/>
      <c r="AD466" s="97"/>
      <c r="AE466" s="97"/>
      <c r="AF466" s="97"/>
      <c r="AG466" s="97"/>
      <c r="AH466" s="97"/>
      <c r="AI466" s="97"/>
      <c r="AJ466" s="97"/>
      <c r="AK466" s="97"/>
      <c r="AL466" s="97"/>
      <c r="AM466" s="97"/>
      <c r="AN466" s="97"/>
      <c r="AO466" s="97"/>
      <c r="AP466" s="97"/>
      <c r="AQ466" s="99"/>
      <c r="AR466" s="99"/>
      <c r="AS466" s="99"/>
    </row>
    <row r="467">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c r="AB467" s="97"/>
      <c r="AC467" s="97"/>
      <c r="AD467" s="97"/>
      <c r="AE467" s="97"/>
      <c r="AF467" s="97"/>
      <c r="AG467" s="97"/>
      <c r="AH467" s="97"/>
      <c r="AI467" s="97"/>
      <c r="AJ467" s="97"/>
      <c r="AK467" s="97"/>
      <c r="AL467" s="97"/>
      <c r="AM467" s="97"/>
      <c r="AN467" s="97"/>
      <c r="AO467" s="97"/>
      <c r="AP467" s="97"/>
      <c r="AQ467" s="99"/>
      <c r="AR467" s="99"/>
      <c r="AS467" s="99"/>
    </row>
    <row r="468">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c r="AB468" s="97"/>
      <c r="AC468" s="97"/>
      <c r="AD468" s="97"/>
      <c r="AE468" s="97"/>
      <c r="AF468" s="97"/>
      <c r="AG468" s="97"/>
      <c r="AH468" s="97"/>
      <c r="AI468" s="97"/>
      <c r="AJ468" s="97"/>
      <c r="AK468" s="97"/>
      <c r="AL468" s="97"/>
      <c r="AM468" s="97"/>
      <c r="AN468" s="97"/>
      <c r="AO468" s="97"/>
      <c r="AP468" s="97"/>
      <c r="AQ468" s="99"/>
      <c r="AR468" s="99"/>
      <c r="AS468" s="99"/>
    </row>
    <row r="469">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c r="AB469" s="97"/>
      <c r="AC469" s="97"/>
      <c r="AD469" s="97"/>
      <c r="AE469" s="97"/>
      <c r="AF469" s="97"/>
      <c r="AG469" s="97"/>
      <c r="AH469" s="97"/>
      <c r="AI469" s="97"/>
      <c r="AJ469" s="97"/>
      <c r="AK469" s="97"/>
      <c r="AL469" s="97"/>
      <c r="AM469" s="97"/>
      <c r="AN469" s="97"/>
      <c r="AO469" s="97"/>
      <c r="AP469" s="97"/>
      <c r="AQ469" s="99"/>
      <c r="AR469" s="99"/>
      <c r="AS469" s="99"/>
    </row>
    <row r="470">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c r="AB470" s="97"/>
      <c r="AC470" s="97"/>
      <c r="AD470" s="97"/>
      <c r="AE470" s="97"/>
      <c r="AF470" s="97"/>
      <c r="AG470" s="97"/>
      <c r="AH470" s="97"/>
      <c r="AI470" s="97"/>
      <c r="AJ470" s="97"/>
      <c r="AK470" s="97"/>
      <c r="AL470" s="97"/>
      <c r="AM470" s="97"/>
      <c r="AN470" s="97"/>
      <c r="AO470" s="97"/>
      <c r="AP470" s="97"/>
      <c r="AQ470" s="99"/>
      <c r="AR470" s="99"/>
      <c r="AS470" s="99"/>
    </row>
    <row r="47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c r="AB471" s="97"/>
      <c r="AC471" s="97"/>
      <c r="AD471" s="97"/>
      <c r="AE471" s="97"/>
      <c r="AF471" s="97"/>
      <c r="AG471" s="97"/>
      <c r="AH471" s="97"/>
      <c r="AI471" s="97"/>
      <c r="AJ471" s="97"/>
      <c r="AK471" s="97"/>
      <c r="AL471" s="97"/>
      <c r="AM471" s="97"/>
      <c r="AN471" s="97"/>
      <c r="AO471" s="97"/>
      <c r="AP471" s="97"/>
      <c r="AQ471" s="99"/>
      <c r="AR471" s="99"/>
      <c r="AS471" s="99"/>
    </row>
    <row r="472">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c r="AB472" s="97"/>
      <c r="AC472" s="97"/>
      <c r="AD472" s="97"/>
      <c r="AE472" s="97"/>
      <c r="AF472" s="97"/>
      <c r="AG472" s="97"/>
      <c r="AH472" s="97"/>
      <c r="AI472" s="97"/>
      <c r="AJ472" s="97"/>
      <c r="AK472" s="97"/>
      <c r="AL472" s="97"/>
      <c r="AM472" s="97"/>
      <c r="AN472" s="97"/>
      <c r="AO472" s="97"/>
      <c r="AP472" s="97"/>
      <c r="AQ472" s="99"/>
      <c r="AR472" s="99"/>
      <c r="AS472" s="99"/>
    </row>
    <row r="473">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c r="AB473" s="97"/>
      <c r="AC473" s="97"/>
      <c r="AD473" s="97"/>
      <c r="AE473" s="97"/>
      <c r="AF473" s="97"/>
      <c r="AG473" s="97"/>
      <c r="AH473" s="97"/>
      <c r="AI473" s="97"/>
      <c r="AJ473" s="97"/>
      <c r="AK473" s="97"/>
      <c r="AL473" s="97"/>
      <c r="AM473" s="97"/>
      <c r="AN473" s="97"/>
      <c r="AO473" s="97"/>
      <c r="AP473" s="97"/>
      <c r="AQ473" s="99"/>
      <c r="AR473" s="99"/>
      <c r="AS473" s="99"/>
    </row>
    <row r="474">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c r="AB474" s="97"/>
      <c r="AC474" s="97"/>
      <c r="AD474" s="97"/>
      <c r="AE474" s="97"/>
      <c r="AF474" s="97"/>
      <c r="AG474" s="97"/>
      <c r="AH474" s="97"/>
      <c r="AI474" s="97"/>
      <c r="AJ474" s="97"/>
      <c r="AK474" s="97"/>
      <c r="AL474" s="97"/>
      <c r="AM474" s="97"/>
      <c r="AN474" s="97"/>
      <c r="AO474" s="97"/>
      <c r="AP474" s="97"/>
      <c r="AQ474" s="99"/>
      <c r="AR474" s="99"/>
      <c r="AS474" s="99"/>
    </row>
    <row r="475">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c r="AB475" s="97"/>
      <c r="AC475" s="97"/>
      <c r="AD475" s="97"/>
      <c r="AE475" s="97"/>
      <c r="AF475" s="97"/>
      <c r="AG475" s="97"/>
      <c r="AH475" s="97"/>
      <c r="AI475" s="97"/>
      <c r="AJ475" s="97"/>
      <c r="AK475" s="97"/>
      <c r="AL475" s="97"/>
      <c r="AM475" s="97"/>
      <c r="AN475" s="97"/>
      <c r="AO475" s="97"/>
      <c r="AP475" s="97"/>
      <c r="AQ475" s="99"/>
      <c r="AR475" s="99"/>
      <c r="AS475" s="99"/>
    </row>
    <row r="476">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c r="AB476" s="97"/>
      <c r="AC476" s="97"/>
      <c r="AD476" s="97"/>
      <c r="AE476" s="97"/>
      <c r="AF476" s="97"/>
      <c r="AG476" s="97"/>
      <c r="AH476" s="97"/>
      <c r="AI476" s="97"/>
      <c r="AJ476" s="97"/>
      <c r="AK476" s="97"/>
      <c r="AL476" s="97"/>
      <c r="AM476" s="97"/>
      <c r="AN476" s="97"/>
      <c r="AO476" s="97"/>
      <c r="AP476" s="97"/>
      <c r="AQ476" s="99"/>
      <c r="AR476" s="99"/>
      <c r="AS476" s="99"/>
    </row>
    <row r="477">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c r="AB477" s="97"/>
      <c r="AC477" s="97"/>
      <c r="AD477" s="97"/>
      <c r="AE477" s="97"/>
      <c r="AF477" s="97"/>
      <c r="AG477" s="97"/>
      <c r="AH477" s="97"/>
      <c r="AI477" s="97"/>
      <c r="AJ477" s="97"/>
      <c r="AK477" s="97"/>
      <c r="AL477" s="97"/>
      <c r="AM477" s="97"/>
      <c r="AN477" s="97"/>
      <c r="AO477" s="97"/>
      <c r="AP477" s="97"/>
      <c r="AQ477" s="99"/>
      <c r="AR477" s="99"/>
      <c r="AS477" s="99"/>
    </row>
    <row r="478">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c r="AB478" s="97"/>
      <c r="AC478" s="97"/>
      <c r="AD478" s="97"/>
      <c r="AE478" s="97"/>
      <c r="AF478" s="97"/>
      <c r="AG478" s="97"/>
      <c r="AH478" s="97"/>
      <c r="AI478" s="97"/>
      <c r="AJ478" s="97"/>
      <c r="AK478" s="97"/>
      <c r="AL478" s="97"/>
      <c r="AM478" s="97"/>
      <c r="AN478" s="97"/>
      <c r="AO478" s="97"/>
      <c r="AP478" s="97"/>
      <c r="AQ478" s="99"/>
      <c r="AR478" s="99"/>
      <c r="AS478" s="99"/>
    </row>
    <row r="479">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c r="AB479" s="97"/>
      <c r="AC479" s="97"/>
      <c r="AD479" s="97"/>
      <c r="AE479" s="97"/>
      <c r="AF479" s="97"/>
      <c r="AG479" s="97"/>
      <c r="AH479" s="97"/>
      <c r="AI479" s="97"/>
      <c r="AJ479" s="97"/>
      <c r="AK479" s="97"/>
      <c r="AL479" s="97"/>
      <c r="AM479" s="97"/>
      <c r="AN479" s="97"/>
      <c r="AO479" s="97"/>
      <c r="AP479" s="97"/>
      <c r="AQ479" s="99"/>
      <c r="AR479" s="99"/>
      <c r="AS479" s="99"/>
    </row>
    <row r="480">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c r="AB480" s="97"/>
      <c r="AC480" s="97"/>
      <c r="AD480" s="97"/>
      <c r="AE480" s="97"/>
      <c r="AF480" s="97"/>
      <c r="AG480" s="97"/>
      <c r="AH480" s="97"/>
      <c r="AI480" s="97"/>
      <c r="AJ480" s="97"/>
      <c r="AK480" s="97"/>
      <c r="AL480" s="97"/>
      <c r="AM480" s="97"/>
      <c r="AN480" s="97"/>
      <c r="AO480" s="97"/>
      <c r="AP480" s="97"/>
      <c r="AQ480" s="99"/>
      <c r="AR480" s="99"/>
      <c r="AS480" s="99"/>
    </row>
    <row r="48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c r="AB481" s="97"/>
      <c r="AC481" s="97"/>
      <c r="AD481" s="97"/>
      <c r="AE481" s="97"/>
      <c r="AF481" s="97"/>
      <c r="AG481" s="97"/>
      <c r="AH481" s="97"/>
      <c r="AI481" s="97"/>
      <c r="AJ481" s="97"/>
      <c r="AK481" s="97"/>
      <c r="AL481" s="97"/>
      <c r="AM481" s="97"/>
      <c r="AN481" s="97"/>
      <c r="AO481" s="97"/>
      <c r="AP481" s="97"/>
      <c r="AQ481" s="99"/>
      <c r="AR481" s="99"/>
      <c r="AS481" s="99"/>
    </row>
    <row r="482">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c r="AB482" s="97"/>
      <c r="AC482" s="97"/>
      <c r="AD482" s="97"/>
      <c r="AE482" s="97"/>
      <c r="AF482" s="97"/>
      <c r="AG482" s="97"/>
      <c r="AH482" s="97"/>
      <c r="AI482" s="97"/>
      <c r="AJ482" s="97"/>
      <c r="AK482" s="97"/>
      <c r="AL482" s="97"/>
      <c r="AM482" s="97"/>
      <c r="AN482" s="97"/>
      <c r="AO482" s="97"/>
      <c r="AP482" s="97"/>
      <c r="AQ482" s="99"/>
      <c r="AR482" s="99"/>
      <c r="AS482" s="99"/>
    </row>
    <row r="483">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c r="AB483" s="97"/>
      <c r="AC483" s="97"/>
      <c r="AD483" s="97"/>
      <c r="AE483" s="97"/>
      <c r="AF483" s="97"/>
      <c r="AG483" s="97"/>
      <c r="AH483" s="97"/>
      <c r="AI483" s="97"/>
      <c r="AJ483" s="97"/>
      <c r="AK483" s="97"/>
      <c r="AL483" s="97"/>
      <c r="AM483" s="97"/>
      <c r="AN483" s="97"/>
      <c r="AO483" s="97"/>
      <c r="AP483" s="97"/>
      <c r="AQ483" s="99"/>
      <c r="AR483" s="99"/>
      <c r="AS483" s="99"/>
    </row>
    <row r="484">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c r="AB484" s="97"/>
      <c r="AC484" s="97"/>
      <c r="AD484" s="97"/>
      <c r="AE484" s="97"/>
      <c r="AF484" s="97"/>
      <c r="AG484" s="97"/>
      <c r="AH484" s="97"/>
      <c r="AI484" s="97"/>
      <c r="AJ484" s="97"/>
      <c r="AK484" s="97"/>
      <c r="AL484" s="97"/>
      <c r="AM484" s="97"/>
      <c r="AN484" s="97"/>
      <c r="AO484" s="97"/>
      <c r="AP484" s="97"/>
      <c r="AQ484" s="99"/>
      <c r="AR484" s="99"/>
      <c r="AS484" s="99"/>
    </row>
    <row r="485">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c r="AB485" s="97"/>
      <c r="AC485" s="97"/>
      <c r="AD485" s="97"/>
      <c r="AE485" s="97"/>
      <c r="AF485" s="97"/>
      <c r="AG485" s="97"/>
      <c r="AH485" s="97"/>
      <c r="AI485" s="97"/>
      <c r="AJ485" s="97"/>
      <c r="AK485" s="97"/>
      <c r="AL485" s="97"/>
      <c r="AM485" s="97"/>
      <c r="AN485" s="97"/>
      <c r="AO485" s="97"/>
      <c r="AP485" s="97"/>
      <c r="AQ485" s="99"/>
      <c r="AR485" s="99"/>
      <c r="AS485" s="99"/>
    </row>
    <row r="486">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c r="AB486" s="97"/>
      <c r="AC486" s="97"/>
      <c r="AD486" s="97"/>
      <c r="AE486" s="97"/>
      <c r="AF486" s="97"/>
      <c r="AG486" s="97"/>
      <c r="AH486" s="97"/>
      <c r="AI486" s="97"/>
      <c r="AJ486" s="97"/>
      <c r="AK486" s="97"/>
      <c r="AL486" s="97"/>
      <c r="AM486" s="97"/>
      <c r="AN486" s="97"/>
      <c r="AO486" s="97"/>
      <c r="AP486" s="97"/>
      <c r="AQ486" s="99"/>
      <c r="AR486" s="99"/>
      <c r="AS486" s="99"/>
    </row>
    <row r="487">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c r="AB487" s="97"/>
      <c r="AC487" s="97"/>
      <c r="AD487" s="97"/>
      <c r="AE487" s="97"/>
      <c r="AF487" s="97"/>
      <c r="AG487" s="97"/>
      <c r="AH487" s="97"/>
      <c r="AI487" s="97"/>
      <c r="AJ487" s="97"/>
      <c r="AK487" s="97"/>
      <c r="AL487" s="97"/>
      <c r="AM487" s="97"/>
      <c r="AN487" s="97"/>
      <c r="AO487" s="97"/>
      <c r="AP487" s="97"/>
      <c r="AQ487" s="99"/>
      <c r="AR487" s="99"/>
      <c r="AS487" s="99"/>
    </row>
    <row r="488">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c r="AB488" s="97"/>
      <c r="AC488" s="97"/>
      <c r="AD488" s="97"/>
      <c r="AE488" s="97"/>
      <c r="AF488" s="97"/>
      <c r="AG488" s="97"/>
      <c r="AH488" s="97"/>
      <c r="AI488" s="97"/>
      <c r="AJ488" s="97"/>
      <c r="AK488" s="97"/>
      <c r="AL488" s="97"/>
      <c r="AM488" s="97"/>
      <c r="AN488" s="97"/>
      <c r="AO488" s="97"/>
      <c r="AP488" s="97"/>
      <c r="AQ488" s="99"/>
      <c r="AR488" s="99"/>
      <c r="AS488" s="99"/>
    </row>
    <row r="489">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c r="AB489" s="97"/>
      <c r="AC489" s="97"/>
      <c r="AD489" s="97"/>
      <c r="AE489" s="97"/>
      <c r="AF489" s="97"/>
      <c r="AG489" s="97"/>
      <c r="AH489" s="97"/>
      <c r="AI489" s="97"/>
      <c r="AJ489" s="97"/>
      <c r="AK489" s="97"/>
      <c r="AL489" s="97"/>
      <c r="AM489" s="97"/>
      <c r="AN489" s="97"/>
      <c r="AO489" s="97"/>
      <c r="AP489" s="97"/>
      <c r="AQ489" s="99"/>
      <c r="AR489" s="99"/>
      <c r="AS489" s="99"/>
    </row>
    <row r="490">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c r="AB490" s="97"/>
      <c r="AC490" s="97"/>
      <c r="AD490" s="97"/>
      <c r="AE490" s="97"/>
      <c r="AF490" s="97"/>
      <c r="AG490" s="97"/>
      <c r="AH490" s="97"/>
      <c r="AI490" s="97"/>
      <c r="AJ490" s="97"/>
      <c r="AK490" s="97"/>
      <c r="AL490" s="97"/>
      <c r="AM490" s="97"/>
      <c r="AN490" s="97"/>
      <c r="AO490" s="97"/>
      <c r="AP490" s="97"/>
      <c r="AQ490" s="99"/>
      <c r="AR490" s="99"/>
      <c r="AS490" s="99"/>
    </row>
    <row r="49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c r="AB491" s="97"/>
      <c r="AC491" s="97"/>
      <c r="AD491" s="97"/>
      <c r="AE491" s="97"/>
      <c r="AF491" s="97"/>
      <c r="AG491" s="97"/>
      <c r="AH491" s="97"/>
      <c r="AI491" s="97"/>
      <c r="AJ491" s="97"/>
      <c r="AK491" s="97"/>
      <c r="AL491" s="97"/>
      <c r="AM491" s="97"/>
      <c r="AN491" s="97"/>
      <c r="AO491" s="97"/>
      <c r="AP491" s="97"/>
      <c r="AQ491" s="99"/>
      <c r="AR491" s="99"/>
      <c r="AS491" s="99"/>
    </row>
    <row r="492">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c r="AB492" s="97"/>
      <c r="AC492" s="97"/>
      <c r="AD492" s="97"/>
      <c r="AE492" s="97"/>
      <c r="AF492" s="97"/>
      <c r="AG492" s="97"/>
      <c r="AH492" s="97"/>
      <c r="AI492" s="97"/>
      <c r="AJ492" s="97"/>
      <c r="AK492" s="97"/>
      <c r="AL492" s="97"/>
      <c r="AM492" s="97"/>
      <c r="AN492" s="97"/>
      <c r="AO492" s="97"/>
      <c r="AP492" s="97"/>
      <c r="AQ492" s="99"/>
      <c r="AR492" s="99"/>
      <c r="AS492" s="99"/>
    </row>
    <row r="493">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c r="AB493" s="97"/>
      <c r="AC493" s="97"/>
      <c r="AD493" s="97"/>
      <c r="AE493" s="97"/>
      <c r="AF493" s="97"/>
      <c r="AG493" s="97"/>
      <c r="AH493" s="97"/>
      <c r="AI493" s="97"/>
      <c r="AJ493" s="97"/>
      <c r="AK493" s="97"/>
      <c r="AL493" s="97"/>
      <c r="AM493" s="97"/>
      <c r="AN493" s="97"/>
      <c r="AO493" s="97"/>
      <c r="AP493" s="97"/>
      <c r="AQ493" s="99"/>
      <c r="AR493" s="99"/>
      <c r="AS493" s="99"/>
    </row>
    <row r="494">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c r="AB494" s="97"/>
      <c r="AC494" s="97"/>
      <c r="AD494" s="97"/>
      <c r="AE494" s="97"/>
      <c r="AF494" s="97"/>
      <c r="AG494" s="97"/>
      <c r="AH494" s="97"/>
      <c r="AI494" s="97"/>
      <c r="AJ494" s="97"/>
      <c r="AK494" s="97"/>
      <c r="AL494" s="97"/>
      <c r="AM494" s="97"/>
      <c r="AN494" s="97"/>
      <c r="AO494" s="97"/>
      <c r="AP494" s="97"/>
      <c r="AQ494" s="99"/>
      <c r="AR494" s="99"/>
      <c r="AS494" s="99"/>
    </row>
    <row r="49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c r="AB495" s="97"/>
      <c r="AC495" s="97"/>
      <c r="AD495" s="97"/>
      <c r="AE495" s="97"/>
      <c r="AF495" s="97"/>
      <c r="AG495" s="97"/>
      <c r="AH495" s="97"/>
      <c r="AI495" s="97"/>
      <c r="AJ495" s="97"/>
      <c r="AK495" s="97"/>
      <c r="AL495" s="97"/>
      <c r="AM495" s="97"/>
      <c r="AN495" s="97"/>
      <c r="AO495" s="97"/>
      <c r="AP495" s="97"/>
      <c r="AQ495" s="99"/>
      <c r="AR495" s="99"/>
      <c r="AS495" s="99"/>
    </row>
    <row r="496">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c r="AB496" s="97"/>
      <c r="AC496" s="97"/>
      <c r="AD496" s="97"/>
      <c r="AE496" s="97"/>
      <c r="AF496" s="97"/>
      <c r="AG496" s="97"/>
      <c r="AH496" s="97"/>
      <c r="AI496" s="97"/>
      <c r="AJ496" s="97"/>
      <c r="AK496" s="97"/>
      <c r="AL496" s="97"/>
      <c r="AM496" s="97"/>
      <c r="AN496" s="97"/>
      <c r="AO496" s="97"/>
      <c r="AP496" s="97"/>
      <c r="AQ496" s="99"/>
      <c r="AR496" s="99"/>
      <c r="AS496" s="99"/>
    </row>
    <row r="497">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c r="AB497" s="97"/>
      <c r="AC497" s="97"/>
      <c r="AD497" s="97"/>
      <c r="AE497" s="97"/>
      <c r="AF497" s="97"/>
      <c r="AG497" s="97"/>
      <c r="AH497" s="97"/>
      <c r="AI497" s="97"/>
      <c r="AJ497" s="97"/>
      <c r="AK497" s="97"/>
      <c r="AL497" s="97"/>
      <c r="AM497" s="97"/>
      <c r="AN497" s="97"/>
      <c r="AO497" s="97"/>
      <c r="AP497" s="97"/>
      <c r="AQ497" s="99"/>
      <c r="AR497" s="99"/>
      <c r="AS497" s="99"/>
    </row>
    <row r="498">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c r="AB498" s="97"/>
      <c r="AC498" s="97"/>
      <c r="AD498" s="97"/>
      <c r="AE498" s="97"/>
      <c r="AF498" s="97"/>
      <c r="AG498" s="97"/>
      <c r="AH498" s="97"/>
      <c r="AI498" s="97"/>
      <c r="AJ498" s="97"/>
      <c r="AK498" s="97"/>
      <c r="AL498" s="97"/>
      <c r="AM498" s="97"/>
      <c r="AN498" s="97"/>
      <c r="AO498" s="97"/>
      <c r="AP498" s="97"/>
      <c r="AQ498" s="99"/>
      <c r="AR498" s="99"/>
      <c r="AS498" s="99"/>
    </row>
    <row r="499">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c r="AB499" s="97"/>
      <c r="AC499" s="97"/>
      <c r="AD499" s="97"/>
      <c r="AE499" s="97"/>
      <c r="AF499" s="97"/>
      <c r="AG499" s="97"/>
      <c r="AH499" s="97"/>
      <c r="AI499" s="97"/>
      <c r="AJ499" s="97"/>
      <c r="AK499" s="97"/>
      <c r="AL499" s="97"/>
      <c r="AM499" s="97"/>
      <c r="AN499" s="97"/>
      <c r="AO499" s="97"/>
      <c r="AP499" s="97"/>
      <c r="AQ499" s="99"/>
      <c r="AR499" s="99"/>
      <c r="AS499" s="99"/>
    </row>
    <row r="500">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c r="AB500" s="97"/>
      <c r="AC500" s="97"/>
      <c r="AD500" s="97"/>
      <c r="AE500" s="97"/>
      <c r="AF500" s="97"/>
      <c r="AG500" s="97"/>
      <c r="AH500" s="97"/>
      <c r="AI500" s="97"/>
      <c r="AJ500" s="97"/>
      <c r="AK500" s="97"/>
      <c r="AL500" s="97"/>
      <c r="AM500" s="97"/>
      <c r="AN500" s="97"/>
      <c r="AO500" s="97"/>
      <c r="AP500" s="97"/>
      <c r="AQ500" s="99"/>
      <c r="AR500" s="99"/>
      <c r="AS500" s="99"/>
    </row>
    <row r="50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c r="AB501" s="97"/>
      <c r="AC501" s="97"/>
      <c r="AD501" s="97"/>
      <c r="AE501" s="97"/>
      <c r="AF501" s="97"/>
      <c r="AG501" s="97"/>
      <c r="AH501" s="97"/>
      <c r="AI501" s="97"/>
      <c r="AJ501" s="97"/>
      <c r="AK501" s="97"/>
      <c r="AL501" s="97"/>
      <c r="AM501" s="97"/>
      <c r="AN501" s="97"/>
      <c r="AO501" s="97"/>
      <c r="AP501" s="97"/>
      <c r="AQ501" s="99"/>
      <c r="AR501" s="99"/>
      <c r="AS501" s="99"/>
    </row>
    <row r="502">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c r="AB502" s="97"/>
      <c r="AC502" s="97"/>
      <c r="AD502" s="97"/>
      <c r="AE502" s="97"/>
      <c r="AF502" s="97"/>
      <c r="AG502" s="97"/>
      <c r="AH502" s="97"/>
      <c r="AI502" s="97"/>
      <c r="AJ502" s="97"/>
      <c r="AK502" s="97"/>
      <c r="AL502" s="97"/>
      <c r="AM502" s="97"/>
      <c r="AN502" s="97"/>
      <c r="AO502" s="97"/>
      <c r="AP502" s="97"/>
      <c r="AQ502" s="99"/>
      <c r="AR502" s="99"/>
      <c r="AS502" s="99"/>
    </row>
    <row r="503">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c r="AB503" s="97"/>
      <c r="AC503" s="97"/>
      <c r="AD503" s="97"/>
      <c r="AE503" s="97"/>
      <c r="AF503" s="97"/>
      <c r="AG503" s="97"/>
      <c r="AH503" s="97"/>
      <c r="AI503" s="97"/>
      <c r="AJ503" s="97"/>
      <c r="AK503" s="97"/>
      <c r="AL503" s="97"/>
      <c r="AM503" s="97"/>
      <c r="AN503" s="97"/>
      <c r="AO503" s="97"/>
      <c r="AP503" s="97"/>
      <c r="AQ503" s="99"/>
      <c r="AR503" s="99"/>
      <c r="AS503" s="99"/>
    </row>
    <row r="504">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c r="AB504" s="97"/>
      <c r="AC504" s="97"/>
      <c r="AD504" s="97"/>
      <c r="AE504" s="97"/>
      <c r="AF504" s="97"/>
      <c r="AG504" s="97"/>
      <c r="AH504" s="97"/>
      <c r="AI504" s="97"/>
      <c r="AJ504" s="97"/>
      <c r="AK504" s="97"/>
      <c r="AL504" s="97"/>
      <c r="AM504" s="97"/>
      <c r="AN504" s="97"/>
      <c r="AO504" s="97"/>
      <c r="AP504" s="97"/>
      <c r="AQ504" s="99"/>
      <c r="AR504" s="99"/>
      <c r="AS504" s="99"/>
    </row>
    <row r="50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c r="AB505" s="97"/>
      <c r="AC505" s="97"/>
      <c r="AD505" s="97"/>
      <c r="AE505" s="97"/>
      <c r="AF505" s="97"/>
      <c r="AG505" s="97"/>
      <c r="AH505" s="97"/>
      <c r="AI505" s="97"/>
      <c r="AJ505" s="97"/>
      <c r="AK505" s="97"/>
      <c r="AL505" s="97"/>
      <c r="AM505" s="97"/>
      <c r="AN505" s="97"/>
      <c r="AO505" s="97"/>
      <c r="AP505" s="97"/>
      <c r="AQ505" s="99"/>
      <c r="AR505" s="99"/>
      <c r="AS505" s="99"/>
    </row>
    <row r="506">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c r="AB506" s="97"/>
      <c r="AC506" s="97"/>
      <c r="AD506" s="97"/>
      <c r="AE506" s="97"/>
      <c r="AF506" s="97"/>
      <c r="AG506" s="97"/>
      <c r="AH506" s="97"/>
      <c r="AI506" s="97"/>
      <c r="AJ506" s="97"/>
      <c r="AK506" s="97"/>
      <c r="AL506" s="97"/>
      <c r="AM506" s="97"/>
      <c r="AN506" s="97"/>
      <c r="AO506" s="97"/>
      <c r="AP506" s="97"/>
      <c r="AQ506" s="99"/>
      <c r="AR506" s="99"/>
      <c r="AS506" s="99"/>
    </row>
    <row r="507">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c r="AB507" s="97"/>
      <c r="AC507" s="97"/>
      <c r="AD507" s="97"/>
      <c r="AE507" s="97"/>
      <c r="AF507" s="97"/>
      <c r="AG507" s="97"/>
      <c r="AH507" s="97"/>
      <c r="AI507" s="97"/>
      <c r="AJ507" s="97"/>
      <c r="AK507" s="97"/>
      <c r="AL507" s="97"/>
      <c r="AM507" s="97"/>
      <c r="AN507" s="97"/>
      <c r="AO507" s="97"/>
      <c r="AP507" s="97"/>
      <c r="AQ507" s="99"/>
      <c r="AR507" s="99"/>
      <c r="AS507" s="99"/>
    </row>
    <row r="508">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c r="AB508" s="97"/>
      <c r="AC508" s="97"/>
      <c r="AD508" s="97"/>
      <c r="AE508" s="97"/>
      <c r="AF508" s="97"/>
      <c r="AG508" s="97"/>
      <c r="AH508" s="97"/>
      <c r="AI508" s="97"/>
      <c r="AJ508" s="97"/>
      <c r="AK508" s="97"/>
      <c r="AL508" s="97"/>
      <c r="AM508" s="97"/>
      <c r="AN508" s="97"/>
      <c r="AO508" s="97"/>
      <c r="AP508" s="97"/>
      <c r="AQ508" s="99"/>
      <c r="AR508" s="99"/>
      <c r="AS508" s="99"/>
    </row>
    <row r="509">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c r="AB509" s="97"/>
      <c r="AC509" s="97"/>
      <c r="AD509" s="97"/>
      <c r="AE509" s="97"/>
      <c r="AF509" s="97"/>
      <c r="AG509" s="97"/>
      <c r="AH509" s="97"/>
      <c r="AI509" s="97"/>
      <c r="AJ509" s="97"/>
      <c r="AK509" s="97"/>
      <c r="AL509" s="97"/>
      <c r="AM509" s="97"/>
      <c r="AN509" s="97"/>
      <c r="AO509" s="97"/>
      <c r="AP509" s="97"/>
      <c r="AQ509" s="99"/>
      <c r="AR509" s="99"/>
      <c r="AS509" s="99"/>
    </row>
    <row r="510">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c r="AB510" s="97"/>
      <c r="AC510" s="97"/>
      <c r="AD510" s="97"/>
      <c r="AE510" s="97"/>
      <c r="AF510" s="97"/>
      <c r="AG510" s="97"/>
      <c r="AH510" s="97"/>
      <c r="AI510" s="97"/>
      <c r="AJ510" s="97"/>
      <c r="AK510" s="97"/>
      <c r="AL510" s="97"/>
      <c r="AM510" s="97"/>
      <c r="AN510" s="97"/>
      <c r="AO510" s="97"/>
      <c r="AP510" s="97"/>
      <c r="AQ510" s="99"/>
      <c r="AR510" s="99"/>
      <c r="AS510" s="99"/>
    </row>
    <row r="51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c r="AB511" s="97"/>
      <c r="AC511" s="97"/>
      <c r="AD511" s="97"/>
      <c r="AE511" s="97"/>
      <c r="AF511" s="97"/>
      <c r="AG511" s="97"/>
      <c r="AH511" s="97"/>
      <c r="AI511" s="97"/>
      <c r="AJ511" s="97"/>
      <c r="AK511" s="97"/>
      <c r="AL511" s="97"/>
      <c r="AM511" s="97"/>
      <c r="AN511" s="97"/>
      <c r="AO511" s="97"/>
      <c r="AP511" s="97"/>
      <c r="AQ511" s="99"/>
      <c r="AR511" s="99"/>
      <c r="AS511" s="99"/>
    </row>
    <row r="512">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c r="AB512" s="97"/>
      <c r="AC512" s="97"/>
      <c r="AD512" s="97"/>
      <c r="AE512" s="97"/>
      <c r="AF512" s="97"/>
      <c r="AG512" s="97"/>
      <c r="AH512" s="97"/>
      <c r="AI512" s="97"/>
      <c r="AJ512" s="97"/>
      <c r="AK512" s="97"/>
      <c r="AL512" s="97"/>
      <c r="AM512" s="97"/>
      <c r="AN512" s="97"/>
      <c r="AO512" s="97"/>
      <c r="AP512" s="97"/>
      <c r="AQ512" s="99"/>
      <c r="AR512" s="99"/>
      <c r="AS512" s="99"/>
    </row>
    <row r="513">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c r="AB513" s="97"/>
      <c r="AC513" s="97"/>
      <c r="AD513" s="97"/>
      <c r="AE513" s="97"/>
      <c r="AF513" s="97"/>
      <c r="AG513" s="97"/>
      <c r="AH513" s="97"/>
      <c r="AI513" s="97"/>
      <c r="AJ513" s="97"/>
      <c r="AK513" s="97"/>
      <c r="AL513" s="97"/>
      <c r="AM513" s="97"/>
      <c r="AN513" s="97"/>
      <c r="AO513" s="97"/>
      <c r="AP513" s="97"/>
      <c r="AQ513" s="99"/>
      <c r="AR513" s="99"/>
      <c r="AS513" s="99"/>
    </row>
    <row r="514">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c r="AB514" s="97"/>
      <c r="AC514" s="97"/>
      <c r="AD514" s="97"/>
      <c r="AE514" s="97"/>
      <c r="AF514" s="97"/>
      <c r="AG514" s="97"/>
      <c r="AH514" s="97"/>
      <c r="AI514" s="97"/>
      <c r="AJ514" s="97"/>
      <c r="AK514" s="97"/>
      <c r="AL514" s="97"/>
      <c r="AM514" s="97"/>
      <c r="AN514" s="97"/>
      <c r="AO514" s="97"/>
      <c r="AP514" s="97"/>
      <c r="AQ514" s="99"/>
      <c r="AR514" s="99"/>
      <c r="AS514" s="99"/>
    </row>
    <row r="51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c r="AB515" s="97"/>
      <c r="AC515" s="97"/>
      <c r="AD515" s="97"/>
      <c r="AE515" s="97"/>
      <c r="AF515" s="97"/>
      <c r="AG515" s="97"/>
      <c r="AH515" s="97"/>
      <c r="AI515" s="97"/>
      <c r="AJ515" s="97"/>
      <c r="AK515" s="97"/>
      <c r="AL515" s="97"/>
      <c r="AM515" s="97"/>
      <c r="AN515" s="97"/>
      <c r="AO515" s="97"/>
      <c r="AP515" s="97"/>
      <c r="AQ515" s="99"/>
      <c r="AR515" s="99"/>
      <c r="AS515" s="99"/>
    </row>
    <row r="516">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c r="AB516" s="97"/>
      <c r="AC516" s="97"/>
      <c r="AD516" s="97"/>
      <c r="AE516" s="97"/>
      <c r="AF516" s="97"/>
      <c r="AG516" s="97"/>
      <c r="AH516" s="97"/>
      <c r="AI516" s="97"/>
      <c r="AJ516" s="97"/>
      <c r="AK516" s="97"/>
      <c r="AL516" s="97"/>
      <c r="AM516" s="97"/>
      <c r="AN516" s="97"/>
      <c r="AO516" s="97"/>
      <c r="AP516" s="97"/>
      <c r="AQ516" s="99"/>
      <c r="AR516" s="99"/>
      <c r="AS516" s="99"/>
    </row>
    <row r="517">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c r="AB517" s="97"/>
      <c r="AC517" s="97"/>
      <c r="AD517" s="97"/>
      <c r="AE517" s="97"/>
      <c r="AF517" s="97"/>
      <c r="AG517" s="97"/>
      <c r="AH517" s="97"/>
      <c r="AI517" s="97"/>
      <c r="AJ517" s="97"/>
      <c r="AK517" s="97"/>
      <c r="AL517" s="97"/>
      <c r="AM517" s="97"/>
      <c r="AN517" s="97"/>
      <c r="AO517" s="97"/>
      <c r="AP517" s="97"/>
      <c r="AQ517" s="99"/>
      <c r="AR517" s="99"/>
      <c r="AS517" s="99"/>
    </row>
    <row r="518">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c r="AB518" s="97"/>
      <c r="AC518" s="97"/>
      <c r="AD518" s="97"/>
      <c r="AE518" s="97"/>
      <c r="AF518" s="97"/>
      <c r="AG518" s="97"/>
      <c r="AH518" s="97"/>
      <c r="AI518" s="97"/>
      <c r="AJ518" s="97"/>
      <c r="AK518" s="97"/>
      <c r="AL518" s="97"/>
      <c r="AM518" s="97"/>
      <c r="AN518" s="97"/>
      <c r="AO518" s="97"/>
      <c r="AP518" s="97"/>
      <c r="AQ518" s="99"/>
      <c r="AR518" s="99"/>
      <c r="AS518" s="99"/>
    </row>
    <row r="519">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c r="AB519" s="97"/>
      <c r="AC519" s="97"/>
      <c r="AD519" s="97"/>
      <c r="AE519" s="97"/>
      <c r="AF519" s="97"/>
      <c r="AG519" s="97"/>
      <c r="AH519" s="97"/>
      <c r="AI519" s="97"/>
      <c r="AJ519" s="97"/>
      <c r="AK519" s="97"/>
      <c r="AL519" s="97"/>
      <c r="AM519" s="97"/>
      <c r="AN519" s="97"/>
      <c r="AO519" s="97"/>
      <c r="AP519" s="97"/>
      <c r="AQ519" s="99"/>
      <c r="AR519" s="99"/>
      <c r="AS519" s="99"/>
    </row>
    <row r="520">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c r="AB520" s="97"/>
      <c r="AC520" s="97"/>
      <c r="AD520" s="97"/>
      <c r="AE520" s="97"/>
      <c r="AF520" s="97"/>
      <c r="AG520" s="97"/>
      <c r="AH520" s="97"/>
      <c r="AI520" s="97"/>
      <c r="AJ520" s="97"/>
      <c r="AK520" s="97"/>
      <c r="AL520" s="97"/>
      <c r="AM520" s="97"/>
      <c r="AN520" s="97"/>
      <c r="AO520" s="97"/>
      <c r="AP520" s="97"/>
      <c r="AQ520" s="99"/>
      <c r="AR520" s="99"/>
      <c r="AS520" s="99"/>
    </row>
    <row r="52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c r="AB521" s="97"/>
      <c r="AC521" s="97"/>
      <c r="AD521" s="97"/>
      <c r="AE521" s="97"/>
      <c r="AF521" s="97"/>
      <c r="AG521" s="97"/>
      <c r="AH521" s="97"/>
      <c r="AI521" s="97"/>
      <c r="AJ521" s="97"/>
      <c r="AK521" s="97"/>
      <c r="AL521" s="97"/>
      <c r="AM521" s="97"/>
      <c r="AN521" s="97"/>
      <c r="AO521" s="97"/>
      <c r="AP521" s="97"/>
      <c r="AQ521" s="99"/>
      <c r="AR521" s="99"/>
      <c r="AS521" s="99"/>
    </row>
    <row r="522">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c r="AB522" s="97"/>
      <c r="AC522" s="97"/>
      <c r="AD522" s="97"/>
      <c r="AE522" s="97"/>
      <c r="AF522" s="97"/>
      <c r="AG522" s="97"/>
      <c r="AH522" s="97"/>
      <c r="AI522" s="97"/>
      <c r="AJ522" s="97"/>
      <c r="AK522" s="97"/>
      <c r="AL522" s="97"/>
      <c r="AM522" s="97"/>
      <c r="AN522" s="97"/>
      <c r="AO522" s="97"/>
      <c r="AP522" s="97"/>
      <c r="AQ522" s="99"/>
      <c r="AR522" s="99"/>
      <c r="AS522" s="99"/>
    </row>
    <row r="523">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c r="AB523" s="97"/>
      <c r="AC523" s="97"/>
      <c r="AD523" s="97"/>
      <c r="AE523" s="97"/>
      <c r="AF523" s="97"/>
      <c r="AG523" s="97"/>
      <c r="AH523" s="97"/>
      <c r="AI523" s="97"/>
      <c r="AJ523" s="97"/>
      <c r="AK523" s="97"/>
      <c r="AL523" s="97"/>
      <c r="AM523" s="97"/>
      <c r="AN523" s="97"/>
      <c r="AO523" s="97"/>
      <c r="AP523" s="97"/>
      <c r="AQ523" s="99"/>
      <c r="AR523" s="99"/>
      <c r="AS523" s="99"/>
    </row>
    <row r="524">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c r="AB524" s="97"/>
      <c r="AC524" s="97"/>
      <c r="AD524" s="97"/>
      <c r="AE524" s="97"/>
      <c r="AF524" s="97"/>
      <c r="AG524" s="97"/>
      <c r="AH524" s="97"/>
      <c r="AI524" s="97"/>
      <c r="AJ524" s="97"/>
      <c r="AK524" s="97"/>
      <c r="AL524" s="97"/>
      <c r="AM524" s="97"/>
      <c r="AN524" s="97"/>
      <c r="AO524" s="97"/>
      <c r="AP524" s="97"/>
      <c r="AQ524" s="99"/>
      <c r="AR524" s="99"/>
      <c r="AS524" s="99"/>
    </row>
    <row r="52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c r="AB525" s="97"/>
      <c r="AC525" s="97"/>
      <c r="AD525" s="97"/>
      <c r="AE525" s="97"/>
      <c r="AF525" s="97"/>
      <c r="AG525" s="97"/>
      <c r="AH525" s="97"/>
      <c r="AI525" s="97"/>
      <c r="AJ525" s="97"/>
      <c r="AK525" s="97"/>
      <c r="AL525" s="97"/>
      <c r="AM525" s="97"/>
      <c r="AN525" s="97"/>
      <c r="AO525" s="97"/>
      <c r="AP525" s="97"/>
      <c r="AQ525" s="99"/>
      <c r="AR525" s="99"/>
      <c r="AS525" s="99"/>
    </row>
    <row r="526">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c r="AB526" s="97"/>
      <c r="AC526" s="97"/>
      <c r="AD526" s="97"/>
      <c r="AE526" s="97"/>
      <c r="AF526" s="97"/>
      <c r="AG526" s="97"/>
      <c r="AH526" s="97"/>
      <c r="AI526" s="97"/>
      <c r="AJ526" s="97"/>
      <c r="AK526" s="97"/>
      <c r="AL526" s="97"/>
      <c r="AM526" s="97"/>
      <c r="AN526" s="97"/>
      <c r="AO526" s="97"/>
      <c r="AP526" s="97"/>
      <c r="AQ526" s="99"/>
      <c r="AR526" s="99"/>
      <c r="AS526" s="99"/>
    </row>
    <row r="527">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c r="AB527" s="97"/>
      <c r="AC527" s="97"/>
      <c r="AD527" s="97"/>
      <c r="AE527" s="97"/>
      <c r="AF527" s="97"/>
      <c r="AG527" s="97"/>
      <c r="AH527" s="97"/>
      <c r="AI527" s="97"/>
      <c r="AJ527" s="97"/>
      <c r="AK527" s="97"/>
      <c r="AL527" s="97"/>
      <c r="AM527" s="97"/>
      <c r="AN527" s="97"/>
      <c r="AO527" s="97"/>
      <c r="AP527" s="97"/>
      <c r="AQ527" s="99"/>
      <c r="AR527" s="99"/>
      <c r="AS527" s="99"/>
    </row>
    <row r="528">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c r="AB528" s="97"/>
      <c r="AC528" s="97"/>
      <c r="AD528" s="97"/>
      <c r="AE528" s="97"/>
      <c r="AF528" s="97"/>
      <c r="AG528" s="97"/>
      <c r="AH528" s="97"/>
      <c r="AI528" s="97"/>
      <c r="AJ528" s="97"/>
      <c r="AK528" s="97"/>
      <c r="AL528" s="97"/>
      <c r="AM528" s="97"/>
      <c r="AN528" s="97"/>
      <c r="AO528" s="97"/>
      <c r="AP528" s="97"/>
      <c r="AQ528" s="99"/>
      <c r="AR528" s="99"/>
      <c r="AS528" s="99"/>
    </row>
    <row r="529">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c r="AB529" s="97"/>
      <c r="AC529" s="97"/>
      <c r="AD529" s="97"/>
      <c r="AE529" s="97"/>
      <c r="AF529" s="97"/>
      <c r="AG529" s="97"/>
      <c r="AH529" s="97"/>
      <c r="AI529" s="97"/>
      <c r="AJ529" s="97"/>
      <c r="AK529" s="97"/>
      <c r="AL529" s="97"/>
      <c r="AM529" s="97"/>
      <c r="AN529" s="97"/>
      <c r="AO529" s="97"/>
      <c r="AP529" s="97"/>
      <c r="AQ529" s="99"/>
      <c r="AR529" s="99"/>
      <c r="AS529" s="99"/>
    </row>
    <row r="530">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c r="AB530" s="97"/>
      <c r="AC530" s="97"/>
      <c r="AD530" s="97"/>
      <c r="AE530" s="97"/>
      <c r="AF530" s="97"/>
      <c r="AG530" s="97"/>
      <c r="AH530" s="97"/>
      <c r="AI530" s="97"/>
      <c r="AJ530" s="97"/>
      <c r="AK530" s="97"/>
      <c r="AL530" s="97"/>
      <c r="AM530" s="97"/>
      <c r="AN530" s="97"/>
      <c r="AO530" s="97"/>
      <c r="AP530" s="97"/>
      <c r="AQ530" s="99"/>
      <c r="AR530" s="99"/>
      <c r="AS530" s="99"/>
    </row>
    <row r="53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c r="AB531" s="97"/>
      <c r="AC531" s="97"/>
      <c r="AD531" s="97"/>
      <c r="AE531" s="97"/>
      <c r="AF531" s="97"/>
      <c r="AG531" s="97"/>
      <c r="AH531" s="97"/>
      <c r="AI531" s="97"/>
      <c r="AJ531" s="97"/>
      <c r="AK531" s="97"/>
      <c r="AL531" s="97"/>
      <c r="AM531" s="97"/>
      <c r="AN531" s="97"/>
      <c r="AO531" s="97"/>
      <c r="AP531" s="97"/>
      <c r="AQ531" s="99"/>
      <c r="AR531" s="99"/>
      <c r="AS531" s="99"/>
    </row>
    <row r="532">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c r="AB532" s="97"/>
      <c r="AC532" s="97"/>
      <c r="AD532" s="97"/>
      <c r="AE532" s="97"/>
      <c r="AF532" s="97"/>
      <c r="AG532" s="97"/>
      <c r="AH532" s="97"/>
      <c r="AI532" s="97"/>
      <c r="AJ532" s="97"/>
      <c r="AK532" s="97"/>
      <c r="AL532" s="97"/>
      <c r="AM532" s="97"/>
      <c r="AN532" s="97"/>
      <c r="AO532" s="97"/>
      <c r="AP532" s="97"/>
      <c r="AQ532" s="99"/>
      <c r="AR532" s="99"/>
      <c r="AS532" s="99"/>
    </row>
    <row r="533">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c r="AB533" s="97"/>
      <c r="AC533" s="97"/>
      <c r="AD533" s="97"/>
      <c r="AE533" s="97"/>
      <c r="AF533" s="97"/>
      <c r="AG533" s="97"/>
      <c r="AH533" s="97"/>
      <c r="AI533" s="97"/>
      <c r="AJ533" s="97"/>
      <c r="AK533" s="97"/>
      <c r="AL533" s="97"/>
      <c r="AM533" s="97"/>
      <c r="AN533" s="97"/>
      <c r="AO533" s="97"/>
      <c r="AP533" s="97"/>
      <c r="AQ533" s="99"/>
      <c r="AR533" s="99"/>
      <c r="AS533" s="99"/>
    </row>
    <row r="534">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c r="AB534" s="97"/>
      <c r="AC534" s="97"/>
      <c r="AD534" s="97"/>
      <c r="AE534" s="97"/>
      <c r="AF534" s="97"/>
      <c r="AG534" s="97"/>
      <c r="AH534" s="97"/>
      <c r="AI534" s="97"/>
      <c r="AJ534" s="97"/>
      <c r="AK534" s="97"/>
      <c r="AL534" s="97"/>
      <c r="AM534" s="97"/>
      <c r="AN534" s="97"/>
      <c r="AO534" s="97"/>
      <c r="AP534" s="97"/>
      <c r="AQ534" s="99"/>
      <c r="AR534" s="99"/>
      <c r="AS534" s="99"/>
    </row>
    <row r="53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c r="AB535" s="97"/>
      <c r="AC535" s="97"/>
      <c r="AD535" s="97"/>
      <c r="AE535" s="97"/>
      <c r="AF535" s="97"/>
      <c r="AG535" s="97"/>
      <c r="AH535" s="97"/>
      <c r="AI535" s="97"/>
      <c r="AJ535" s="97"/>
      <c r="AK535" s="97"/>
      <c r="AL535" s="97"/>
      <c r="AM535" s="97"/>
      <c r="AN535" s="97"/>
      <c r="AO535" s="97"/>
      <c r="AP535" s="97"/>
      <c r="AQ535" s="99"/>
      <c r="AR535" s="99"/>
      <c r="AS535" s="99"/>
    </row>
    <row r="536">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c r="AB536" s="97"/>
      <c r="AC536" s="97"/>
      <c r="AD536" s="97"/>
      <c r="AE536" s="97"/>
      <c r="AF536" s="97"/>
      <c r="AG536" s="97"/>
      <c r="AH536" s="97"/>
      <c r="AI536" s="97"/>
      <c r="AJ536" s="97"/>
      <c r="AK536" s="97"/>
      <c r="AL536" s="97"/>
      <c r="AM536" s="97"/>
      <c r="AN536" s="97"/>
      <c r="AO536" s="97"/>
      <c r="AP536" s="97"/>
      <c r="AQ536" s="99"/>
      <c r="AR536" s="99"/>
      <c r="AS536" s="99"/>
    </row>
    <row r="537">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c r="AB537" s="97"/>
      <c r="AC537" s="97"/>
      <c r="AD537" s="97"/>
      <c r="AE537" s="97"/>
      <c r="AF537" s="97"/>
      <c r="AG537" s="97"/>
      <c r="AH537" s="97"/>
      <c r="AI537" s="97"/>
      <c r="AJ537" s="97"/>
      <c r="AK537" s="97"/>
      <c r="AL537" s="97"/>
      <c r="AM537" s="97"/>
      <c r="AN537" s="97"/>
      <c r="AO537" s="97"/>
      <c r="AP537" s="97"/>
      <c r="AQ537" s="99"/>
      <c r="AR537" s="99"/>
      <c r="AS537" s="99"/>
    </row>
    <row r="538">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c r="AB538" s="97"/>
      <c r="AC538" s="97"/>
      <c r="AD538" s="97"/>
      <c r="AE538" s="97"/>
      <c r="AF538" s="97"/>
      <c r="AG538" s="97"/>
      <c r="AH538" s="97"/>
      <c r="AI538" s="97"/>
      <c r="AJ538" s="97"/>
      <c r="AK538" s="97"/>
      <c r="AL538" s="97"/>
      <c r="AM538" s="97"/>
      <c r="AN538" s="97"/>
      <c r="AO538" s="97"/>
      <c r="AP538" s="97"/>
      <c r="AQ538" s="99"/>
      <c r="AR538" s="99"/>
      <c r="AS538" s="99"/>
    </row>
    <row r="539">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c r="AB539" s="97"/>
      <c r="AC539" s="97"/>
      <c r="AD539" s="97"/>
      <c r="AE539" s="97"/>
      <c r="AF539" s="97"/>
      <c r="AG539" s="97"/>
      <c r="AH539" s="97"/>
      <c r="AI539" s="97"/>
      <c r="AJ539" s="97"/>
      <c r="AK539" s="97"/>
      <c r="AL539" s="97"/>
      <c r="AM539" s="97"/>
      <c r="AN539" s="97"/>
      <c r="AO539" s="97"/>
      <c r="AP539" s="97"/>
      <c r="AQ539" s="99"/>
      <c r="AR539" s="99"/>
      <c r="AS539" s="99"/>
    </row>
    <row r="540">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c r="AB540" s="97"/>
      <c r="AC540" s="97"/>
      <c r="AD540" s="97"/>
      <c r="AE540" s="97"/>
      <c r="AF540" s="97"/>
      <c r="AG540" s="97"/>
      <c r="AH540" s="97"/>
      <c r="AI540" s="97"/>
      <c r="AJ540" s="97"/>
      <c r="AK540" s="97"/>
      <c r="AL540" s="97"/>
      <c r="AM540" s="97"/>
      <c r="AN540" s="97"/>
      <c r="AO540" s="97"/>
      <c r="AP540" s="97"/>
      <c r="AQ540" s="99"/>
      <c r="AR540" s="99"/>
      <c r="AS540" s="99"/>
    </row>
    <row r="54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c r="AB541" s="97"/>
      <c r="AC541" s="97"/>
      <c r="AD541" s="97"/>
      <c r="AE541" s="97"/>
      <c r="AF541" s="97"/>
      <c r="AG541" s="97"/>
      <c r="AH541" s="97"/>
      <c r="AI541" s="97"/>
      <c r="AJ541" s="97"/>
      <c r="AK541" s="97"/>
      <c r="AL541" s="97"/>
      <c r="AM541" s="97"/>
      <c r="AN541" s="97"/>
      <c r="AO541" s="97"/>
      <c r="AP541" s="97"/>
      <c r="AQ541" s="99"/>
      <c r="AR541" s="99"/>
      <c r="AS541" s="99"/>
    </row>
    <row r="542">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c r="AB542" s="97"/>
      <c r="AC542" s="97"/>
      <c r="AD542" s="97"/>
      <c r="AE542" s="97"/>
      <c r="AF542" s="97"/>
      <c r="AG542" s="97"/>
      <c r="AH542" s="97"/>
      <c r="AI542" s="97"/>
      <c r="AJ542" s="97"/>
      <c r="AK542" s="97"/>
      <c r="AL542" s="97"/>
      <c r="AM542" s="97"/>
      <c r="AN542" s="97"/>
      <c r="AO542" s="97"/>
      <c r="AP542" s="97"/>
      <c r="AQ542" s="99"/>
      <c r="AR542" s="99"/>
      <c r="AS542" s="99"/>
    </row>
    <row r="543">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c r="AB543" s="97"/>
      <c r="AC543" s="97"/>
      <c r="AD543" s="97"/>
      <c r="AE543" s="97"/>
      <c r="AF543" s="97"/>
      <c r="AG543" s="97"/>
      <c r="AH543" s="97"/>
      <c r="AI543" s="97"/>
      <c r="AJ543" s="97"/>
      <c r="AK543" s="97"/>
      <c r="AL543" s="97"/>
      <c r="AM543" s="97"/>
      <c r="AN543" s="97"/>
      <c r="AO543" s="97"/>
      <c r="AP543" s="97"/>
      <c r="AQ543" s="99"/>
      <c r="AR543" s="99"/>
      <c r="AS543" s="99"/>
    </row>
    <row r="544">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c r="AB544" s="97"/>
      <c r="AC544" s="97"/>
      <c r="AD544" s="97"/>
      <c r="AE544" s="97"/>
      <c r="AF544" s="97"/>
      <c r="AG544" s="97"/>
      <c r="AH544" s="97"/>
      <c r="AI544" s="97"/>
      <c r="AJ544" s="97"/>
      <c r="AK544" s="97"/>
      <c r="AL544" s="97"/>
      <c r="AM544" s="97"/>
      <c r="AN544" s="97"/>
      <c r="AO544" s="97"/>
      <c r="AP544" s="97"/>
      <c r="AQ544" s="99"/>
      <c r="AR544" s="99"/>
      <c r="AS544" s="99"/>
    </row>
    <row r="54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c r="AB545" s="97"/>
      <c r="AC545" s="97"/>
      <c r="AD545" s="97"/>
      <c r="AE545" s="97"/>
      <c r="AF545" s="97"/>
      <c r="AG545" s="97"/>
      <c r="AH545" s="97"/>
      <c r="AI545" s="97"/>
      <c r="AJ545" s="97"/>
      <c r="AK545" s="97"/>
      <c r="AL545" s="97"/>
      <c r="AM545" s="97"/>
      <c r="AN545" s="97"/>
      <c r="AO545" s="97"/>
      <c r="AP545" s="97"/>
      <c r="AQ545" s="99"/>
      <c r="AR545" s="99"/>
      <c r="AS545" s="99"/>
    </row>
    <row r="546">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c r="AB546" s="97"/>
      <c r="AC546" s="97"/>
      <c r="AD546" s="97"/>
      <c r="AE546" s="97"/>
      <c r="AF546" s="97"/>
      <c r="AG546" s="97"/>
      <c r="AH546" s="97"/>
      <c r="AI546" s="97"/>
      <c r="AJ546" s="97"/>
      <c r="AK546" s="97"/>
      <c r="AL546" s="97"/>
      <c r="AM546" s="97"/>
      <c r="AN546" s="97"/>
      <c r="AO546" s="97"/>
      <c r="AP546" s="97"/>
      <c r="AQ546" s="99"/>
      <c r="AR546" s="99"/>
      <c r="AS546" s="99"/>
    </row>
    <row r="547">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c r="AB547" s="97"/>
      <c r="AC547" s="97"/>
      <c r="AD547" s="97"/>
      <c r="AE547" s="97"/>
      <c r="AF547" s="97"/>
      <c r="AG547" s="97"/>
      <c r="AH547" s="97"/>
      <c r="AI547" s="97"/>
      <c r="AJ547" s="97"/>
      <c r="AK547" s="97"/>
      <c r="AL547" s="97"/>
      <c r="AM547" s="97"/>
      <c r="AN547" s="97"/>
      <c r="AO547" s="97"/>
      <c r="AP547" s="97"/>
      <c r="AQ547" s="99"/>
      <c r="AR547" s="99"/>
      <c r="AS547" s="99"/>
    </row>
    <row r="548">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c r="AB548" s="97"/>
      <c r="AC548" s="97"/>
      <c r="AD548" s="97"/>
      <c r="AE548" s="97"/>
      <c r="AF548" s="97"/>
      <c r="AG548" s="97"/>
      <c r="AH548" s="97"/>
      <c r="AI548" s="97"/>
      <c r="AJ548" s="97"/>
      <c r="AK548" s="97"/>
      <c r="AL548" s="97"/>
      <c r="AM548" s="97"/>
      <c r="AN548" s="97"/>
      <c r="AO548" s="97"/>
      <c r="AP548" s="97"/>
      <c r="AQ548" s="99"/>
      <c r="AR548" s="99"/>
      <c r="AS548" s="99"/>
    </row>
    <row r="549">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c r="AB549" s="97"/>
      <c r="AC549" s="97"/>
      <c r="AD549" s="97"/>
      <c r="AE549" s="97"/>
      <c r="AF549" s="97"/>
      <c r="AG549" s="97"/>
      <c r="AH549" s="97"/>
      <c r="AI549" s="97"/>
      <c r="AJ549" s="97"/>
      <c r="AK549" s="97"/>
      <c r="AL549" s="97"/>
      <c r="AM549" s="97"/>
      <c r="AN549" s="97"/>
      <c r="AO549" s="97"/>
      <c r="AP549" s="97"/>
      <c r="AQ549" s="99"/>
      <c r="AR549" s="99"/>
      <c r="AS549" s="99"/>
    </row>
    <row r="550">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c r="AB550" s="97"/>
      <c r="AC550" s="97"/>
      <c r="AD550" s="97"/>
      <c r="AE550" s="97"/>
      <c r="AF550" s="97"/>
      <c r="AG550" s="97"/>
      <c r="AH550" s="97"/>
      <c r="AI550" s="97"/>
      <c r="AJ550" s="97"/>
      <c r="AK550" s="97"/>
      <c r="AL550" s="97"/>
      <c r="AM550" s="97"/>
      <c r="AN550" s="97"/>
      <c r="AO550" s="97"/>
      <c r="AP550" s="97"/>
      <c r="AQ550" s="99"/>
      <c r="AR550" s="99"/>
      <c r="AS550" s="99"/>
    </row>
    <row r="55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c r="AB551" s="97"/>
      <c r="AC551" s="97"/>
      <c r="AD551" s="97"/>
      <c r="AE551" s="97"/>
      <c r="AF551" s="97"/>
      <c r="AG551" s="97"/>
      <c r="AH551" s="97"/>
      <c r="AI551" s="97"/>
      <c r="AJ551" s="97"/>
      <c r="AK551" s="97"/>
      <c r="AL551" s="97"/>
      <c r="AM551" s="97"/>
      <c r="AN551" s="97"/>
      <c r="AO551" s="97"/>
      <c r="AP551" s="97"/>
      <c r="AQ551" s="99"/>
      <c r="AR551" s="99"/>
      <c r="AS551" s="99"/>
    </row>
    <row r="552">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c r="AB552" s="97"/>
      <c r="AC552" s="97"/>
      <c r="AD552" s="97"/>
      <c r="AE552" s="97"/>
      <c r="AF552" s="97"/>
      <c r="AG552" s="97"/>
      <c r="AH552" s="97"/>
      <c r="AI552" s="97"/>
      <c r="AJ552" s="97"/>
      <c r="AK552" s="97"/>
      <c r="AL552" s="97"/>
      <c r="AM552" s="97"/>
      <c r="AN552" s="97"/>
      <c r="AO552" s="97"/>
      <c r="AP552" s="97"/>
      <c r="AQ552" s="99"/>
      <c r="AR552" s="99"/>
      <c r="AS552" s="99"/>
    </row>
    <row r="553">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c r="AB553" s="97"/>
      <c r="AC553" s="97"/>
      <c r="AD553" s="97"/>
      <c r="AE553" s="97"/>
      <c r="AF553" s="97"/>
      <c r="AG553" s="97"/>
      <c r="AH553" s="97"/>
      <c r="AI553" s="97"/>
      <c r="AJ553" s="97"/>
      <c r="AK553" s="97"/>
      <c r="AL553" s="97"/>
      <c r="AM553" s="97"/>
      <c r="AN553" s="97"/>
      <c r="AO553" s="97"/>
      <c r="AP553" s="97"/>
      <c r="AQ553" s="99"/>
      <c r="AR553" s="99"/>
      <c r="AS553" s="99"/>
    </row>
    <row r="554">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c r="AB554" s="97"/>
      <c r="AC554" s="97"/>
      <c r="AD554" s="97"/>
      <c r="AE554" s="97"/>
      <c r="AF554" s="97"/>
      <c r="AG554" s="97"/>
      <c r="AH554" s="97"/>
      <c r="AI554" s="97"/>
      <c r="AJ554" s="97"/>
      <c r="AK554" s="97"/>
      <c r="AL554" s="97"/>
      <c r="AM554" s="97"/>
      <c r="AN554" s="97"/>
      <c r="AO554" s="97"/>
      <c r="AP554" s="97"/>
      <c r="AQ554" s="99"/>
      <c r="AR554" s="99"/>
      <c r="AS554" s="99"/>
    </row>
    <row r="55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c r="AB555" s="97"/>
      <c r="AC555" s="97"/>
      <c r="AD555" s="97"/>
      <c r="AE555" s="97"/>
      <c r="AF555" s="97"/>
      <c r="AG555" s="97"/>
      <c r="AH555" s="97"/>
      <c r="AI555" s="97"/>
      <c r="AJ555" s="97"/>
      <c r="AK555" s="97"/>
      <c r="AL555" s="97"/>
      <c r="AM555" s="97"/>
      <c r="AN555" s="97"/>
      <c r="AO555" s="97"/>
      <c r="AP555" s="97"/>
      <c r="AQ555" s="99"/>
      <c r="AR555" s="99"/>
      <c r="AS555" s="99"/>
    </row>
    <row r="556">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c r="AB556" s="97"/>
      <c r="AC556" s="97"/>
      <c r="AD556" s="97"/>
      <c r="AE556" s="97"/>
      <c r="AF556" s="97"/>
      <c r="AG556" s="97"/>
      <c r="AH556" s="97"/>
      <c r="AI556" s="97"/>
      <c r="AJ556" s="97"/>
      <c r="AK556" s="97"/>
      <c r="AL556" s="97"/>
      <c r="AM556" s="97"/>
      <c r="AN556" s="97"/>
      <c r="AO556" s="97"/>
      <c r="AP556" s="97"/>
      <c r="AQ556" s="99"/>
      <c r="AR556" s="99"/>
      <c r="AS556" s="99"/>
    </row>
    <row r="557">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c r="AF557" s="97"/>
      <c r="AG557" s="97"/>
      <c r="AH557" s="97"/>
      <c r="AI557" s="97"/>
      <c r="AJ557" s="97"/>
      <c r="AK557" s="97"/>
      <c r="AL557" s="97"/>
      <c r="AM557" s="97"/>
      <c r="AN557" s="97"/>
      <c r="AO557" s="97"/>
      <c r="AP557" s="97"/>
      <c r="AQ557" s="99"/>
      <c r="AR557" s="99"/>
      <c r="AS557" s="99"/>
    </row>
    <row r="558">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c r="AB558" s="97"/>
      <c r="AC558" s="97"/>
      <c r="AD558" s="97"/>
      <c r="AE558" s="97"/>
      <c r="AF558" s="97"/>
      <c r="AG558" s="97"/>
      <c r="AH558" s="97"/>
      <c r="AI558" s="97"/>
      <c r="AJ558" s="97"/>
      <c r="AK558" s="97"/>
      <c r="AL558" s="97"/>
      <c r="AM558" s="97"/>
      <c r="AN558" s="97"/>
      <c r="AO558" s="97"/>
      <c r="AP558" s="97"/>
      <c r="AQ558" s="99"/>
      <c r="AR558" s="99"/>
      <c r="AS558" s="99"/>
    </row>
    <row r="559">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c r="AB559" s="97"/>
      <c r="AC559" s="97"/>
      <c r="AD559" s="97"/>
      <c r="AE559" s="97"/>
      <c r="AF559" s="97"/>
      <c r="AG559" s="97"/>
      <c r="AH559" s="97"/>
      <c r="AI559" s="97"/>
      <c r="AJ559" s="97"/>
      <c r="AK559" s="97"/>
      <c r="AL559" s="97"/>
      <c r="AM559" s="97"/>
      <c r="AN559" s="97"/>
      <c r="AO559" s="97"/>
      <c r="AP559" s="97"/>
      <c r="AQ559" s="99"/>
      <c r="AR559" s="99"/>
      <c r="AS559" s="99"/>
    </row>
    <row r="560">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c r="AB560" s="97"/>
      <c r="AC560" s="97"/>
      <c r="AD560" s="97"/>
      <c r="AE560" s="97"/>
      <c r="AF560" s="97"/>
      <c r="AG560" s="97"/>
      <c r="AH560" s="97"/>
      <c r="AI560" s="97"/>
      <c r="AJ560" s="97"/>
      <c r="AK560" s="97"/>
      <c r="AL560" s="97"/>
      <c r="AM560" s="97"/>
      <c r="AN560" s="97"/>
      <c r="AO560" s="97"/>
      <c r="AP560" s="97"/>
      <c r="AQ560" s="99"/>
      <c r="AR560" s="99"/>
      <c r="AS560" s="99"/>
    </row>
    <row r="56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c r="AB561" s="97"/>
      <c r="AC561" s="97"/>
      <c r="AD561" s="97"/>
      <c r="AE561" s="97"/>
      <c r="AF561" s="97"/>
      <c r="AG561" s="97"/>
      <c r="AH561" s="97"/>
      <c r="AI561" s="97"/>
      <c r="AJ561" s="97"/>
      <c r="AK561" s="97"/>
      <c r="AL561" s="97"/>
      <c r="AM561" s="97"/>
      <c r="AN561" s="97"/>
      <c r="AO561" s="97"/>
      <c r="AP561" s="97"/>
      <c r="AQ561" s="99"/>
      <c r="AR561" s="99"/>
      <c r="AS561" s="99"/>
    </row>
    <row r="562">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c r="AB562" s="97"/>
      <c r="AC562" s="97"/>
      <c r="AD562" s="97"/>
      <c r="AE562" s="97"/>
      <c r="AF562" s="97"/>
      <c r="AG562" s="97"/>
      <c r="AH562" s="97"/>
      <c r="AI562" s="97"/>
      <c r="AJ562" s="97"/>
      <c r="AK562" s="97"/>
      <c r="AL562" s="97"/>
      <c r="AM562" s="97"/>
      <c r="AN562" s="97"/>
      <c r="AO562" s="97"/>
      <c r="AP562" s="97"/>
      <c r="AQ562" s="99"/>
      <c r="AR562" s="99"/>
      <c r="AS562" s="99"/>
    </row>
    <row r="563">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c r="AB563" s="97"/>
      <c r="AC563" s="97"/>
      <c r="AD563" s="97"/>
      <c r="AE563" s="97"/>
      <c r="AF563" s="97"/>
      <c r="AG563" s="97"/>
      <c r="AH563" s="97"/>
      <c r="AI563" s="97"/>
      <c r="AJ563" s="97"/>
      <c r="AK563" s="97"/>
      <c r="AL563" s="97"/>
      <c r="AM563" s="97"/>
      <c r="AN563" s="97"/>
      <c r="AO563" s="97"/>
      <c r="AP563" s="97"/>
      <c r="AQ563" s="99"/>
      <c r="AR563" s="99"/>
      <c r="AS563" s="99"/>
    </row>
    <row r="564">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c r="AB564" s="97"/>
      <c r="AC564" s="97"/>
      <c r="AD564" s="97"/>
      <c r="AE564" s="97"/>
      <c r="AF564" s="97"/>
      <c r="AG564" s="97"/>
      <c r="AH564" s="97"/>
      <c r="AI564" s="97"/>
      <c r="AJ564" s="97"/>
      <c r="AK564" s="97"/>
      <c r="AL564" s="97"/>
      <c r="AM564" s="97"/>
      <c r="AN564" s="97"/>
      <c r="AO564" s="97"/>
      <c r="AP564" s="97"/>
      <c r="AQ564" s="99"/>
      <c r="AR564" s="99"/>
      <c r="AS564" s="99"/>
    </row>
    <row r="56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c r="AB565" s="97"/>
      <c r="AC565" s="97"/>
      <c r="AD565" s="97"/>
      <c r="AE565" s="97"/>
      <c r="AF565" s="97"/>
      <c r="AG565" s="97"/>
      <c r="AH565" s="97"/>
      <c r="AI565" s="97"/>
      <c r="AJ565" s="97"/>
      <c r="AK565" s="97"/>
      <c r="AL565" s="97"/>
      <c r="AM565" s="97"/>
      <c r="AN565" s="97"/>
      <c r="AO565" s="97"/>
      <c r="AP565" s="97"/>
      <c r="AQ565" s="99"/>
      <c r="AR565" s="99"/>
      <c r="AS565" s="99"/>
    </row>
    <row r="566">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c r="AB566" s="97"/>
      <c r="AC566" s="97"/>
      <c r="AD566" s="97"/>
      <c r="AE566" s="97"/>
      <c r="AF566" s="97"/>
      <c r="AG566" s="97"/>
      <c r="AH566" s="97"/>
      <c r="AI566" s="97"/>
      <c r="AJ566" s="97"/>
      <c r="AK566" s="97"/>
      <c r="AL566" s="97"/>
      <c r="AM566" s="97"/>
      <c r="AN566" s="97"/>
      <c r="AO566" s="97"/>
      <c r="AP566" s="97"/>
      <c r="AQ566" s="99"/>
      <c r="AR566" s="99"/>
      <c r="AS566" s="99"/>
    </row>
    <row r="567">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c r="AB567" s="97"/>
      <c r="AC567" s="97"/>
      <c r="AD567" s="97"/>
      <c r="AE567" s="97"/>
      <c r="AF567" s="97"/>
      <c r="AG567" s="97"/>
      <c r="AH567" s="97"/>
      <c r="AI567" s="97"/>
      <c r="AJ567" s="97"/>
      <c r="AK567" s="97"/>
      <c r="AL567" s="97"/>
      <c r="AM567" s="97"/>
      <c r="AN567" s="97"/>
      <c r="AO567" s="97"/>
      <c r="AP567" s="97"/>
      <c r="AQ567" s="99"/>
      <c r="AR567" s="99"/>
      <c r="AS567" s="99"/>
    </row>
    <row r="568">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c r="AB568" s="97"/>
      <c r="AC568" s="97"/>
      <c r="AD568" s="97"/>
      <c r="AE568" s="97"/>
      <c r="AF568" s="97"/>
      <c r="AG568" s="97"/>
      <c r="AH568" s="97"/>
      <c r="AI568" s="97"/>
      <c r="AJ568" s="97"/>
      <c r="AK568" s="97"/>
      <c r="AL568" s="97"/>
      <c r="AM568" s="97"/>
      <c r="AN568" s="97"/>
      <c r="AO568" s="97"/>
      <c r="AP568" s="97"/>
      <c r="AQ568" s="99"/>
      <c r="AR568" s="99"/>
      <c r="AS568" s="99"/>
    </row>
    <row r="569">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c r="AB569" s="97"/>
      <c r="AC569" s="97"/>
      <c r="AD569" s="97"/>
      <c r="AE569" s="97"/>
      <c r="AF569" s="97"/>
      <c r="AG569" s="97"/>
      <c r="AH569" s="97"/>
      <c r="AI569" s="97"/>
      <c r="AJ569" s="97"/>
      <c r="AK569" s="97"/>
      <c r="AL569" s="97"/>
      <c r="AM569" s="97"/>
      <c r="AN569" s="97"/>
      <c r="AO569" s="97"/>
      <c r="AP569" s="97"/>
      <c r="AQ569" s="99"/>
      <c r="AR569" s="99"/>
      <c r="AS569" s="99"/>
    </row>
    <row r="570">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c r="AB570" s="97"/>
      <c r="AC570" s="97"/>
      <c r="AD570" s="97"/>
      <c r="AE570" s="97"/>
      <c r="AF570" s="97"/>
      <c r="AG570" s="97"/>
      <c r="AH570" s="97"/>
      <c r="AI570" s="97"/>
      <c r="AJ570" s="97"/>
      <c r="AK570" s="97"/>
      <c r="AL570" s="97"/>
      <c r="AM570" s="97"/>
      <c r="AN570" s="97"/>
      <c r="AO570" s="97"/>
      <c r="AP570" s="97"/>
      <c r="AQ570" s="99"/>
      <c r="AR570" s="99"/>
      <c r="AS570" s="99"/>
    </row>
    <row r="57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c r="AB571" s="97"/>
      <c r="AC571" s="97"/>
      <c r="AD571" s="97"/>
      <c r="AE571" s="97"/>
      <c r="AF571" s="97"/>
      <c r="AG571" s="97"/>
      <c r="AH571" s="97"/>
      <c r="AI571" s="97"/>
      <c r="AJ571" s="97"/>
      <c r="AK571" s="97"/>
      <c r="AL571" s="97"/>
      <c r="AM571" s="97"/>
      <c r="AN571" s="97"/>
      <c r="AO571" s="97"/>
      <c r="AP571" s="97"/>
      <c r="AQ571" s="99"/>
      <c r="AR571" s="99"/>
      <c r="AS571" s="99"/>
    </row>
    <row r="572">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c r="AB572" s="97"/>
      <c r="AC572" s="97"/>
      <c r="AD572" s="97"/>
      <c r="AE572" s="97"/>
      <c r="AF572" s="97"/>
      <c r="AG572" s="97"/>
      <c r="AH572" s="97"/>
      <c r="AI572" s="97"/>
      <c r="AJ572" s="97"/>
      <c r="AK572" s="97"/>
      <c r="AL572" s="97"/>
      <c r="AM572" s="97"/>
      <c r="AN572" s="97"/>
      <c r="AO572" s="97"/>
      <c r="AP572" s="97"/>
      <c r="AQ572" s="99"/>
      <c r="AR572" s="99"/>
      <c r="AS572" s="99"/>
    </row>
    <row r="573">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c r="AB573" s="97"/>
      <c r="AC573" s="97"/>
      <c r="AD573" s="97"/>
      <c r="AE573" s="97"/>
      <c r="AF573" s="97"/>
      <c r="AG573" s="97"/>
      <c r="AH573" s="97"/>
      <c r="AI573" s="97"/>
      <c r="AJ573" s="97"/>
      <c r="AK573" s="97"/>
      <c r="AL573" s="97"/>
      <c r="AM573" s="97"/>
      <c r="AN573" s="97"/>
      <c r="AO573" s="97"/>
      <c r="AP573" s="97"/>
      <c r="AQ573" s="99"/>
      <c r="AR573" s="99"/>
      <c r="AS573" s="99"/>
    </row>
    <row r="574">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c r="AB574" s="97"/>
      <c r="AC574" s="97"/>
      <c r="AD574" s="97"/>
      <c r="AE574" s="97"/>
      <c r="AF574" s="97"/>
      <c r="AG574" s="97"/>
      <c r="AH574" s="97"/>
      <c r="AI574" s="97"/>
      <c r="AJ574" s="97"/>
      <c r="AK574" s="97"/>
      <c r="AL574" s="97"/>
      <c r="AM574" s="97"/>
      <c r="AN574" s="97"/>
      <c r="AO574" s="97"/>
      <c r="AP574" s="97"/>
      <c r="AQ574" s="99"/>
      <c r="AR574" s="99"/>
      <c r="AS574" s="99"/>
    </row>
    <row r="57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c r="AB575" s="97"/>
      <c r="AC575" s="97"/>
      <c r="AD575" s="97"/>
      <c r="AE575" s="97"/>
      <c r="AF575" s="97"/>
      <c r="AG575" s="97"/>
      <c r="AH575" s="97"/>
      <c r="AI575" s="97"/>
      <c r="AJ575" s="97"/>
      <c r="AK575" s="97"/>
      <c r="AL575" s="97"/>
      <c r="AM575" s="97"/>
      <c r="AN575" s="97"/>
      <c r="AO575" s="97"/>
      <c r="AP575" s="97"/>
      <c r="AQ575" s="99"/>
      <c r="AR575" s="99"/>
      <c r="AS575" s="99"/>
    </row>
    <row r="576">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c r="AB576" s="97"/>
      <c r="AC576" s="97"/>
      <c r="AD576" s="97"/>
      <c r="AE576" s="97"/>
      <c r="AF576" s="97"/>
      <c r="AG576" s="97"/>
      <c r="AH576" s="97"/>
      <c r="AI576" s="97"/>
      <c r="AJ576" s="97"/>
      <c r="AK576" s="97"/>
      <c r="AL576" s="97"/>
      <c r="AM576" s="97"/>
      <c r="AN576" s="97"/>
      <c r="AO576" s="97"/>
      <c r="AP576" s="97"/>
      <c r="AQ576" s="99"/>
      <c r="AR576" s="99"/>
      <c r="AS576" s="99"/>
    </row>
    <row r="577">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c r="AB577" s="97"/>
      <c r="AC577" s="97"/>
      <c r="AD577" s="97"/>
      <c r="AE577" s="97"/>
      <c r="AF577" s="97"/>
      <c r="AG577" s="97"/>
      <c r="AH577" s="97"/>
      <c r="AI577" s="97"/>
      <c r="AJ577" s="97"/>
      <c r="AK577" s="97"/>
      <c r="AL577" s="97"/>
      <c r="AM577" s="97"/>
      <c r="AN577" s="97"/>
      <c r="AO577" s="97"/>
      <c r="AP577" s="97"/>
      <c r="AQ577" s="99"/>
      <c r="AR577" s="99"/>
      <c r="AS577" s="99"/>
    </row>
    <row r="578">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c r="AB578" s="97"/>
      <c r="AC578" s="97"/>
      <c r="AD578" s="97"/>
      <c r="AE578" s="97"/>
      <c r="AF578" s="97"/>
      <c r="AG578" s="97"/>
      <c r="AH578" s="97"/>
      <c r="AI578" s="97"/>
      <c r="AJ578" s="97"/>
      <c r="AK578" s="97"/>
      <c r="AL578" s="97"/>
      <c r="AM578" s="97"/>
      <c r="AN578" s="97"/>
      <c r="AO578" s="97"/>
      <c r="AP578" s="97"/>
      <c r="AQ578" s="99"/>
      <c r="AR578" s="99"/>
      <c r="AS578" s="99"/>
    </row>
    <row r="579">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7"/>
      <c r="AC579" s="97"/>
      <c r="AD579" s="97"/>
      <c r="AE579" s="97"/>
      <c r="AF579" s="97"/>
      <c r="AG579" s="97"/>
      <c r="AH579" s="97"/>
      <c r="AI579" s="97"/>
      <c r="AJ579" s="97"/>
      <c r="AK579" s="97"/>
      <c r="AL579" s="97"/>
      <c r="AM579" s="97"/>
      <c r="AN579" s="97"/>
      <c r="AO579" s="97"/>
      <c r="AP579" s="97"/>
      <c r="AQ579" s="99"/>
      <c r="AR579" s="99"/>
      <c r="AS579" s="99"/>
    </row>
    <row r="580">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c r="AB580" s="97"/>
      <c r="AC580" s="97"/>
      <c r="AD580" s="97"/>
      <c r="AE580" s="97"/>
      <c r="AF580" s="97"/>
      <c r="AG580" s="97"/>
      <c r="AH580" s="97"/>
      <c r="AI580" s="97"/>
      <c r="AJ580" s="97"/>
      <c r="AK580" s="97"/>
      <c r="AL580" s="97"/>
      <c r="AM580" s="97"/>
      <c r="AN580" s="97"/>
      <c r="AO580" s="97"/>
      <c r="AP580" s="97"/>
      <c r="AQ580" s="99"/>
      <c r="AR580" s="99"/>
      <c r="AS580" s="99"/>
    </row>
    <row r="58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9"/>
      <c r="AR581" s="99"/>
      <c r="AS581" s="99"/>
    </row>
    <row r="582">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c r="AB582" s="97"/>
      <c r="AC582" s="97"/>
      <c r="AD582" s="97"/>
      <c r="AE582" s="97"/>
      <c r="AF582" s="97"/>
      <c r="AG582" s="97"/>
      <c r="AH582" s="97"/>
      <c r="AI582" s="97"/>
      <c r="AJ582" s="97"/>
      <c r="AK582" s="97"/>
      <c r="AL582" s="97"/>
      <c r="AM582" s="97"/>
      <c r="AN582" s="97"/>
      <c r="AO582" s="97"/>
      <c r="AP582" s="97"/>
      <c r="AQ582" s="99"/>
      <c r="AR582" s="99"/>
      <c r="AS582" s="99"/>
    </row>
    <row r="583">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c r="AB583" s="97"/>
      <c r="AC583" s="97"/>
      <c r="AD583" s="97"/>
      <c r="AE583" s="97"/>
      <c r="AF583" s="97"/>
      <c r="AG583" s="97"/>
      <c r="AH583" s="97"/>
      <c r="AI583" s="97"/>
      <c r="AJ583" s="97"/>
      <c r="AK583" s="97"/>
      <c r="AL583" s="97"/>
      <c r="AM583" s="97"/>
      <c r="AN583" s="97"/>
      <c r="AO583" s="97"/>
      <c r="AP583" s="97"/>
      <c r="AQ583" s="99"/>
      <c r="AR583" s="99"/>
      <c r="AS583" s="99"/>
    </row>
    <row r="584">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c r="AB584" s="97"/>
      <c r="AC584" s="97"/>
      <c r="AD584" s="97"/>
      <c r="AE584" s="97"/>
      <c r="AF584" s="97"/>
      <c r="AG584" s="97"/>
      <c r="AH584" s="97"/>
      <c r="AI584" s="97"/>
      <c r="AJ584" s="97"/>
      <c r="AK584" s="97"/>
      <c r="AL584" s="97"/>
      <c r="AM584" s="97"/>
      <c r="AN584" s="97"/>
      <c r="AO584" s="97"/>
      <c r="AP584" s="97"/>
      <c r="AQ584" s="99"/>
      <c r="AR584" s="99"/>
      <c r="AS584" s="99"/>
    </row>
    <row r="58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c r="AB585" s="97"/>
      <c r="AC585" s="97"/>
      <c r="AD585" s="97"/>
      <c r="AE585" s="97"/>
      <c r="AF585" s="97"/>
      <c r="AG585" s="97"/>
      <c r="AH585" s="97"/>
      <c r="AI585" s="97"/>
      <c r="AJ585" s="97"/>
      <c r="AK585" s="97"/>
      <c r="AL585" s="97"/>
      <c r="AM585" s="97"/>
      <c r="AN585" s="97"/>
      <c r="AO585" s="97"/>
      <c r="AP585" s="97"/>
      <c r="AQ585" s="99"/>
      <c r="AR585" s="99"/>
      <c r="AS585" s="99"/>
    </row>
    <row r="586">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c r="AB586" s="97"/>
      <c r="AC586" s="97"/>
      <c r="AD586" s="97"/>
      <c r="AE586" s="97"/>
      <c r="AF586" s="97"/>
      <c r="AG586" s="97"/>
      <c r="AH586" s="97"/>
      <c r="AI586" s="97"/>
      <c r="AJ586" s="97"/>
      <c r="AK586" s="97"/>
      <c r="AL586" s="97"/>
      <c r="AM586" s="97"/>
      <c r="AN586" s="97"/>
      <c r="AO586" s="97"/>
      <c r="AP586" s="97"/>
      <c r="AQ586" s="99"/>
      <c r="AR586" s="99"/>
      <c r="AS586" s="99"/>
    </row>
    <row r="587">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c r="AB587" s="97"/>
      <c r="AC587" s="97"/>
      <c r="AD587" s="97"/>
      <c r="AE587" s="97"/>
      <c r="AF587" s="97"/>
      <c r="AG587" s="97"/>
      <c r="AH587" s="97"/>
      <c r="AI587" s="97"/>
      <c r="AJ587" s="97"/>
      <c r="AK587" s="97"/>
      <c r="AL587" s="97"/>
      <c r="AM587" s="97"/>
      <c r="AN587" s="97"/>
      <c r="AO587" s="97"/>
      <c r="AP587" s="97"/>
      <c r="AQ587" s="99"/>
      <c r="AR587" s="99"/>
      <c r="AS587" s="99"/>
    </row>
    <row r="588">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c r="AB588" s="97"/>
      <c r="AC588" s="97"/>
      <c r="AD588" s="97"/>
      <c r="AE588" s="97"/>
      <c r="AF588" s="97"/>
      <c r="AG588" s="97"/>
      <c r="AH588" s="97"/>
      <c r="AI588" s="97"/>
      <c r="AJ588" s="97"/>
      <c r="AK588" s="97"/>
      <c r="AL588" s="97"/>
      <c r="AM588" s="97"/>
      <c r="AN588" s="97"/>
      <c r="AO588" s="97"/>
      <c r="AP588" s="97"/>
      <c r="AQ588" s="99"/>
      <c r="AR588" s="99"/>
      <c r="AS588" s="99"/>
    </row>
    <row r="589">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c r="AB589" s="97"/>
      <c r="AC589" s="97"/>
      <c r="AD589" s="97"/>
      <c r="AE589" s="97"/>
      <c r="AF589" s="97"/>
      <c r="AG589" s="97"/>
      <c r="AH589" s="97"/>
      <c r="AI589" s="97"/>
      <c r="AJ589" s="97"/>
      <c r="AK589" s="97"/>
      <c r="AL589" s="97"/>
      <c r="AM589" s="97"/>
      <c r="AN589" s="97"/>
      <c r="AO589" s="97"/>
      <c r="AP589" s="97"/>
      <c r="AQ589" s="99"/>
      <c r="AR589" s="99"/>
      <c r="AS589" s="99"/>
    </row>
    <row r="590">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c r="AB590" s="97"/>
      <c r="AC590" s="97"/>
      <c r="AD590" s="97"/>
      <c r="AE590" s="97"/>
      <c r="AF590" s="97"/>
      <c r="AG590" s="97"/>
      <c r="AH590" s="97"/>
      <c r="AI590" s="97"/>
      <c r="AJ590" s="97"/>
      <c r="AK590" s="97"/>
      <c r="AL590" s="97"/>
      <c r="AM590" s="97"/>
      <c r="AN590" s="97"/>
      <c r="AO590" s="97"/>
      <c r="AP590" s="97"/>
      <c r="AQ590" s="99"/>
      <c r="AR590" s="99"/>
      <c r="AS590" s="99"/>
    </row>
    <row r="59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c r="AB591" s="97"/>
      <c r="AC591" s="97"/>
      <c r="AD591" s="97"/>
      <c r="AE591" s="97"/>
      <c r="AF591" s="97"/>
      <c r="AG591" s="97"/>
      <c r="AH591" s="97"/>
      <c r="AI591" s="97"/>
      <c r="AJ591" s="97"/>
      <c r="AK591" s="97"/>
      <c r="AL591" s="97"/>
      <c r="AM591" s="97"/>
      <c r="AN591" s="97"/>
      <c r="AO591" s="97"/>
      <c r="AP591" s="97"/>
      <c r="AQ591" s="99"/>
      <c r="AR591" s="99"/>
      <c r="AS591" s="99"/>
    </row>
    <row r="592">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c r="AB592" s="97"/>
      <c r="AC592" s="97"/>
      <c r="AD592" s="97"/>
      <c r="AE592" s="97"/>
      <c r="AF592" s="97"/>
      <c r="AG592" s="97"/>
      <c r="AH592" s="97"/>
      <c r="AI592" s="97"/>
      <c r="AJ592" s="97"/>
      <c r="AK592" s="97"/>
      <c r="AL592" s="97"/>
      <c r="AM592" s="97"/>
      <c r="AN592" s="97"/>
      <c r="AO592" s="97"/>
      <c r="AP592" s="97"/>
      <c r="AQ592" s="99"/>
      <c r="AR592" s="99"/>
      <c r="AS592" s="99"/>
    </row>
    <row r="593">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c r="AB593" s="97"/>
      <c r="AC593" s="97"/>
      <c r="AD593" s="97"/>
      <c r="AE593" s="97"/>
      <c r="AF593" s="97"/>
      <c r="AG593" s="97"/>
      <c r="AH593" s="97"/>
      <c r="AI593" s="97"/>
      <c r="AJ593" s="97"/>
      <c r="AK593" s="97"/>
      <c r="AL593" s="97"/>
      <c r="AM593" s="97"/>
      <c r="AN593" s="97"/>
      <c r="AO593" s="97"/>
      <c r="AP593" s="97"/>
      <c r="AQ593" s="99"/>
      <c r="AR593" s="99"/>
      <c r="AS593" s="99"/>
    </row>
    <row r="594">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c r="AB594" s="97"/>
      <c r="AC594" s="97"/>
      <c r="AD594" s="97"/>
      <c r="AE594" s="97"/>
      <c r="AF594" s="97"/>
      <c r="AG594" s="97"/>
      <c r="AH594" s="97"/>
      <c r="AI594" s="97"/>
      <c r="AJ594" s="97"/>
      <c r="AK594" s="97"/>
      <c r="AL594" s="97"/>
      <c r="AM594" s="97"/>
      <c r="AN594" s="97"/>
      <c r="AO594" s="97"/>
      <c r="AP594" s="97"/>
      <c r="AQ594" s="99"/>
      <c r="AR594" s="99"/>
      <c r="AS594" s="99"/>
    </row>
    <row r="59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c r="AB595" s="97"/>
      <c r="AC595" s="97"/>
      <c r="AD595" s="97"/>
      <c r="AE595" s="97"/>
      <c r="AF595" s="97"/>
      <c r="AG595" s="97"/>
      <c r="AH595" s="97"/>
      <c r="AI595" s="97"/>
      <c r="AJ595" s="97"/>
      <c r="AK595" s="97"/>
      <c r="AL595" s="97"/>
      <c r="AM595" s="97"/>
      <c r="AN595" s="97"/>
      <c r="AO595" s="97"/>
      <c r="AP595" s="97"/>
      <c r="AQ595" s="99"/>
      <c r="AR595" s="99"/>
      <c r="AS595" s="99"/>
    </row>
    <row r="596">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c r="AB596" s="97"/>
      <c r="AC596" s="97"/>
      <c r="AD596" s="97"/>
      <c r="AE596" s="97"/>
      <c r="AF596" s="97"/>
      <c r="AG596" s="97"/>
      <c r="AH596" s="97"/>
      <c r="AI596" s="97"/>
      <c r="AJ596" s="97"/>
      <c r="AK596" s="97"/>
      <c r="AL596" s="97"/>
      <c r="AM596" s="97"/>
      <c r="AN596" s="97"/>
      <c r="AO596" s="97"/>
      <c r="AP596" s="97"/>
      <c r="AQ596" s="99"/>
      <c r="AR596" s="99"/>
      <c r="AS596" s="99"/>
    </row>
    <row r="597">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c r="AB597" s="97"/>
      <c r="AC597" s="97"/>
      <c r="AD597" s="97"/>
      <c r="AE597" s="97"/>
      <c r="AF597" s="97"/>
      <c r="AG597" s="97"/>
      <c r="AH597" s="97"/>
      <c r="AI597" s="97"/>
      <c r="AJ597" s="97"/>
      <c r="AK597" s="97"/>
      <c r="AL597" s="97"/>
      <c r="AM597" s="97"/>
      <c r="AN597" s="97"/>
      <c r="AO597" s="97"/>
      <c r="AP597" s="97"/>
      <c r="AQ597" s="99"/>
      <c r="AR597" s="99"/>
      <c r="AS597" s="99"/>
    </row>
    <row r="598">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7"/>
      <c r="AC598" s="97"/>
      <c r="AD598" s="97"/>
      <c r="AE598" s="97"/>
      <c r="AF598" s="97"/>
      <c r="AG598" s="97"/>
      <c r="AH598" s="97"/>
      <c r="AI598" s="97"/>
      <c r="AJ598" s="97"/>
      <c r="AK598" s="97"/>
      <c r="AL598" s="97"/>
      <c r="AM598" s="97"/>
      <c r="AN598" s="97"/>
      <c r="AO598" s="97"/>
      <c r="AP598" s="97"/>
      <c r="AQ598" s="99"/>
      <c r="AR598" s="99"/>
      <c r="AS598" s="99"/>
    </row>
    <row r="599">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7"/>
      <c r="AC599" s="97"/>
      <c r="AD599" s="97"/>
      <c r="AE599" s="97"/>
      <c r="AF599" s="97"/>
      <c r="AG599" s="97"/>
      <c r="AH599" s="97"/>
      <c r="AI599" s="97"/>
      <c r="AJ599" s="97"/>
      <c r="AK599" s="97"/>
      <c r="AL599" s="97"/>
      <c r="AM599" s="97"/>
      <c r="AN599" s="97"/>
      <c r="AO599" s="97"/>
      <c r="AP599" s="97"/>
      <c r="AQ599" s="99"/>
      <c r="AR599" s="99"/>
      <c r="AS599" s="99"/>
    </row>
    <row r="600">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c r="AB600" s="97"/>
      <c r="AC600" s="97"/>
      <c r="AD600" s="97"/>
      <c r="AE600" s="97"/>
      <c r="AF600" s="97"/>
      <c r="AG600" s="97"/>
      <c r="AH600" s="97"/>
      <c r="AI600" s="97"/>
      <c r="AJ600" s="97"/>
      <c r="AK600" s="97"/>
      <c r="AL600" s="97"/>
      <c r="AM600" s="97"/>
      <c r="AN600" s="97"/>
      <c r="AO600" s="97"/>
      <c r="AP600" s="97"/>
      <c r="AQ600" s="99"/>
      <c r="AR600" s="99"/>
      <c r="AS600" s="99"/>
    </row>
    <row r="60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7"/>
      <c r="AC601" s="97"/>
      <c r="AD601" s="97"/>
      <c r="AE601" s="97"/>
      <c r="AF601" s="97"/>
      <c r="AG601" s="97"/>
      <c r="AH601" s="97"/>
      <c r="AI601" s="97"/>
      <c r="AJ601" s="97"/>
      <c r="AK601" s="97"/>
      <c r="AL601" s="97"/>
      <c r="AM601" s="97"/>
      <c r="AN601" s="97"/>
      <c r="AO601" s="97"/>
      <c r="AP601" s="97"/>
      <c r="AQ601" s="99"/>
      <c r="AR601" s="99"/>
      <c r="AS601" s="99"/>
    </row>
    <row r="602">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7"/>
      <c r="AC602" s="97"/>
      <c r="AD602" s="97"/>
      <c r="AE602" s="97"/>
      <c r="AF602" s="97"/>
      <c r="AG602" s="97"/>
      <c r="AH602" s="97"/>
      <c r="AI602" s="97"/>
      <c r="AJ602" s="97"/>
      <c r="AK602" s="97"/>
      <c r="AL602" s="97"/>
      <c r="AM602" s="97"/>
      <c r="AN602" s="97"/>
      <c r="AO602" s="97"/>
      <c r="AP602" s="97"/>
      <c r="AQ602" s="99"/>
      <c r="AR602" s="99"/>
      <c r="AS602" s="99"/>
    </row>
    <row r="603">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c r="AB603" s="97"/>
      <c r="AC603" s="97"/>
      <c r="AD603" s="97"/>
      <c r="AE603" s="97"/>
      <c r="AF603" s="97"/>
      <c r="AG603" s="97"/>
      <c r="AH603" s="97"/>
      <c r="AI603" s="97"/>
      <c r="AJ603" s="97"/>
      <c r="AK603" s="97"/>
      <c r="AL603" s="97"/>
      <c r="AM603" s="97"/>
      <c r="AN603" s="97"/>
      <c r="AO603" s="97"/>
      <c r="AP603" s="97"/>
      <c r="AQ603" s="99"/>
      <c r="AR603" s="99"/>
      <c r="AS603" s="99"/>
    </row>
    <row r="604">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c r="AB604" s="97"/>
      <c r="AC604" s="97"/>
      <c r="AD604" s="97"/>
      <c r="AE604" s="97"/>
      <c r="AF604" s="97"/>
      <c r="AG604" s="97"/>
      <c r="AH604" s="97"/>
      <c r="AI604" s="97"/>
      <c r="AJ604" s="97"/>
      <c r="AK604" s="97"/>
      <c r="AL604" s="97"/>
      <c r="AM604" s="97"/>
      <c r="AN604" s="97"/>
      <c r="AO604" s="97"/>
      <c r="AP604" s="97"/>
      <c r="AQ604" s="99"/>
      <c r="AR604" s="99"/>
      <c r="AS604" s="99"/>
    </row>
    <row r="60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c r="AB605" s="97"/>
      <c r="AC605" s="97"/>
      <c r="AD605" s="97"/>
      <c r="AE605" s="97"/>
      <c r="AF605" s="97"/>
      <c r="AG605" s="97"/>
      <c r="AH605" s="97"/>
      <c r="AI605" s="97"/>
      <c r="AJ605" s="97"/>
      <c r="AK605" s="97"/>
      <c r="AL605" s="97"/>
      <c r="AM605" s="97"/>
      <c r="AN605" s="97"/>
      <c r="AO605" s="97"/>
      <c r="AP605" s="97"/>
      <c r="AQ605" s="99"/>
      <c r="AR605" s="99"/>
      <c r="AS605" s="99"/>
    </row>
    <row r="606">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c r="AB606" s="97"/>
      <c r="AC606" s="97"/>
      <c r="AD606" s="97"/>
      <c r="AE606" s="97"/>
      <c r="AF606" s="97"/>
      <c r="AG606" s="97"/>
      <c r="AH606" s="97"/>
      <c r="AI606" s="97"/>
      <c r="AJ606" s="97"/>
      <c r="AK606" s="97"/>
      <c r="AL606" s="97"/>
      <c r="AM606" s="97"/>
      <c r="AN606" s="97"/>
      <c r="AO606" s="97"/>
      <c r="AP606" s="97"/>
      <c r="AQ606" s="99"/>
      <c r="AR606" s="99"/>
      <c r="AS606" s="99"/>
    </row>
    <row r="607">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c r="AB607" s="97"/>
      <c r="AC607" s="97"/>
      <c r="AD607" s="97"/>
      <c r="AE607" s="97"/>
      <c r="AF607" s="97"/>
      <c r="AG607" s="97"/>
      <c r="AH607" s="97"/>
      <c r="AI607" s="97"/>
      <c r="AJ607" s="97"/>
      <c r="AK607" s="97"/>
      <c r="AL607" s="97"/>
      <c r="AM607" s="97"/>
      <c r="AN607" s="97"/>
      <c r="AO607" s="97"/>
      <c r="AP607" s="97"/>
      <c r="AQ607" s="99"/>
      <c r="AR607" s="99"/>
      <c r="AS607" s="99"/>
    </row>
    <row r="608">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c r="AB608" s="97"/>
      <c r="AC608" s="97"/>
      <c r="AD608" s="97"/>
      <c r="AE608" s="97"/>
      <c r="AF608" s="97"/>
      <c r="AG608" s="97"/>
      <c r="AH608" s="97"/>
      <c r="AI608" s="97"/>
      <c r="AJ608" s="97"/>
      <c r="AK608" s="97"/>
      <c r="AL608" s="97"/>
      <c r="AM608" s="97"/>
      <c r="AN608" s="97"/>
      <c r="AO608" s="97"/>
      <c r="AP608" s="97"/>
      <c r="AQ608" s="99"/>
      <c r="AR608" s="99"/>
      <c r="AS608" s="99"/>
    </row>
    <row r="609">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c r="AB609" s="97"/>
      <c r="AC609" s="97"/>
      <c r="AD609" s="97"/>
      <c r="AE609" s="97"/>
      <c r="AF609" s="97"/>
      <c r="AG609" s="97"/>
      <c r="AH609" s="97"/>
      <c r="AI609" s="97"/>
      <c r="AJ609" s="97"/>
      <c r="AK609" s="97"/>
      <c r="AL609" s="97"/>
      <c r="AM609" s="97"/>
      <c r="AN609" s="97"/>
      <c r="AO609" s="97"/>
      <c r="AP609" s="97"/>
      <c r="AQ609" s="99"/>
      <c r="AR609" s="99"/>
      <c r="AS609" s="99"/>
    </row>
    <row r="610">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c r="AB610" s="97"/>
      <c r="AC610" s="97"/>
      <c r="AD610" s="97"/>
      <c r="AE610" s="97"/>
      <c r="AF610" s="97"/>
      <c r="AG610" s="97"/>
      <c r="AH610" s="97"/>
      <c r="AI610" s="97"/>
      <c r="AJ610" s="97"/>
      <c r="AK610" s="97"/>
      <c r="AL610" s="97"/>
      <c r="AM610" s="97"/>
      <c r="AN610" s="97"/>
      <c r="AO610" s="97"/>
      <c r="AP610" s="97"/>
      <c r="AQ610" s="99"/>
      <c r="AR610" s="99"/>
      <c r="AS610" s="99"/>
    </row>
    <row r="61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c r="AB611" s="97"/>
      <c r="AC611" s="97"/>
      <c r="AD611" s="97"/>
      <c r="AE611" s="97"/>
      <c r="AF611" s="97"/>
      <c r="AG611" s="97"/>
      <c r="AH611" s="97"/>
      <c r="AI611" s="97"/>
      <c r="AJ611" s="97"/>
      <c r="AK611" s="97"/>
      <c r="AL611" s="97"/>
      <c r="AM611" s="97"/>
      <c r="AN611" s="97"/>
      <c r="AO611" s="97"/>
      <c r="AP611" s="97"/>
      <c r="AQ611" s="99"/>
      <c r="AR611" s="99"/>
      <c r="AS611" s="99"/>
    </row>
    <row r="612">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c r="AB612" s="97"/>
      <c r="AC612" s="97"/>
      <c r="AD612" s="97"/>
      <c r="AE612" s="97"/>
      <c r="AF612" s="97"/>
      <c r="AG612" s="97"/>
      <c r="AH612" s="97"/>
      <c r="AI612" s="97"/>
      <c r="AJ612" s="97"/>
      <c r="AK612" s="97"/>
      <c r="AL612" s="97"/>
      <c r="AM612" s="97"/>
      <c r="AN612" s="97"/>
      <c r="AO612" s="97"/>
      <c r="AP612" s="97"/>
      <c r="AQ612" s="99"/>
      <c r="AR612" s="99"/>
      <c r="AS612" s="99"/>
    </row>
    <row r="613">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c r="AB613" s="97"/>
      <c r="AC613" s="97"/>
      <c r="AD613" s="97"/>
      <c r="AE613" s="97"/>
      <c r="AF613" s="97"/>
      <c r="AG613" s="97"/>
      <c r="AH613" s="97"/>
      <c r="AI613" s="97"/>
      <c r="AJ613" s="97"/>
      <c r="AK613" s="97"/>
      <c r="AL613" s="97"/>
      <c r="AM613" s="97"/>
      <c r="AN613" s="97"/>
      <c r="AO613" s="97"/>
      <c r="AP613" s="97"/>
      <c r="AQ613" s="99"/>
      <c r="AR613" s="99"/>
      <c r="AS613" s="99"/>
    </row>
    <row r="614">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c r="AB614" s="97"/>
      <c r="AC614" s="97"/>
      <c r="AD614" s="97"/>
      <c r="AE614" s="97"/>
      <c r="AF614" s="97"/>
      <c r="AG614" s="97"/>
      <c r="AH614" s="97"/>
      <c r="AI614" s="97"/>
      <c r="AJ614" s="97"/>
      <c r="AK614" s="97"/>
      <c r="AL614" s="97"/>
      <c r="AM614" s="97"/>
      <c r="AN614" s="97"/>
      <c r="AO614" s="97"/>
      <c r="AP614" s="97"/>
      <c r="AQ614" s="99"/>
      <c r="AR614" s="99"/>
      <c r="AS614" s="99"/>
    </row>
    <row r="61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c r="AB615" s="97"/>
      <c r="AC615" s="97"/>
      <c r="AD615" s="97"/>
      <c r="AE615" s="97"/>
      <c r="AF615" s="97"/>
      <c r="AG615" s="97"/>
      <c r="AH615" s="97"/>
      <c r="AI615" s="97"/>
      <c r="AJ615" s="97"/>
      <c r="AK615" s="97"/>
      <c r="AL615" s="97"/>
      <c r="AM615" s="97"/>
      <c r="AN615" s="97"/>
      <c r="AO615" s="97"/>
      <c r="AP615" s="97"/>
      <c r="AQ615" s="99"/>
      <c r="AR615" s="99"/>
      <c r="AS615" s="99"/>
    </row>
    <row r="616">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c r="AB616" s="97"/>
      <c r="AC616" s="97"/>
      <c r="AD616" s="97"/>
      <c r="AE616" s="97"/>
      <c r="AF616" s="97"/>
      <c r="AG616" s="97"/>
      <c r="AH616" s="97"/>
      <c r="AI616" s="97"/>
      <c r="AJ616" s="97"/>
      <c r="AK616" s="97"/>
      <c r="AL616" s="97"/>
      <c r="AM616" s="97"/>
      <c r="AN616" s="97"/>
      <c r="AO616" s="97"/>
      <c r="AP616" s="97"/>
      <c r="AQ616" s="99"/>
      <c r="AR616" s="99"/>
      <c r="AS616" s="99"/>
    </row>
    <row r="617">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c r="AB617" s="97"/>
      <c r="AC617" s="97"/>
      <c r="AD617" s="97"/>
      <c r="AE617" s="97"/>
      <c r="AF617" s="97"/>
      <c r="AG617" s="97"/>
      <c r="AH617" s="97"/>
      <c r="AI617" s="97"/>
      <c r="AJ617" s="97"/>
      <c r="AK617" s="97"/>
      <c r="AL617" s="97"/>
      <c r="AM617" s="97"/>
      <c r="AN617" s="97"/>
      <c r="AO617" s="97"/>
      <c r="AP617" s="97"/>
      <c r="AQ617" s="99"/>
      <c r="AR617" s="99"/>
      <c r="AS617" s="99"/>
    </row>
    <row r="618">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c r="AB618" s="97"/>
      <c r="AC618" s="97"/>
      <c r="AD618" s="97"/>
      <c r="AE618" s="97"/>
      <c r="AF618" s="97"/>
      <c r="AG618" s="97"/>
      <c r="AH618" s="97"/>
      <c r="AI618" s="97"/>
      <c r="AJ618" s="97"/>
      <c r="AK618" s="97"/>
      <c r="AL618" s="97"/>
      <c r="AM618" s="97"/>
      <c r="AN618" s="97"/>
      <c r="AO618" s="97"/>
      <c r="AP618" s="97"/>
      <c r="AQ618" s="99"/>
      <c r="AR618" s="99"/>
      <c r="AS618" s="99"/>
    </row>
    <row r="619">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c r="AB619" s="97"/>
      <c r="AC619" s="97"/>
      <c r="AD619" s="97"/>
      <c r="AE619" s="97"/>
      <c r="AF619" s="97"/>
      <c r="AG619" s="97"/>
      <c r="AH619" s="97"/>
      <c r="AI619" s="97"/>
      <c r="AJ619" s="97"/>
      <c r="AK619" s="97"/>
      <c r="AL619" s="97"/>
      <c r="AM619" s="97"/>
      <c r="AN619" s="97"/>
      <c r="AO619" s="97"/>
      <c r="AP619" s="97"/>
      <c r="AQ619" s="99"/>
      <c r="AR619" s="99"/>
      <c r="AS619" s="99"/>
    </row>
    <row r="620">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c r="AB620" s="97"/>
      <c r="AC620" s="97"/>
      <c r="AD620" s="97"/>
      <c r="AE620" s="97"/>
      <c r="AF620" s="97"/>
      <c r="AG620" s="97"/>
      <c r="AH620" s="97"/>
      <c r="AI620" s="97"/>
      <c r="AJ620" s="97"/>
      <c r="AK620" s="97"/>
      <c r="AL620" s="97"/>
      <c r="AM620" s="97"/>
      <c r="AN620" s="97"/>
      <c r="AO620" s="97"/>
      <c r="AP620" s="97"/>
      <c r="AQ620" s="99"/>
      <c r="AR620" s="99"/>
      <c r="AS620" s="99"/>
    </row>
    <row r="62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7"/>
      <c r="AC621" s="97"/>
      <c r="AD621" s="97"/>
      <c r="AE621" s="97"/>
      <c r="AF621" s="97"/>
      <c r="AG621" s="97"/>
      <c r="AH621" s="97"/>
      <c r="AI621" s="97"/>
      <c r="AJ621" s="97"/>
      <c r="AK621" s="97"/>
      <c r="AL621" s="97"/>
      <c r="AM621" s="97"/>
      <c r="AN621" s="97"/>
      <c r="AO621" s="97"/>
      <c r="AP621" s="97"/>
      <c r="AQ621" s="99"/>
      <c r="AR621" s="99"/>
      <c r="AS621" s="99"/>
    </row>
    <row r="622">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c r="AB622" s="97"/>
      <c r="AC622" s="97"/>
      <c r="AD622" s="97"/>
      <c r="AE622" s="97"/>
      <c r="AF622" s="97"/>
      <c r="AG622" s="97"/>
      <c r="AH622" s="97"/>
      <c r="AI622" s="97"/>
      <c r="AJ622" s="97"/>
      <c r="AK622" s="97"/>
      <c r="AL622" s="97"/>
      <c r="AM622" s="97"/>
      <c r="AN622" s="97"/>
      <c r="AO622" s="97"/>
      <c r="AP622" s="97"/>
      <c r="AQ622" s="99"/>
      <c r="AR622" s="99"/>
      <c r="AS622" s="99"/>
    </row>
    <row r="623">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c r="AB623" s="97"/>
      <c r="AC623" s="97"/>
      <c r="AD623" s="97"/>
      <c r="AE623" s="97"/>
      <c r="AF623" s="97"/>
      <c r="AG623" s="97"/>
      <c r="AH623" s="97"/>
      <c r="AI623" s="97"/>
      <c r="AJ623" s="97"/>
      <c r="AK623" s="97"/>
      <c r="AL623" s="97"/>
      <c r="AM623" s="97"/>
      <c r="AN623" s="97"/>
      <c r="AO623" s="97"/>
      <c r="AP623" s="97"/>
      <c r="AQ623" s="99"/>
      <c r="AR623" s="99"/>
      <c r="AS623" s="99"/>
    </row>
    <row r="624">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c r="AB624" s="97"/>
      <c r="AC624" s="97"/>
      <c r="AD624" s="97"/>
      <c r="AE624" s="97"/>
      <c r="AF624" s="97"/>
      <c r="AG624" s="97"/>
      <c r="AH624" s="97"/>
      <c r="AI624" s="97"/>
      <c r="AJ624" s="97"/>
      <c r="AK624" s="97"/>
      <c r="AL624" s="97"/>
      <c r="AM624" s="97"/>
      <c r="AN624" s="97"/>
      <c r="AO624" s="97"/>
      <c r="AP624" s="97"/>
      <c r="AQ624" s="99"/>
      <c r="AR624" s="99"/>
      <c r="AS624" s="99"/>
    </row>
    <row r="62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c r="AB625" s="97"/>
      <c r="AC625" s="97"/>
      <c r="AD625" s="97"/>
      <c r="AE625" s="97"/>
      <c r="AF625" s="97"/>
      <c r="AG625" s="97"/>
      <c r="AH625" s="97"/>
      <c r="AI625" s="97"/>
      <c r="AJ625" s="97"/>
      <c r="AK625" s="97"/>
      <c r="AL625" s="97"/>
      <c r="AM625" s="97"/>
      <c r="AN625" s="97"/>
      <c r="AO625" s="97"/>
      <c r="AP625" s="97"/>
      <c r="AQ625" s="99"/>
      <c r="AR625" s="99"/>
      <c r="AS625" s="99"/>
    </row>
    <row r="626">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c r="AB626" s="97"/>
      <c r="AC626" s="97"/>
      <c r="AD626" s="97"/>
      <c r="AE626" s="97"/>
      <c r="AF626" s="97"/>
      <c r="AG626" s="97"/>
      <c r="AH626" s="97"/>
      <c r="AI626" s="97"/>
      <c r="AJ626" s="97"/>
      <c r="AK626" s="97"/>
      <c r="AL626" s="97"/>
      <c r="AM626" s="97"/>
      <c r="AN626" s="97"/>
      <c r="AO626" s="97"/>
      <c r="AP626" s="97"/>
      <c r="AQ626" s="99"/>
      <c r="AR626" s="99"/>
      <c r="AS626" s="99"/>
    </row>
    <row r="627">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c r="AB627" s="97"/>
      <c r="AC627" s="97"/>
      <c r="AD627" s="97"/>
      <c r="AE627" s="97"/>
      <c r="AF627" s="97"/>
      <c r="AG627" s="97"/>
      <c r="AH627" s="97"/>
      <c r="AI627" s="97"/>
      <c r="AJ627" s="97"/>
      <c r="AK627" s="97"/>
      <c r="AL627" s="97"/>
      <c r="AM627" s="97"/>
      <c r="AN627" s="97"/>
      <c r="AO627" s="97"/>
      <c r="AP627" s="97"/>
      <c r="AQ627" s="99"/>
      <c r="AR627" s="99"/>
      <c r="AS627" s="99"/>
    </row>
    <row r="628">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c r="AB628" s="97"/>
      <c r="AC628" s="97"/>
      <c r="AD628" s="97"/>
      <c r="AE628" s="97"/>
      <c r="AF628" s="97"/>
      <c r="AG628" s="97"/>
      <c r="AH628" s="97"/>
      <c r="AI628" s="97"/>
      <c r="AJ628" s="97"/>
      <c r="AK628" s="97"/>
      <c r="AL628" s="97"/>
      <c r="AM628" s="97"/>
      <c r="AN628" s="97"/>
      <c r="AO628" s="97"/>
      <c r="AP628" s="97"/>
      <c r="AQ628" s="99"/>
      <c r="AR628" s="99"/>
      <c r="AS628" s="99"/>
    </row>
    <row r="629">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c r="AB629" s="97"/>
      <c r="AC629" s="97"/>
      <c r="AD629" s="97"/>
      <c r="AE629" s="97"/>
      <c r="AF629" s="97"/>
      <c r="AG629" s="97"/>
      <c r="AH629" s="97"/>
      <c r="AI629" s="97"/>
      <c r="AJ629" s="97"/>
      <c r="AK629" s="97"/>
      <c r="AL629" s="97"/>
      <c r="AM629" s="97"/>
      <c r="AN629" s="97"/>
      <c r="AO629" s="97"/>
      <c r="AP629" s="97"/>
      <c r="AQ629" s="99"/>
      <c r="AR629" s="99"/>
      <c r="AS629" s="99"/>
    </row>
    <row r="630">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c r="AB630" s="97"/>
      <c r="AC630" s="97"/>
      <c r="AD630" s="97"/>
      <c r="AE630" s="97"/>
      <c r="AF630" s="97"/>
      <c r="AG630" s="97"/>
      <c r="AH630" s="97"/>
      <c r="AI630" s="97"/>
      <c r="AJ630" s="97"/>
      <c r="AK630" s="97"/>
      <c r="AL630" s="97"/>
      <c r="AM630" s="97"/>
      <c r="AN630" s="97"/>
      <c r="AO630" s="97"/>
      <c r="AP630" s="97"/>
      <c r="AQ630" s="99"/>
      <c r="AR630" s="99"/>
      <c r="AS630" s="99"/>
    </row>
    <row r="63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c r="AB631" s="97"/>
      <c r="AC631" s="97"/>
      <c r="AD631" s="97"/>
      <c r="AE631" s="97"/>
      <c r="AF631" s="97"/>
      <c r="AG631" s="97"/>
      <c r="AH631" s="97"/>
      <c r="AI631" s="97"/>
      <c r="AJ631" s="97"/>
      <c r="AK631" s="97"/>
      <c r="AL631" s="97"/>
      <c r="AM631" s="97"/>
      <c r="AN631" s="97"/>
      <c r="AO631" s="97"/>
      <c r="AP631" s="97"/>
      <c r="AQ631" s="99"/>
      <c r="AR631" s="99"/>
      <c r="AS631" s="99"/>
    </row>
    <row r="632">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c r="AB632" s="97"/>
      <c r="AC632" s="97"/>
      <c r="AD632" s="97"/>
      <c r="AE632" s="97"/>
      <c r="AF632" s="97"/>
      <c r="AG632" s="97"/>
      <c r="AH632" s="97"/>
      <c r="AI632" s="97"/>
      <c r="AJ632" s="97"/>
      <c r="AK632" s="97"/>
      <c r="AL632" s="97"/>
      <c r="AM632" s="97"/>
      <c r="AN632" s="97"/>
      <c r="AO632" s="97"/>
      <c r="AP632" s="97"/>
      <c r="AQ632" s="99"/>
      <c r="AR632" s="99"/>
      <c r="AS632" s="99"/>
    </row>
    <row r="633">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c r="AB633" s="97"/>
      <c r="AC633" s="97"/>
      <c r="AD633" s="97"/>
      <c r="AE633" s="97"/>
      <c r="AF633" s="97"/>
      <c r="AG633" s="97"/>
      <c r="AH633" s="97"/>
      <c r="AI633" s="97"/>
      <c r="AJ633" s="97"/>
      <c r="AK633" s="97"/>
      <c r="AL633" s="97"/>
      <c r="AM633" s="97"/>
      <c r="AN633" s="97"/>
      <c r="AO633" s="97"/>
      <c r="AP633" s="97"/>
      <c r="AQ633" s="99"/>
      <c r="AR633" s="99"/>
      <c r="AS633" s="99"/>
    </row>
    <row r="634">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c r="AB634" s="97"/>
      <c r="AC634" s="97"/>
      <c r="AD634" s="97"/>
      <c r="AE634" s="97"/>
      <c r="AF634" s="97"/>
      <c r="AG634" s="97"/>
      <c r="AH634" s="97"/>
      <c r="AI634" s="97"/>
      <c r="AJ634" s="97"/>
      <c r="AK634" s="97"/>
      <c r="AL634" s="97"/>
      <c r="AM634" s="97"/>
      <c r="AN634" s="97"/>
      <c r="AO634" s="97"/>
      <c r="AP634" s="97"/>
      <c r="AQ634" s="99"/>
      <c r="AR634" s="99"/>
      <c r="AS634" s="99"/>
    </row>
    <row r="63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c r="AB635" s="97"/>
      <c r="AC635" s="97"/>
      <c r="AD635" s="97"/>
      <c r="AE635" s="97"/>
      <c r="AF635" s="97"/>
      <c r="AG635" s="97"/>
      <c r="AH635" s="97"/>
      <c r="AI635" s="97"/>
      <c r="AJ635" s="97"/>
      <c r="AK635" s="97"/>
      <c r="AL635" s="97"/>
      <c r="AM635" s="97"/>
      <c r="AN635" s="97"/>
      <c r="AO635" s="97"/>
      <c r="AP635" s="97"/>
      <c r="AQ635" s="99"/>
      <c r="AR635" s="99"/>
      <c r="AS635" s="99"/>
    </row>
    <row r="636">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c r="AB636" s="97"/>
      <c r="AC636" s="97"/>
      <c r="AD636" s="97"/>
      <c r="AE636" s="97"/>
      <c r="AF636" s="97"/>
      <c r="AG636" s="97"/>
      <c r="AH636" s="97"/>
      <c r="AI636" s="97"/>
      <c r="AJ636" s="97"/>
      <c r="AK636" s="97"/>
      <c r="AL636" s="97"/>
      <c r="AM636" s="97"/>
      <c r="AN636" s="97"/>
      <c r="AO636" s="97"/>
      <c r="AP636" s="97"/>
      <c r="AQ636" s="99"/>
      <c r="AR636" s="99"/>
      <c r="AS636" s="99"/>
    </row>
    <row r="637">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c r="AB637" s="97"/>
      <c r="AC637" s="97"/>
      <c r="AD637" s="97"/>
      <c r="AE637" s="97"/>
      <c r="AF637" s="97"/>
      <c r="AG637" s="97"/>
      <c r="AH637" s="97"/>
      <c r="AI637" s="97"/>
      <c r="AJ637" s="97"/>
      <c r="AK637" s="97"/>
      <c r="AL637" s="97"/>
      <c r="AM637" s="97"/>
      <c r="AN637" s="97"/>
      <c r="AO637" s="97"/>
      <c r="AP637" s="97"/>
      <c r="AQ637" s="99"/>
      <c r="AR637" s="99"/>
      <c r="AS637" s="99"/>
    </row>
    <row r="638">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c r="AF638" s="97"/>
      <c r="AG638" s="97"/>
      <c r="AH638" s="97"/>
      <c r="AI638" s="97"/>
      <c r="AJ638" s="97"/>
      <c r="AK638" s="97"/>
      <c r="AL638" s="97"/>
      <c r="AM638" s="97"/>
      <c r="AN638" s="97"/>
      <c r="AO638" s="97"/>
      <c r="AP638" s="97"/>
      <c r="AQ638" s="99"/>
      <c r="AR638" s="99"/>
      <c r="AS638" s="99"/>
    </row>
    <row r="639">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c r="AB639" s="97"/>
      <c r="AC639" s="97"/>
      <c r="AD639" s="97"/>
      <c r="AE639" s="97"/>
      <c r="AF639" s="97"/>
      <c r="AG639" s="97"/>
      <c r="AH639" s="97"/>
      <c r="AI639" s="97"/>
      <c r="AJ639" s="97"/>
      <c r="AK639" s="97"/>
      <c r="AL639" s="97"/>
      <c r="AM639" s="97"/>
      <c r="AN639" s="97"/>
      <c r="AO639" s="97"/>
      <c r="AP639" s="97"/>
      <c r="AQ639" s="99"/>
      <c r="AR639" s="99"/>
      <c r="AS639" s="99"/>
    </row>
    <row r="640">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7"/>
      <c r="AC640" s="97"/>
      <c r="AD640" s="97"/>
      <c r="AE640" s="97"/>
      <c r="AF640" s="97"/>
      <c r="AG640" s="97"/>
      <c r="AH640" s="97"/>
      <c r="AI640" s="97"/>
      <c r="AJ640" s="97"/>
      <c r="AK640" s="97"/>
      <c r="AL640" s="97"/>
      <c r="AM640" s="97"/>
      <c r="AN640" s="97"/>
      <c r="AO640" s="97"/>
      <c r="AP640" s="97"/>
      <c r="AQ640" s="99"/>
      <c r="AR640" s="99"/>
      <c r="AS640" s="99"/>
    </row>
    <row r="64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7"/>
      <c r="AC641" s="97"/>
      <c r="AD641" s="97"/>
      <c r="AE641" s="97"/>
      <c r="AF641" s="97"/>
      <c r="AG641" s="97"/>
      <c r="AH641" s="97"/>
      <c r="AI641" s="97"/>
      <c r="AJ641" s="97"/>
      <c r="AK641" s="97"/>
      <c r="AL641" s="97"/>
      <c r="AM641" s="97"/>
      <c r="AN641" s="97"/>
      <c r="AO641" s="97"/>
      <c r="AP641" s="97"/>
      <c r="AQ641" s="99"/>
      <c r="AR641" s="99"/>
      <c r="AS641" s="99"/>
    </row>
    <row r="642">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7"/>
      <c r="AC642" s="97"/>
      <c r="AD642" s="97"/>
      <c r="AE642" s="97"/>
      <c r="AF642" s="97"/>
      <c r="AG642" s="97"/>
      <c r="AH642" s="97"/>
      <c r="AI642" s="97"/>
      <c r="AJ642" s="97"/>
      <c r="AK642" s="97"/>
      <c r="AL642" s="97"/>
      <c r="AM642" s="97"/>
      <c r="AN642" s="97"/>
      <c r="AO642" s="97"/>
      <c r="AP642" s="97"/>
      <c r="AQ642" s="99"/>
      <c r="AR642" s="99"/>
      <c r="AS642" s="99"/>
    </row>
    <row r="643">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7"/>
      <c r="AC643" s="97"/>
      <c r="AD643" s="97"/>
      <c r="AE643" s="97"/>
      <c r="AF643" s="97"/>
      <c r="AG643" s="97"/>
      <c r="AH643" s="97"/>
      <c r="AI643" s="97"/>
      <c r="AJ643" s="97"/>
      <c r="AK643" s="97"/>
      <c r="AL643" s="97"/>
      <c r="AM643" s="97"/>
      <c r="AN643" s="97"/>
      <c r="AO643" s="97"/>
      <c r="AP643" s="97"/>
      <c r="AQ643" s="99"/>
      <c r="AR643" s="99"/>
      <c r="AS643" s="99"/>
    </row>
    <row r="644">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7"/>
      <c r="AC644" s="97"/>
      <c r="AD644" s="97"/>
      <c r="AE644" s="97"/>
      <c r="AF644" s="97"/>
      <c r="AG644" s="97"/>
      <c r="AH644" s="97"/>
      <c r="AI644" s="97"/>
      <c r="AJ644" s="97"/>
      <c r="AK644" s="97"/>
      <c r="AL644" s="97"/>
      <c r="AM644" s="97"/>
      <c r="AN644" s="97"/>
      <c r="AO644" s="97"/>
      <c r="AP644" s="97"/>
      <c r="AQ644" s="99"/>
      <c r="AR644" s="99"/>
      <c r="AS644" s="99"/>
    </row>
    <row r="64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7"/>
      <c r="AC645" s="97"/>
      <c r="AD645" s="97"/>
      <c r="AE645" s="97"/>
      <c r="AF645" s="97"/>
      <c r="AG645" s="97"/>
      <c r="AH645" s="97"/>
      <c r="AI645" s="97"/>
      <c r="AJ645" s="97"/>
      <c r="AK645" s="97"/>
      <c r="AL645" s="97"/>
      <c r="AM645" s="97"/>
      <c r="AN645" s="97"/>
      <c r="AO645" s="97"/>
      <c r="AP645" s="97"/>
      <c r="AQ645" s="99"/>
      <c r="AR645" s="99"/>
      <c r="AS645" s="99"/>
    </row>
    <row r="646">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7"/>
      <c r="AC646" s="97"/>
      <c r="AD646" s="97"/>
      <c r="AE646" s="97"/>
      <c r="AF646" s="97"/>
      <c r="AG646" s="97"/>
      <c r="AH646" s="97"/>
      <c r="AI646" s="97"/>
      <c r="AJ646" s="97"/>
      <c r="AK646" s="97"/>
      <c r="AL646" s="97"/>
      <c r="AM646" s="97"/>
      <c r="AN646" s="97"/>
      <c r="AO646" s="97"/>
      <c r="AP646" s="97"/>
      <c r="AQ646" s="99"/>
      <c r="AR646" s="99"/>
      <c r="AS646" s="99"/>
    </row>
    <row r="647">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7"/>
      <c r="AC647" s="97"/>
      <c r="AD647" s="97"/>
      <c r="AE647" s="97"/>
      <c r="AF647" s="97"/>
      <c r="AG647" s="97"/>
      <c r="AH647" s="97"/>
      <c r="AI647" s="97"/>
      <c r="AJ647" s="97"/>
      <c r="AK647" s="97"/>
      <c r="AL647" s="97"/>
      <c r="AM647" s="97"/>
      <c r="AN647" s="97"/>
      <c r="AO647" s="97"/>
      <c r="AP647" s="97"/>
      <c r="AQ647" s="99"/>
      <c r="AR647" s="99"/>
      <c r="AS647" s="99"/>
    </row>
    <row r="648">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7"/>
      <c r="AC648" s="97"/>
      <c r="AD648" s="97"/>
      <c r="AE648" s="97"/>
      <c r="AF648" s="97"/>
      <c r="AG648" s="97"/>
      <c r="AH648" s="97"/>
      <c r="AI648" s="97"/>
      <c r="AJ648" s="97"/>
      <c r="AK648" s="97"/>
      <c r="AL648" s="97"/>
      <c r="AM648" s="97"/>
      <c r="AN648" s="97"/>
      <c r="AO648" s="97"/>
      <c r="AP648" s="97"/>
      <c r="AQ648" s="99"/>
      <c r="AR648" s="99"/>
      <c r="AS648" s="99"/>
    </row>
    <row r="649">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7"/>
      <c r="AC649" s="97"/>
      <c r="AD649" s="97"/>
      <c r="AE649" s="97"/>
      <c r="AF649" s="97"/>
      <c r="AG649" s="97"/>
      <c r="AH649" s="97"/>
      <c r="AI649" s="97"/>
      <c r="AJ649" s="97"/>
      <c r="AK649" s="97"/>
      <c r="AL649" s="97"/>
      <c r="AM649" s="97"/>
      <c r="AN649" s="97"/>
      <c r="AO649" s="97"/>
      <c r="AP649" s="97"/>
      <c r="AQ649" s="99"/>
      <c r="AR649" s="99"/>
      <c r="AS649" s="99"/>
    </row>
    <row r="650">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7"/>
      <c r="AC650" s="97"/>
      <c r="AD650" s="97"/>
      <c r="AE650" s="97"/>
      <c r="AF650" s="97"/>
      <c r="AG650" s="97"/>
      <c r="AH650" s="97"/>
      <c r="AI650" s="97"/>
      <c r="AJ650" s="97"/>
      <c r="AK650" s="97"/>
      <c r="AL650" s="97"/>
      <c r="AM650" s="97"/>
      <c r="AN650" s="97"/>
      <c r="AO650" s="97"/>
      <c r="AP650" s="97"/>
      <c r="AQ650" s="99"/>
      <c r="AR650" s="99"/>
      <c r="AS650" s="99"/>
    </row>
    <row r="65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7"/>
      <c r="AC651" s="97"/>
      <c r="AD651" s="97"/>
      <c r="AE651" s="97"/>
      <c r="AF651" s="97"/>
      <c r="AG651" s="97"/>
      <c r="AH651" s="97"/>
      <c r="AI651" s="97"/>
      <c r="AJ651" s="97"/>
      <c r="AK651" s="97"/>
      <c r="AL651" s="97"/>
      <c r="AM651" s="97"/>
      <c r="AN651" s="97"/>
      <c r="AO651" s="97"/>
      <c r="AP651" s="97"/>
      <c r="AQ651" s="99"/>
      <c r="AR651" s="99"/>
      <c r="AS651" s="99"/>
    </row>
    <row r="652">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7"/>
      <c r="AC652" s="97"/>
      <c r="AD652" s="97"/>
      <c r="AE652" s="97"/>
      <c r="AF652" s="97"/>
      <c r="AG652" s="97"/>
      <c r="AH652" s="97"/>
      <c r="AI652" s="97"/>
      <c r="AJ652" s="97"/>
      <c r="AK652" s="97"/>
      <c r="AL652" s="97"/>
      <c r="AM652" s="97"/>
      <c r="AN652" s="97"/>
      <c r="AO652" s="97"/>
      <c r="AP652" s="97"/>
      <c r="AQ652" s="99"/>
      <c r="AR652" s="99"/>
      <c r="AS652" s="99"/>
    </row>
    <row r="653">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7"/>
      <c r="AC653" s="97"/>
      <c r="AD653" s="97"/>
      <c r="AE653" s="97"/>
      <c r="AF653" s="97"/>
      <c r="AG653" s="97"/>
      <c r="AH653" s="97"/>
      <c r="AI653" s="97"/>
      <c r="AJ653" s="97"/>
      <c r="AK653" s="97"/>
      <c r="AL653" s="97"/>
      <c r="AM653" s="97"/>
      <c r="AN653" s="97"/>
      <c r="AO653" s="97"/>
      <c r="AP653" s="97"/>
      <c r="AQ653" s="99"/>
      <c r="AR653" s="99"/>
      <c r="AS653" s="99"/>
    </row>
    <row r="654">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c r="AC654" s="97"/>
      <c r="AD654" s="97"/>
      <c r="AE654" s="97"/>
      <c r="AF654" s="97"/>
      <c r="AG654" s="97"/>
      <c r="AH654" s="97"/>
      <c r="AI654" s="97"/>
      <c r="AJ654" s="97"/>
      <c r="AK654" s="97"/>
      <c r="AL654" s="97"/>
      <c r="AM654" s="97"/>
      <c r="AN654" s="97"/>
      <c r="AO654" s="97"/>
      <c r="AP654" s="97"/>
      <c r="AQ654" s="99"/>
      <c r="AR654" s="99"/>
      <c r="AS654" s="99"/>
    </row>
    <row r="65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c r="AC655" s="97"/>
      <c r="AD655" s="97"/>
      <c r="AE655" s="97"/>
      <c r="AF655" s="97"/>
      <c r="AG655" s="97"/>
      <c r="AH655" s="97"/>
      <c r="AI655" s="97"/>
      <c r="AJ655" s="97"/>
      <c r="AK655" s="97"/>
      <c r="AL655" s="97"/>
      <c r="AM655" s="97"/>
      <c r="AN655" s="97"/>
      <c r="AO655" s="97"/>
      <c r="AP655" s="97"/>
      <c r="AQ655" s="99"/>
      <c r="AR655" s="99"/>
      <c r="AS655" s="99"/>
    </row>
    <row r="656">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c r="AC656" s="97"/>
      <c r="AD656" s="97"/>
      <c r="AE656" s="97"/>
      <c r="AF656" s="97"/>
      <c r="AG656" s="97"/>
      <c r="AH656" s="97"/>
      <c r="AI656" s="97"/>
      <c r="AJ656" s="97"/>
      <c r="AK656" s="97"/>
      <c r="AL656" s="97"/>
      <c r="AM656" s="97"/>
      <c r="AN656" s="97"/>
      <c r="AO656" s="97"/>
      <c r="AP656" s="97"/>
      <c r="AQ656" s="99"/>
      <c r="AR656" s="99"/>
      <c r="AS656" s="99"/>
    </row>
    <row r="657">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c r="AC657" s="97"/>
      <c r="AD657" s="97"/>
      <c r="AE657" s="97"/>
      <c r="AF657" s="97"/>
      <c r="AG657" s="97"/>
      <c r="AH657" s="97"/>
      <c r="AI657" s="97"/>
      <c r="AJ657" s="97"/>
      <c r="AK657" s="97"/>
      <c r="AL657" s="97"/>
      <c r="AM657" s="97"/>
      <c r="AN657" s="97"/>
      <c r="AO657" s="97"/>
      <c r="AP657" s="97"/>
      <c r="AQ657" s="99"/>
      <c r="AR657" s="99"/>
      <c r="AS657" s="99"/>
    </row>
    <row r="658">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c r="AC658" s="97"/>
      <c r="AD658" s="97"/>
      <c r="AE658" s="97"/>
      <c r="AF658" s="97"/>
      <c r="AG658" s="97"/>
      <c r="AH658" s="97"/>
      <c r="AI658" s="97"/>
      <c r="AJ658" s="97"/>
      <c r="AK658" s="97"/>
      <c r="AL658" s="97"/>
      <c r="AM658" s="97"/>
      <c r="AN658" s="97"/>
      <c r="AO658" s="97"/>
      <c r="AP658" s="97"/>
      <c r="AQ658" s="99"/>
      <c r="AR658" s="99"/>
      <c r="AS658" s="99"/>
    </row>
    <row r="659">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c r="AC659" s="97"/>
      <c r="AD659" s="97"/>
      <c r="AE659" s="97"/>
      <c r="AF659" s="97"/>
      <c r="AG659" s="97"/>
      <c r="AH659" s="97"/>
      <c r="AI659" s="97"/>
      <c r="AJ659" s="97"/>
      <c r="AK659" s="97"/>
      <c r="AL659" s="97"/>
      <c r="AM659" s="97"/>
      <c r="AN659" s="97"/>
      <c r="AO659" s="97"/>
      <c r="AP659" s="97"/>
      <c r="AQ659" s="99"/>
      <c r="AR659" s="99"/>
      <c r="AS659" s="99"/>
    </row>
    <row r="660">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7"/>
      <c r="AC660" s="97"/>
      <c r="AD660" s="97"/>
      <c r="AE660" s="97"/>
      <c r="AF660" s="97"/>
      <c r="AG660" s="97"/>
      <c r="AH660" s="97"/>
      <c r="AI660" s="97"/>
      <c r="AJ660" s="97"/>
      <c r="AK660" s="97"/>
      <c r="AL660" s="97"/>
      <c r="AM660" s="97"/>
      <c r="AN660" s="97"/>
      <c r="AO660" s="97"/>
      <c r="AP660" s="97"/>
      <c r="AQ660" s="99"/>
      <c r="AR660" s="99"/>
      <c r="AS660" s="99"/>
    </row>
    <row r="66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c r="AE661" s="97"/>
      <c r="AF661" s="97"/>
      <c r="AG661" s="97"/>
      <c r="AH661" s="97"/>
      <c r="AI661" s="97"/>
      <c r="AJ661" s="97"/>
      <c r="AK661" s="97"/>
      <c r="AL661" s="97"/>
      <c r="AM661" s="97"/>
      <c r="AN661" s="97"/>
      <c r="AO661" s="97"/>
      <c r="AP661" s="97"/>
      <c r="AQ661" s="99"/>
      <c r="AR661" s="99"/>
      <c r="AS661" s="99"/>
    </row>
    <row r="662">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c r="AE662" s="97"/>
      <c r="AF662" s="97"/>
      <c r="AG662" s="97"/>
      <c r="AH662" s="97"/>
      <c r="AI662" s="97"/>
      <c r="AJ662" s="97"/>
      <c r="AK662" s="97"/>
      <c r="AL662" s="97"/>
      <c r="AM662" s="97"/>
      <c r="AN662" s="97"/>
      <c r="AO662" s="97"/>
      <c r="AP662" s="97"/>
      <c r="AQ662" s="99"/>
      <c r="AR662" s="99"/>
      <c r="AS662" s="99"/>
    </row>
    <row r="663">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c r="AE663" s="97"/>
      <c r="AF663" s="97"/>
      <c r="AG663" s="97"/>
      <c r="AH663" s="97"/>
      <c r="AI663" s="97"/>
      <c r="AJ663" s="97"/>
      <c r="AK663" s="97"/>
      <c r="AL663" s="97"/>
      <c r="AM663" s="97"/>
      <c r="AN663" s="97"/>
      <c r="AO663" s="97"/>
      <c r="AP663" s="97"/>
      <c r="AQ663" s="99"/>
      <c r="AR663" s="99"/>
      <c r="AS663" s="99"/>
    </row>
    <row r="664">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c r="AE664" s="97"/>
      <c r="AF664" s="97"/>
      <c r="AG664" s="97"/>
      <c r="AH664" s="97"/>
      <c r="AI664" s="97"/>
      <c r="AJ664" s="97"/>
      <c r="AK664" s="97"/>
      <c r="AL664" s="97"/>
      <c r="AM664" s="97"/>
      <c r="AN664" s="97"/>
      <c r="AO664" s="97"/>
      <c r="AP664" s="97"/>
      <c r="AQ664" s="99"/>
      <c r="AR664" s="99"/>
      <c r="AS664" s="99"/>
    </row>
    <row r="66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c r="AE665" s="97"/>
      <c r="AF665" s="97"/>
      <c r="AG665" s="97"/>
      <c r="AH665" s="97"/>
      <c r="AI665" s="97"/>
      <c r="AJ665" s="97"/>
      <c r="AK665" s="97"/>
      <c r="AL665" s="97"/>
      <c r="AM665" s="97"/>
      <c r="AN665" s="97"/>
      <c r="AO665" s="97"/>
      <c r="AP665" s="97"/>
      <c r="AQ665" s="99"/>
      <c r="AR665" s="99"/>
      <c r="AS665" s="99"/>
    </row>
    <row r="666">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c r="AE666" s="97"/>
      <c r="AF666" s="97"/>
      <c r="AG666" s="97"/>
      <c r="AH666" s="97"/>
      <c r="AI666" s="97"/>
      <c r="AJ666" s="97"/>
      <c r="AK666" s="97"/>
      <c r="AL666" s="97"/>
      <c r="AM666" s="97"/>
      <c r="AN666" s="97"/>
      <c r="AO666" s="97"/>
      <c r="AP666" s="97"/>
      <c r="AQ666" s="99"/>
      <c r="AR666" s="99"/>
      <c r="AS666" s="99"/>
    </row>
    <row r="667">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c r="AE667" s="97"/>
      <c r="AF667" s="97"/>
      <c r="AG667" s="97"/>
      <c r="AH667" s="97"/>
      <c r="AI667" s="97"/>
      <c r="AJ667" s="97"/>
      <c r="AK667" s="97"/>
      <c r="AL667" s="97"/>
      <c r="AM667" s="97"/>
      <c r="AN667" s="97"/>
      <c r="AO667" s="97"/>
      <c r="AP667" s="97"/>
      <c r="AQ667" s="99"/>
      <c r="AR667" s="99"/>
      <c r="AS667" s="99"/>
    </row>
    <row r="668">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c r="AE668" s="97"/>
      <c r="AF668" s="97"/>
      <c r="AG668" s="97"/>
      <c r="AH668" s="97"/>
      <c r="AI668" s="97"/>
      <c r="AJ668" s="97"/>
      <c r="AK668" s="97"/>
      <c r="AL668" s="97"/>
      <c r="AM668" s="97"/>
      <c r="AN668" s="97"/>
      <c r="AO668" s="97"/>
      <c r="AP668" s="97"/>
      <c r="AQ668" s="99"/>
      <c r="AR668" s="99"/>
      <c r="AS668" s="99"/>
    </row>
    <row r="669">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c r="AE669" s="97"/>
      <c r="AF669" s="97"/>
      <c r="AG669" s="97"/>
      <c r="AH669" s="97"/>
      <c r="AI669" s="97"/>
      <c r="AJ669" s="97"/>
      <c r="AK669" s="97"/>
      <c r="AL669" s="97"/>
      <c r="AM669" s="97"/>
      <c r="AN669" s="97"/>
      <c r="AO669" s="97"/>
      <c r="AP669" s="97"/>
      <c r="AQ669" s="99"/>
      <c r="AR669" s="99"/>
      <c r="AS669" s="99"/>
    </row>
    <row r="670">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c r="AC670" s="97"/>
      <c r="AD670" s="97"/>
      <c r="AE670" s="97"/>
      <c r="AF670" s="97"/>
      <c r="AG670" s="97"/>
      <c r="AH670" s="97"/>
      <c r="AI670" s="97"/>
      <c r="AJ670" s="97"/>
      <c r="AK670" s="97"/>
      <c r="AL670" s="97"/>
      <c r="AM670" s="97"/>
      <c r="AN670" s="97"/>
      <c r="AO670" s="97"/>
      <c r="AP670" s="97"/>
      <c r="AQ670" s="99"/>
      <c r="AR670" s="99"/>
      <c r="AS670" s="99"/>
    </row>
    <row r="67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c r="AC671" s="97"/>
      <c r="AD671" s="97"/>
      <c r="AE671" s="97"/>
      <c r="AF671" s="97"/>
      <c r="AG671" s="97"/>
      <c r="AH671" s="97"/>
      <c r="AI671" s="97"/>
      <c r="AJ671" s="97"/>
      <c r="AK671" s="97"/>
      <c r="AL671" s="97"/>
      <c r="AM671" s="97"/>
      <c r="AN671" s="97"/>
      <c r="AO671" s="97"/>
      <c r="AP671" s="97"/>
      <c r="AQ671" s="99"/>
      <c r="AR671" s="99"/>
      <c r="AS671" s="99"/>
    </row>
    <row r="672">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c r="AC672" s="97"/>
      <c r="AD672" s="97"/>
      <c r="AE672" s="97"/>
      <c r="AF672" s="97"/>
      <c r="AG672" s="97"/>
      <c r="AH672" s="97"/>
      <c r="AI672" s="97"/>
      <c r="AJ672" s="97"/>
      <c r="AK672" s="97"/>
      <c r="AL672" s="97"/>
      <c r="AM672" s="97"/>
      <c r="AN672" s="97"/>
      <c r="AO672" s="97"/>
      <c r="AP672" s="97"/>
      <c r="AQ672" s="99"/>
      <c r="AR672" s="99"/>
      <c r="AS672" s="99"/>
    </row>
    <row r="673">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c r="AC673" s="97"/>
      <c r="AD673" s="97"/>
      <c r="AE673" s="97"/>
      <c r="AF673" s="97"/>
      <c r="AG673" s="97"/>
      <c r="AH673" s="97"/>
      <c r="AI673" s="97"/>
      <c r="AJ673" s="97"/>
      <c r="AK673" s="97"/>
      <c r="AL673" s="97"/>
      <c r="AM673" s="97"/>
      <c r="AN673" s="97"/>
      <c r="AO673" s="97"/>
      <c r="AP673" s="97"/>
      <c r="AQ673" s="99"/>
      <c r="AR673" s="99"/>
      <c r="AS673" s="99"/>
    </row>
    <row r="674">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c r="AE674" s="97"/>
      <c r="AF674" s="97"/>
      <c r="AG674" s="97"/>
      <c r="AH674" s="97"/>
      <c r="AI674" s="97"/>
      <c r="AJ674" s="97"/>
      <c r="AK674" s="97"/>
      <c r="AL674" s="97"/>
      <c r="AM674" s="97"/>
      <c r="AN674" s="97"/>
      <c r="AO674" s="97"/>
      <c r="AP674" s="97"/>
      <c r="AQ674" s="99"/>
      <c r="AR674" s="99"/>
      <c r="AS674" s="99"/>
    </row>
    <row r="67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c r="AC675" s="97"/>
      <c r="AD675" s="97"/>
      <c r="AE675" s="97"/>
      <c r="AF675" s="97"/>
      <c r="AG675" s="97"/>
      <c r="AH675" s="97"/>
      <c r="AI675" s="97"/>
      <c r="AJ675" s="97"/>
      <c r="AK675" s="97"/>
      <c r="AL675" s="97"/>
      <c r="AM675" s="97"/>
      <c r="AN675" s="97"/>
      <c r="AO675" s="97"/>
      <c r="AP675" s="97"/>
      <c r="AQ675" s="99"/>
      <c r="AR675" s="99"/>
      <c r="AS675" s="99"/>
    </row>
    <row r="676">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c r="AE676" s="97"/>
      <c r="AF676" s="97"/>
      <c r="AG676" s="97"/>
      <c r="AH676" s="97"/>
      <c r="AI676" s="97"/>
      <c r="AJ676" s="97"/>
      <c r="AK676" s="97"/>
      <c r="AL676" s="97"/>
      <c r="AM676" s="97"/>
      <c r="AN676" s="97"/>
      <c r="AO676" s="97"/>
      <c r="AP676" s="97"/>
      <c r="AQ676" s="99"/>
      <c r="AR676" s="99"/>
      <c r="AS676" s="99"/>
    </row>
    <row r="677">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c r="AC677" s="97"/>
      <c r="AD677" s="97"/>
      <c r="AE677" s="97"/>
      <c r="AF677" s="97"/>
      <c r="AG677" s="97"/>
      <c r="AH677" s="97"/>
      <c r="AI677" s="97"/>
      <c r="AJ677" s="97"/>
      <c r="AK677" s="97"/>
      <c r="AL677" s="97"/>
      <c r="AM677" s="97"/>
      <c r="AN677" s="97"/>
      <c r="AO677" s="97"/>
      <c r="AP677" s="97"/>
      <c r="AQ677" s="99"/>
      <c r="AR677" s="99"/>
      <c r="AS677" s="99"/>
    </row>
    <row r="678">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c r="AE678" s="97"/>
      <c r="AF678" s="97"/>
      <c r="AG678" s="97"/>
      <c r="AH678" s="97"/>
      <c r="AI678" s="97"/>
      <c r="AJ678" s="97"/>
      <c r="AK678" s="97"/>
      <c r="AL678" s="97"/>
      <c r="AM678" s="97"/>
      <c r="AN678" s="97"/>
      <c r="AO678" s="97"/>
      <c r="AP678" s="97"/>
      <c r="AQ678" s="99"/>
      <c r="AR678" s="99"/>
      <c r="AS678" s="99"/>
    </row>
    <row r="679">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c r="AC679" s="97"/>
      <c r="AD679" s="97"/>
      <c r="AE679" s="97"/>
      <c r="AF679" s="97"/>
      <c r="AG679" s="97"/>
      <c r="AH679" s="97"/>
      <c r="AI679" s="97"/>
      <c r="AJ679" s="97"/>
      <c r="AK679" s="97"/>
      <c r="AL679" s="97"/>
      <c r="AM679" s="97"/>
      <c r="AN679" s="97"/>
      <c r="AO679" s="97"/>
      <c r="AP679" s="97"/>
      <c r="AQ679" s="99"/>
      <c r="AR679" s="99"/>
      <c r="AS679" s="99"/>
    </row>
    <row r="680">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c r="AE680" s="97"/>
      <c r="AF680" s="97"/>
      <c r="AG680" s="97"/>
      <c r="AH680" s="97"/>
      <c r="AI680" s="97"/>
      <c r="AJ680" s="97"/>
      <c r="AK680" s="97"/>
      <c r="AL680" s="97"/>
      <c r="AM680" s="97"/>
      <c r="AN680" s="97"/>
      <c r="AO680" s="97"/>
      <c r="AP680" s="97"/>
      <c r="AQ680" s="99"/>
      <c r="AR680" s="99"/>
      <c r="AS680" s="99"/>
    </row>
    <row r="68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c r="AE681" s="97"/>
      <c r="AF681" s="97"/>
      <c r="AG681" s="97"/>
      <c r="AH681" s="97"/>
      <c r="AI681" s="97"/>
      <c r="AJ681" s="97"/>
      <c r="AK681" s="97"/>
      <c r="AL681" s="97"/>
      <c r="AM681" s="97"/>
      <c r="AN681" s="97"/>
      <c r="AO681" s="97"/>
      <c r="AP681" s="97"/>
      <c r="AQ681" s="99"/>
      <c r="AR681" s="99"/>
      <c r="AS681" s="99"/>
    </row>
    <row r="682">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c r="AE682" s="97"/>
      <c r="AF682" s="97"/>
      <c r="AG682" s="97"/>
      <c r="AH682" s="97"/>
      <c r="AI682" s="97"/>
      <c r="AJ682" s="97"/>
      <c r="AK682" s="97"/>
      <c r="AL682" s="97"/>
      <c r="AM682" s="97"/>
      <c r="AN682" s="97"/>
      <c r="AO682" s="97"/>
      <c r="AP682" s="97"/>
      <c r="AQ682" s="99"/>
      <c r="AR682" s="99"/>
      <c r="AS682" s="99"/>
    </row>
    <row r="683">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c r="AC683" s="97"/>
      <c r="AD683" s="97"/>
      <c r="AE683" s="97"/>
      <c r="AF683" s="97"/>
      <c r="AG683" s="97"/>
      <c r="AH683" s="97"/>
      <c r="AI683" s="97"/>
      <c r="AJ683" s="97"/>
      <c r="AK683" s="97"/>
      <c r="AL683" s="97"/>
      <c r="AM683" s="97"/>
      <c r="AN683" s="97"/>
      <c r="AO683" s="97"/>
      <c r="AP683" s="97"/>
      <c r="AQ683" s="99"/>
      <c r="AR683" s="99"/>
      <c r="AS683" s="99"/>
    </row>
    <row r="684">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c r="AE684" s="97"/>
      <c r="AF684" s="97"/>
      <c r="AG684" s="97"/>
      <c r="AH684" s="97"/>
      <c r="AI684" s="97"/>
      <c r="AJ684" s="97"/>
      <c r="AK684" s="97"/>
      <c r="AL684" s="97"/>
      <c r="AM684" s="97"/>
      <c r="AN684" s="97"/>
      <c r="AO684" s="97"/>
      <c r="AP684" s="97"/>
      <c r="AQ684" s="99"/>
      <c r="AR684" s="99"/>
      <c r="AS684" s="99"/>
    </row>
    <row r="68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c r="AC685" s="97"/>
      <c r="AD685" s="97"/>
      <c r="AE685" s="97"/>
      <c r="AF685" s="97"/>
      <c r="AG685" s="97"/>
      <c r="AH685" s="97"/>
      <c r="AI685" s="97"/>
      <c r="AJ685" s="97"/>
      <c r="AK685" s="97"/>
      <c r="AL685" s="97"/>
      <c r="AM685" s="97"/>
      <c r="AN685" s="97"/>
      <c r="AO685" s="97"/>
      <c r="AP685" s="97"/>
      <c r="AQ685" s="99"/>
      <c r="AR685" s="99"/>
      <c r="AS685" s="99"/>
    </row>
    <row r="686">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c r="AE686" s="97"/>
      <c r="AF686" s="97"/>
      <c r="AG686" s="97"/>
      <c r="AH686" s="97"/>
      <c r="AI686" s="97"/>
      <c r="AJ686" s="97"/>
      <c r="AK686" s="97"/>
      <c r="AL686" s="97"/>
      <c r="AM686" s="97"/>
      <c r="AN686" s="97"/>
      <c r="AO686" s="97"/>
      <c r="AP686" s="97"/>
      <c r="AQ686" s="99"/>
      <c r="AR686" s="99"/>
      <c r="AS686" s="99"/>
    </row>
    <row r="687">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c r="AC687" s="97"/>
      <c r="AD687" s="97"/>
      <c r="AE687" s="97"/>
      <c r="AF687" s="97"/>
      <c r="AG687" s="97"/>
      <c r="AH687" s="97"/>
      <c r="AI687" s="97"/>
      <c r="AJ687" s="97"/>
      <c r="AK687" s="97"/>
      <c r="AL687" s="97"/>
      <c r="AM687" s="97"/>
      <c r="AN687" s="97"/>
      <c r="AO687" s="97"/>
      <c r="AP687" s="97"/>
      <c r="AQ687" s="99"/>
      <c r="AR687" s="99"/>
      <c r="AS687" s="99"/>
    </row>
    <row r="688">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c r="AE688" s="97"/>
      <c r="AF688" s="97"/>
      <c r="AG688" s="97"/>
      <c r="AH688" s="97"/>
      <c r="AI688" s="97"/>
      <c r="AJ688" s="97"/>
      <c r="AK688" s="97"/>
      <c r="AL688" s="97"/>
      <c r="AM688" s="97"/>
      <c r="AN688" s="97"/>
      <c r="AO688" s="97"/>
      <c r="AP688" s="97"/>
      <c r="AQ688" s="99"/>
      <c r="AR688" s="99"/>
      <c r="AS688" s="99"/>
    </row>
    <row r="689">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c r="AC689" s="97"/>
      <c r="AD689" s="97"/>
      <c r="AE689" s="97"/>
      <c r="AF689" s="97"/>
      <c r="AG689" s="97"/>
      <c r="AH689" s="97"/>
      <c r="AI689" s="97"/>
      <c r="AJ689" s="97"/>
      <c r="AK689" s="97"/>
      <c r="AL689" s="97"/>
      <c r="AM689" s="97"/>
      <c r="AN689" s="97"/>
      <c r="AO689" s="97"/>
      <c r="AP689" s="97"/>
      <c r="AQ689" s="99"/>
      <c r="AR689" s="99"/>
      <c r="AS689" s="99"/>
    </row>
    <row r="690">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c r="AE690" s="97"/>
      <c r="AF690" s="97"/>
      <c r="AG690" s="97"/>
      <c r="AH690" s="97"/>
      <c r="AI690" s="97"/>
      <c r="AJ690" s="97"/>
      <c r="AK690" s="97"/>
      <c r="AL690" s="97"/>
      <c r="AM690" s="97"/>
      <c r="AN690" s="97"/>
      <c r="AO690" s="97"/>
      <c r="AP690" s="97"/>
      <c r="AQ690" s="99"/>
      <c r="AR690" s="99"/>
      <c r="AS690" s="99"/>
    </row>
    <row r="69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c r="AE691" s="97"/>
      <c r="AF691" s="97"/>
      <c r="AG691" s="97"/>
      <c r="AH691" s="97"/>
      <c r="AI691" s="97"/>
      <c r="AJ691" s="97"/>
      <c r="AK691" s="97"/>
      <c r="AL691" s="97"/>
      <c r="AM691" s="97"/>
      <c r="AN691" s="97"/>
      <c r="AO691" s="97"/>
      <c r="AP691" s="97"/>
      <c r="AQ691" s="99"/>
      <c r="AR691" s="99"/>
      <c r="AS691" s="99"/>
    </row>
    <row r="692">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c r="AE692" s="97"/>
      <c r="AF692" s="97"/>
      <c r="AG692" s="97"/>
      <c r="AH692" s="97"/>
      <c r="AI692" s="97"/>
      <c r="AJ692" s="97"/>
      <c r="AK692" s="97"/>
      <c r="AL692" s="97"/>
      <c r="AM692" s="97"/>
      <c r="AN692" s="97"/>
      <c r="AO692" s="97"/>
      <c r="AP692" s="97"/>
      <c r="AQ692" s="99"/>
      <c r="AR692" s="99"/>
      <c r="AS692" s="99"/>
    </row>
    <row r="693">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c r="AE693" s="97"/>
      <c r="AF693" s="97"/>
      <c r="AG693" s="97"/>
      <c r="AH693" s="97"/>
      <c r="AI693" s="97"/>
      <c r="AJ693" s="97"/>
      <c r="AK693" s="97"/>
      <c r="AL693" s="97"/>
      <c r="AM693" s="97"/>
      <c r="AN693" s="97"/>
      <c r="AO693" s="97"/>
      <c r="AP693" s="97"/>
      <c r="AQ693" s="99"/>
      <c r="AR693" s="99"/>
      <c r="AS693" s="99"/>
    </row>
    <row r="694">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c r="AE694" s="97"/>
      <c r="AF694" s="97"/>
      <c r="AG694" s="97"/>
      <c r="AH694" s="97"/>
      <c r="AI694" s="97"/>
      <c r="AJ694" s="97"/>
      <c r="AK694" s="97"/>
      <c r="AL694" s="97"/>
      <c r="AM694" s="97"/>
      <c r="AN694" s="97"/>
      <c r="AO694" s="97"/>
      <c r="AP694" s="97"/>
      <c r="AQ694" s="99"/>
      <c r="AR694" s="99"/>
      <c r="AS694" s="99"/>
    </row>
    <row r="69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c r="AC695" s="97"/>
      <c r="AD695" s="97"/>
      <c r="AE695" s="97"/>
      <c r="AF695" s="97"/>
      <c r="AG695" s="97"/>
      <c r="AH695" s="97"/>
      <c r="AI695" s="97"/>
      <c r="AJ695" s="97"/>
      <c r="AK695" s="97"/>
      <c r="AL695" s="97"/>
      <c r="AM695" s="97"/>
      <c r="AN695" s="97"/>
      <c r="AO695" s="97"/>
      <c r="AP695" s="97"/>
      <c r="AQ695" s="99"/>
      <c r="AR695" s="99"/>
      <c r="AS695" s="99"/>
    </row>
    <row r="696">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c r="AE696" s="97"/>
      <c r="AF696" s="97"/>
      <c r="AG696" s="97"/>
      <c r="AH696" s="97"/>
      <c r="AI696" s="97"/>
      <c r="AJ696" s="97"/>
      <c r="AK696" s="97"/>
      <c r="AL696" s="97"/>
      <c r="AM696" s="97"/>
      <c r="AN696" s="97"/>
      <c r="AO696" s="97"/>
      <c r="AP696" s="97"/>
      <c r="AQ696" s="99"/>
      <c r="AR696" s="99"/>
      <c r="AS696" s="99"/>
    </row>
    <row r="697">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c r="AE697" s="97"/>
      <c r="AF697" s="97"/>
      <c r="AG697" s="97"/>
      <c r="AH697" s="97"/>
      <c r="AI697" s="97"/>
      <c r="AJ697" s="97"/>
      <c r="AK697" s="97"/>
      <c r="AL697" s="97"/>
      <c r="AM697" s="97"/>
      <c r="AN697" s="97"/>
      <c r="AO697" s="97"/>
      <c r="AP697" s="97"/>
      <c r="AQ697" s="99"/>
      <c r="AR697" s="99"/>
      <c r="AS697" s="99"/>
    </row>
    <row r="698">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c r="AE698" s="97"/>
      <c r="AF698" s="97"/>
      <c r="AG698" s="97"/>
      <c r="AH698" s="97"/>
      <c r="AI698" s="97"/>
      <c r="AJ698" s="97"/>
      <c r="AK698" s="97"/>
      <c r="AL698" s="97"/>
      <c r="AM698" s="97"/>
      <c r="AN698" s="97"/>
      <c r="AO698" s="97"/>
      <c r="AP698" s="97"/>
      <c r="AQ698" s="99"/>
      <c r="AR698" s="99"/>
      <c r="AS698" s="99"/>
    </row>
    <row r="699">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c r="AE699" s="97"/>
      <c r="AF699" s="97"/>
      <c r="AG699" s="97"/>
      <c r="AH699" s="97"/>
      <c r="AI699" s="97"/>
      <c r="AJ699" s="97"/>
      <c r="AK699" s="97"/>
      <c r="AL699" s="97"/>
      <c r="AM699" s="97"/>
      <c r="AN699" s="97"/>
      <c r="AO699" s="97"/>
      <c r="AP699" s="97"/>
      <c r="AQ699" s="99"/>
      <c r="AR699" s="99"/>
      <c r="AS699" s="99"/>
    </row>
    <row r="700">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c r="AE700" s="97"/>
      <c r="AF700" s="97"/>
      <c r="AG700" s="97"/>
      <c r="AH700" s="97"/>
      <c r="AI700" s="97"/>
      <c r="AJ700" s="97"/>
      <c r="AK700" s="97"/>
      <c r="AL700" s="97"/>
      <c r="AM700" s="97"/>
      <c r="AN700" s="97"/>
      <c r="AO700" s="97"/>
      <c r="AP700" s="97"/>
      <c r="AQ700" s="99"/>
      <c r="AR700" s="99"/>
      <c r="AS700" s="99"/>
    </row>
    <row r="70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c r="AE701" s="97"/>
      <c r="AF701" s="97"/>
      <c r="AG701" s="97"/>
      <c r="AH701" s="97"/>
      <c r="AI701" s="97"/>
      <c r="AJ701" s="97"/>
      <c r="AK701" s="97"/>
      <c r="AL701" s="97"/>
      <c r="AM701" s="97"/>
      <c r="AN701" s="97"/>
      <c r="AO701" s="97"/>
      <c r="AP701" s="97"/>
      <c r="AQ701" s="99"/>
      <c r="AR701" s="99"/>
      <c r="AS701" s="99"/>
    </row>
    <row r="702">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c r="AE702" s="97"/>
      <c r="AF702" s="97"/>
      <c r="AG702" s="97"/>
      <c r="AH702" s="97"/>
      <c r="AI702" s="97"/>
      <c r="AJ702" s="97"/>
      <c r="AK702" s="97"/>
      <c r="AL702" s="97"/>
      <c r="AM702" s="97"/>
      <c r="AN702" s="97"/>
      <c r="AO702" s="97"/>
      <c r="AP702" s="97"/>
      <c r="AQ702" s="99"/>
      <c r="AR702" s="99"/>
      <c r="AS702" s="99"/>
    </row>
    <row r="703">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c r="AE703" s="97"/>
      <c r="AF703" s="97"/>
      <c r="AG703" s="97"/>
      <c r="AH703" s="97"/>
      <c r="AI703" s="97"/>
      <c r="AJ703" s="97"/>
      <c r="AK703" s="97"/>
      <c r="AL703" s="97"/>
      <c r="AM703" s="97"/>
      <c r="AN703" s="97"/>
      <c r="AO703" s="97"/>
      <c r="AP703" s="97"/>
      <c r="AQ703" s="99"/>
      <c r="AR703" s="99"/>
      <c r="AS703" s="99"/>
    </row>
    <row r="704">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c r="AE704" s="97"/>
      <c r="AF704" s="97"/>
      <c r="AG704" s="97"/>
      <c r="AH704" s="97"/>
      <c r="AI704" s="97"/>
      <c r="AJ704" s="97"/>
      <c r="AK704" s="97"/>
      <c r="AL704" s="97"/>
      <c r="AM704" s="97"/>
      <c r="AN704" s="97"/>
      <c r="AO704" s="97"/>
      <c r="AP704" s="97"/>
      <c r="AQ704" s="99"/>
      <c r="AR704" s="99"/>
      <c r="AS704" s="99"/>
    </row>
    <row r="70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c r="AE705" s="97"/>
      <c r="AF705" s="97"/>
      <c r="AG705" s="97"/>
      <c r="AH705" s="97"/>
      <c r="AI705" s="97"/>
      <c r="AJ705" s="97"/>
      <c r="AK705" s="97"/>
      <c r="AL705" s="97"/>
      <c r="AM705" s="97"/>
      <c r="AN705" s="97"/>
      <c r="AO705" s="97"/>
      <c r="AP705" s="97"/>
      <c r="AQ705" s="99"/>
      <c r="AR705" s="99"/>
      <c r="AS705" s="99"/>
    </row>
    <row r="706">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c r="AC706" s="97"/>
      <c r="AD706" s="97"/>
      <c r="AE706" s="97"/>
      <c r="AF706" s="97"/>
      <c r="AG706" s="97"/>
      <c r="AH706" s="97"/>
      <c r="AI706" s="97"/>
      <c r="AJ706" s="97"/>
      <c r="AK706" s="97"/>
      <c r="AL706" s="97"/>
      <c r="AM706" s="97"/>
      <c r="AN706" s="97"/>
      <c r="AO706" s="97"/>
      <c r="AP706" s="97"/>
      <c r="AQ706" s="99"/>
      <c r="AR706" s="99"/>
      <c r="AS706" s="99"/>
    </row>
    <row r="707">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c r="AC707" s="97"/>
      <c r="AD707" s="97"/>
      <c r="AE707" s="97"/>
      <c r="AF707" s="97"/>
      <c r="AG707" s="97"/>
      <c r="AH707" s="97"/>
      <c r="AI707" s="97"/>
      <c r="AJ707" s="97"/>
      <c r="AK707" s="97"/>
      <c r="AL707" s="97"/>
      <c r="AM707" s="97"/>
      <c r="AN707" s="97"/>
      <c r="AO707" s="97"/>
      <c r="AP707" s="97"/>
      <c r="AQ707" s="99"/>
      <c r="AR707" s="99"/>
      <c r="AS707" s="99"/>
    </row>
    <row r="708">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c r="AC708" s="97"/>
      <c r="AD708" s="97"/>
      <c r="AE708" s="97"/>
      <c r="AF708" s="97"/>
      <c r="AG708" s="97"/>
      <c r="AH708" s="97"/>
      <c r="AI708" s="97"/>
      <c r="AJ708" s="97"/>
      <c r="AK708" s="97"/>
      <c r="AL708" s="97"/>
      <c r="AM708" s="97"/>
      <c r="AN708" s="97"/>
      <c r="AO708" s="97"/>
      <c r="AP708" s="97"/>
      <c r="AQ708" s="99"/>
      <c r="AR708" s="99"/>
      <c r="AS708" s="99"/>
    </row>
    <row r="709">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c r="AC709" s="97"/>
      <c r="AD709" s="97"/>
      <c r="AE709" s="97"/>
      <c r="AF709" s="97"/>
      <c r="AG709" s="97"/>
      <c r="AH709" s="97"/>
      <c r="AI709" s="97"/>
      <c r="AJ709" s="97"/>
      <c r="AK709" s="97"/>
      <c r="AL709" s="97"/>
      <c r="AM709" s="97"/>
      <c r="AN709" s="97"/>
      <c r="AO709" s="97"/>
      <c r="AP709" s="97"/>
      <c r="AQ709" s="99"/>
      <c r="AR709" s="99"/>
      <c r="AS709" s="99"/>
    </row>
    <row r="710">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c r="AF710" s="97"/>
      <c r="AG710" s="97"/>
      <c r="AH710" s="97"/>
      <c r="AI710" s="97"/>
      <c r="AJ710" s="97"/>
      <c r="AK710" s="97"/>
      <c r="AL710" s="97"/>
      <c r="AM710" s="97"/>
      <c r="AN710" s="97"/>
      <c r="AO710" s="97"/>
      <c r="AP710" s="97"/>
      <c r="AQ710" s="99"/>
      <c r="AR710" s="99"/>
      <c r="AS710" s="99"/>
    </row>
    <row r="71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c r="AC711" s="97"/>
      <c r="AD711" s="97"/>
      <c r="AE711" s="97"/>
      <c r="AF711" s="97"/>
      <c r="AG711" s="97"/>
      <c r="AH711" s="97"/>
      <c r="AI711" s="97"/>
      <c r="AJ711" s="97"/>
      <c r="AK711" s="97"/>
      <c r="AL711" s="97"/>
      <c r="AM711" s="97"/>
      <c r="AN711" s="97"/>
      <c r="AO711" s="97"/>
      <c r="AP711" s="97"/>
      <c r="AQ711" s="99"/>
      <c r="AR711" s="99"/>
      <c r="AS711" s="99"/>
    </row>
    <row r="712">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c r="AC712" s="97"/>
      <c r="AD712" s="97"/>
      <c r="AE712" s="97"/>
      <c r="AF712" s="97"/>
      <c r="AG712" s="97"/>
      <c r="AH712" s="97"/>
      <c r="AI712" s="97"/>
      <c r="AJ712" s="97"/>
      <c r="AK712" s="97"/>
      <c r="AL712" s="97"/>
      <c r="AM712" s="97"/>
      <c r="AN712" s="97"/>
      <c r="AO712" s="97"/>
      <c r="AP712" s="97"/>
      <c r="AQ712" s="99"/>
      <c r="AR712" s="99"/>
      <c r="AS712" s="99"/>
    </row>
    <row r="713">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c r="AE713" s="97"/>
      <c r="AF713" s="97"/>
      <c r="AG713" s="97"/>
      <c r="AH713" s="97"/>
      <c r="AI713" s="97"/>
      <c r="AJ713" s="97"/>
      <c r="AK713" s="97"/>
      <c r="AL713" s="97"/>
      <c r="AM713" s="97"/>
      <c r="AN713" s="97"/>
      <c r="AO713" s="97"/>
      <c r="AP713" s="97"/>
      <c r="AQ713" s="99"/>
      <c r="AR713" s="99"/>
      <c r="AS713" s="99"/>
    </row>
    <row r="714">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c r="AE714" s="97"/>
      <c r="AF714" s="97"/>
      <c r="AG714" s="97"/>
      <c r="AH714" s="97"/>
      <c r="AI714" s="97"/>
      <c r="AJ714" s="97"/>
      <c r="AK714" s="97"/>
      <c r="AL714" s="97"/>
      <c r="AM714" s="97"/>
      <c r="AN714" s="97"/>
      <c r="AO714" s="97"/>
      <c r="AP714" s="97"/>
      <c r="AQ714" s="99"/>
      <c r="AR714" s="99"/>
      <c r="AS714" s="99"/>
    </row>
    <row r="71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c r="AE715" s="97"/>
      <c r="AF715" s="97"/>
      <c r="AG715" s="97"/>
      <c r="AH715" s="97"/>
      <c r="AI715" s="97"/>
      <c r="AJ715" s="97"/>
      <c r="AK715" s="97"/>
      <c r="AL715" s="97"/>
      <c r="AM715" s="97"/>
      <c r="AN715" s="97"/>
      <c r="AO715" s="97"/>
      <c r="AP715" s="97"/>
      <c r="AQ715" s="99"/>
      <c r="AR715" s="99"/>
      <c r="AS715" s="99"/>
    </row>
    <row r="716">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c r="AE716" s="97"/>
      <c r="AF716" s="97"/>
      <c r="AG716" s="97"/>
      <c r="AH716" s="97"/>
      <c r="AI716" s="97"/>
      <c r="AJ716" s="97"/>
      <c r="AK716" s="97"/>
      <c r="AL716" s="97"/>
      <c r="AM716" s="97"/>
      <c r="AN716" s="97"/>
      <c r="AO716" s="97"/>
      <c r="AP716" s="97"/>
      <c r="AQ716" s="99"/>
      <c r="AR716" s="99"/>
      <c r="AS716" s="99"/>
    </row>
    <row r="717">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c r="AE717" s="97"/>
      <c r="AF717" s="97"/>
      <c r="AG717" s="97"/>
      <c r="AH717" s="97"/>
      <c r="AI717" s="97"/>
      <c r="AJ717" s="97"/>
      <c r="AK717" s="97"/>
      <c r="AL717" s="97"/>
      <c r="AM717" s="97"/>
      <c r="AN717" s="97"/>
      <c r="AO717" s="97"/>
      <c r="AP717" s="97"/>
      <c r="AQ717" s="99"/>
      <c r="AR717" s="99"/>
      <c r="AS717" s="99"/>
    </row>
    <row r="718">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c r="AE718" s="97"/>
      <c r="AF718" s="97"/>
      <c r="AG718" s="97"/>
      <c r="AH718" s="97"/>
      <c r="AI718" s="97"/>
      <c r="AJ718" s="97"/>
      <c r="AK718" s="97"/>
      <c r="AL718" s="97"/>
      <c r="AM718" s="97"/>
      <c r="AN718" s="97"/>
      <c r="AO718" s="97"/>
      <c r="AP718" s="97"/>
      <c r="AQ718" s="99"/>
      <c r="AR718" s="99"/>
      <c r="AS718" s="99"/>
    </row>
    <row r="719">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c r="AE719" s="97"/>
      <c r="AF719" s="97"/>
      <c r="AG719" s="97"/>
      <c r="AH719" s="97"/>
      <c r="AI719" s="97"/>
      <c r="AJ719" s="97"/>
      <c r="AK719" s="97"/>
      <c r="AL719" s="97"/>
      <c r="AM719" s="97"/>
      <c r="AN719" s="97"/>
      <c r="AO719" s="97"/>
      <c r="AP719" s="97"/>
      <c r="AQ719" s="99"/>
      <c r="AR719" s="99"/>
      <c r="AS719" s="99"/>
    </row>
    <row r="720">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c r="AC720" s="97"/>
      <c r="AD720" s="97"/>
      <c r="AE720" s="97"/>
      <c r="AF720" s="97"/>
      <c r="AG720" s="97"/>
      <c r="AH720" s="97"/>
      <c r="AI720" s="97"/>
      <c r="AJ720" s="97"/>
      <c r="AK720" s="97"/>
      <c r="AL720" s="97"/>
      <c r="AM720" s="97"/>
      <c r="AN720" s="97"/>
      <c r="AO720" s="97"/>
      <c r="AP720" s="97"/>
      <c r="AQ720" s="99"/>
      <c r="AR720" s="99"/>
      <c r="AS720" s="99"/>
    </row>
    <row r="72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c r="AC721" s="97"/>
      <c r="AD721" s="97"/>
      <c r="AE721" s="97"/>
      <c r="AF721" s="97"/>
      <c r="AG721" s="97"/>
      <c r="AH721" s="97"/>
      <c r="AI721" s="97"/>
      <c r="AJ721" s="97"/>
      <c r="AK721" s="97"/>
      <c r="AL721" s="97"/>
      <c r="AM721" s="97"/>
      <c r="AN721" s="97"/>
      <c r="AO721" s="97"/>
      <c r="AP721" s="97"/>
      <c r="AQ721" s="99"/>
      <c r="AR721" s="99"/>
      <c r="AS721" s="99"/>
    </row>
    <row r="722">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c r="AC722" s="97"/>
      <c r="AD722" s="97"/>
      <c r="AE722" s="97"/>
      <c r="AF722" s="97"/>
      <c r="AG722" s="97"/>
      <c r="AH722" s="97"/>
      <c r="AI722" s="97"/>
      <c r="AJ722" s="97"/>
      <c r="AK722" s="97"/>
      <c r="AL722" s="97"/>
      <c r="AM722" s="97"/>
      <c r="AN722" s="97"/>
      <c r="AO722" s="97"/>
      <c r="AP722" s="97"/>
      <c r="AQ722" s="99"/>
      <c r="AR722" s="99"/>
      <c r="AS722" s="99"/>
    </row>
    <row r="723">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c r="AC723" s="97"/>
      <c r="AD723" s="97"/>
      <c r="AE723" s="97"/>
      <c r="AF723" s="97"/>
      <c r="AG723" s="97"/>
      <c r="AH723" s="97"/>
      <c r="AI723" s="97"/>
      <c r="AJ723" s="97"/>
      <c r="AK723" s="97"/>
      <c r="AL723" s="97"/>
      <c r="AM723" s="97"/>
      <c r="AN723" s="97"/>
      <c r="AO723" s="97"/>
      <c r="AP723" s="97"/>
      <c r="AQ723" s="99"/>
      <c r="AR723" s="99"/>
      <c r="AS723" s="99"/>
    </row>
    <row r="724">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c r="AC724" s="97"/>
      <c r="AD724" s="97"/>
      <c r="AE724" s="97"/>
      <c r="AF724" s="97"/>
      <c r="AG724" s="97"/>
      <c r="AH724" s="97"/>
      <c r="AI724" s="97"/>
      <c r="AJ724" s="97"/>
      <c r="AK724" s="97"/>
      <c r="AL724" s="97"/>
      <c r="AM724" s="97"/>
      <c r="AN724" s="97"/>
      <c r="AO724" s="97"/>
      <c r="AP724" s="97"/>
      <c r="AQ724" s="99"/>
      <c r="AR724" s="99"/>
      <c r="AS724" s="99"/>
    </row>
    <row r="72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c r="AC725" s="97"/>
      <c r="AD725" s="97"/>
      <c r="AE725" s="97"/>
      <c r="AF725" s="97"/>
      <c r="AG725" s="97"/>
      <c r="AH725" s="97"/>
      <c r="AI725" s="97"/>
      <c r="AJ725" s="97"/>
      <c r="AK725" s="97"/>
      <c r="AL725" s="97"/>
      <c r="AM725" s="97"/>
      <c r="AN725" s="97"/>
      <c r="AO725" s="97"/>
      <c r="AP725" s="97"/>
      <c r="AQ725" s="99"/>
      <c r="AR725" s="99"/>
      <c r="AS725" s="99"/>
    </row>
    <row r="726">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c r="AC726" s="97"/>
      <c r="AD726" s="97"/>
      <c r="AE726" s="97"/>
      <c r="AF726" s="97"/>
      <c r="AG726" s="97"/>
      <c r="AH726" s="97"/>
      <c r="AI726" s="97"/>
      <c r="AJ726" s="97"/>
      <c r="AK726" s="97"/>
      <c r="AL726" s="97"/>
      <c r="AM726" s="97"/>
      <c r="AN726" s="97"/>
      <c r="AO726" s="97"/>
      <c r="AP726" s="97"/>
      <c r="AQ726" s="99"/>
      <c r="AR726" s="99"/>
      <c r="AS726" s="99"/>
    </row>
    <row r="727">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c r="AC727" s="97"/>
      <c r="AD727" s="97"/>
      <c r="AE727" s="97"/>
      <c r="AF727" s="97"/>
      <c r="AG727" s="97"/>
      <c r="AH727" s="97"/>
      <c r="AI727" s="97"/>
      <c r="AJ727" s="97"/>
      <c r="AK727" s="97"/>
      <c r="AL727" s="97"/>
      <c r="AM727" s="97"/>
      <c r="AN727" s="97"/>
      <c r="AO727" s="97"/>
      <c r="AP727" s="97"/>
      <c r="AQ727" s="99"/>
      <c r="AR727" s="99"/>
      <c r="AS727" s="99"/>
    </row>
    <row r="728">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c r="AC728" s="97"/>
      <c r="AD728" s="97"/>
      <c r="AE728" s="97"/>
      <c r="AF728" s="97"/>
      <c r="AG728" s="97"/>
      <c r="AH728" s="97"/>
      <c r="AI728" s="97"/>
      <c r="AJ728" s="97"/>
      <c r="AK728" s="97"/>
      <c r="AL728" s="97"/>
      <c r="AM728" s="97"/>
      <c r="AN728" s="97"/>
      <c r="AO728" s="97"/>
      <c r="AP728" s="97"/>
      <c r="AQ728" s="99"/>
      <c r="AR728" s="99"/>
      <c r="AS728" s="99"/>
    </row>
    <row r="729">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c r="AE729" s="97"/>
      <c r="AF729" s="97"/>
      <c r="AG729" s="97"/>
      <c r="AH729" s="97"/>
      <c r="AI729" s="97"/>
      <c r="AJ729" s="97"/>
      <c r="AK729" s="97"/>
      <c r="AL729" s="97"/>
      <c r="AM729" s="97"/>
      <c r="AN729" s="97"/>
      <c r="AO729" s="97"/>
      <c r="AP729" s="97"/>
      <c r="AQ729" s="99"/>
      <c r="AR729" s="99"/>
      <c r="AS729" s="99"/>
    </row>
    <row r="730">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c r="AE730" s="97"/>
      <c r="AF730" s="97"/>
      <c r="AG730" s="97"/>
      <c r="AH730" s="97"/>
      <c r="AI730" s="97"/>
      <c r="AJ730" s="97"/>
      <c r="AK730" s="97"/>
      <c r="AL730" s="97"/>
      <c r="AM730" s="97"/>
      <c r="AN730" s="97"/>
      <c r="AO730" s="97"/>
      <c r="AP730" s="97"/>
      <c r="AQ730" s="99"/>
      <c r="AR730" s="99"/>
      <c r="AS730" s="99"/>
    </row>
    <row r="73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c r="AC731" s="97"/>
      <c r="AD731" s="97"/>
      <c r="AE731" s="97"/>
      <c r="AF731" s="97"/>
      <c r="AG731" s="97"/>
      <c r="AH731" s="97"/>
      <c r="AI731" s="97"/>
      <c r="AJ731" s="97"/>
      <c r="AK731" s="97"/>
      <c r="AL731" s="97"/>
      <c r="AM731" s="97"/>
      <c r="AN731" s="97"/>
      <c r="AO731" s="97"/>
      <c r="AP731" s="97"/>
      <c r="AQ731" s="99"/>
      <c r="AR731" s="99"/>
      <c r="AS731" s="99"/>
    </row>
    <row r="732">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c r="AC732" s="97"/>
      <c r="AD732" s="97"/>
      <c r="AE732" s="97"/>
      <c r="AF732" s="97"/>
      <c r="AG732" s="97"/>
      <c r="AH732" s="97"/>
      <c r="AI732" s="97"/>
      <c r="AJ732" s="97"/>
      <c r="AK732" s="97"/>
      <c r="AL732" s="97"/>
      <c r="AM732" s="97"/>
      <c r="AN732" s="97"/>
      <c r="AO732" s="97"/>
      <c r="AP732" s="97"/>
      <c r="AQ732" s="99"/>
      <c r="AR732" s="99"/>
      <c r="AS732" s="99"/>
    </row>
    <row r="733">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c r="AC733" s="97"/>
      <c r="AD733" s="97"/>
      <c r="AE733" s="97"/>
      <c r="AF733" s="97"/>
      <c r="AG733" s="97"/>
      <c r="AH733" s="97"/>
      <c r="AI733" s="97"/>
      <c r="AJ733" s="97"/>
      <c r="AK733" s="97"/>
      <c r="AL733" s="97"/>
      <c r="AM733" s="97"/>
      <c r="AN733" s="97"/>
      <c r="AO733" s="97"/>
      <c r="AP733" s="97"/>
      <c r="AQ733" s="99"/>
      <c r="AR733" s="99"/>
      <c r="AS733" s="99"/>
    </row>
    <row r="734">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c r="AE734" s="97"/>
      <c r="AF734" s="97"/>
      <c r="AG734" s="97"/>
      <c r="AH734" s="97"/>
      <c r="AI734" s="97"/>
      <c r="AJ734" s="97"/>
      <c r="AK734" s="97"/>
      <c r="AL734" s="97"/>
      <c r="AM734" s="97"/>
      <c r="AN734" s="97"/>
      <c r="AO734" s="97"/>
      <c r="AP734" s="97"/>
      <c r="AQ734" s="99"/>
      <c r="AR734" s="99"/>
      <c r="AS734" s="99"/>
    </row>
    <row r="73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c r="AC735" s="97"/>
      <c r="AD735" s="97"/>
      <c r="AE735" s="97"/>
      <c r="AF735" s="97"/>
      <c r="AG735" s="97"/>
      <c r="AH735" s="97"/>
      <c r="AI735" s="97"/>
      <c r="AJ735" s="97"/>
      <c r="AK735" s="97"/>
      <c r="AL735" s="97"/>
      <c r="AM735" s="97"/>
      <c r="AN735" s="97"/>
      <c r="AO735" s="97"/>
      <c r="AP735" s="97"/>
      <c r="AQ735" s="99"/>
      <c r="AR735" s="99"/>
      <c r="AS735" s="99"/>
    </row>
    <row r="736">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c r="AC736" s="97"/>
      <c r="AD736" s="97"/>
      <c r="AE736" s="97"/>
      <c r="AF736" s="97"/>
      <c r="AG736" s="97"/>
      <c r="AH736" s="97"/>
      <c r="AI736" s="97"/>
      <c r="AJ736" s="97"/>
      <c r="AK736" s="97"/>
      <c r="AL736" s="97"/>
      <c r="AM736" s="97"/>
      <c r="AN736" s="97"/>
      <c r="AO736" s="97"/>
      <c r="AP736" s="97"/>
      <c r="AQ736" s="99"/>
      <c r="AR736" s="99"/>
      <c r="AS736" s="99"/>
    </row>
    <row r="737">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c r="AC737" s="97"/>
      <c r="AD737" s="97"/>
      <c r="AE737" s="97"/>
      <c r="AF737" s="97"/>
      <c r="AG737" s="97"/>
      <c r="AH737" s="97"/>
      <c r="AI737" s="97"/>
      <c r="AJ737" s="97"/>
      <c r="AK737" s="97"/>
      <c r="AL737" s="97"/>
      <c r="AM737" s="97"/>
      <c r="AN737" s="97"/>
      <c r="AO737" s="97"/>
      <c r="AP737" s="97"/>
      <c r="AQ737" s="99"/>
      <c r="AR737" s="99"/>
      <c r="AS737" s="99"/>
    </row>
    <row r="738">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c r="AE738" s="97"/>
      <c r="AF738" s="97"/>
      <c r="AG738" s="97"/>
      <c r="AH738" s="97"/>
      <c r="AI738" s="97"/>
      <c r="AJ738" s="97"/>
      <c r="AK738" s="97"/>
      <c r="AL738" s="97"/>
      <c r="AM738" s="97"/>
      <c r="AN738" s="97"/>
      <c r="AO738" s="97"/>
      <c r="AP738" s="97"/>
      <c r="AQ738" s="99"/>
      <c r="AR738" s="99"/>
      <c r="AS738" s="99"/>
    </row>
    <row r="739">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c r="AE739" s="97"/>
      <c r="AF739" s="97"/>
      <c r="AG739" s="97"/>
      <c r="AH739" s="97"/>
      <c r="AI739" s="97"/>
      <c r="AJ739" s="97"/>
      <c r="AK739" s="97"/>
      <c r="AL739" s="97"/>
      <c r="AM739" s="97"/>
      <c r="AN739" s="97"/>
      <c r="AO739" s="97"/>
      <c r="AP739" s="97"/>
      <c r="AQ739" s="99"/>
      <c r="AR739" s="99"/>
      <c r="AS739" s="99"/>
    </row>
    <row r="740">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c r="AE740" s="97"/>
      <c r="AF740" s="97"/>
      <c r="AG740" s="97"/>
      <c r="AH740" s="97"/>
      <c r="AI740" s="97"/>
      <c r="AJ740" s="97"/>
      <c r="AK740" s="97"/>
      <c r="AL740" s="97"/>
      <c r="AM740" s="97"/>
      <c r="AN740" s="97"/>
      <c r="AO740" s="97"/>
      <c r="AP740" s="97"/>
      <c r="AQ740" s="99"/>
      <c r="AR740" s="99"/>
      <c r="AS740" s="99"/>
    </row>
    <row r="74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c r="AE741" s="97"/>
      <c r="AF741" s="97"/>
      <c r="AG741" s="97"/>
      <c r="AH741" s="97"/>
      <c r="AI741" s="97"/>
      <c r="AJ741" s="97"/>
      <c r="AK741" s="97"/>
      <c r="AL741" s="97"/>
      <c r="AM741" s="97"/>
      <c r="AN741" s="97"/>
      <c r="AO741" s="97"/>
      <c r="AP741" s="97"/>
      <c r="AQ741" s="99"/>
      <c r="AR741" s="99"/>
      <c r="AS741" s="99"/>
    </row>
    <row r="742">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c r="AE742" s="97"/>
      <c r="AF742" s="97"/>
      <c r="AG742" s="97"/>
      <c r="AH742" s="97"/>
      <c r="AI742" s="97"/>
      <c r="AJ742" s="97"/>
      <c r="AK742" s="97"/>
      <c r="AL742" s="97"/>
      <c r="AM742" s="97"/>
      <c r="AN742" s="97"/>
      <c r="AO742" s="97"/>
      <c r="AP742" s="97"/>
      <c r="AQ742" s="99"/>
      <c r="AR742" s="99"/>
      <c r="AS742" s="99"/>
    </row>
    <row r="743">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c r="AE743" s="97"/>
      <c r="AF743" s="97"/>
      <c r="AG743" s="97"/>
      <c r="AH743" s="97"/>
      <c r="AI743" s="97"/>
      <c r="AJ743" s="97"/>
      <c r="AK743" s="97"/>
      <c r="AL743" s="97"/>
      <c r="AM743" s="97"/>
      <c r="AN743" s="97"/>
      <c r="AO743" s="97"/>
      <c r="AP743" s="97"/>
      <c r="AQ743" s="99"/>
      <c r="AR743" s="99"/>
      <c r="AS743" s="99"/>
    </row>
    <row r="744">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7"/>
      <c r="AC744" s="97"/>
      <c r="AD744" s="97"/>
      <c r="AE744" s="97"/>
      <c r="AF744" s="97"/>
      <c r="AG744" s="97"/>
      <c r="AH744" s="97"/>
      <c r="AI744" s="97"/>
      <c r="AJ744" s="97"/>
      <c r="AK744" s="97"/>
      <c r="AL744" s="97"/>
      <c r="AM744" s="97"/>
      <c r="AN744" s="97"/>
      <c r="AO744" s="97"/>
      <c r="AP744" s="97"/>
      <c r="AQ744" s="99"/>
      <c r="AR744" s="99"/>
      <c r="AS744" s="99"/>
    </row>
    <row r="74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c r="AE745" s="97"/>
      <c r="AF745" s="97"/>
      <c r="AG745" s="97"/>
      <c r="AH745" s="97"/>
      <c r="AI745" s="97"/>
      <c r="AJ745" s="97"/>
      <c r="AK745" s="97"/>
      <c r="AL745" s="97"/>
      <c r="AM745" s="97"/>
      <c r="AN745" s="97"/>
      <c r="AO745" s="97"/>
      <c r="AP745" s="97"/>
      <c r="AQ745" s="99"/>
      <c r="AR745" s="99"/>
      <c r="AS745" s="99"/>
    </row>
    <row r="746">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c r="AE746" s="97"/>
      <c r="AF746" s="97"/>
      <c r="AG746" s="97"/>
      <c r="AH746" s="97"/>
      <c r="AI746" s="97"/>
      <c r="AJ746" s="97"/>
      <c r="AK746" s="97"/>
      <c r="AL746" s="97"/>
      <c r="AM746" s="97"/>
      <c r="AN746" s="97"/>
      <c r="AO746" s="97"/>
      <c r="AP746" s="97"/>
      <c r="AQ746" s="99"/>
      <c r="AR746" s="99"/>
      <c r="AS746" s="99"/>
    </row>
    <row r="747">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c r="AE747" s="97"/>
      <c r="AF747" s="97"/>
      <c r="AG747" s="97"/>
      <c r="AH747" s="97"/>
      <c r="AI747" s="97"/>
      <c r="AJ747" s="97"/>
      <c r="AK747" s="97"/>
      <c r="AL747" s="97"/>
      <c r="AM747" s="97"/>
      <c r="AN747" s="97"/>
      <c r="AO747" s="97"/>
      <c r="AP747" s="97"/>
      <c r="AQ747" s="99"/>
      <c r="AR747" s="99"/>
      <c r="AS747" s="99"/>
    </row>
    <row r="748">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7"/>
      <c r="AC748" s="97"/>
      <c r="AD748" s="97"/>
      <c r="AE748" s="97"/>
      <c r="AF748" s="97"/>
      <c r="AG748" s="97"/>
      <c r="AH748" s="97"/>
      <c r="AI748" s="97"/>
      <c r="AJ748" s="97"/>
      <c r="AK748" s="97"/>
      <c r="AL748" s="97"/>
      <c r="AM748" s="97"/>
      <c r="AN748" s="97"/>
      <c r="AO748" s="97"/>
      <c r="AP748" s="97"/>
      <c r="AQ748" s="99"/>
      <c r="AR748" s="99"/>
      <c r="AS748" s="99"/>
    </row>
    <row r="749">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7"/>
      <c r="AC749" s="97"/>
      <c r="AD749" s="97"/>
      <c r="AE749" s="97"/>
      <c r="AF749" s="97"/>
      <c r="AG749" s="97"/>
      <c r="AH749" s="97"/>
      <c r="AI749" s="97"/>
      <c r="AJ749" s="97"/>
      <c r="AK749" s="97"/>
      <c r="AL749" s="97"/>
      <c r="AM749" s="97"/>
      <c r="AN749" s="97"/>
      <c r="AO749" s="97"/>
      <c r="AP749" s="97"/>
      <c r="AQ749" s="99"/>
      <c r="AR749" s="99"/>
      <c r="AS749" s="99"/>
    </row>
    <row r="750">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7"/>
      <c r="AC750" s="97"/>
      <c r="AD750" s="97"/>
      <c r="AE750" s="97"/>
      <c r="AF750" s="97"/>
      <c r="AG750" s="97"/>
      <c r="AH750" s="97"/>
      <c r="AI750" s="97"/>
      <c r="AJ750" s="97"/>
      <c r="AK750" s="97"/>
      <c r="AL750" s="97"/>
      <c r="AM750" s="97"/>
      <c r="AN750" s="97"/>
      <c r="AO750" s="97"/>
      <c r="AP750" s="97"/>
      <c r="AQ750" s="99"/>
      <c r="AR750" s="99"/>
      <c r="AS750" s="99"/>
    </row>
    <row r="75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7"/>
      <c r="AC751" s="97"/>
      <c r="AD751" s="97"/>
      <c r="AE751" s="97"/>
      <c r="AF751" s="97"/>
      <c r="AG751" s="97"/>
      <c r="AH751" s="97"/>
      <c r="AI751" s="97"/>
      <c r="AJ751" s="97"/>
      <c r="AK751" s="97"/>
      <c r="AL751" s="97"/>
      <c r="AM751" s="97"/>
      <c r="AN751" s="97"/>
      <c r="AO751" s="97"/>
      <c r="AP751" s="97"/>
      <c r="AQ751" s="99"/>
      <c r="AR751" s="99"/>
      <c r="AS751" s="99"/>
    </row>
    <row r="752">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7"/>
      <c r="AC752" s="97"/>
      <c r="AD752" s="97"/>
      <c r="AE752" s="97"/>
      <c r="AF752" s="97"/>
      <c r="AG752" s="97"/>
      <c r="AH752" s="97"/>
      <c r="AI752" s="97"/>
      <c r="AJ752" s="97"/>
      <c r="AK752" s="97"/>
      <c r="AL752" s="97"/>
      <c r="AM752" s="97"/>
      <c r="AN752" s="97"/>
      <c r="AO752" s="97"/>
      <c r="AP752" s="97"/>
      <c r="AQ752" s="99"/>
      <c r="AR752" s="99"/>
      <c r="AS752" s="99"/>
    </row>
    <row r="753">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97"/>
      <c r="AE753" s="97"/>
      <c r="AF753" s="97"/>
      <c r="AG753" s="97"/>
      <c r="AH753" s="97"/>
      <c r="AI753" s="97"/>
      <c r="AJ753" s="97"/>
      <c r="AK753" s="97"/>
      <c r="AL753" s="97"/>
      <c r="AM753" s="97"/>
      <c r="AN753" s="97"/>
      <c r="AO753" s="97"/>
      <c r="AP753" s="97"/>
      <c r="AQ753" s="99"/>
      <c r="AR753" s="99"/>
      <c r="AS753" s="99"/>
    </row>
    <row r="754">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97"/>
      <c r="AE754" s="97"/>
      <c r="AF754" s="97"/>
      <c r="AG754" s="97"/>
      <c r="AH754" s="97"/>
      <c r="AI754" s="97"/>
      <c r="AJ754" s="97"/>
      <c r="AK754" s="97"/>
      <c r="AL754" s="97"/>
      <c r="AM754" s="97"/>
      <c r="AN754" s="97"/>
      <c r="AO754" s="97"/>
      <c r="AP754" s="97"/>
      <c r="AQ754" s="99"/>
      <c r="AR754" s="99"/>
      <c r="AS754" s="99"/>
    </row>
    <row r="75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7"/>
      <c r="AC755" s="97"/>
      <c r="AD755" s="97"/>
      <c r="AE755" s="97"/>
      <c r="AF755" s="97"/>
      <c r="AG755" s="97"/>
      <c r="AH755" s="97"/>
      <c r="AI755" s="97"/>
      <c r="AJ755" s="97"/>
      <c r="AK755" s="97"/>
      <c r="AL755" s="97"/>
      <c r="AM755" s="97"/>
      <c r="AN755" s="97"/>
      <c r="AO755" s="97"/>
      <c r="AP755" s="97"/>
      <c r="AQ755" s="99"/>
      <c r="AR755" s="99"/>
      <c r="AS755" s="99"/>
    </row>
    <row r="756">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7"/>
      <c r="AC756" s="97"/>
      <c r="AD756" s="97"/>
      <c r="AE756" s="97"/>
      <c r="AF756" s="97"/>
      <c r="AG756" s="97"/>
      <c r="AH756" s="97"/>
      <c r="AI756" s="97"/>
      <c r="AJ756" s="97"/>
      <c r="AK756" s="97"/>
      <c r="AL756" s="97"/>
      <c r="AM756" s="97"/>
      <c r="AN756" s="97"/>
      <c r="AO756" s="97"/>
      <c r="AP756" s="97"/>
      <c r="AQ756" s="99"/>
      <c r="AR756" s="99"/>
      <c r="AS756" s="99"/>
    </row>
    <row r="757">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97"/>
      <c r="AE757" s="97"/>
      <c r="AF757" s="97"/>
      <c r="AG757" s="97"/>
      <c r="AH757" s="97"/>
      <c r="AI757" s="97"/>
      <c r="AJ757" s="97"/>
      <c r="AK757" s="97"/>
      <c r="AL757" s="97"/>
      <c r="AM757" s="97"/>
      <c r="AN757" s="97"/>
      <c r="AO757" s="97"/>
      <c r="AP757" s="97"/>
      <c r="AQ757" s="99"/>
      <c r="AR757" s="99"/>
      <c r="AS757" s="99"/>
    </row>
    <row r="758">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97"/>
      <c r="AE758" s="97"/>
      <c r="AF758" s="97"/>
      <c r="AG758" s="97"/>
      <c r="AH758" s="97"/>
      <c r="AI758" s="97"/>
      <c r="AJ758" s="97"/>
      <c r="AK758" s="97"/>
      <c r="AL758" s="97"/>
      <c r="AM758" s="97"/>
      <c r="AN758" s="97"/>
      <c r="AO758" s="97"/>
      <c r="AP758" s="97"/>
      <c r="AQ758" s="99"/>
      <c r="AR758" s="99"/>
      <c r="AS758" s="99"/>
    </row>
    <row r="759">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7"/>
      <c r="AC759" s="97"/>
      <c r="AD759" s="97"/>
      <c r="AE759" s="97"/>
      <c r="AF759" s="97"/>
      <c r="AG759" s="97"/>
      <c r="AH759" s="97"/>
      <c r="AI759" s="97"/>
      <c r="AJ759" s="97"/>
      <c r="AK759" s="97"/>
      <c r="AL759" s="97"/>
      <c r="AM759" s="97"/>
      <c r="AN759" s="97"/>
      <c r="AO759" s="97"/>
      <c r="AP759" s="97"/>
      <c r="AQ759" s="99"/>
      <c r="AR759" s="99"/>
      <c r="AS759" s="99"/>
    </row>
    <row r="760">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7"/>
      <c r="AC760" s="97"/>
      <c r="AD760" s="97"/>
      <c r="AE760" s="97"/>
      <c r="AF760" s="97"/>
      <c r="AG760" s="97"/>
      <c r="AH760" s="97"/>
      <c r="AI760" s="97"/>
      <c r="AJ760" s="97"/>
      <c r="AK760" s="97"/>
      <c r="AL760" s="97"/>
      <c r="AM760" s="97"/>
      <c r="AN760" s="97"/>
      <c r="AO760" s="97"/>
      <c r="AP760" s="97"/>
      <c r="AQ760" s="99"/>
      <c r="AR760" s="99"/>
      <c r="AS760" s="99"/>
    </row>
    <row r="76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7"/>
      <c r="AC761" s="97"/>
      <c r="AD761" s="97"/>
      <c r="AE761" s="97"/>
      <c r="AF761" s="97"/>
      <c r="AG761" s="97"/>
      <c r="AH761" s="97"/>
      <c r="AI761" s="97"/>
      <c r="AJ761" s="97"/>
      <c r="AK761" s="97"/>
      <c r="AL761" s="97"/>
      <c r="AM761" s="97"/>
      <c r="AN761" s="97"/>
      <c r="AO761" s="97"/>
      <c r="AP761" s="97"/>
      <c r="AQ761" s="99"/>
      <c r="AR761" s="99"/>
      <c r="AS761" s="99"/>
    </row>
    <row r="762">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7"/>
      <c r="AC762" s="97"/>
      <c r="AD762" s="97"/>
      <c r="AE762" s="97"/>
      <c r="AF762" s="97"/>
      <c r="AG762" s="97"/>
      <c r="AH762" s="97"/>
      <c r="AI762" s="97"/>
      <c r="AJ762" s="97"/>
      <c r="AK762" s="97"/>
      <c r="AL762" s="97"/>
      <c r="AM762" s="97"/>
      <c r="AN762" s="97"/>
      <c r="AO762" s="97"/>
      <c r="AP762" s="97"/>
      <c r="AQ762" s="99"/>
      <c r="AR762" s="99"/>
      <c r="AS762" s="99"/>
    </row>
    <row r="763">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7"/>
      <c r="AC763" s="97"/>
      <c r="AD763" s="97"/>
      <c r="AE763" s="97"/>
      <c r="AF763" s="97"/>
      <c r="AG763" s="97"/>
      <c r="AH763" s="97"/>
      <c r="AI763" s="97"/>
      <c r="AJ763" s="97"/>
      <c r="AK763" s="97"/>
      <c r="AL763" s="97"/>
      <c r="AM763" s="97"/>
      <c r="AN763" s="97"/>
      <c r="AO763" s="97"/>
      <c r="AP763" s="97"/>
      <c r="AQ763" s="99"/>
      <c r="AR763" s="99"/>
      <c r="AS763" s="99"/>
    </row>
    <row r="764">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7"/>
      <c r="AC764" s="97"/>
      <c r="AD764" s="97"/>
      <c r="AE764" s="97"/>
      <c r="AF764" s="97"/>
      <c r="AG764" s="97"/>
      <c r="AH764" s="97"/>
      <c r="AI764" s="97"/>
      <c r="AJ764" s="97"/>
      <c r="AK764" s="97"/>
      <c r="AL764" s="97"/>
      <c r="AM764" s="97"/>
      <c r="AN764" s="97"/>
      <c r="AO764" s="97"/>
      <c r="AP764" s="97"/>
      <c r="AQ764" s="99"/>
      <c r="AR764" s="99"/>
      <c r="AS764" s="99"/>
    </row>
    <row r="76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7"/>
      <c r="AC765" s="97"/>
      <c r="AD765" s="97"/>
      <c r="AE765" s="97"/>
      <c r="AF765" s="97"/>
      <c r="AG765" s="97"/>
      <c r="AH765" s="97"/>
      <c r="AI765" s="97"/>
      <c r="AJ765" s="97"/>
      <c r="AK765" s="97"/>
      <c r="AL765" s="97"/>
      <c r="AM765" s="97"/>
      <c r="AN765" s="97"/>
      <c r="AO765" s="97"/>
      <c r="AP765" s="97"/>
      <c r="AQ765" s="99"/>
      <c r="AR765" s="99"/>
      <c r="AS765" s="99"/>
    </row>
    <row r="766">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7"/>
      <c r="AC766" s="97"/>
      <c r="AD766" s="97"/>
      <c r="AE766" s="97"/>
      <c r="AF766" s="97"/>
      <c r="AG766" s="97"/>
      <c r="AH766" s="97"/>
      <c r="AI766" s="97"/>
      <c r="AJ766" s="97"/>
      <c r="AK766" s="97"/>
      <c r="AL766" s="97"/>
      <c r="AM766" s="97"/>
      <c r="AN766" s="97"/>
      <c r="AO766" s="97"/>
      <c r="AP766" s="97"/>
      <c r="AQ766" s="99"/>
      <c r="AR766" s="99"/>
      <c r="AS766" s="99"/>
    </row>
    <row r="767">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7"/>
      <c r="AC767" s="97"/>
      <c r="AD767" s="97"/>
      <c r="AE767" s="97"/>
      <c r="AF767" s="97"/>
      <c r="AG767" s="97"/>
      <c r="AH767" s="97"/>
      <c r="AI767" s="97"/>
      <c r="AJ767" s="97"/>
      <c r="AK767" s="97"/>
      <c r="AL767" s="97"/>
      <c r="AM767" s="97"/>
      <c r="AN767" s="97"/>
      <c r="AO767" s="97"/>
      <c r="AP767" s="97"/>
      <c r="AQ767" s="99"/>
      <c r="AR767" s="99"/>
      <c r="AS767" s="99"/>
    </row>
    <row r="768">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7"/>
      <c r="AC768" s="97"/>
      <c r="AD768" s="97"/>
      <c r="AE768" s="97"/>
      <c r="AF768" s="97"/>
      <c r="AG768" s="97"/>
      <c r="AH768" s="97"/>
      <c r="AI768" s="97"/>
      <c r="AJ768" s="97"/>
      <c r="AK768" s="97"/>
      <c r="AL768" s="97"/>
      <c r="AM768" s="97"/>
      <c r="AN768" s="97"/>
      <c r="AO768" s="97"/>
      <c r="AP768" s="97"/>
      <c r="AQ768" s="99"/>
      <c r="AR768" s="99"/>
      <c r="AS768" s="99"/>
    </row>
    <row r="769">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7"/>
      <c r="AC769" s="97"/>
      <c r="AD769" s="97"/>
      <c r="AE769" s="97"/>
      <c r="AF769" s="97"/>
      <c r="AG769" s="97"/>
      <c r="AH769" s="97"/>
      <c r="AI769" s="97"/>
      <c r="AJ769" s="97"/>
      <c r="AK769" s="97"/>
      <c r="AL769" s="97"/>
      <c r="AM769" s="97"/>
      <c r="AN769" s="97"/>
      <c r="AO769" s="97"/>
      <c r="AP769" s="97"/>
      <c r="AQ769" s="99"/>
      <c r="AR769" s="99"/>
      <c r="AS769" s="99"/>
    </row>
    <row r="770">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7"/>
      <c r="AC770" s="97"/>
      <c r="AD770" s="97"/>
      <c r="AE770" s="97"/>
      <c r="AF770" s="97"/>
      <c r="AG770" s="97"/>
      <c r="AH770" s="97"/>
      <c r="AI770" s="97"/>
      <c r="AJ770" s="97"/>
      <c r="AK770" s="97"/>
      <c r="AL770" s="97"/>
      <c r="AM770" s="97"/>
      <c r="AN770" s="97"/>
      <c r="AO770" s="97"/>
      <c r="AP770" s="97"/>
      <c r="AQ770" s="99"/>
      <c r="AR770" s="99"/>
      <c r="AS770" s="99"/>
    </row>
    <row r="77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7"/>
      <c r="AC771" s="97"/>
      <c r="AD771" s="97"/>
      <c r="AE771" s="97"/>
      <c r="AF771" s="97"/>
      <c r="AG771" s="97"/>
      <c r="AH771" s="97"/>
      <c r="AI771" s="97"/>
      <c r="AJ771" s="97"/>
      <c r="AK771" s="97"/>
      <c r="AL771" s="97"/>
      <c r="AM771" s="97"/>
      <c r="AN771" s="97"/>
      <c r="AO771" s="97"/>
      <c r="AP771" s="97"/>
      <c r="AQ771" s="99"/>
      <c r="AR771" s="99"/>
      <c r="AS771" s="99"/>
    </row>
    <row r="772">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7"/>
      <c r="AC772" s="97"/>
      <c r="AD772" s="97"/>
      <c r="AE772" s="97"/>
      <c r="AF772" s="97"/>
      <c r="AG772" s="97"/>
      <c r="AH772" s="97"/>
      <c r="AI772" s="97"/>
      <c r="AJ772" s="97"/>
      <c r="AK772" s="97"/>
      <c r="AL772" s="97"/>
      <c r="AM772" s="97"/>
      <c r="AN772" s="97"/>
      <c r="AO772" s="97"/>
      <c r="AP772" s="97"/>
      <c r="AQ772" s="99"/>
      <c r="AR772" s="99"/>
      <c r="AS772" s="99"/>
    </row>
    <row r="773">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7"/>
      <c r="AC773" s="97"/>
      <c r="AD773" s="97"/>
      <c r="AE773" s="97"/>
      <c r="AF773" s="97"/>
      <c r="AG773" s="97"/>
      <c r="AH773" s="97"/>
      <c r="AI773" s="97"/>
      <c r="AJ773" s="97"/>
      <c r="AK773" s="97"/>
      <c r="AL773" s="97"/>
      <c r="AM773" s="97"/>
      <c r="AN773" s="97"/>
      <c r="AO773" s="97"/>
      <c r="AP773" s="97"/>
      <c r="AQ773" s="99"/>
      <c r="AR773" s="99"/>
      <c r="AS773" s="99"/>
    </row>
    <row r="774">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c r="AE774" s="97"/>
      <c r="AF774" s="97"/>
      <c r="AG774" s="97"/>
      <c r="AH774" s="97"/>
      <c r="AI774" s="97"/>
      <c r="AJ774" s="97"/>
      <c r="AK774" s="97"/>
      <c r="AL774" s="97"/>
      <c r="AM774" s="97"/>
      <c r="AN774" s="97"/>
      <c r="AO774" s="97"/>
      <c r="AP774" s="97"/>
      <c r="AQ774" s="99"/>
      <c r="AR774" s="99"/>
      <c r="AS774" s="99"/>
    </row>
    <row r="77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7"/>
      <c r="AC775" s="97"/>
      <c r="AD775" s="97"/>
      <c r="AE775" s="97"/>
      <c r="AF775" s="97"/>
      <c r="AG775" s="97"/>
      <c r="AH775" s="97"/>
      <c r="AI775" s="97"/>
      <c r="AJ775" s="97"/>
      <c r="AK775" s="97"/>
      <c r="AL775" s="97"/>
      <c r="AM775" s="97"/>
      <c r="AN775" s="97"/>
      <c r="AO775" s="97"/>
      <c r="AP775" s="97"/>
      <c r="AQ775" s="99"/>
      <c r="AR775" s="99"/>
      <c r="AS775" s="99"/>
    </row>
    <row r="776">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7"/>
      <c r="AC776" s="97"/>
      <c r="AD776" s="97"/>
      <c r="AE776" s="97"/>
      <c r="AF776" s="97"/>
      <c r="AG776" s="97"/>
      <c r="AH776" s="97"/>
      <c r="AI776" s="97"/>
      <c r="AJ776" s="97"/>
      <c r="AK776" s="97"/>
      <c r="AL776" s="97"/>
      <c r="AM776" s="97"/>
      <c r="AN776" s="97"/>
      <c r="AO776" s="97"/>
      <c r="AP776" s="97"/>
      <c r="AQ776" s="99"/>
      <c r="AR776" s="99"/>
      <c r="AS776" s="99"/>
    </row>
    <row r="777">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7"/>
      <c r="AC777" s="97"/>
      <c r="AD777" s="97"/>
      <c r="AE777" s="97"/>
      <c r="AF777" s="97"/>
      <c r="AG777" s="97"/>
      <c r="AH777" s="97"/>
      <c r="AI777" s="97"/>
      <c r="AJ777" s="97"/>
      <c r="AK777" s="97"/>
      <c r="AL777" s="97"/>
      <c r="AM777" s="97"/>
      <c r="AN777" s="97"/>
      <c r="AO777" s="97"/>
      <c r="AP777" s="97"/>
      <c r="AQ777" s="99"/>
      <c r="AR777" s="99"/>
      <c r="AS777" s="99"/>
    </row>
    <row r="778">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7"/>
      <c r="AC778" s="97"/>
      <c r="AD778" s="97"/>
      <c r="AE778" s="97"/>
      <c r="AF778" s="97"/>
      <c r="AG778" s="97"/>
      <c r="AH778" s="97"/>
      <c r="AI778" s="97"/>
      <c r="AJ778" s="97"/>
      <c r="AK778" s="97"/>
      <c r="AL778" s="97"/>
      <c r="AM778" s="97"/>
      <c r="AN778" s="97"/>
      <c r="AO778" s="97"/>
      <c r="AP778" s="97"/>
      <c r="AQ778" s="99"/>
      <c r="AR778" s="99"/>
      <c r="AS778" s="99"/>
    </row>
    <row r="779">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7"/>
      <c r="AC779" s="97"/>
      <c r="AD779" s="97"/>
      <c r="AE779" s="97"/>
      <c r="AF779" s="97"/>
      <c r="AG779" s="97"/>
      <c r="AH779" s="97"/>
      <c r="AI779" s="97"/>
      <c r="AJ779" s="97"/>
      <c r="AK779" s="97"/>
      <c r="AL779" s="97"/>
      <c r="AM779" s="97"/>
      <c r="AN779" s="97"/>
      <c r="AO779" s="97"/>
      <c r="AP779" s="97"/>
      <c r="AQ779" s="99"/>
      <c r="AR779" s="99"/>
      <c r="AS779" s="99"/>
    </row>
    <row r="780">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c r="AE780" s="97"/>
      <c r="AF780" s="97"/>
      <c r="AG780" s="97"/>
      <c r="AH780" s="97"/>
      <c r="AI780" s="97"/>
      <c r="AJ780" s="97"/>
      <c r="AK780" s="97"/>
      <c r="AL780" s="97"/>
      <c r="AM780" s="97"/>
      <c r="AN780" s="97"/>
      <c r="AO780" s="97"/>
      <c r="AP780" s="97"/>
      <c r="AQ780" s="99"/>
      <c r="AR780" s="99"/>
      <c r="AS780" s="99"/>
    </row>
    <row r="78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c r="AE781" s="97"/>
      <c r="AF781" s="97"/>
      <c r="AG781" s="97"/>
      <c r="AH781" s="97"/>
      <c r="AI781" s="97"/>
      <c r="AJ781" s="97"/>
      <c r="AK781" s="97"/>
      <c r="AL781" s="97"/>
      <c r="AM781" s="97"/>
      <c r="AN781" s="97"/>
      <c r="AO781" s="97"/>
      <c r="AP781" s="97"/>
      <c r="AQ781" s="99"/>
      <c r="AR781" s="99"/>
      <c r="AS781" s="99"/>
    </row>
    <row r="782">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c r="AE782" s="97"/>
      <c r="AF782" s="97"/>
      <c r="AG782" s="97"/>
      <c r="AH782" s="97"/>
      <c r="AI782" s="97"/>
      <c r="AJ782" s="97"/>
      <c r="AK782" s="97"/>
      <c r="AL782" s="97"/>
      <c r="AM782" s="97"/>
      <c r="AN782" s="97"/>
      <c r="AO782" s="97"/>
      <c r="AP782" s="97"/>
      <c r="AQ782" s="99"/>
      <c r="AR782" s="99"/>
      <c r="AS782" s="99"/>
    </row>
    <row r="783">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c r="AE783" s="97"/>
      <c r="AF783" s="97"/>
      <c r="AG783" s="97"/>
      <c r="AH783" s="97"/>
      <c r="AI783" s="97"/>
      <c r="AJ783" s="97"/>
      <c r="AK783" s="97"/>
      <c r="AL783" s="97"/>
      <c r="AM783" s="97"/>
      <c r="AN783" s="97"/>
      <c r="AO783" s="97"/>
      <c r="AP783" s="97"/>
      <c r="AQ783" s="99"/>
      <c r="AR783" s="99"/>
      <c r="AS783" s="99"/>
    </row>
    <row r="784">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c r="AE784" s="97"/>
      <c r="AF784" s="97"/>
      <c r="AG784" s="97"/>
      <c r="AH784" s="97"/>
      <c r="AI784" s="97"/>
      <c r="AJ784" s="97"/>
      <c r="AK784" s="97"/>
      <c r="AL784" s="97"/>
      <c r="AM784" s="97"/>
      <c r="AN784" s="97"/>
      <c r="AO784" s="97"/>
      <c r="AP784" s="97"/>
      <c r="AQ784" s="99"/>
      <c r="AR784" s="99"/>
      <c r="AS784" s="99"/>
    </row>
    <row r="78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c r="AE785" s="97"/>
      <c r="AF785" s="97"/>
      <c r="AG785" s="97"/>
      <c r="AH785" s="97"/>
      <c r="AI785" s="97"/>
      <c r="AJ785" s="97"/>
      <c r="AK785" s="97"/>
      <c r="AL785" s="97"/>
      <c r="AM785" s="97"/>
      <c r="AN785" s="97"/>
      <c r="AO785" s="97"/>
      <c r="AP785" s="97"/>
      <c r="AQ785" s="99"/>
      <c r="AR785" s="99"/>
      <c r="AS785" s="99"/>
    </row>
    <row r="786">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7"/>
      <c r="AC786" s="97"/>
      <c r="AD786" s="97"/>
      <c r="AE786" s="97"/>
      <c r="AF786" s="97"/>
      <c r="AG786" s="97"/>
      <c r="AH786" s="97"/>
      <c r="AI786" s="97"/>
      <c r="AJ786" s="97"/>
      <c r="AK786" s="97"/>
      <c r="AL786" s="97"/>
      <c r="AM786" s="97"/>
      <c r="AN786" s="97"/>
      <c r="AO786" s="97"/>
      <c r="AP786" s="97"/>
      <c r="AQ786" s="99"/>
      <c r="AR786" s="99"/>
      <c r="AS786" s="99"/>
    </row>
    <row r="787">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c r="AE787" s="97"/>
      <c r="AF787" s="97"/>
      <c r="AG787" s="97"/>
      <c r="AH787" s="97"/>
      <c r="AI787" s="97"/>
      <c r="AJ787" s="97"/>
      <c r="AK787" s="97"/>
      <c r="AL787" s="97"/>
      <c r="AM787" s="97"/>
      <c r="AN787" s="97"/>
      <c r="AO787" s="97"/>
      <c r="AP787" s="97"/>
      <c r="AQ787" s="99"/>
      <c r="AR787" s="99"/>
      <c r="AS787" s="99"/>
    </row>
    <row r="788">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c r="AE788" s="97"/>
      <c r="AF788" s="97"/>
      <c r="AG788" s="97"/>
      <c r="AH788" s="97"/>
      <c r="AI788" s="97"/>
      <c r="AJ788" s="97"/>
      <c r="AK788" s="97"/>
      <c r="AL788" s="97"/>
      <c r="AM788" s="97"/>
      <c r="AN788" s="97"/>
      <c r="AO788" s="97"/>
      <c r="AP788" s="97"/>
      <c r="AQ788" s="99"/>
      <c r="AR788" s="99"/>
      <c r="AS788" s="99"/>
    </row>
    <row r="789">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c r="AE789" s="97"/>
      <c r="AF789" s="97"/>
      <c r="AG789" s="97"/>
      <c r="AH789" s="97"/>
      <c r="AI789" s="97"/>
      <c r="AJ789" s="97"/>
      <c r="AK789" s="97"/>
      <c r="AL789" s="97"/>
      <c r="AM789" s="97"/>
      <c r="AN789" s="97"/>
      <c r="AO789" s="97"/>
      <c r="AP789" s="97"/>
      <c r="AQ789" s="99"/>
      <c r="AR789" s="99"/>
      <c r="AS789" s="99"/>
    </row>
    <row r="790">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c r="AE790" s="97"/>
      <c r="AF790" s="97"/>
      <c r="AG790" s="97"/>
      <c r="AH790" s="97"/>
      <c r="AI790" s="97"/>
      <c r="AJ790" s="97"/>
      <c r="AK790" s="97"/>
      <c r="AL790" s="97"/>
      <c r="AM790" s="97"/>
      <c r="AN790" s="97"/>
      <c r="AO790" s="97"/>
      <c r="AP790" s="97"/>
      <c r="AQ790" s="99"/>
      <c r="AR790" s="99"/>
      <c r="AS790" s="99"/>
    </row>
    <row r="79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c r="AE791" s="97"/>
      <c r="AF791" s="97"/>
      <c r="AG791" s="97"/>
      <c r="AH791" s="97"/>
      <c r="AI791" s="97"/>
      <c r="AJ791" s="97"/>
      <c r="AK791" s="97"/>
      <c r="AL791" s="97"/>
      <c r="AM791" s="97"/>
      <c r="AN791" s="97"/>
      <c r="AO791" s="97"/>
      <c r="AP791" s="97"/>
      <c r="AQ791" s="99"/>
      <c r="AR791" s="99"/>
      <c r="AS791" s="99"/>
    </row>
    <row r="792">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7"/>
      <c r="AC792" s="97"/>
      <c r="AD792" s="97"/>
      <c r="AE792" s="97"/>
      <c r="AF792" s="97"/>
      <c r="AG792" s="97"/>
      <c r="AH792" s="97"/>
      <c r="AI792" s="97"/>
      <c r="AJ792" s="97"/>
      <c r="AK792" s="97"/>
      <c r="AL792" s="97"/>
      <c r="AM792" s="97"/>
      <c r="AN792" s="97"/>
      <c r="AO792" s="97"/>
      <c r="AP792" s="97"/>
      <c r="AQ792" s="99"/>
      <c r="AR792" s="99"/>
      <c r="AS792" s="99"/>
    </row>
    <row r="793">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7"/>
      <c r="AC793" s="97"/>
      <c r="AD793" s="97"/>
      <c r="AE793" s="97"/>
      <c r="AF793" s="97"/>
      <c r="AG793" s="97"/>
      <c r="AH793" s="97"/>
      <c r="AI793" s="97"/>
      <c r="AJ793" s="97"/>
      <c r="AK793" s="97"/>
      <c r="AL793" s="97"/>
      <c r="AM793" s="97"/>
      <c r="AN793" s="97"/>
      <c r="AO793" s="97"/>
      <c r="AP793" s="97"/>
      <c r="AQ793" s="99"/>
      <c r="AR793" s="99"/>
      <c r="AS793" s="99"/>
    </row>
    <row r="794">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7"/>
      <c r="AC794" s="97"/>
      <c r="AD794" s="97"/>
      <c r="AE794" s="97"/>
      <c r="AF794" s="97"/>
      <c r="AG794" s="97"/>
      <c r="AH794" s="97"/>
      <c r="AI794" s="97"/>
      <c r="AJ794" s="97"/>
      <c r="AK794" s="97"/>
      <c r="AL794" s="97"/>
      <c r="AM794" s="97"/>
      <c r="AN794" s="97"/>
      <c r="AO794" s="97"/>
      <c r="AP794" s="97"/>
      <c r="AQ794" s="99"/>
      <c r="AR794" s="99"/>
      <c r="AS794" s="99"/>
    </row>
    <row r="79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c r="AE795" s="97"/>
      <c r="AF795" s="97"/>
      <c r="AG795" s="97"/>
      <c r="AH795" s="97"/>
      <c r="AI795" s="97"/>
      <c r="AJ795" s="97"/>
      <c r="AK795" s="97"/>
      <c r="AL795" s="97"/>
      <c r="AM795" s="97"/>
      <c r="AN795" s="97"/>
      <c r="AO795" s="97"/>
      <c r="AP795" s="97"/>
      <c r="AQ795" s="99"/>
      <c r="AR795" s="99"/>
      <c r="AS795" s="99"/>
    </row>
    <row r="796">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7"/>
      <c r="AC796" s="97"/>
      <c r="AD796" s="97"/>
      <c r="AE796" s="97"/>
      <c r="AF796" s="97"/>
      <c r="AG796" s="97"/>
      <c r="AH796" s="97"/>
      <c r="AI796" s="97"/>
      <c r="AJ796" s="97"/>
      <c r="AK796" s="97"/>
      <c r="AL796" s="97"/>
      <c r="AM796" s="97"/>
      <c r="AN796" s="97"/>
      <c r="AO796" s="97"/>
      <c r="AP796" s="97"/>
      <c r="AQ796" s="99"/>
      <c r="AR796" s="99"/>
      <c r="AS796" s="99"/>
    </row>
    <row r="797">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7"/>
      <c r="AC797" s="97"/>
      <c r="AD797" s="97"/>
      <c r="AE797" s="97"/>
      <c r="AF797" s="97"/>
      <c r="AG797" s="97"/>
      <c r="AH797" s="97"/>
      <c r="AI797" s="97"/>
      <c r="AJ797" s="97"/>
      <c r="AK797" s="97"/>
      <c r="AL797" s="97"/>
      <c r="AM797" s="97"/>
      <c r="AN797" s="97"/>
      <c r="AO797" s="97"/>
      <c r="AP797" s="97"/>
      <c r="AQ797" s="99"/>
      <c r="AR797" s="99"/>
      <c r="AS797" s="99"/>
    </row>
    <row r="798">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7"/>
      <c r="AC798" s="97"/>
      <c r="AD798" s="97"/>
      <c r="AE798" s="97"/>
      <c r="AF798" s="97"/>
      <c r="AG798" s="97"/>
      <c r="AH798" s="97"/>
      <c r="AI798" s="97"/>
      <c r="AJ798" s="97"/>
      <c r="AK798" s="97"/>
      <c r="AL798" s="97"/>
      <c r="AM798" s="97"/>
      <c r="AN798" s="97"/>
      <c r="AO798" s="97"/>
      <c r="AP798" s="97"/>
      <c r="AQ798" s="99"/>
      <c r="AR798" s="99"/>
      <c r="AS798" s="99"/>
    </row>
    <row r="799">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c r="AE799" s="97"/>
      <c r="AF799" s="97"/>
      <c r="AG799" s="97"/>
      <c r="AH799" s="97"/>
      <c r="AI799" s="97"/>
      <c r="AJ799" s="97"/>
      <c r="AK799" s="97"/>
      <c r="AL799" s="97"/>
      <c r="AM799" s="97"/>
      <c r="AN799" s="97"/>
      <c r="AO799" s="97"/>
      <c r="AP799" s="97"/>
      <c r="AQ799" s="99"/>
      <c r="AR799" s="99"/>
      <c r="AS799" s="99"/>
    </row>
    <row r="800">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c r="AE800" s="97"/>
      <c r="AF800" s="97"/>
      <c r="AG800" s="97"/>
      <c r="AH800" s="97"/>
      <c r="AI800" s="97"/>
      <c r="AJ800" s="97"/>
      <c r="AK800" s="97"/>
      <c r="AL800" s="97"/>
      <c r="AM800" s="97"/>
      <c r="AN800" s="97"/>
      <c r="AO800" s="97"/>
      <c r="AP800" s="97"/>
      <c r="AQ800" s="99"/>
      <c r="AR800" s="99"/>
      <c r="AS800" s="99"/>
    </row>
    <row r="80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c r="AE801" s="97"/>
      <c r="AF801" s="97"/>
      <c r="AG801" s="97"/>
      <c r="AH801" s="97"/>
      <c r="AI801" s="97"/>
      <c r="AJ801" s="97"/>
      <c r="AK801" s="97"/>
      <c r="AL801" s="97"/>
      <c r="AM801" s="97"/>
      <c r="AN801" s="97"/>
      <c r="AO801" s="97"/>
      <c r="AP801" s="97"/>
      <c r="AQ801" s="99"/>
      <c r="AR801" s="99"/>
      <c r="AS801" s="99"/>
    </row>
    <row r="802">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7"/>
      <c r="AC802" s="97"/>
      <c r="AD802" s="97"/>
      <c r="AE802" s="97"/>
      <c r="AF802" s="97"/>
      <c r="AG802" s="97"/>
      <c r="AH802" s="97"/>
      <c r="AI802" s="97"/>
      <c r="AJ802" s="97"/>
      <c r="AK802" s="97"/>
      <c r="AL802" s="97"/>
      <c r="AM802" s="97"/>
      <c r="AN802" s="97"/>
      <c r="AO802" s="97"/>
      <c r="AP802" s="97"/>
      <c r="AQ802" s="99"/>
      <c r="AR802" s="99"/>
      <c r="AS802" s="99"/>
    </row>
    <row r="803">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7"/>
      <c r="AC803" s="97"/>
      <c r="AD803" s="97"/>
      <c r="AE803" s="97"/>
      <c r="AF803" s="97"/>
      <c r="AG803" s="97"/>
      <c r="AH803" s="97"/>
      <c r="AI803" s="97"/>
      <c r="AJ803" s="97"/>
      <c r="AK803" s="97"/>
      <c r="AL803" s="97"/>
      <c r="AM803" s="97"/>
      <c r="AN803" s="97"/>
      <c r="AO803" s="97"/>
      <c r="AP803" s="97"/>
      <c r="AQ803" s="99"/>
      <c r="AR803" s="99"/>
      <c r="AS803" s="99"/>
    </row>
    <row r="804">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7"/>
      <c r="AC804" s="97"/>
      <c r="AD804" s="97"/>
      <c r="AE804" s="97"/>
      <c r="AF804" s="97"/>
      <c r="AG804" s="97"/>
      <c r="AH804" s="97"/>
      <c r="AI804" s="97"/>
      <c r="AJ804" s="97"/>
      <c r="AK804" s="97"/>
      <c r="AL804" s="97"/>
      <c r="AM804" s="97"/>
      <c r="AN804" s="97"/>
      <c r="AO804" s="97"/>
      <c r="AP804" s="97"/>
      <c r="AQ804" s="99"/>
      <c r="AR804" s="99"/>
      <c r="AS804" s="99"/>
    </row>
    <row r="80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7"/>
      <c r="AC805" s="97"/>
      <c r="AD805" s="97"/>
      <c r="AE805" s="97"/>
      <c r="AF805" s="97"/>
      <c r="AG805" s="97"/>
      <c r="AH805" s="97"/>
      <c r="AI805" s="97"/>
      <c r="AJ805" s="97"/>
      <c r="AK805" s="97"/>
      <c r="AL805" s="97"/>
      <c r="AM805" s="97"/>
      <c r="AN805" s="97"/>
      <c r="AO805" s="97"/>
      <c r="AP805" s="97"/>
      <c r="AQ805" s="99"/>
      <c r="AR805" s="99"/>
      <c r="AS805" s="99"/>
    </row>
    <row r="806">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97"/>
      <c r="AE806" s="97"/>
      <c r="AF806" s="97"/>
      <c r="AG806" s="97"/>
      <c r="AH806" s="97"/>
      <c r="AI806" s="97"/>
      <c r="AJ806" s="97"/>
      <c r="AK806" s="97"/>
      <c r="AL806" s="97"/>
      <c r="AM806" s="97"/>
      <c r="AN806" s="97"/>
      <c r="AO806" s="97"/>
      <c r="AP806" s="97"/>
      <c r="AQ806" s="99"/>
      <c r="AR806" s="99"/>
      <c r="AS806" s="99"/>
    </row>
    <row r="807">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7"/>
      <c r="AC807" s="97"/>
      <c r="AD807" s="97"/>
      <c r="AE807" s="97"/>
      <c r="AF807" s="97"/>
      <c r="AG807" s="97"/>
      <c r="AH807" s="97"/>
      <c r="AI807" s="97"/>
      <c r="AJ807" s="97"/>
      <c r="AK807" s="97"/>
      <c r="AL807" s="97"/>
      <c r="AM807" s="97"/>
      <c r="AN807" s="97"/>
      <c r="AO807" s="97"/>
      <c r="AP807" s="97"/>
      <c r="AQ807" s="99"/>
      <c r="AR807" s="99"/>
      <c r="AS807" s="99"/>
    </row>
    <row r="808">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7"/>
      <c r="AC808" s="97"/>
      <c r="AD808" s="97"/>
      <c r="AE808" s="97"/>
      <c r="AF808" s="97"/>
      <c r="AG808" s="97"/>
      <c r="AH808" s="97"/>
      <c r="AI808" s="97"/>
      <c r="AJ808" s="97"/>
      <c r="AK808" s="97"/>
      <c r="AL808" s="97"/>
      <c r="AM808" s="97"/>
      <c r="AN808" s="97"/>
      <c r="AO808" s="97"/>
      <c r="AP808" s="97"/>
      <c r="AQ808" s="99"/>
      <c r="AR808" s="99"/>
      <c r="AS808" s="99"/>
    </row>
    <row r="809">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7"/>
      <c r="AC809" s="97"/>
      <c r="AD809" s="97"/>
      <c r="AE809" s="97"/>
      <c r="AF809" s="97"/>
      <c r="AG809" s="97"/>
      <c r="AH809" s="97"/>
      <c r="AI809" s="97"/>
      <c r="AJ809" s="97"/>
      <c r="AK809" s="97"/>
      <c r="AL809" s="97"/>
      <c r="AM809" s="97"/>
      <c r="AN809" s="97"/>
      <c r="AO809" s="97"/>
      <c r="AP809" s="97"/>
      <c r="AQ809" s="99"/>
      <c r="AR809" s="99"/>
      <c r="AS809" s="99"/>
    </row>
    <row r="810">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7"/>
      <c r="AC810" s="97"/>
      <c r="AD810" s="97"/>
      <c r="AE810" s="97"/>
      <c r="AF810" s="97"/>
      <c r="AG810" s="97"/>
      <c r="AH810" s="97"/>
      <c r="AI810" s="97"/>
      <c r="AJ810" s="97"/>
      <c r="AK810" s="97"/>
      <c r="AL810" s="97"/>
      <c r="AM810" s="97"/>
      <c r="AN810" s="97"/>
      <c r="AO810" s="97"/>
      <c r="AP810" s="97"/>
      <c r="AQ810" s="99"/>
      <c r="AR810" s="99"/>
      <c r="AS810" s="99"/>
    </row>
    <row r="81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7"/>
      <c r="AC811" s="97"/>
      <c r="AD811" s="97"/>
      <c r="AE811" s="97"/>
      <c r="AF811" s="97"/>
      <c r="AG811" s="97"/>
      <c r="AH811" s="97"/>
      <c r="AI811" s="97"/>
      <c r="AJ811" s="97"/>
      <c r="AK811" s="97"/>
      <c r="AL811" s="97"/>
      <c r="AM811" s="97"/>
      <c r="AN811" s="97"/>
      <c r="AO811" s="97"/>
      <c r="AP811" s="97"/>
      <c r="AQ811" s="99"/>
      <c r="AR811" s="99"/>
      <c r="AS811" s="99"/>
    </row>
    <row r="812">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7"/>
      <c r="AC812" s="97"/>
      <c r="AD812" s="97"/>
      <c r="AE812" s="97"/>
      <c r="AF812" s="97"/>
      <c r="AG812" s="97"/>
      <c r="AH812" s="97"/>
      <c r="AI812" s="97"/>
      <c r="AJ812" s="97"/>
      <c r="AK812" s="97"/>
      <c r="AL812" s="97"/>
      <c r="AM812" s="97"/>
      <c r="AN812" s="97"/>
      <c r="AO812" s="97"/>
      <c r="AP812" s="97"/>
      <c r="AQ812" s="99"/>
      <c r="AR812" s="99"/>
      <c r="AS812" s="99"/>
    </row>
    <row r="813">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7"/>
      <c r="AC813" s="97"/>
      <c r="AD813" s="97"/>
      <c r="AE813" s="97"/>
      <c r="AF813" s="97"/>
      <c r="AG813" s="97"/>
      <c r="AH813" s="97"/>
      <c r="AI813" s="97"/>
      <c r="AJ813" s="97"/>
      <c r="AK813" s="97"/>
      <c r="AL813" s="97"/>
      <c r="AM813" s="97"/>
      <c r="AN813" s="97"/>
      <c r="AO813" s="97"/>
      <c r="AP813" s="97"/>
      <c r="AQ813" s="99"/>
      <c r="AR813" s="99"/>
      <c r="AS813" s="99"/>
    </row>
    <row r="814">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7"/>
      <c r="AC814" s="97"/>
      <c r="AD814" s="97"/>
      <c r="AE814" s="97"/>
      <c r="AF814" s="97"/>
      <c r="AG814" s="97"/>
      <c r="AH814" s="97"/>
      <c r="AI814" s="97"/>
      <c r="AJ814" s="97"/>
      <c r="AK814" s="97"/>
      <c r="AL814" s="97"/>
      <c r="AM814" s="97"/>
      <c r="AN814" s="97"/>
      <c r="AO814" s="97"/>
      <c r="AP814" s="97"/>
      <c r="AQ814" s="99"/>
      <c r="AR814" s="99"/>
      <c r="AS814" s="99"/>
    </row>
    <row r="81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7"/>
      <c r="AC815" s="97"/>
      <c r="AD815" s="97"/>
      <c r="AE815" s="97"/>
      <c r="AF815" s="97"/>
      <c r="AG815" s="97"/>
      <c r="AH815" s="97"/>
      <c r="AI815" s="97"/>
      <c r="AJ815" s="97"/>
      <c r="AK815" s="97"/>
      <c r="AL815" s="97"/>
      <c r="AM815" s="97"/>
      <c r="AN815" s="97"/>
      <c r="AO815" s="97"/>
      <c r="AP815" s="97"/>
      <c r="AQ815" s="99"/>
      <c r="AR815" s="99"/>
      <c r="AS815" s="99"/>
    </row>
    <row r="816">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7"/>
      <c r="AC816" s="97"/>
      <c r="AD816" s="97"/>
      <c r="AE816" s="97"/>
      <c r="AF816" s="97"/>
      <c r="AG816" s="97"/>
      <c r="AH816" s="97"/>
      <c r="AI816" s="97"/>
      <c r="AJ816" s="97"/>
      <c r="AK816" s="97"/>
      <c r="AL816" s="97"/>
      <c r="AM816" s="97"/>
      <c r="AN816" s="97"/>
      <c r="AO816" s="97"/>
      <c r="AP816" s="97"/>
      <c r="AQ816" s="99"/>
      <c r="AR816" s="99"/>
      <c r="AS816" s="99"/>
    </row>
    <row r="817">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97"/>
      <c r="AE817" s="97"/>
      <c r="AF817" s="97"/>
      <c r="AG817" s="97"/>
      <c r="AH817" s="97"/>
      <c r="AI817" s="97"/>
      <c r="AJ817" s="97"/>
      <c r="AK817" s="97"/>
      <c r="AL817" s="97"/>
      <c r="AM817" s="97"/>
      <c r="AN817" s="97"/>
      <c r="AO817" s="97"/>
      <c r="AP817" s="97"/>
      <c r="AQ817" s="99"/>
      <c r="AR817" s="99"/>
      <c r="AS817" s="99"/>
    </row>
    <row r="818">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c r="AE818" s="97"/>
      <c r="AF818" s="97"/>
      <c r="AG818" s="97"/>
      <c r="AH818" s="97"/>
      <c r="AI818" s="97"/>
      <c r="AJ818" s="97"/>
      <c r="AK818" s="97"/>
      <c r="AL818" s="97"/>
      <c r="AM818" s="97"/>
      <c r="AN818" s="97"/>
      <c r="AO818" s="97"/>
      <c r="AP818" s="97"/>
      <c r="AQ818" s="99"/>
      <c r="AR818" s="99"/>
      <c r="AS818" s="99"/>
    </row>
    <row r="819">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97"/>
      <c r="AE819" s="97"/>
      <c r="AF819" s="97"/>
      <c r="AG819" s="97"/>
      <c r="AH819" s="97"/>
      <c r="AI819" s="97"/>
      <c r="AJ819" s="97"/>
      <c r="AK819" s="97"/>
      <c r="AL819" s="97"/>
      <c r="AM819" s="97"/>
      <c r="AN819" s="97"/>
      <c r="AO819" s="97"/>
      <c r="AP819" s="97"/>
      <c r="AQ819" s="99"/>
      <c r="AR819" s="99"/>
      <c r="AS819" s="99"/>
    </row>
    <row r="820">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7"/>
      <c r="AC820" s="97"/>
      <c r="AD820" s="97"/>
      <c r="AE820" s="97"/>
      <c r="AF820" s="97"/>
      <c r="AG820" s="97"/>
      <c r="AH820" s="97"/>
      <c r="AI820" s="97"/>
      <c r="AJ820" s="97"/>
      <c r="AK820" s="97"/>
      <c r="AL820" s="97"/>
      <c r="AM820" s="97"/>
      <c r="AN820" s="97"/>
      <c r="AO820" s="97"/>
      <c r="AP820" s="97"/>
      <c r="AQ820" s="99"/>
      <c r="AR820" s="99"/>
      <c r="AS820" s="99"/>
    </row>
    <row r="82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7"/>
      <c r="AC821" s="97"/>
      <c r="AD821" s="97"/>
      <c r="AE821" s="97"/>
      <c r="AF821" s="97"/>
      <c r="AG821" s="97"/>
      <c r="AH821" s="97"/>
      <c r="AI821" s="97"/>
      <c r="AJ821" s="97"/>
      <c r="AK821" s="97"/>
      <c r="AL821" s="97"/>
      <c r="AM821" s="97"/>
      <c r="AN821" s="97"/>
      <c r="AO821" s="97"/>
      <c r="AP821" s="97"/>
      <c r="AQ821" s="99"/>
      <c r="AR821" s="99"/>
      <c r="AS821" s="99"/>
    </row>
    <row r="822">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c r="AE822" s="97"/>
      <c r="AF822" s="97"/>
      <c r="AG822" s="97"/>
      <c r="AH822" s="97"/>
      <c r="AI822" s="97"/>
      <c r="AJ822" s="97"/>
      <c r="AK822" s="97"/>
      <c r="AL822" s="97"/>
      <c r="AM822" s="97"/>
      <c r="AN822" s="97"/>
      <c r="AO822" s="97"/>
      <c r="AP822" s="97"/>
      <c r="AQ822" s="99"/>
      <c r="AR822" s="99"/>
      <c r="AS822" s="99"/>
    </row>
    <row r="823">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c r="AE823" s="97"/>
      <c r="AF823" s="97"/>
      <c r="AG823" s="97"/>
      <c r="AH823" s="97"/>
      <c r="AI823" s="97"/>
      <c r="AJ823" s="97"/>
      <c r="AK823" s="97"/>
      <c r="AL823" s="97"/>
      <c r="AM823" s="97"/>
      <c r="AN823" s="97"/>
      <c r="AO823" s="97"/>
      <c r="AP823" s="97"/>
      <c r="AQ823" s="99"/>
      <c r="AR823" s="99"/>
      <c r="AS823" s="99"/>
    </row>
    <row r="824">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c r="AE824" s="97"/>
      <c r="AF824" s="97"/>
      <c r="AG824" s="97"/>
      <c r="AH824" s="97"/>
      <c r="AI824" s="97"/>
      <c r="AJ824" s="97"/>
      <c r="AK824" s="97"/>
      <c r="AL824" s="97"/>
      <c r="AM824" s="97"/>
      <c r="AN824" s="97"/>
      <c r="AO824" s="97"/>
      <c r="AP824" s="97"/>
      <c r="AQ824" s="99"/>
      <c r="AR824" s="99"/>
      <c r="AS824" s="99"/>
    </row>
    <row r="82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c r="AE825" s="97"/>
      <c r="AF825" s="97"/>
      <c r="AG825" s="97"/>
      <c r="AH825" s="97"/>
      <c r="AI825" s="97"/>
      <c r="AJ825" s="97"/>
      <c r="AK825" s="97"/>
      <c r="AL825" s="97"/>
      <c r="AM825" s="97"/>
      <c r="AN825" s="97"/>
      <c r="AO825" s="97"/>
      <c r="AP825" s="97"/>
      <c r="AQ825" s="99"/>
      <c r="AR825" s="99"/>
      <c r="AS825" s="99"/>
    </row>
    <row r="826">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c r="AE826" s="97"/>
      <c r="AF826" s="97"/>
      <c r="AG826" s="97"/>
      <c r="AH826" s="97"/>
      <c r="AI826" s="97"/>
      <c r="AJ826" s="97"/>
      <c r="AK826" s="97"/>
      <c r="AL826" s="97"/>
      <c r="AM826" s="97"/>
      <c r="AN826" s="97"/>
      <c r="AO826" s="97"/>
      <c r="AP826" s="97"/>
      <c r="AQ826" s="99"/>
      <c r="AR826" s="99"/>
      <c r="AS826" s="99"/>
    </row>
    <row r="827">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c r="AE827" s="97"/>
      <c r="AF827" s="97"/>
      <c r="AG827" s="97"/>
      <c r="AH827" s="97"/>
      <c r="AI827" s="97"/>
      <c r="AJ827" s="97"/>
      <c r="AK827" s="97"/>
      <c r="AL827" s="97"/>
      <c r="AM827" s="97"/>
      <c r="AN827" s="97"/>
      <c r="AO827" s="97"/>
      <c r="AP827" s="97"/>
      <c r="AQ827" s="99"/>
      <c r="AR827" s="99"/>
      <c r="AS827" s="99"/>
    </row>
    <row r="828">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7"/>
      <c r="AC828" s="97"/>
      <c r="AD828" s="97"/>
      <c r="AE828" s="97"/>
      <c r="AF828" s="97"/>
      <c r="AG828" s="97"/>
      <c r="AH828" s="97"/>
      <c r="AI828" s="97"/>
      <c r="AJ828" s="97"/>
      <c r="AK828" s="97"/>
      <c r="AL828" s="97"/>
      <c r="AM828" s="97"/>
      <c r="AN828" s="97"/>
      <c r="AO828" s="97"/>
      <c r="AP828" s="97"/>
      <c r="AQ828" s="99"/>
      <c r="AR828" s="99"/>
      <c r="AS828" s="99"/>
    </row>
    <row r="829">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c r="AE829" s="97"/>
      <c r="AF829" s="97"/>
      <c r="AG829" s="97"/>
      <c r="AH829" s="97"/>
      <c r="AI829" s="97"/>
      <c r="AJ829" s="97"/>
      <c r="AK829" s="97"/>
      <c r="AL829" s="97"/>
      <c r="AM829" s="97"/>
      <c r="AN829" s="97"/>
      <c r="AO829" s="97"/>
      <c r="AP829" s="97"/>
      <c r="AQ829" s="99"/>
      <c r="AR829" s="99"/>
      <c r="AS829" s="99"/>
    </row>
    <row r="830">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c r="AE830" s="97"/>
      <c r="AF830" s="97"/>
      <c r="AG830" s="97"/>
      <c r="AH830" s="97"/>
      <c r="AI830" s="97"/>
      <c r="AJ830" s="97"/>
      <c r="AK830" s="97"/>
      <c r="AL830" s="97"/>
      <c r="AM830" s="97"/>
      <c r="AN830" s="97"/>
      <c r="AO830" s="97"/>
      <c r="AP830" s="97"/>
      <c r="AQ830" s="99"/>
      <c r="AR830" s="99"/>
      <c r="AS830" s="99"/>
    </row>
    <row r="83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c r="AE831" s="97"/>
      <c r="AF831" s="97"/>
      <c r="AG831" s="97"/>
      <c r="AH831" s="97"/>
      <c r="AI831" s="97"/>
      <c r="AJ831" s="97"/>
      <c r="AK831" s="97"/>
      <c r="AL831" s="97"/>
      <c r="AM831" s="97"/>
      <c r="AN831" s="97"/>
      <c r="AO831" s="97"/>
      <c r="AP831" s="97"/>
      <c r="AQ831" s="99"/>
      <c r="AR831" s="99"/>
      <c r="AS831" s="99"/>
    </row>
    <row r="832">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c r="AE832" s="97"/>
      <c r="AF832" s="97"/>
      <c r="AG832" s="97"/>
      <c r="AH832" s="97"/>
      <c r="AI832" s="97"/>
      <c r="AJ832" s="97"/>
      <c r="AK832" s="97"/>
      <c r="AL832" s="97"/>
      <c r="AM832" s="97"/>
      <c r="AN832" s="97"/>
      <c r="AO832" s="97"/>
      <c r="AP832" s="97"/>
      <c r="AQ832" s="99"/>
      <c r="AR832" s="99"/>
      <c r="AS832" s="99"/>
    </row>
    <row r="833">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7"/>
      <c r="AC833" s="97"/>
      <c r="AD833" s="97"/>
      <c r="AE833" s="97"/>
      <c r="AF833" s="97"/>
      <c r="AG833" s="97"/>
      <c r="AH833" s="97"/>
      <c r="AI833" s="97"/>
      <c r="AJ833" s="97"/>
      <c r="AK833" s="97"/>
      <c r="AL833" s="97"/>
      <c r="AM833" s="97"/>
      <c r="AN833" s="97"/>
      <c r="AO833" s="97"/>
      <c r="AP833" s="97"/>
      <c r="AQ833" s="99"/>
      <c r="AR833" s="99"/>
      <c r="AS833" s="99"/>
    </row>
    <row r="834">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7"/>
      <c r="AC834" s="97"/>
      <c r="AD834" s="97"/>
      <c r="AE834" s="97"/>
      <c r="AF834" s="97"/>
      <c r="AG834" s="97"/>
      <c r="AH834" s="97"/>
      <c r="AI834" s="97"/>
      <c r="AJ834" s="97"/>
      <c r="AK834" s="97"/>
      <c r="AL834" s="97"/>
      <c r="AM834" s="97"/>
      <c r="AN834" s="97"/>
      <c r="AO834" s="97"/>
      <c r="AP834" s="97"/>
      <c r="AQ834" s="99"/>
      <c r="AR834" s="99"/>
      <c r="AS834" s="99"/>
    </row>
    <row r="83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7"/>
      <c r="AC835" s="97"/>
      <c r="AD835" s="97"/>
      <c r="AE835" s="97"/>
      <c r="AF835" s="97"/>
      <c r="AG835" s="97"/>
      <c r="AH835" s="97"/>
      <c r="AI835" s="97"/>
      <c r="AJ835" s="97"/>
      <c r="AK835" s="97"/>
      <c r="AL835" s="97"/>
      <c r="AM835" s="97"/>
      <c r="AN835" s="97"/>
      <c r="AO835" s="97"/>
      <c r="AP835" s="97"/>
      <c r="AQ835" s="99"/>
      <c r="AR835" s="99"/>
      <c r="AS835" s="99"/>
    </row>
    <row r="836">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7"/>
      <c r="AC836" s="97"/>
      <c r="AD836" s="97"/>
      <c r="AE836" s="97"/>
      <c r="AF836" s="97"/>
      <c r="AG836" s="97"/>
      <c r="AH836" s="97"/>
      <c r="AI836" s="97"/>
      <c r="AJ836" s="97"/>
      <c r="AK836" s="97"/>
      <c r="AL836" s="97"/>
      <c r="AM836" s="97"/>
      <c r="AN836" s="97"/>
      <c r="AO836" s="97"/>
      <c r="AP836" s="97"/>
      <c r="AQ836" s="99"/>
      <c r="AR836" s="99"/>
      <c r="AS836" s="99"/>
    </row>
    <row r="837">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7"/>
      <c r="AC837" s="97"/>
      <c r="AD837" s="97"/>
      <c r="AE837" s="97"/>
      <c r="AF837" s="97"/>
      <c r="AG837" s="97"/>
      <c r="AH837" s="97"/>
      <c r="AI837" s="97"/>
      <c r="AJ837" s="97"/>
      <c r="AK837" s="97"/>
      <c r="AL837" s="97"/>
      <c r="AM837" s="97"/>
      <c r="AN837" s="97"/>
      <c r="AO837" s="97"/>
      <c r="AP837" s="97"/>
      <c r="AQ837" s="99"/>
      <c r="AR837" s="99"/>
      <c r="AS837" s="99"/>
    </row>
    <row r="838">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7"/>
      <c r="AC838" s="97"/>
      <c r="AD838" s="97"/>
      <c r="AE838" s="97"/>
      <c r="AF838" s="97"/>
      <c r="AG838" s="97"/>
      <c r="AH838" s="97"/>
      <c r="AI838" s="97"/>
      <c r="AJ838" s="97"/>
      <c r="AK838" s="97"/>
      <c r="AL838" s="97"/>
      <c r="AM838" s="97"/>
      <c r="AN838" s="97"/>
      <c r="AO838" s="97"/>
      <c r="AP838" s="97"/>
      <c r="AQ838" s="99"/>
      <c r="AR838" s="99"/>
      <c r="AS838" s="99"/>
    </row>
    <row r="839">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7"/>
      <c r="AC839" s="97"/>
      <c r="AD839" s="97"/>
      <c r="AE839" s="97"/>
      <c r="AF839" s="97"/>
      <c r="AG839" s="97"/>
      <c r="AH839" s="97"/>
      <c r="AI839" s="97"/>
      <c r="AJ839" s="97"/>
      <c r="AK839" s="97"/>
      <c r="AL839" s="97"/>
      <c r="AM839" s="97"/>
      <c r="AN839" s="97"/>
      <c r="AO839" s="97"/>
      <c r="AP839" s="97"/>
      <c r="AQ839" s="99"/>
      <c r="AR839" s="99"/>
      <c r="AS839" s="99"/>
    </row>
    <row r="840">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7"/>
      <c r="AC840" s="97"/>
      <c r="AD840" s="97"/>
      <c r="AE840" s="97"/>
      <c r="AF840" s="97"/>
      <c r="AG840" s="97"/>
      <c r="AH840" s="97"/>
      <c r="AI840" s="97"/>
      <c r="AJ840" s="97"/>
      <c r="AK840" s="97"/>
      <c r="AL840" s="97"/>
      <c r="AM840" s="97"/>
      <c r="AN840" s="97"/>
      <c r="AO840" s="97"/>
      <c r="AP840" s="97"/>
      <c r="AQ840" s="99"/>
      <c r="AR840" s="99"/>
      <c r="AS840" s="99"/>
    </row>
    <row r="84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7"/>
      <c r="AC841" s="97"/>
      <c r="AD841" s="97"/>
      <c r="AE841" s="97"/>
      <c r="AF841" s="97"/>
      <c r="AG841" s="97"/>
      <c r="AH841" s="97"/>
      <c r="AI841" s="97"/>
      <c r="AJ841" s="97"/>
      <c r="AK841" s="97"/>
      <c r="AL841" s="97"/>
      <c r="AM841" s="97"/>
      <c r="AN841" s="97"/>
      <c r="AO841" s="97"/>
      <c r="AP841" s="97"/>
      <c r="AQ841" s="99"/>
      <c r="AR841" s="99"/>
      <c r="AS841" s="99"/>
    </row>
    <row r="842">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7"/>
      <c r="AC842" s="97"/>
      <c r="AD842" s="97"/>
      <c r="AE842" s="97"/>
      <c r="AF842" s="97"/>
      <c r="AG842" s="97"/>
      <c r="AH842" s="97"/>
      <c r="AI842" s="97"/>
      <c r="AJ842" s="97"/>
      <c r="AK842" s="97"/>
      <c r="AL842" s="97"/>
      <c r="AM842" s="97"/>
      <c r="AN842" s="97"/>
      <c r="AO842" s="97"/>
      <c r="AP842" s="97"/>
      <c r="AQ842" s="99"/>
      <c r="AR842" s="99"/>
      <c r="AS842" s="99"/>
    </row>
    <row r="843">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7"/>
      <c r="AC843" s="97"/>
      <c r="AD843" s="97"/>
      <c r="AE843" s="97"/>
      <c r="AF843" s="97"/>
      <c r="AG843" s="97"/>
      <c r="AH843" s="97"/>
      <c r="AI843" s="97"/>
      <c r="AJ843" s="97"/>
      <c r="AK843" s="97"/>
      <c r="AL843" s="97"/>
      <c r="AM843" s="97"/>
      <c r="AN843" s="97"/>
      <c r="AO843" s="97"/>
      <c r="AP843" s="97"/>
      <c r="AQ843" s="99"/>
      <c r="AR843" s="99"/>
      <c r="AS843" s="99"/>
    </row>
    <row r="844">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7"/>
      <c r="AC844" s="97"/>
      <c r="AD844" s="97"/>
      <c r="AE844" s="97"/>
      <c r="AF844" s="97"/>
      <c r="AG844" s="97"/>
      <c r="AH844" s="97"/>
      <c r="AI844" s="97"/>
      <c r="AJ844" s="97"/>
      <c r="AK844" s="97"/>
      <c r="AL844" s="97"/>
      <c r="AM844" s="97"/>
      <c r="AN844" s="97"/>
      <c r="AO844" s="97"/>
      <c r="AP844" s="97"/>
      <c r="AQ844" s="99"/>
      <c r="AR844" s="99"/>
      <c r="AS844" s="99"/>
    </row>
    <row r="84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7"/>
      <c r="AC845" s="97"/>
      <c r="AD845" s="97"/>
      <c r="AE845" s="97"/>
      <c r="AF845" s="97"/>
      <c r="AG845" s="97"/>
      <c r="AH845" s="97"/>
      <c r="AI845" s="97"/>
      <c r="AJ845" s="97"/>
      <c r="AK845" s="97"/>
      <c r="AL845" s="97"/>
      <c r="AM845" s="97"/>
      <c r="AN845" s="97"/>
      <c r="AO845" s="97"/>
      <c r="AP845" s="97"/>
      <c r="AQ845" s="99"/>
      <c r="AR845" s="99"/>
      <c r="AS845" s="99"/>
    </row>
    <row r="846">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7"/>
      <c r="AC846" s="97"/>
      <c r="AD846" s="97"/>
      <c r="AE846" s="97"/>
      <c r="AF846" s="97"/>
      <c r="AG846" s="97"/>
      <c r="AH846" s="97"/>
      <c r="AI846" s="97"/>
      <c r="AJ846" s="97"/>
      <c r="AK846" s="97"/>
      <c r="AL846" s="97"/>
      <c r="AM846" s="97"/>
      <c r="AN846" s="97"/>
      <c r="AO846" s="97"/>
      <c r="AP846" s="97"/>
      <c r="AQ846" s="99"/>
      <c r="AR846" s="99"/>
      <c r="AS846" s="99"/>
    </row>
    <row r="847">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7"/>
      <c r="AC847" s="97"/>
      <c r="AD847" s="97"/>
      <c r="AE847" s="97"/>
      <c r="AF847" s="97"/>
      <c r="AG847" s="97"/>
      <c r="AH847" s="97"/>
      <c r="AI847" s="97"/>
      <c r="AJ847" s="97"/>
      <c r="AK847" s="97"/>
      <c r="AL847" s="97"/>
      <c r="AM847" s="97"/>
      <c r="AN847" s="97"/>
      <c r="AO847" s="97"/>
      <c r="AP847" s="97"/>
      <c r="AQ847" s="99"/>
      <c r="AR847" s="99"/>
      <c r="AS847" s="99"/>
    </row>
    <row r="848">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7"/>
      <c r="AC848" s="97"/>
      <c r="AD848" s="97"/>
      <c r="AE848" s="97"/>
      <c r="AF848" s="97"/>
      <c r="AG848" s="97"/>
      <c r="AH848" s="97"/>
      <c r="AI848" s="97"/>
      <c r="AJ848" s="97"/>
      <c r="AK848" s="97"/>
      <c r="AL848" s="97"/>
      <c r="AM848" s="97"/>
      <c r="AN848" s="97"/>
      <c r="AO848" s="97"/>
      <c r="AP848" s="97"/>
      <c r="AQ848" s="99"/>
      <c r="AR848" s="99"/>
      <c r="AS848" s="99"/>
    </row>
    <row r="849">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7"/>
      <c r="AC849" s="97"/>
      <c r="AD849" s="97"/>
      <c r="AE849" s="97"/>
      <c r="AF849" s="97"/>
      <c r="AG849" s="97"/>
      <c r="AH849" s="97"/>
      <c r="AI849" s="97"/>
      <c r="AJ849" s="97"/>
      <c r="AK849" s="97"/>
      <c r="AL849" s="97"/>
      <c r="AM849" s="97"/>
      <c r="AN849" s="97"/>
      <c r="AO849" s="97"/>
      <c r="AP849" s="97"/>
      <c r="AQ849" s="99"/>
      <c r="AR849" s="99"/>
      <c r="AS849" s="99"/>
    </row>
    <row r="850">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7"/>
      <c r="AC850" s="97"/>
      <c r="AD850" s="97"/>
      <c r="AE850" s="97"/>
      <c r="AF850" s="97"/>
      <c r="AG850" s="97"/>
      <c r="AH850" s="97"/>
      <c r="AI850" s="97"/>
      <c r="AJ850" s="97"/>
      <c r="AK850" s="97"/>
      <c r="AL850" s="97"/>
      <c r="AM850" s="97"/>
      <c r="AN850" s="97"/>
      <c r="AO850" s="97"/>
      <c r="AP850" s="97"/>
      <c r="AQ850" s="99"/>
      <c r="AR850" s="99"/>
      <c r="AS850" s="99"/>
    </row>
    <row r="85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7"/>
      <c r="AC851" s="97"/>
      <c r="AD851" s="97"/>
      <c r="AE851" s="97"/>
      <c r="AF851" s="97"/>
      <c r="AG851" s="97"/>
      <c r="AH851" s="97"/>
      <c r="AI851" s="97"/>
      <c r="AJ851" s="97"/>
      <c r="AK851" s="97"/>
      <c r="AL851" s="97"/>
      <c r="AM851" s="97"/>
      <c r="AN851" s="97"/>
      <c r="AO851" s="97"/>
      <c r="AP851" s="97"/>
      <c r="AQ851" s="99"/>
      <c r="AR851" s="99"/>
      <c r="AS851" s="99"/>
    </row>
    <row r="852">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7"/>
      <c r="AC852" s="97"/>
      <c r="AD852" s="97"/>
      <c r="AE852" s="97"/>
      <c r="AF852" s="97"/>
      <c r="AG852" s="97"/>
      <c r="AH852" s="97"/>
      <c r="AI852" s="97"/>
      <c r="AJ852" s="97"/>
      <c r="AK852" s="97"/>
      <c r="AL852" s="97"/>
      <c r="AM852" s="97"/>
      <c r="AN852" s="97"/>
      <c r="AO852" s="97"/>
      <c r="AP852" s="97"/>
      <c r="AQ852" s="99"/>
      <c r="AR852" s="99"/>
      <c r="AS852" s="99"/>
    </row>
    <row r="853">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7"/>
      <c r="AC853" s="97"/>
      <c r="AD853" s="97"/>
      <c r="AE853" s="97"/>
      <c r="AF853" s="97"/>
      <c r="AG853" s="97"/>
      <c r="AH853" s="97"/>
      <c r="AI853" s="97"/>
      <c r="AJ853" s="97"/>
      <c r="AK853" s="97"/>
      <c r="AL853" s="97"/>
      <c r="AM853" s="97"/>
      <c r="AN853" s="97"/>
      <c r="AO853" s="97"/>
      <c r="AP853" s="97"/>
      <c r="AQ853" s="99"/>
      <c r="AR853" s="99"/>
      <c r="AS853" s="99"/>
    </row>
    <row r="854">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7"/>
      <c r="AC854" s="97"/>
      <c r="AD854" s="97"/>
      <c r="AE854" s="97"/>
      <c r="AF854" s="97"/>
      <c r="AG854" s="97"/>
      <c r="AH854" s="97"/>
      <c r="AI854" s="97"/>
      <c r="AJ854" s="97"/>
      <c r="AK854" s="97"/>
      <c r="AL854" s="97"/>
      <c r="AM854" s="97"/>
      <c r="AN854" s="97"/>
      <c r="AO854" s="97"/>
      <c r="AP854" s="97"/>
      <c r="AQ854" s="99"/>
      <c r="AR854" s="99"/>
      <c r="AS854" s="99"/>
    </row>
    <row r="85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7"/>
      <c r="AC855" s="97"/>
      <c r="AD855" s="97"/>
      <c r="AE855" s="97"/>
      <c r="AF855" s="97"/>
      <c r="AG855" s="97"/>
      <c r="AH855" s="97"/>
      <c r="AI855" s="97"/>
      <c r="AJ855" s="97"/>
      <c r="AK855" s="97"/>
      <c r="AL855" s="97"/>
      <c r="AM855" s="97"/>
      <c r="AN855" s="97"/>
      <c r="AO855" s="97"/>
      <c r="AP855" s="97"/>
      <c r="AQ855" s="99"/>
      <c r="AR855" s="99"/>
      <c r="AS855" s="99"/>
    </row>
    <row r="856">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7"/>
      <c r="AC856" s="97"/>
      <c r="AD856" s="97"/>
      <c r="AE856" s="97"/>
      <c r="AF856" s="97"/>
      <c r="AG856" s="97"/>
      <c r="AH856" s="97"/>
      <c r="AI856" s="97"/>
      <c r="AJ856" s="97"/>
      <c r="AK856" s="97"/>
      <c r="AL856" s="97"/>
      <c r="AM856" s="97"/>
      <c r="AN856" s="97"/>
      <c r="AO856" s="97"/>
      <c r="AP856" s="97"/>
      <c r="AQ856" s="99"/>
      <c r="AR856" s="99"/>
      <c r="AS856" s="99"/>
    </row>
    <row r="857">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7"/>
      <c r="AC857" s="97"/>
      <c r="AD857" s="97"/>
      <c r="AE857" s="97"/>
      <c r="AF857" s="97"/>
      <c r="AG857" s="97"/>
      <c r="AH857" s="97"/>
      <c r="AI857" s="97"/>
      <c r="AJ857" s="97"/>
      <c r="AK857" s="97"/>
      <c r="AL857" s="97"/>
      <c r="AM857" s="97"/>
      <c r="AN857" s="97"/>
      <c r="AO857" s="97"/>
      <c r="AP857" s="97"/>
      <c r="AQ857" s="99"/>
      <c r="AR857" s="99"/>
      <c r="AS857" s="99"/>
    </row>
    <row r="858">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7"/>
      <c r="AC858" s="97"/>
      <c r="AD858" s="97"/>
      <c r="AE858" s="97"/>
      <c r="AF858" s="97"/>
      <c r="AG858" s="97"/>
      <c r="AH858" s="97"/>
      <c r="AI858" s="97"/>
      <c r="AJ858" s="97"/>
      <c r="AK858" s="97"/>
      <c r="AL858" s="97"/>
      <c r="AM858" s="97"/>
      <c r="AN858" s="97"/>
      <c r="AO858" s="97"/>
      <c r="AP858" s="97"/>
      <c r="AQ858" s="99"/>
      <c r="AR858" s="99"/>
      <c r="AS858" s="99"/>
    </row>
    <row r="859">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7"/>
      <c r="AC859" s="97"/>
      <c r="AD859" s="97"/>
      <c r="AE859" s="97"/>
      <c r="AF859" s="97"/>
      <c r="AG859" s="97"/>
      <c r="AH859" s="97"/>
      <c r="AI859" s="97"/>
      <c r="AJ859" s="97"/>
      <c r="AK859" s="97"/>
      <c r="AL859" s="97"/>
      <c r="AM859" s="97"/>
      <c r="AN859" s="97"/>
      <c r="AO859" s="97"/>
      <c r="AP859" s="97"/>
      <c r="AQ859" s="99"/>
      <c r="AR859" s="99"/>
      <c r="AS859" s="99"/>
    </row>
    <row r="860">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7"/>
      <c r="AC860" s="97"/>
      <c r="AD860" s="97"/>
      <c r="AE860" s="97"/>
      <c r="AF860" s="97"/>
      <c r="AG860" s="97"/>
      <c r="AH860" s="97"/>
      <c r="AI860" s="97"/>
      <c r="AJ860" s="97"/>
      <c r="AK860" s="97"/>
      <c r="AL860" s="97"/>
      <c r="AM860" s="97"/>
      <c r="AN860" s="97"/>
      <c r="AO860" s="97"/>
      <c r="AP860" s="97"/>
      <c r="AQ860" s="99"/>
      <c r="AR860" s="99"/>
      <c r="AS860" s="99"/>
    </row>
    <row r="86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c r="AE861" s="97"/>
      <c r="AF861" s="97"/>
      <c r="AG861" s="97"/>
      <c r="AH861" s="97"/>
      <c r="AI861" s="97"/>
      <c r="AJ861" s="97"/>
      <c r="AK861" s="97"/>
      <c r="AL861" s="97"/>
      <c r="AM861" s="97"/>
      <c r="AN861" s="97"/>
      <c r="AO861" s="97"/>
      <c r="AP861" s="97"/>
      <c r="AQ861" s="99"/>
      <c r="AR861" s="99"/>
      <c r="AS861" s="99"/>
    </row>
    <row r="862">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c r="AE862" s="97"/>
      <c r="AF862" s="97"/>
      <c r="AG862" s="97"/>
      <c r="AH862" s="97"/>
      <c r="AI862" s="97"/>
      <c r="AJ862" s="97"/>
      <c r="AK862" s="97"/>
      <c r="AL862" s="97"/>
      <c r="AM862" s="97"/>
      <c r="AN862" s="97"/>
      <c r="AO862" s="97"/>
      <c r="AP862" s="97"/>
      <c r="AQ862" s="99"/>
      <c r="AR862" s="99"/>
      <c r="AS862" s="99"/>
    </row>
    <row r="863">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c r="AE863" s="97"/>
      <c r="AF863" s="97"/>
      <c r="AG863" s="97"/>
      <c r="AH863" s="97"/>
      <c r="AI863" s="97"/>
      <c r="AJ863" s="97"/>
      <c r="AK863" s="97"/>
      <c r="AL863" s="97"/>
      <c r="AM863" s="97"/>
      <c r="AN863" s="97"/>
      <c r="AO863" s="97"/>
      <c r="AP863" s="97"/>
      <c r="AQ863" s="99"/>
      <c r="AR863" s="99"/>
      <c r="AS863" s="99"/>
    </row>
    <row r="864">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c r="AE864" s="97"/>
      <c r="AF864" s="97"/>
      <c r="AG864" s="97"/>
      <c r="AH864" s="97"/>
      <c r="AI864" s="97"/>
      <c r="AJ864" s="97"/>
      <c r="AK864" s="97"/>
      <c r="AL864" s="97"/>
      <c r="AM864" s="97"/>
      <c r="AN864" s="97"/>
      <c r="AO864" s="97"/>
      <c r="AP864" s="97"/>
      <c r="AQ864" s="99"/>
      <c r="AR864" s="99"/>
      <c r="AS864" s="99"/>
    </row>
    <row r="86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c r="AE865" s="97"/>
      <c r="AF865" s="97"/>
      <c r="AG865" s="97"/>
      <c r="AH865" s="97"/>
      <c r="AI865" s="97"/>
      <c r="AJ865" s="97"/>
      <c r="AK865" s="97"/>
      <c r="AL865" s="97"/>
      <c r="AM865" s="97"/>
      <c r="AN865" s="97"/>
      <c r="AO865" s="97"/>
      <c r="AP865" s="97"/>
      <c r="AQ865" s="99"/>
      <c r="AR865" s="99"/>
      <c r="AS865" s="99"/>
    </row>
    <row r="866">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c r="AE866" s="97"/>
      <c r="AF866" s="97"/>
      <c r="AG866" s="97"/>
      <c r="AH866" s="97"/>
      <c r="AI866" s="97"/>
      <c r="AJ866" s="97"/>
      <c r="AK866" s="97"/>
      <c r="AL866" s="97"/>
      <c r="AM866" s="97"/>
      <c r="AN866" s="97"/>
      <c r="AO866" s="97"/>
      <c r="AP866" s="97"/>
      <c r="AQ866" s="99"/>
      <c r="AR866" s="99"/>
      <c r="AS866" s="99"/>
    </row>
    <row r="867">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c r="AE867" s="97"/>
      <c r="AF867" s="97"/>
      <c r="AG867" s="97"/>
      <c r="AH867" s="97"/>
      <c r="AI867" s="97"/>
      <c r="AJ867" s="97"/>
      <c r="AK867" s="97"/>
      <c r="AL867" s="97"/>
      <c r="AM867" s="97"/>
      <c r="AN867" s="97"/>
      <c r="AO867" s="97"/>
      <c r="AP867" s="97"/>
      <c r="AQ867" s="99"/>
      <c r="AR867" s="99"/>
      <c r="AS867" s="99"/>
    </row>
    <row r="868">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c r="AE868" s="97"/>
      <c r="AF868" s="97"/>
      <c r="AG868" s="97"/>
      <c r="AH868" s="97"/>
      <c r="AI868" s="97"/>
      <c r="AJ868" s="97"/>
      <c r="AK868" s="97"/>
      <c r="AL868" s="97"/>
      <c r="AM868" s="97"/>
      <c r="AN868" s="97"/>
      <c r="AO868" s="97"/>
      <c r="AP868" s="97"/>
      <c r="AQ868" s="99"/>
      <c r="AR868" s="99"/>
      <c r="AS868" s="99"/>
    </row>
    <row r="869">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c r="AE869" s="97"/>
      <c r="AF869" s="97"/>
      <c r="AG869" s="97"/>
      <c r="AH869" s="97"/>
      <c r="AI869" s="97"/>
      <c r="AJ869" s="97"/>
      <c r="AK869" s="97"/>
      <c r="AL869" s="97"/>
      <c r="AM869" s="97"/>
      <c r="AN869" s="97"/>
      <c r="AO869" s="97"/>
      <c r="AP869" s="97"/>
      <c r="AQ869" s="99"/>
      <c r="AR869" s="99"/>
      <c r="AS869" s="99"/>
    </row>
    <row r="870">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c r="AE870" s="97"/>
      <c r="AF870" s="97"/>
      <c r="AG870" s="97"/>
      <c r="AH870" s="97"/>
      <c r="AI870" s="97"/>
      <c r="AJ870" s="97"/>
      <c r="AK870" s="97"/>
      <c r="AL870" s="97"/>
      <c r="AM870" s="97"/>
      <c r="AN870" s="97"/>
      <c r="AO870" s="97"/>
      <c r="AP870" s="97"/>
      <c r="AQ870" s="99"/>
      <c r="AR870" s="99"/>
      <c r="AS870" s="99"/>
    </row>
    <row r="87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c r="AE871" s="97"/>
      <c r="AF871" s="97"/>
      <c r="AG871" s="97"/>
      <c r="AH871" s="97"/>
      <c r="AI871" s="97"/>
      <c r="AJ871" s="97"/>
      <c r="AK871" s="97"/>
      <c r="AL871" s="97"/>
      <c r="AM871" s="97"/>
      <c r="AN871" s="97"/>
      <c r="AO871" s="97"/>
      <c r="AP871" s="97"/>
      <c r="AQ871" s="99"/>
      <c r="AR871" s="99"/>
      <c r="AS871" s="99"/>
    </row>
    <row r="872">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c r="AE872" s="97"/>
      <c r="AF872" s="97"/>
      <c r="AG872" s="97"/>
      <c r="AH872" s="97"/>
      <c r="AI872" s="97"/>
      <c r="AJ872" s="97"/>
      <c r="AK872" s="97"/>
      <c r="AL872" s="97"/>
      <c r="AM872" s="97"/>
      <c r="AN872" s="97"/>
      <c r="AO872" s="97"/>
      <c r="AP872" s="97"/>
      <c r="AQ872" s="99"/>
      <c r="AR872" s="99"/>
      <c r="AS872" s="99"/>
    </row>
    <row r="873">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97"/>
      <c r="AF873" s="97"/>
      <c r="AG873" s="97"/>
      <c r="AH873" s="97"/>
      <c r="AI873" s="97"/>
      <c r="AJ873" s="97"/>
      <c r="AK873" s="97"/>
      <c r="AL873" s="97"/>
      <c r="AM873" s="97"/>
      <c r="AN873" s="97"/>
      <c r="AO873" s="97"/>
      <c r="AP873" s="97"/>
      <c r="AQ873" s="99"/>
      <c r="AR873" s="99"/>
      <c r="AS873" s="99"/>
    </row>
    <row r="874">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c r="AE874" s="97"/>
      <c r="AF874" s="97"/>
      <c r="AG874" s="97"/>
      <c r="AH874" s="97"/>
      <c r="AI874" s="97"/>
      <c r="AJ874" s="97"/>
      <c r="AK874" s="97"/>
      <c r="AL874" s="97"/>
      <c r="AM874" s="97"/>
      <c r="AN874" s="97"/>
      <c r="AO874" s="97"/>
      <c r="AP874" s="97"/>
      <c r="AQ874" s="99"/>
      <c r="AR874" s="99"/>
      <c r="AS874" s="99"/>
    </row>
    <row r="87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c r="AE875" s="97"/>
      <c r="AF875" s="97"/>
      <c r="AG875" s="97"/>
      <c r="AH875" s="97"/>
      <c r="AI875" s="97"/>
      <c r="AJ875" s="97"/>
      <c r="AK875" s="97"/>
      <c r="AL875" s="97"/>
      <c r="AM875" s="97"/>
      <c r="AN875" s="97"/>
      <c r="AO875" s="97"/>
      <c r="AP875" s="97"/>
      <c r="AQ875" s="99"/>
      <c r="AR875" s="99"/>
      <c r="AS875" s="99"/>
    </row>
    <row r="876">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c r="AE876" s="97"/>
      <c r="AF876" s="97"/>
      <c r="AG876" s="97"/>
      <c r="AH876" s="97"/>
      <c r="AI876" s="97"/>
      <c r="AJ876" s="97"/>
      <c r="AK876" s="97"/>
      <c r="AL876" s="97"/>
      <c r="AM876" s="97"/>
      <c r="AN876" s="97"/>
      <c r="AO876" s="97"/>
      <c r="AP876" s="97"/>
      <c r="AQ876" s="99"/>
      <c r="AR876" s="99"/>
      <c r="AS876" s="99"/>
    </row>
    <row r="877">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c r="AE877" s="97"/>
      <c r="AF877" s="97"/>
      <c r="AG877" s="97"/>
      <c r="AH877" s="97"/>
      <c r="AI877" s="97"/>
      <c r="AJ877" s="97"/>
      <c r="AK877" s="97"/>
      <c r="AL877" s="97"/>
      <c r="AM877" s="97"/>
      <c r="AN877" s="97"/>
      <c r="AO877" s="97"/>
      <c r="AP877" s="97"/>
      <c r="AQ877" s="99"/>
      <c r="AR877" s="99"/>
      <c r="AS877" s="99"/>
    </row>
    <row r="878">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c r="AE878" s="97"/>
      <c r="AF878" s="97"/>
      <c r="AG878" s="97"/>
      <c r="AH878" s="97"/>
      <c r="AI878" s="97"/>
      <c r="AJ878" s="97"/>
      <c r="AK878" s="97"/>
      <c r="AL878" s="97"/>
      <c r="AM878" s="97"/>
      <c r="AN878" s="97"/>
      <c r="AO878" s="97"/>
      <c r="AP878" s="97"/>
      <c r="AQ878" s="99"/>
      <c r="AR878" s="99"/>
      <c r="AS878" s="99"/>
    </row>
    <row r="879">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c r="AE879" s="97"/>
      <c r="AF879" s="97"/>
      <c r="AG879" s="97"/>
      <c r="AH879" s="97"/>
      <c r="AI879" s="97"/>
      <c r="AJ879" s="97"/>
      <c r="AK879" s="97"/>
      <c r="AL879" s="97"/>
      <c r="AM879" s="97"/>
      <c r="AN879" s="97"/>
      <c r="AO879" s="97"/>
      <c r="AP879" s="97"/>
      <c r="AQ879" s="99"/>
      <c r="AR879" s="99"/>
      <c r="AS879" s="99"/>
    </row>
    <row r="880">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c r="AE880" s="97"/>
      <c r="AF880" s="97"/>
      <c r="AG880" s="97"/>
      <c r="AH880" s="97"/>
      <c r="AI880" s="97"/>
      <c r="AJ880" s="97"/>
      <c r="AK880" s="97"/>
      <c r="AL880" s="97"/>
      <c r="AM880" s="97"/>
      <c r="AN880" s="97"/>
      <c r="AO880" s="97"/>
      <c r="AP880" s="97"/>
      <c r="AQ880" s="99"/>
      <c r="AR880" s="99"/>
      <c r="AS880" s="99"/>
    </row>
    <row r="88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c r="AE881" s="97"/>
      <c r="AF881" s="97"/>
      <c r="AG881" s="97"/>
      <c r="AH881" s="97"/>
      <c r="AI881" s="97"/>
      <c r="AJ881" s="97"/>
      <c r="AK881" s="97"/>
      <c r="AL881" s="97"/>
      <c r="AM881" s="97"/>
      <c r="AN881" s="97"/>
      <c r="AO881" s="97"/>
      <c r="AP881" s="97"/>
      <c r="AQ881" s="99"/>
      <c r="AR881" s="99"/>
      <c r="AS881" s="99"/>
    </row>
    <row r="882">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c r="AE882" s="97"/>
      <c r="AF882" s="97"/>
      <c r="AG882" s="97"/>
      <c r="AH882" s="97"/>
      <c r="AI882" s="97"/>
      <c r="AJ882" s="97"/>
      <c r="AK882" s="97"/>
      <c r="AL882" s="97"/>
      <c r="AM882" s="97"/>
      <c r="AN882" s="97"/>
      <c r="AO882" s="97"/>
      <c r="AP882" s="97"/>
      <c r="AQ882" s="99"/>
      <c r="AR882" s="99"/>
      <c r="AS882" s="99"/>
    </row>
    <row r="883">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c r="AE883" s="97"/>
      <c r="AF883" s="97"/>
      <c r="AG883" s="97"/>
      <c r="AH883" s="97"/>
      <c r="AI883" s="97"/>
      <c r="AJ883" s="97"/>
      <c r="AK883" s="97"/>
      <c r="AL883" s="97"/>
      <c r="AM883" s="97"/>
      <c r="AN883" s="97"/>
      <c r="AO883" s="97"/>
      <c r="AP883" s="97"/>
      <c r="AQ883" s="99"/>
      <c r="AR883" s="99"/>
      <c r="AS883" s="99"/>
    </row>
    <row r="884">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c r="AE884" s="97"/>
      <c r="AF884" s="97"/>
      <c r="AG884" s="97"/>
      <c r="AH884" s="97"/>
      <c r="AI884" s="97"/>
      <c r="AJ884" s="97"/>
      <c r="AK884" s="97"/>
      <c r="AL884" s="97"/>
      <c r="AM884" s="97"/>
      <c r="AN884" s="97"/>
      <c r="AO884" s="97"/>
      <c r="AP884" s="97"/>
      <c r="AQ884" s="99"/>
      <c r="AR884" s="99"/>
      <c r="AS884" s="99"/>
    </row>
    <row r="88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c r="AE885" s="97"/>
      <c r="AF885" s="97"/>
      <c r="AG885" s="97"/>
      <c r="AH885" s="97"/>
      <c r="AI885" s="97"/>
      <c r="AJ885" s="97"/>
      <c r="AK885" s="97"/>
      <c r="AL885" s="97"/>
      <c r="AM885" s="97"/>
      <c r="AN885" s="97"/>
      <c r="AO885" s="97"/>
      <c r="AP885" s="97"/>
      <c r="AQ885" s="99"/>
      <c r="AR885" s="99"/>
      <c r="AS885" s="99"/>
    </row>
    <row r="886">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c r="AG886" s="97"/>
      <c r="AH886" s="97"/>
      <c r="AI886" s="97"/>
      <c r="AJ886" s="97"/>
      <c r="AK886" s="97"/>
      <c r="AL886" s="97"/>
      <c r="AM886" s="97"/>
      <c r="AN886" s="97"/>
      <c r="AO886" s="97"/>
      <c r="AP886" s="97"/>
      <c r="AQ886" s="99"/>
      <c r="AR886" s="99"/>
      <c r="AS886" s="99"/>
    </row>
    <row r="887">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c r="AE887" s="97"/>
      <c r="AF887" s="97"/>
      <c r="AG887" s="97"/>
      <c r="AH887" s="97"/>
      <c r="AI887" s="97"/>
      <c r="AJ887" s="97"/>
      <c r="AK887" s="97"/>
      <c r="AL887" s="97"/>
      <c r="AM887" s="97"/>
      <c r="AN887" s="97"/>
      <c r="AO887" s="97"/>
      <c r="AP887" s="97"/>
      <c r="AQ887" s="99"/>
      <c r="AR887" s="99"/>
      <c r="AS887" s="99"/>
    </row>
    <row r="888">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c r="AE888" s="97"/>
      <c r="AF888" s="97"/>
      <c r="AG888" s="97"/>
      <c r="AH888" s="97"/>
      <c r="AI888" s="97"/>
      <c r="AJ888" s="97"/>
      <c r="AK888" s="97"/>
      <c r="AL888" s="97"/>
      <c r="AM888" s="97"/>
      <c r="AN888" s="97"/>
      <c r="AO888" s="97"/>
      <c r="AP888" s="97"/>
      <c r="AQ888" s="99"/>
      <c r="AR888" s="99"/>
      <c r="AS888" s="99"/>
    </row>
    <row r="889">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c r="AE889" s="97"/>
      <c r="AF889" s="97"/>
      <c r="AG889" s="97"/>
      <c r="AH889" s="97"/>
      <c r="AI889" s="97"/>
      <c r="AJ889" s="97"/>
      <c r="AK889" s="97"/>
      <c r="AL889" s="97"/>
      <c r="AM889" s="97"/>
      <c r="AN889" s="97"/>
      <c r="AO889" s="97"/>
      <c r="AP889" s="97"/>
      <c r="AQ889" s="99"/>
      <c r="AR889" s="99"/>
      <c r="AS889" s="99"/>
    </row>
    <row r="890">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c r="AE890" s="97"/>
      <c r="AF890" s="97"/>
      <c r="AG890" s="97"/>
      <c r="AH890" s="97"/>
      <c r="AI890" s="97"/>
      <c r="AJ890" s="97"/>
      <c r="AK890" s="97"/>
      <c r="AL890" s="97"/>
      <c r="AM890" s="97"/>
      <c r="AN890" s="97"/>
      <c r="AO890" s="97"/>
      <c r="AP890" s="97"/>
      <c r="AQ890" s="99"/>
      <c r="AR890" s="99"/>
      <c r="AS890" s="99"/>
    </row>
    <row r="89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c r="AE891" s="97"/>
      <c r="AF891" s="97"/>
      <c r="AG891" s="97"/>
      <c r="AH891" s="97"/>
      <c r="AI891" s="97"/>
      <c r="AJ891" s="97"/>
      <c r="AK891" s="97"/>
      <c r="AL891" s="97"/>
      <c r="AM891" s="97"/>
      <c r="AN891" s="97"/>
      <c r="AO891" s="97"/>
      <c r="AP891" s="97"/>
      <c r="AQ891" s="99"/>
      <c r="AR891" s="99"/>
      <c r="AS891" s="99"/>
    </row>
    <row r="892">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c r="AE892" s="97"/>
      <c r="AF892" s="97"/>
      <c r="AG892" s="97"/>
      <c r="AH892" s="97"/>
      <c r="AI892" s="97"/>
      <c r="AJ892" s="97"/>
      <c r="AK892" s="97"/>
      <c r="AL892" s="97"/>
      <c r="AM892" s="97"/>
      <c r="AN892" s="97"/>
      <c r="AO892" s="97"/>
      <c r="AP892" s="97"/>
      <c r="AQ892" s="99"/>
      <c r="AR892" s="99"/>
      <c r="AS892" s="99"/>
    </row>
    <row r="893">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c r="AE893" s="97"/>
      <c r="AF893" s="97"/>
      <c r="AG893" s="97"/>
      <c r="AH893" s="97"/>
      <c r="AI893" s="97"/>
      <c r="AJ893" s="97"/>
      <c r="AK893" s="97"/>
      <c r="AL893" s="97"/>
      <c r="AM893" s="97"/>
      <c r="AN893" s="97"/>
      <c r="AO893" s="97"/>
      <c r="AP893" s="97"/>
      <c r="AQ893" s="99"/>
      <c r="AR893" s="99"/>
      <c r="AS893" s="99"/>
    </row>
    <row r="894">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c r="AE894" s="97"/>
      <c r="AF894" s="97"/>
      <c r="AG894" s="97"/>
      <c r="AH894" s="97"/>
      <c r="AI894" s="97"/>
      <c r="AJ894" s="97"/>
      <c r="AK894" s="97"/>
      <c r="AL894" s="97"/>
      <c r="AM894" s="97"/>
      <c r="AN894" s="97"/>
      <c r="AO894" s="97"/>
      <c r="AP894" s="97"/>
      <c r="AQ894" s="99"/>
      <c r="AR894" s="99"/>
      <c r="AS894" s="99"/>
    </row>
    <row r="89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c r="AE895" s="97"/>
      <c r="AF895" s="97"/>
      <c r="AG895" s="97"/>
      <c r="AH895" s="97"/>
      <c r="AI895" s="97"/>
      <c r="AJ895" s="97"/>
      <c r="AK895" s="97"/>
      <c r="AL895" s="97"/>
      <c r="AM895" s="97"/>
      <c r="AN895" s="97"/>
      <c r="AO895" s="97"/>
      <c r="AP895" s="97"/>
      <c r="AQ895" s="99"/>
      <c r="AR895" s="99"/>
      <c r="AS895" s="99"/>
    </row>
    <row r="896">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c r="AE896" s="97"/>
      <c r="AF896" s="97"/>
      <c r="AG896" s="97"/>
      <c r="AH896" s="97"/>
      <c r="AI896" s="97"/>
      <c r="AJ896" s="97"/>
      <c r="AK896" s="97"/>
      <c r="AL896" s="97"/>
      <c r="AM896" s="97"/>
      <c r="AN896" s="97"/>
      <c r="AO896" s="97"/>
      <c r="AP896" s="97"/>
      <c r="AQ896" s="99"/>
      <c r="AR896" s="99"/>
      <c r="AS896" s="99"/>
    </row>
    <row r="897">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c r="AE897" s="97"/>
      <c r="AF897" s="97"/>
      <c r="AG897" s="97"/>
      <c r="AH897" s="97"/>
      <c r="AI897" s="97"/>
      <c r="AJ897" s="97"/>
      <c r="AK897" s="97"/>
      <c r="AL897" s="97"/>
      <c r="AM897" s="97"/>
      <c r="AN897" s="97"/>
      <c r="AO897" s="97"/>
      <c r="AP897" s="97"/>
      <c r="AQ897" s="99"/>
      <c r="AR897" s="99"/>
      <c r="AS897" s="99"/>
    </row>
    <row r="898">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c r="AE898" s="97"/>
      <c r="AF898" s="97"/>
      <c r="AG898" s="97"/>
      <c r="AH898" s="97"/>
      <c r="AI898" s="97"/>
      <c r="AJ898" s="97"/>
      <c r="AK898" s="97"/>
      <c r="AL898" s="97"/>
      <c r="AM898" s="97"/>
      <c r="AN898" s="97"/>
      <c r="AO898" s="97"/>
      <c r="AP898" s="97"/>
      <c r="AQ898" s="99"/>
      <c r="AR898" s="99"/>
      <c r="AS898" s="99"/>
    </row>
    <row r="899">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c r="AE899" s="97"/>
      <c r="AF899" s="97"/>
      <c r="AG899" s="97"/>
      <c r="AH899" s="97"/>
      <c r="AI899" s="97"/>
      <c r="AJ899" s="97"/>
      <c r="AK899" s="97"/>
      <c r="AL899" s="97"/>
      <c r="AM899" s="97"/>
      <c r="AN899" s="97"/>
      <c r="AO899" s="97"/>
      <c r="AP899" s="97"/>
      <c r="AQ899" s="99"/>
      <c r="AR899" s="99"/>
      <c r="AS899" s="99"/>
    </row>
    <row r="900">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c r="AE900" s="97"/>
      <c r="AF900" s="97"/>
      <c r="AG900" s="97"/>
      <c r="AH900" s="97"/>
      <c r="AI900" s="97"/>
      <c r="AJ900" s="97"/>
      <c r="AK900" s="97"/>
      <c r="AL900" s="97"/>
      <c r="AM900" s="97"/>
      <c r="AN900" s="97"/>
      <c r="AO900" s="97"/>
      <c r="AP900" s="97"/>
      <c r="AQ900" s="99"/>
      <c r="AR900" s="99"/>
      <c r="AS900" s="99"/>
    </row>
    <row r="90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c r="AB901" s="97"/>
      <c r="AC901" s="97"/>
      <c r="AD901" s="97"/>
      <c r="AE901" s="97"/>
      <c r="AF901" s="97"/>
      <c r="AG901" s="97"/>
      <c r="AH901" s="97"/>
      <c r="AI901" s="97"/>
      <c r="AJ901" s="97"/>
      <c r="AK901" s="97"/>
      <c r="AL901" s="97"/>
      <c r="AM901" s="97"/>
      <c r="AN901" s="97"/>
      <c r="AO901" s="97"/>
      <c r="AP901" s="97"/>
      <c r="AQ901" s="99"/>
      <c r="AR901" s="99"/>
      <c r="AS901" s="99"/>
    </row>
    <row r="902">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c r="AB902" s="97"/>
      <c r="AC902" s="97"/>
      <c r="AD902" s="97"/>
      <c r="AE902" s="97"/>
      <c r="AF902" s="97"/>
      <c r="AG902" s="97"/>
      <c r="AH902" s="97"/>
      <c r="AI902" s="97"/>
      <c r="AJ902" s="97"/>
      <c r="AK902" s="97"/>
      <c r="AL902" s="97"/>
      <c r="AM902" s="97"/>
      <c r="AN902" s="97"/>
      <c r="AO902" s="97"/>
      <c r="AP902" s="97"/>
      <c r="AQ902" s="99"/>
      <c r="AR902" s="99"/>
      <c r="AS902" s="99"/>
    </row>
    <row r="903">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c r="AB903" s="97"/>
      <c r="AC903" s="97"/>
      <c r="AD903" s="97"/>
      <c r="AE903" s="97"/>
      <c r="AF903" s="97"/>
      <c r="AG903" s="97"/>
      <c r="AH903" s="97"/>
      <c r="AI903" s="97"/>
      <c r="AJ903" s="97"/>
      <c r="AK903" s="97"/>
      <c r="AL903" s="97"/>
      <c r="AM903" s="97"/>
      <c r="AN903" s="97"/>
      <c r="AO903" s="97"/>
      <c r="AP903" s="97"/>
      <c r="AQ903" s="99"/>
      <c r="AR903" s="99"/>
      <c r="AS903" s="99"/>
    </row>
    <row r="904">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c r="AB904" s="97"/>
      <c r="AC904" s="97"/>
      <c r="AD904" s="97"/>
      <c r="AE904" s="97"/>
      <c r="AF904" s="97"/>
      <c r="AG904" s="97"/>
      <c r="AH904" s="97"/>
      <c r="AI904" s="97"/>
      <c r="AJ904" s="97"/>
      <c r="AK904" s="97"/>
      <c r="AL904" s="97"/>
      <c r="AM904" s="97"/>
      <c r="AN904" s="97"/>
      <c r="AO904" s="97"/>
      <c r="AP904" s="97"/>
      <c r="AQ904" s="99"/>
      <c r="AR904" s="99"/>
      <c r="AS904" s="99"/>
    </row>
    <row r="90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c r="AB905" s="97"/>
      <c r="AC905" s="97"/>
      <c r="AD905" s="97"/>
      <c r="AE905" s="97"/>
      <c r="AF905" s="97"/>
      <c r="AG905" s="97"/>
      <c r="AH905" s="97"/>
      <c r="AI905" s="97"/>
      <c r="AJ905" s="97"/>
      <c r="AK905" s="97"/>
      <c r="AL905" s="97"/>
      <c r="AM905" s="97"/>
      <c r="AN905" s="97"/>
      <c r="AO905" s="97"/>
      <c r="AP905" s="97"/>
      <c r="AQ905" s="99"/>
      <c r="AR905" s="99"/>
      <c r="AS905" s="99"/>
    </row>
    <row r="906">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7"/>
      <c r="AC906" s="97"/>
      <c r="AD906" s="97"/>
      <c r="AE906" s="97"/>
      <c r="AF906" s="97"/>
      <c r="AG906" s="97"/>
      <c r="AH906" s="97"/>
      <c r="AI906" s="97"/>
      <c r="AJ906" s="97"/>
      <c r="AK906" s="97"/>
      <c r="AL906" s="97"/>
      <c r="AM906" s="97"/>
      <c r="AN906" s="97"/>
      <c r="AO906" s="97"/>
      <c r="AP906" s="97"/>
      <c r="AQ906" s="99"/>
      <c r="AR906" s="99"/>
      <c r="AS906" s="99"/>
    </row>
    <row r="907">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7"/>
      <c r="AC907" s="97"/>
      <c r="AD907" s="97"/>
      <c r="AE907" s="97"/>
      <c r="AF907" s="97"/>
      <c r="AG907" s="97"/>
      <c r="AH907" s="97"/>
      <c r="AI907" s="97"/>
      <c r="AJ907" s="97"/>
      <c r="AK907" s="97"/>
      <c r="AL907" s="97"/>
      <c r="AM907" s="97"/>
      <c r="AN907" s="97"/>
      <c r="AO907" s="97"/>
      <c r="AP907" s="97"/>
      <c r="AQ907" s="99"/>
      <c r="AR907" s="99"/>
      <c r="AS907" s="99"/>
    </row>
    <row r="908">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7"/>
      <c r="AC908" s="97"/>
      <c r="AD908" s="97"/>
      <c r="AE908" s="97"/>
      <c r="AF908" s="97"/>
      <c r="AG908" s="97"/>
      <c r="AH908" s="97"/>
      <c r="AI908" s="97"/>
      <c r="AJ908" s="97"/>
      <c r="AK908" s="97"/>
      <c r="AL908" s="97"/>
      <c r="AM908" s="97"/>
      <c r="AN908" s="97"/>
      <c r="AO908" s="97"/>
      <c r="AP908" s="97"/>
      <c r="AQ908" s="99"/>
      <c r="AR908" s="99"/>
      <c r="AS908" s="99"/>
    </row>
    <row r="909">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7"/>
      <c r="AC909" s="97"/>
      <c r="AD909" s="97"/>
      <c r="AE909" s="97"/>
      <c r="AF909" s="97"/>
      <c r="AG909" s="97"/>
      <c r="AH909" s="97"/>
      <c r="AI909" s="97"/>
      <c r="AJ909" s="97"/>
      <c r="AK909" s="97"/>
      <c r="AL909" s="97"/>
      <c r="AM909" s="97"/>
      <c r="AN909" s="97"/>
      <c r="AO909" s="97"/>
      <c r="AP909" s="97"/>
      <c r="AQ909" s="99"/>
      <c r="AR909" s="99"/>
      <c r="AS909" s="99"/>
    </row>
    <row r="910">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7"/>
      <c r="AC910" s="97"/>
      <c r="AD910" s="97"/>
      <c r="AE910" s="97"/>
      <c r="AF910" s="97"/>
      <c r="AG910" s="97"/>
      <c r="AH910" s="97"/>
      <c r="AI910" s="97"/>
      <c r="AJ910" s="97"/>
      <c r="AK910" s="97"/>
      <c r="AL910" s="97"/>
      <c r="AM910" s="97"/>
      <c r="AN910" s="97"/>
      <c r="AO910" s="97"/>
      <c r="AP910" s="97"/>
      <c r="AQ910" s="99"/>
      <c r="AR910" s="99"/>
      <c r="AS910" s="99"/>
    </row>
    <row r="91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7"/>
      <c r="AC911" s="97"/>
      <c r="AD911" s="97"/>
      <c r="AE911" s="97"/>
      <c r="AF911" s="97"/>
      <c r="AG911" s="97"/>
      <c r="AH911" s="97"/>
      <c r="AI911" s="97"/>
      <c r="AJ911" s="97"/>
      <c r="AK911" s="97"/>
      <c r="AL911" s="97"/>
      <c r="AM911" s="97"/>
      <c r="AN911" s="97"/>
      <c r="AO911" s="97"/>
      <c r="AP911" s="97"/>
      <c r="AQ911" s="99"/>
      <c r="AR911" s="99"/>
      <c r="AS911" s="99"/>
    </row>
    <row r="912">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c r="AB912" s="97"/>
      <c r="AC912" s="97"/>
      <c r="AD912" s="97"/>
      <c r="AE912" s="97"/>
      <c r="AF912" s="97"/>
      <c r="AG912" s="97"/>
      <c r="AH912" s="97"/>
      <c r="AI912" s="97"/>
      <c r="AJ912" s="97"/>
      <c r="AK912" s="97"/>
      <c r="AL912" s="97"/>
      <c r="AM912" s="97"/>
      <c r="AN912" s="97"/>
      <c r="AO912" s="97"/>
      <c r="AP912" s="97"/>
      <c r="AQ912" s="99"/>
      <c r="AR912" s="99"/>
      <c r="AS912" s="99"/>
    </row>
    <row r="913">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7"/>
      <c r="AC913" s="97"/>
      <c r="AD913" s="97"/>
      <c r="AE913" s="97"/>
      <c r="AF913" s="97"/>
      <c r="AG913" s="97"/>
      <c r="AH913" s="97"/>
      <c r="AI913" s="97"/>
      <c r="AJ913" s="97"/>
      <c r="AK913" s="97"/>
      <c r="AL913" s="97"/>
      <c r="AM913" s="97"/>
      <c r="AN913" s="97"/>
      <c r="AO913" s="97"/>
      <c r="AP913" s="97"/>
      <c r="AQ913" s="99"/>
      <c r="AR913" s="99"/>
      <c r="AS913" s="99"/>
    </row>
    <row r="914">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7"/>
      <c r="AC914" s="97"/>
      <c r="AD914" s="97"/>
      <c r="AE914" s="97"/>
      <c r="AF914" s="97"/>
      <c r="AG914" s="97"/>
      <c r="AH914" s="97"/>
      <c r="AI914" s="97"/>
      <c r="AJ914" s="97"/>
      <c r="AK914" s="97"/>
      <c r="AL914" s="97"/>
      <c r="AM914" s="97"/>
      <c r="AN914" s="97"/>
      <c r="AO914" s="97"/>
      <c r="AP914" s="97"/>
      <c r="AQ914" s="99"/>
      <c r="AR914" s="99"/>
      <c r="AS914" s="99"/>
    </row>
    <row r="91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c r="AE915" s="97"/>
      <c r="AF915" s="97"/>
      <c r="AG915" s="97"/>
      <c r="AH915" s="97"/>
      <c r="AI915" s="97"/>
      <c r="AJ915" s="97"/>
      <c r="AK915" s="97"/>
      <c r="AL915" s="97"/>
      <c r="AM915" s="97"/>
      <c r="AN915" s="97"/>
      <c r="AO915" s="97"/>
      <c r="AP915" s="97"/>
      <c r="AQ915" s="99"/>
      <c r="AR915" s="99"/>
      <c r="AS915" s="99"/>
    </row>
    <row r="916">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c r="AB916" s="97"/>
      <c r="AC916" s="97"/>
      <c r="AD916" s="97"/>
      <c r="AE916" s="97"/>
      <c r="AF916" s="97"/>
      <c r="AG916" s="97"/>
      <c r="AH916" s="97"/>
      <c r="AI916" s="97"/>
      <c r="AJ916" s="97"/>
      <c r="AK916" s="97"/>
      <c r="AL916" s="97"/>
      <c r="AM916" s="97"/>
      <c r="AN916" s="97"/>
      <c r="AO916" s="97"/>
      <c r="AP916" s="97"/>
      <c r="AQ916" s="99"/>
      <c r="AR916" s="99"/>
      <c r="AS916" s="99"/>
    </row>
    <row r="917">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c r="AB917" s="97"/>
      <c r="AC917" s="97"/>
      <c r="AD917" s="97"/>
      <c r="AE917" s="97"/>
      <c r="AF917" s="97"/>
      <c r="AG917" s="97"/>
      <c r="AH917" s="97"/>
      <c r="AI917" s="97"/>
      <c r="AJ917" s="97"/>
      <c r="AK917" s="97"/>
      <c r="AL917" s="97"/>
      <c r="AM917" s="97"/>
      <c r="AN917" s="97"/>
      <c r="AO917" s="97"/>
      <c r="AP917" s="97"/>
      <c r="AQ917" s="99"/>
      <c r="AR917" s="99"/>
      <c r="AS917" s="99"/>
    </row>
    <row r="918">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c r="AB918" s="97"/>
      <c r="AC918" s="97"/>
      <c r="AD918" s="97"/>
      <c r="AE918" s="97"/>
      <c r="AF918" s="97"/>
      <c r="AG918" s="97"/>
      <c r="AH918" s="97"/>
      <c r="AI918" s="97"/>
      <c r="AJ918" s="97"/>
      <c r="AK918" s="97"/>
      <c r="AL918" s="97"/>
      <c r="AM918" s="97"/>
      <c r="AN918" s="97"/>
      <c r="AO918" s="97"/>
      <c r="AP918" s="97"/>
      <c r="AQ918" s="99"/>
      <c r="AR918" s="99"/>
      <c r="AS918" s="99"/>
    </row>
    <row r="919">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c r="AB919" s="97"/>
      <c r="AC919" s="97"/>
      <c r="AD919" s="97"/>
      <c r="AE919" s="97"/>
      <c r="AF919" s="97"/>
      <c r="AG919" s="97"/>
      <c r="AH919" s="97"/>
      <c r="AI919" s="97"/>
      <c r="AJ919" s="97"/>
      <c r="AK919" s="97"/>
      <c r="AL919" s="97"/>
      <c r="AM919" s="97"/>
      <c r="AN919" s="97"/>
      <c r="AO919" s="97"/>
      <c r="AP919" s="97"/>
      <c r="AQ919" s="99"/>
      <c r="AR919" s="99"/>
      <c r="AS919" s="99"/>
    </row>
    <row r="920">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c r="AB920" s="97"/>
      <c r="AC920" s="97"/>
      <c r="AD920" s="97"/>
      <c r="AE920" s="97"/>
      <c r="AF920" s="97"/>
      <c r="AG920" s="97"/>
      <c r="AH920" s="97"/>
      <c r="AI920" s="97"/>
      <c r="AJ920" s="97"/>
      <c r="AK920" s="97"/>
      <c r="AL920" s="97"/>
      <c r="AM920" s="97"/>
      <c r="AN920" s="97"/>
      <c r="AO920" s="97"/>
      <c r="AP920" s="97"/>
      <c r="AQ920" s="99"/>
      <c r="AR920" s="99"/>
      <c r="AS920" s="99"/>
    </row>
    <row r="92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c r="AB921" s="97"/>
      <c r="AC921" s="97"/>
      <c r="AD921" s="97"/>
      <c r="AE921" s="97"/>
      <c r="AF921" s="97"/>
      <c r="AG921" s="97"/>
      <c r="AH921" s="97"/>
      <c r="AI921" s="97"/>
      <c r="AJ921" s="97"/>
      <c r="AK921" s="97"/>
      <c r="AL921" s="97"/>
      <c r="AM921" s="97"/>
      <c r="AN921" s="97"/>
      <c r="AO921" s="97"/>
      <c r="AP921" s="97"/>
      <c r="AQ921" s="99"/>
      <c r="AR921" s="99"/>
      <c r="AS921" s="99"/>
    </row>
    <row r="922">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c r="AB922" s="97"/>
      <c r="AC922" s="97"/>
      <c r="AD922" s="97"/>
      <c r="AE922" s="97"/>
      <c r="AF922" s="97"/>
      <c r="AG922" s="97"/>
      <c r="AH922" s="97"/>
      <c r="AI922" s="97"/>
      <c r="AJ922" s="97"/>
      <c r="AK922" s="97"/>
      <c r="AL922" s="97"/>
      <c r="AM922" s="97"/>
      <c r="AN922" s="97"/>
      <c r="AO922" s="97"/>
      <c r="AP922" s="97"/>
      <c r="AQ922" s="99"/>
      <c r="AR922" s="99"/>
      <c r="AS922" s="99"/>
    </row>
    <row r="923">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c r="AB923" s="97"/>
      <c r="AC923" s="97"/>
      <c r="AD923" s="97"/>
      <c r="AE923" s="97"/>
      <c r="AF923" s="97"/>
      <c r="AG923" s="97"/>
      <c r="AH923" s="97"/>
      <c r="AI923" s="97"/>
      <c r="AJ923" s="97"/>
      <c r="AK923" s="97"/>
      <c r="AL923" s="97"/>
      <c r="AM923" s="97"/>
      <c r="AN923" s="97"/>
      <c r="AO923" s="97"/>
      <c r="AP923" s="97"/>
      <c r="AQ923" s="99"/>
      <c r="AR923" s="99"/>
      <c r="AS923" s="99"/>
    </row>
    <row r="924">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c r="AB924" s="97"/>
      <c r="AC924" s="97"/>
      <c r="AD924" s="97"/>
      <c r="AE924" s="97"/>
      <c r="AF924" s="97"/>
      <c r="AG924" s="97"/>
      <c r="AH924" s="97"/>
      <c r="AI924" s="97"/>
      <c r="AJ924" s="97"/>
      <c r="AK924" s="97"/>
      <c r="AL924" s="97"/>
      <c r="AM924" s="97"/>
      <c r="AN924" s="97"/>
      <c r="AO924" s="97"/>
      <c r="AP924" s="97"/>
      <c r="AQ924" s="99"/>
      <c r="AR924" s="99"/>
      <c r="AS924" s="99"/>
    </row>
    <row r="92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c r="AB925" s="97"/>
      <c r="AC925" s="97"/>
      <c r="AD925" s="97"/>
      <c r="AE925" s="97"/>
      <c r="AF925" s="97"/>
      <c r="AG925" s="97"/>
      <c r="AH925" s="97"/>
      <c r="AI925" s="97"/>
      <c r="AJ925" s="97"/>
      <c r="AK925" s="97"/>
      <c r="AL925" s="97"/>
      <c r="AM925" s="97"/>
      <c r="AN925" s="97"/>
      <c r="AO925" s="97"/>
      <c r="AP925" s="97"/>
      <c r="AQ925" s="99"/>
      <c r="AR925" s="99"/>
      <c r="AS925" s="99"/>
    </row>
    <row r="926">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c r="AB926" s="97"/>
      <c r="AC926" s="97"/>
      <c r="AD926" s="97"/>
      <c r="AE926" s="97"/>
      <c r="AF926" s="97"/>
      <c r="AG926" s="97"/>
      <c r="AH926" s="97"/>
      <c r="AI926" s="97"/>
      <c r="AJ926" s="97"/>
      <c r="AK926" s="97"/>
      <c r="AL926" s="97"/>
      <c r="AM926" s="97"/>
      <c r="AN926" s="97"/>
      <c r="AO926" s="97"/>
      <c r="AP926" s="97"/>
      <c r="AQ926" s="99"/>
      <c r="AR926" s="99"/>
      <c r="AS926" s="99"/>
    </row>
    <row r="927">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c r="AB927" s="97"/>
      <c r="AC927" s="97"/>
      <c r="AD927" s="97"/>
      <c r="AE927" s="97"/>
      <c r="AF927" s="97"/>
      <c r="AG927" s="97"/>
      <c r="AH927" s="97"/>
      <c r="AI927" s="97"/>
      <c r="AJ927" s="97"/>
      <c r="AK927" s="97"/>
      <c r="AL927" s="97"/>
      <c r="AM927" s="97"/>
      <c r="AN927" s="97"/>
      <c r="AO927" s="97"/>
      <c r="AP927" s="97"/>
      <c r="AQ927" s="99"/>
      <c r="AR927" s="99"/>
      <c r="AS927" s="99"/>
    </row>
    <row r="928">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c r="AB928" s="97"/>
      <c r="AC928" s="97"/>
      <c r="AD928" s="97"/>
      <c r="AE928" s="97"/>
      <c r="AF928" s="97"/>
      <c r="AG928" s="97"/>
      <c r="AH928" s="97"/>
      <c r="AI928" s="97"/>
      <c r="AJ928" s="97"/>
      <c r="AK928" s="97"/>
      <c r="AL928" s="97"/>
      <c r="AM928" s="97"/>
      <c r="AN928" s="97"/>
      <c r="AO928" s="97"/>
      <c r="AP928" s="97"/>
      <c r="AQ928" s="99"/>
      <c r="AR928" s="99"/>
      <c r="AS928" s="99"/>
    </row>
    <row r="929">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c r="AB929" s="97"/>
      <c r="AC929" s="97"/>
      <c r="AD929" s="97"/>
      <c r="AE929" s="97"/>
      <c r="AF929" s="97"/>
      <c r="AG929" s="97"/>
      <c r="AH929" s="97"/>
      <c r="AI929" s="97"/>
      <c r="AJ929" s="97"/>
      <c r="AK929" s="97"/>
      <c r="AL929" s="97"/>
      <c r="AM929" s="97"/>
      <c r="AN929" s="97"/>
      <c r="AO929" s="97"/>
      <c r="AP929" s="97"/>
      <c r="AQ929" s="99"/>
      <c r="AR929" s="99"/>
      <c r="AS929" s="99"/>
    </row>
    <row r="930">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c r="AB930" s="97"/>
      <c r="AC930" s="97"/>
      <c r="AD930" s="97"/>
      <c r="AE930" s="97"/>
      <c r="AF930" s="97"/>
      <c r="AG930" s="97"/>
      <c r="AH930" s="97"/>
      <c r="AI930" s="97"/>
      <c r="AJ930" s="97"/>
      <c r="AK930" s="97"/>
      <c r="AL930" s="97"/>
      <c r="AM930" s="97"/>
      <c r="AN930" s="97"/>
      <c r="AO930" s="97"/>
      <c r="AP930" s="97"/>
      <c r="AQ930" s="99"/>
      <c r="AR930" s="99"/>
      <c r="AS930" s="99"/>
    </row>
    <row r="93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c r="AB931" s="97"/>
      <c r="AC931" s="97"/>
      <c r="AD931" s="97"/>
      <c r="AE931" s="97"/>
      <c r="AF931" s="97"/>
      <c r="AG931" s="97"/>
      <c r="AH931" s="97"/>
      <c r="AI931" s="97"/>
      <c r="AJ931" s="97"/>
      <c r="AK931" s="97"/>
      <c r="AL931" s="97"/>
      <c r="AM931" s="97"/>
      <c r="AN931" s="97"/>
      <c r="AO931" s="97"/>
      <c r="AP931" s="97"/>
      <c r="AQ931" s="99"/>
      <c r="AR931" s="99"/>
      <c r="AS931" s="99"/>
    </row>
    <row r="932">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c r="AB932" s="97"/>
      <c r="AC932" s="97"/>
      <c r="AD932" s="97"/>
      <c r="AE932" s="97"/>
      <c r="AF932" s="97"/>
      <c r="AG932" s="97"/>
      <c r="AH932" s="97"/>
      <c r="AI932" s="97"/>
      <c r="AJ932" s="97"/>
      <c r="AK932" s="97"/>
      <c r="AL932" s="97"/>
      <c r="AM932" s="97"/>
      <c r="AN932" s="97"/>
      <c r="AO932" s="97"/>
      <c r="AP932" s="97"/>
      <c r="AQ932" s="99"/>
      <c r="AR932" s="99"/>
      <c r="AS932" s="99"/>
    </row>
    <row r="933">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c r="AB933" s="97"/>
      <c r="AC933" s="97"/>
      <c r="AD933" s="97"/>
      <c r="AE933" s="97"/>
      <c r="AF933" s="97"/>
      <c r="AG933" s="97"/>
      <c r="AH933" s="97"/>
      <c r="AI933" s="97"/>
      <c r="AJ933" s="97"/>
      <c r="AK933" s="97"/>
      <c r="AL933" s="97"/>
      <c r="AM933" s="97"/>
      <c r="AN933" s="97"/>
      <c r="AO933" s="97"/>
      <c r="AP933" s="97"/>
      <c r="AQ933" s="99"/>
      <c r="AR933" s="99"/>
      <c r="AS933" s="99"/>
    </row>
    <row r="934">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c r="AB934" s="97"/>
      <c r="AC934" s="97"/>
      <c r="AD934" s="97"/>
      <c r="AE934" s="97"/>
      <c r="AF934" s="97"/>
      <c r="AG934" s="97"/>
      <c r="AH934" s="97"/>
      <c r="AI934" s="97"/>
      <c r="AJ934" s="97"/>
      <c r="AK934" s="97"/>
      <c r="AL934" s="97"/>
      <c r="AM934" s="97"/>
      <c r="AN934" s="97"/>
      <c r="AO934" s="97"/>
      <c r="AP934" s="97"/>
      <c r="AQ934" s="99"/>
      <c r="AR934" s="99"/>
      <c r="AS934" s="99"/>
    </row>
    <row r="93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c r="AB935" s="97"/>
      <c r="AC935" s="97"/>
      <c r="AD935" s="97"/>
      <c r="AE935" s="97"/>
      <c r="AF935" s="97"/>
      <c r="AG935" s="97"/>
      <c r="AH935" s="97"/>
      <c r="AI935" s="97"/>
      <c r="AJ935" s="97"/>
      <c r="AK935" s="97"/>
      <c r="AL935" s="97"/>
      <c r="AM935" s="97"/>
      <c r="AN935" s="97"/>
      <c r="AO935" s="97"/>
      <c r="AP935" s="97"/>
      <c r="AQ935" s="99"/>
      <c r="AR935" s="99"/>
      <c r="AS935" s="99"/>
    </row>
    <row r="936">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c r="AB936" s="97"/>
      <c r="AC936" s="97"/>
      <c r="AD936" s="97"/>
      <c r="AE936" s="97"/>
      <c r="AF936" s="97"/>
      <c r="AG936" s="97"/>
      <c r="AH936" s="97"/>
      <c r="AI936" s="97"/>
      <c r="AJ936" s="97"/>
      <c r="AK936" s="97"/>
      <c r="AL936" s="97"/>
      <c r="AM936" s="97"/>
      <c r="AN936" s="97"/>
      <c r="AO936" s="97"/>
      <c r="AP936" s="97"/>
      <c r="AQ936" s="99"/>
      <c r="AR936" s="99"/>
      <c r="AS936" s="99"/>
    </row>
    <row r="937">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c r="AB937" s="97"/>
      <c r="AC937" s="97"/>
      <c r="AD937" s="97"/>
      <c r="AE937" s="97"/>
      <c r="AF937" s="97"/>
      <c r="AG937" s="97"/>
      <c r="AH937" s="97"/>
      <c r="AI937" s="97"/>
      <c r="AJ937" s="97"/>
      <c r="AK937" s="97"/>
      <c r="AL937" s="97"/>
      <c r="AM937" s="97"/>
      <c r="AN937" s="97"/>
      <c r="AO937" s="97"/>
      <c r="AP937" s="97"/>
      <c r="AQ937" s="99"/>
      <c r="AR937" s="99"/>
      <c r="AS937" s="99"/>
    </row>
    <row r="938">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c r="AB938" s="97"/>
      <c r="AC938" s="97"/>
      <c r="AD938" s="97"/>
      <c r="AE938" s="97"/>
      <c r="AF938" s="97"/>
      <c r="AG938" s="97"/>
      <c r="AH938" s="97"/>
      <c r="AI938" s="97"/>
      <c r="AJ938" s="97"/>
      <c r="AK938" s="97"/>
      <c r="AL938" s="97"/>
      <c r="AM938" s="97"/>
      <c r="AN938" s="97"/>
      <c r="AO938" s="97"/>
      <c r="AP938" s="97"/>
      <c r="AQ938" s="99"/>
      <c r="AR938" s="99"/>
      <c r="AS938" s="99"/>
    </row>
    <row r="939">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c r="AB939" s="97"/>
      <c r="AC939" s="97"/>
      <c r="AD939" s="97"/>
      <c r="AE939" s="97"/>
      <c r="AF939" s="97"/>
      <c r="AG939" s="97"/>
      <c r="AH939" s="97"/>
      <c r="AI939" s="97"/>
      <c r="AJ939" s="97"/>
      <c r="AK939" s="97"/>
      <c r="AL939" s="97"/>
      <c r="AM939" s="97"/>
      <c r="AN939" s="97"/>
      <c r="AO939" s="97"/>
      <c r="AP939" s="97"/>
      <c r="AQ939" s="99"/>
      <c r="AR939" s="99"/>
      <c r="AS939" s="99"/>
    </row>
    <row r="940">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c r="AB940" s="97"/>
      <c r="AC940" s="97"/>
      <c r="AD940" s="97"/>
      <c r="AE940" s="97"/>
      <c r="AF940" s="97"/>
      <c r="AG940" s="97"/>
      <c r="AH940" s="97"/>
      <c r="AI940" s="97"/>
      <c r="AJ940" s="97"/>
      <c r="AK940" s="97"/>
      <c r="AL940" s="97"/>
      <c r="AM940" s="97"/>
      <c r="AN940" s="97"/>
      <c r="AO940" s="97"/>
      <c r="AP940" s="97"/>
      <c r="AQ940" s="99"/>
      <c r="AR940" s="99"/>
      <c r="AS940" s="99"/>
    </row>
    <row r="94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c r="AB941" s="97"/>
      <c r="AC941" s="97"/>
      <c r="AD941" s="97"/>
      <c r="AE941" s="97"/>
      <c r="AF941" s="97"/>
      <c r="AG941" s="97"/>
      <c r="AH941" s="97"/>
      <c r="AI941" s="97"/>
      <c r="AJ941" s="97"/>
      <c r="AK941" s="97"/>
      <c r="AL941" s="97"/>
      <c r="AM941" s="97"/>
      <c r="AN941" s="97"/>
      <c r="AO941" s="97"/>
      <c r="AP941" s="97"/>
      <c r="AQ941" s="99"/>
      <c r="AR941" s="99"/>
      <c r="AS941" s="99"/>
    </row>
    <row r="942">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c r="AB942" s="97"/>
      <c r="AC942" s="97"/>
      <c r="AD942" s="97"/>
      <c r="AE942" s="97"/>
      <c r="AF942" s="97"/>
      <c r="AG942" s="97"/>
      <c r="AH942" s="97"/>
      <c r="AI942" s="97"/>
      <c r="AJ942" s="97"/>
      <c r="AK942" s="97"/>
      <c r="AL942" s="97"/>
      <c r="AM942" s="97"/>
      <c r="AN942" s="97"/>
      <c r="AO942" s="97"/>
      <c r="AP942" s="97"/>
      <c r="AQ942" s="99"/>
      <c r="AR942" s="99"/>
      <c r="AS942" s="99"/>
    </row>
    <row r="943">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c r="AB943" s="97"/>
      <c r="AC943" s="97"/>
      <c r="AD943" s="97"/>
      <c r="AE943" s="97"/>
      <c r="AF943" s="97"/>
      <c r="AG943" s="97"/>
      <c r="AH943" s="97"/>
      <c r="AI943" s="97"/>
      <c r="AJ943" s="97"/>
      <c r="AK943" s="97"/>
      <c r="AL943" s="97"/>
      <c r="AM943" s="97"/>
      <c r="AN943" s="97"/>
      <c r="AO943" s="97"/>
      <c r="AP943" s="97"/>
      <c r="AQ943" s="99"/>
      <c r="AR943" s="99"/>
      <c r="AS943" s="99"/>
    </row>
    <row r="944">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c r="AB944" s="97"/>
      <c r="AC944" s="97"/>
      <c r="AD944" s="97"/>
      <c r="AE944" s="97"/>
      <c r="AF944" s="97"/>
      <c r="AG944" s="97"/>
      <c r="AH944" s="97"/>
      <c r="AI944" s="97"/>
      <c r="AJ944" s="97"/>
      <c r="AK944" s="97"/>
      <c r="AL944" s="97"/>
      <c r="AM944" s="97"/>
      <c r="AN944" s="97"/>
      <c r="AO944" s="97"/>
      <c r="AP944" s="97"/>
      <c r="AQ944" s="99"/>
      <c r="AR944" s="99"/>
      <c r="AS944" s="99"/>
    </row>
    <row r="94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c r="AB945" s="97"/>
      <c r="AC945" s="97"/>
      <c r="AD945" s="97"/>
      <c r="AE945" s="97"/>
      <c r="AF945" s="97"/>
      <c r="AG945" s="97"/>
      <c r="AH945" s="97"/>
      <c r="AI945" s="97"/>
      <c r="AJ945" s="97"/>
      <c r="AK945" s="97"/>
      <c r="AL945" s="97"/>
      <c r="AM945" s="97"/>
      <c r="AN945" s="97"/>
      <c r="AO945" s="97"/>
      <c r="AP945" s="97"/>
      <c r="AQ945" s="99"/>
      <c r="AR945" s="99"/>
      <c r="AS945" s="99"/>
    </row>
    <row r="946">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c r="AB946" s="97"/>
      <c r="AC946" s="97"/>
      <c r="AD946" s="97"/>
      <c r="AE946" s="97"/>
      <c r="AF946" s="97"/>
      <c r="AG946" s="97"/>
      <c r="AH946" s="97"/>
      <c r="AI946" s="97"/>
      <c r="AJ946" s="97"/>
      <c r="AK946" s="97"/>
      <c r="AL946" s="97"/>
      <c r="AM946" s="97"/>
      <c r="AN946" s="97"/>
      <c r="AO946" s="97"/>
      <c r="AP946" s="97"/>
      <c r="AQ946" s="99"/>
      <c r="AR946" s="99"/>
      <c r="AS946" s="99"/>
    </row>
    <row r="947">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c r="AB947" s="97"/>
      <c r="AC947" s="97"/>
      <c r="AD947" s="97"/>
      <c r="AE947" s="97"/>
      <c r="AF947" s="97"/>
      <c r="AG947" s="97"/>
      <c r="AH947" s="97"/>
      <c r="AI947" s="97"/>
      <c r="AJ947" s="97"/>
      <c r="AK947" s="97"/>
      <c r="AL947" s="97"/>
      <c r="AM947" s="97"/>
      <c r="AN947" s="97"/>
      <c r="AO947" s="97"/>
      <c r="AP947" s="97"/>
      <c r="AQ947" s="99"/>
      <c r="AR947" s="99"/>
      <c r="AS947" s="99"/>
    </row>
    <row r="948">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c r="AB948" s="97"/>
      <c r="AC948" s="97"/>
      <c r="AD948" s="97"/>
      <c r="AE948" s="97"/>
      <c r="AF948" s="97"/>
      <c r="AG948" s="97"/>
      <c r="AH948" s="97"/>
      <c r="AI948" s="97"/>
      <c r="AJ948" s="97"/>
      <c r="AK948" s="97"/>
      <c r="AL948" s="97"/>
      <c r="AM948" s="97"/>
      <c r="AN948" s="97"/>
      <c r="AO948" s="97"/>
      <c r="AP948" s="97"/>
      <c r="AQ948" s="99"/>
      <c r="AR948" s="99"/>
      <c r="AS948" s="99"/>
    </row>
    <row r="949">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c r="AB949" s="97"/>
      <c r="AC949" s="97"/>
      <c r="AD949" s="97"/>
      <c r="AE949" s="97"/>
      <c r="AF949" s="97"/>
      <c r="AG949" s="97"/>
      <c r="AH949" s="97"/>
      <c r="AI949" s="97"/>
      <c r="AJ949" s="97"/>
      <c r="AK949" s="97"/>
      <c r="AL949" s="97"/>
      <c r="AM949" s="97"/>
      <c r="AN949" s="97"/>
      <c r="AO949" s="97"/>
      <c r="AP949" s="97"/>
      <c r="AQ949" s="99"/>
      <c r="AR949" s="99"/>
      <c r="AS949" s="99"/>
    </row>
    <row r="950">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c r="AB950" s="97"/>
      <c r="AC950" s="97"/>
      <c r="AD950" s="97"/>
      <c r="AE950" s="97"/>
      <c r="AF950" s="97"/>
      <c r="AG950" s="97"/>
      <c r="AH950" s="97"/>
      <c r="AI950" s="97"/>
      <c r="AJ950" s="97"/>
      <c r="AK950" s="97"/>
      <c r="AL950" s="97"/>
      <c r="AM950" s="97"/>
      <c r="AN950" s="97"/>
      <c r="AO950" s="97"/>
      <c r="AP950" s="97"/>
      <c r="AQ950" s="99"/>
      <c r="AR950" s="99"/>
      <c r="AS950" s="99"/>
    </row>
    <row r="95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c r="AB951" s="97"/>
      <c r="AC951" s="97"/>
      <c r="AD951" s="97"/>
      <c r="AE951" s="97"/>
      <c r="AF951" s="97"/>
      <c r="AG951" s="97"/>
      <c r="AH951" s="97"/>
      <c r="AI951" s="97"/>
      <c r="AJ951" s="97"/>
      <c r="AK951" s="97"/>
      <c r="AL951" s="97"/>
      <c r="AM951" s="97"/>
      <c r="AN951" s="97"/>
      <c r="AO951" s="97"/>
      <c r="AP951" s="97"/>
      <c r="AQ951" s="99"/>
      <c r="AR951" s="99"/>
      <c r="AS951" s="99"/>
    </row>
    <row r="952">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c r="AB952" s="97"/>
      <c r="AC952" s="97"/>
      <c r="AD952" s="97"/>
      <c r="AE952" s="97"/>
      <c r="AF952" s="97"/>
      <c r="AG952" s="97"/>
      <c r="AH952" s="97"/>
      <c r="AI952" s="97"/>
      <c r="AJ952" s="97"/>
      <c r="AK952" s="97"/>
      <c r="AL952" s="97"/>
      <c r="AM952" s="97"/>
      <c r="AN952" s="97"/>
      <c r="AO952" s="97"/>
      <c r="AP952" s="97"/>
      <c r="AQ952" s="99"/>
      <c r="AR952" s="99"/>
      <c r="AS952" s="99"/>
    </row>
    <row r="953">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c r="AB953" s="97"/>
      <c r="AC953" s="97"/>
      <c r="AD953" s="97"/>
      <c r="AE953" s="97"/>
      <c r="AF953" s="97"/>
      <c r="AG953" s="97"/>
      <c r="AH953" s="97"/>
      <c r="AI953" s="97"/>
      <c r="AJ953" s="97"/>
      <c r="AK953" s="97"/>
      <c r="AL953" s="97"/>
      <c r="AM953" s="97"/>
      <c r="AN953" s="97"/>
      <c r="AO953" s="97"/>
      <c r="AP953" s="97"/>
      <c r="AQ953" s="99"/>
      <c r="AR953" s="99"/>
      <c r="AS953" s="99"/>
    </row>
    <row r="954">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c r="AB954" s="97"/>
      <c r="AC954" s="97"/>
      <c r="AD954" s="97"/>
      <c r="AE954" s="97"/>
      <c r="AF954" s="97"/>
      <c r="AG954" s="97"/>
      <c r="AH954" s="97"/>
      <c r="AI954" s="97"/>
      <c r="AJ954" s="97"/>
      <c r="AK954" s="97"/>
      <c r="AL954" s="97"/>
      <c r="AM954" s="97"/>
      <c r="AN954" s="97"/>
      <c r="AO954" s="97"/>
      <c r="AP954" s="97"/>
      <c r="AQ954" s="99"/>
      <c r="AR954" s="99"/>
      <c r="AS954" s="99"/>
    </row>
    <row r="955">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c r="AB955" s="97"/>
      <c r="AC955" s="97"/>
      <c r="AD955" s="97"/>
      <c r="AE955" s="97"/>
      <c r="AF955" s="97"/>
      <c r="AG955" s="97"/>
      <c r="AH955" s="97"/>
      <c r="AI955" s="97"/>
      <c r="AJ955" s="97"/>
      <c r="AK955" s="97"/>
      <c r="AL955" s="97"/>
      <c r="AM955" s="97"/>
      <c r="AN955" s="97"/>
      <c r="AO955" s="97"/>
      <c r="AP955" s="97"/>
      <c r="AQ955" s="99"/>
      <c r="AR955" s="99"/>
      <c r="AS955" s="99"/>
    </row>
    <row r="956">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c r="AB956" s="97"/>
      <c r="AC956" s="97"/>
      <c r="AD956" s="97"/>
      <c r="AE956" s="97"/>
      <c r="AF956" s="97"/>
      <c r="AG956" s="97"/>
      <c r="AH956" s="97"/>
      <c r="AI956" s="97"/>
      <c r="AJ956" s="97"/>
      <c r="AK956" s="97"/>
      <c r="AL956" s="97"/>
      <c r="AM956" s="97"/>
      <c r="AN956" s="97"/>
      <c r="AO956" s="97"/>
      <c r="AP956" s="97"/>
      <c r="AQ956" s="99"/>
      <c r="AR956" s="99"/>
      <c r="AS956" s="99"/>
    </row>
    <row r="957">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c r="AB957" s="97"/>
      <c r="AC957" s="97"/>
      <c r="AD957" s="97"/>
      <c r="AE957" s="97"/>
      <c r="AF957" s="97"/>
      <c r="AG957" s="97"/>
      <c r="AH957" s="97"/>
      <c r="AI957" s="97"/>
      <c r="AJ957" s="97"/>
      <c r="AK957" s="97"/>
      <c r="AL957" s="97"/>
      <c r="AM957" s="97"/>
      <c r="AN957" s="97"/>
      <c r="AO957" s="97"/>
      <c r="AP957" s="97"/>
      <c r="AQ957" s="99"/>
      <c r="AR957" s="99"/>
      <c r="AS957" s="99"/>
    </row>
    <row r="958">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c r="AB958" s="97"/>
      <c r="AC958" s="97"/>
      <c r="AD958" s="97"/>
      <c r="AE958" s="97"/>
      <c r="AF958" s="97"/>
      <c r="AG958" s="97"/>
      <c r="AH958" s="97"/>
      <c r="AI958" s="97"/>
      <c r="AJ958" s="97"/>
      <c r="AK958" s="97"/>
      <c r="AL958" s="97"/>
      <c r="AM958" s="97"/>
      <c r="AN958" s="97"/>
      <c r="AO958" s="97"/>
      <c r="AP958" s="97"/>
      <c r="AQ958" s="99"/>
      <c r="AR958" s="99"/>
      <c r="AS958" s="99"/>
    </row>
    <row r="959">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c r="AB959" s="97"/>
      <c r="AC959" s="97"/>
      <c r="AD959" s="97"/>
      <c r="AE959" s="97"/>
      <c r="AF959" s="97"/>
      <c r="AG959" s="97"/>
      <c r="AH959" s="97"/>
      <c r="AI959" s="97"/>
      <c r="AJ959" s="97"/>
      <c r="AK959" s="97"/>
      <c r="AL959" s="97"/>
      <c r="AM959" s="97"/>
      <c r="AN959" s="97"/>
      <c r="AO959" s="97"/>
      <c r="AP959" s="97"/>
      <c r="AQ959" s="99"/>
      <c r="AR959" s="99"/>
      <c r="AS959" s="99"/>
    </row>
    <row r="960">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c r="AB960" s="97"/>
      <c r="AC960" s="97"/>
      <c r="AD960" s="97"/>
      <c r="AE960" s="97"/>
      <c r="AF960" s="97"/>
      <c r="AG960" s="97"/>
      <c r="AH960" s="97"/>
      <c r="AI960" s="97"/>
      <c r="AJ960" s="97"/>
      <c r="AK960" s="97"/>
      <c r="AL960" s="97"/>
      <c r="AM960" s="97"/>
      <c r="AN960" s="97"/>
      <c r="AO960" s="97"/>
      <c r="AP960" s="97"/>
      <c r="AQ960" s="99"/>
      <c r="AR960" s="99"/>
      <c r="AS960" s="99"/>
    </row>
    <row r="96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c r="AB961" s="97"/>
      <c r="AC961" s="97"/>
      <c r="AD961" s="97"/>
      <c r="AE961" s="97"/>
      <c r="AF961" s="97"/>
      <c r="AG961" s="97"/>
      <c r="AH961" s="97"/>
      <c r="AI961" s="97"/>
      <c r="AJ961" s="97"/>
      <c r="AK961" s="97"/>
      <c r="AL961" s="97"/>
      <c r="AM961" s="97"/>
      <c r="AN961" s="97"/>
      <c r="AO961" s="97"/>
      <c r="AP961" s="97"/>
      <c r="AQ961" s="99"/>
      <c r="AR961" s="99"/>
      <c r="AS961" s="99"/>
    </row>
    <row r="962">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c r="AB962" s="97"/>
      <c r="AC962" s="97"/>
      <c r="AD962" s="97"/>
      <c r="AE962" s="97"/>
      <c r="AF962" s="97"/>
      <c r="AG962" s="97"/>
      <c r="AH962" s="97"/>
      <c r="AI962" s="97"/>
      <c r="AJ962" s="97"/>
      <c r="AK962" s="97"/>
      <c r="AL962" s="97"/>
      <c r="AM962" s="97"/>
      <c r="AN962" s="97"/>
      <c r="AO962" s="97"/>
      <c r="AP962" s="97"/>
      <c r="AQ962" s="99"/>
      <c r="AR962" s="99"/>
      <c r="AS962" s="99"/>
    </row>
    <row r="963">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c r="AB963" s="97"/>
      <c r="AC963" s="97"/>
      <c r="AD963" s="97"/>
      <c r="AE963" s="97"/>
      <c r="AF963" s="97"/>
      <c r="AG963" s="97"/>
      <c r="AH963" s="97"/>
      <c r="AI963" s="97"/>
      <c r="AJ963" s="97"/>
      <c r="AK963" s="97"/>
      <c r="AL963" s="97"/>
      <c r="AM963" s="97"/>
      <c r="AN963" s="97"/>
      <c r="AO963" s="97"/>
      <c r="AP963" s="97"/>
      <c r="AQ963" s="99"/>
      <c r="AR963" s="99"/>
      <c r="AS963" s="99"/>
    </row>
    <row r="964">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c r="AB964" s="97"/>
      <c r="AC964" s="97"/>
      <c r="AD964" s="97"/>
      <c r="AE964" s="97"/>
      <c r="AF964" s="97"/>
      <c r="AG964" s="97"/>
      <c r="AH964" s="97"/>
      <c r="AI964" s="97"/>
      <c r="AJ964" s="97"/>
      <c r="AK964" s="97"/>
      <c r="AL964" s="97"/>
      <c r="AM964" s="97"/>
      <c r="AN964" s="97"/>
      <c r="AO964" s="97"/>
      <c r="AP964" s="97"/>
      <c r="AQ964" s="99"/>
      <c r="AR964" s="99"/>
      <c r="AS964" s="99"/>
    </row>
    <row r="965">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c r="AB965" s="97"/>
      <c r="AC965" s="97"/>
      <c r="AD965" s="97"/>
      <c r="AE965" s="97"/>
      <c r="AF965" s="97"/>
      <c r="AG965" s="97"/>
      <c r="AH965" s="97"/>
      <c r="AI965" s="97"/>
      <c r="AJ965" s="97"/>
      <c r="AK965" s="97"/>
      <c r="AL965" s="97"/>
      <c r="AM965" s="97"/>
      <c r="AN965" s="97"/>
      <c r="AO965" s="97"/>
      <c r="AP965" s="97"/>
      <c r="AQ965" s="99"/>
      <c r="AR965" s="99"/>
      <c r="AS965" s="99"/>
    </row>
    <row r="966">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c r="AB966" s="97"/>
      <c r="AC966" s="97"/>
      <c r="AD966" s="97"/>
      <c r="AE966" s="97"/>
      <c r="AF966" s="97"/>
      <c r="AG966" s="97"/>
      <c r="AH966" s="97"/>
      <c r="AI966" s="97"/>
      <c r="AJ966" s="97"/>
      <c r="AK966" s="97"/>
      <c r="AL966" s="97"/>
      <c r="AM966" s="97"/>
      <c r="AN966" s="97"/>
      <c r="AO966" s="97"/>
      <c r="AP966" s="97"/>
      <c r="AQ966" s="99"/>
      <c r="AR966" s="99"/>
      <c r="AS966" s="99"/>
    </row>
    <row r="967">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c r="AB967" s="97"/>
      <c r="AC967" s="97"/>
      <c r="AD967" s="97"/>
      <c r="AE967" s="97"/>
      <c r="AF967" s="97"/>
      <c r="AG967" s="97"/>
      <c r="AH967" s="97"/>
      <c r="AI967" s="97"/>
      <c r="AJ967" s="97"/>
      <c r="AK967" s="97"/>
      <c r="AL967" s="97"/>
      <c r="AM967" s="97"/>
      <c r="AN967" s="97"/>
      <c r="AO967" s="97"/>
      <c r="AP967" s="97"/>
      <c r="AQ967" s="99"/>
      <c r="AR967" s="99"/>
      <c r="AS967" s="99"/>
    </row>
    <row r="968">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c r="AB968" s="97"/>
      <c r="AC968" s="97"/>
      <c r="AD968" s="97"/>
      <c r="AE968" s="97"/>
      <c r="AF968" s="97"/>
      <c r="AG968" s="97"/>
      <c r="AH968" s="97"/>
      <c r="AI968" s="97"/>
      <c r="AJ968" s="97"/>
      <c r="AK968" s="97"/>
      <c r="AL968" s="97"/>
      <c r="AM968" s="97"/>
      <c r="AN968" s="97"/>
      <c r="AO968" s="97"/>
      <c r="AP968" s="97"/>
      <c r="AQ968" s="99"/>
      <c r="AR968" s="99"/>
      <c r="AS968" s="99"/>
    </row>
    <row r="969">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c r="AF969" s="97"/>
      <c r="AG969" s="97"/>
      <c r="AH969" s="97"/>
      <c r="AI969" s="97"/>
      <c r="AJ969" s="97"/>
      <c r="AK969" s="97"/>
      <c r="AL969" s="97"/>
      <c r="AM969" s="97"/>
      <c r="AN969" s="97"/>
      <c r="AO969" s="97"/>
      <c r="AP969" s="97"/>
      <c r="AQ969" s="99"/>
      <c r="AR969" s="99"/>
      <c r="AS969" s="99"/>
    </row>
    <row r="970">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c r="AB970" s="97"/>
      <c r="AC970" s="97"/>
      <c r="AD970" s="97"/>
      <c r="AE970" s="97"/>
      <c r="AF970" s="97"/>
      <c r="AG970" s="97"/>
      <c r="AH970" s="97"/>
      <c r="AI970" s="97"/>
      <c r="AJ970" s="97"/>
      <c r="AK970" s="97"/>
      <c r="AL970" s="97"/>
      <c r="AM970" s="97"/>
      <c r="AN970" s="97"/>
      <c r="AO970" s="97"/>
      <c r="AP970" s="97"/>
      <c r="AQ970" s="99"/>
      <c r="AR970" s="99"/>
      <c r="AS970" s="99"/>
    </row>
    <row r="97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c r="AB971" s="97"/>
      <c r="AC971" s="97"/>
      <c r="AD971" s="97"/>
      <c r="AE971" s="97"/>
      <c r="AF971" s="97"/>
      <c r="AG971" s="97"/>
      <c r="AH971" s="97"/>
      <c r="AI971" s="97"/>
      <c r="AJ971" s="97"/>
      <c r="AK971" s="97"/>
      <c r="AL971" s="97"/>
      <c r="AM971" s="97"/>
      <c r="AN971" s="97"/>
      <c r="AO971" s="97"/>
      <c r="AP971" s="97"/>
      <c r="AQ971" s="99"/>
      <c r="AR971" s="99"/>
      <c r="AS971" s="99"/>
    </row>
    <row r="972">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c r="AB972" s="97"/>
      <c r="AC972" s="97"/>
      <c r="AD972" s="97"/>
      <c r="AE972" s="97"/>
      <c r="AF972" s="97"/>
      <c r="AG972" s="97"/>
      <c r="AH972" s="97"/>
      <c r="AI972" s="97"/>
      <c r="AJ972" s="97"/>
      <c r="AK972" s="97"/>
      <c r="AL972" s="97"/>
      <c r="AM972" s="97"/>
      <c r="AN972" s="97"/>
      <c r="AO972" s="97"/>
      <c r="AP972" s="97"/>
      <c r="AQ972" s="99"/>
      <c r="AR972" s="99"/>
      <c r="AS972" s="99"/>
    </row>
    <row r="973">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c r="AB973" s="97"/>
      <c r="AC973" s="97"/>
      <c r="AD973" s="97"/>
      <c r="AE973" s="97"/>
      <c r="AF973" s="97"/>
      <c r="AG973" s="97"/>
      <c r="AH973" s="97"/>
      <c r="AI973" s="97"/>
      <c r="AJ973" s="97"/>
      <c r="AK973" s="97"/>
      <c r="AL973" s="97"/>
      <c r="AM973" s="97"/>
      <c r="AN973" s="97"/>
      <c r="AO973" s="97"/>
      <c r="AP973" s="97"/>
      <c r="AQ973" s="99"/>
      <c r="AR973" s="99"/>
      <c r="AS973" s="99"/>
    </row>
    <row r="974">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c r="AB974" s="97"/>
      <c r="AC974" s="97"/>
      <c r="AD974" s="97"/>
      <c r="AE974" s="97"/>
      <c r="AF974" s="97"/>
      <c r="AG974" s="97"/>
      <c r="AH974" s="97"/>
      <c r="AI974" s="97"/>
      <c r="AJ974" s="97"/>
      <c r="AK974" s="97"/>
      <c r="AL974" s="97"/>
      <c r="AM974" s="97"/>
      <c r="AN974" s="97"/>
      <c r="AO974" s="97"/>
      <c r="AP974" s="97"/>
      <c r="AQ974" s="99"/>
      <c r="AR974" s="99"/>
      <c r="AS974" s="99"/>
    </row>
    <row r="975">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c r="AB975" s="97"/>
      <c r="AC975" s="97"/>
      <c r="AD975" s="97"/>
      <c r="AE975" s="97"/>
      <c r="AF975" s="97"/>
      <c r="AG975" s="97"/>
      <c r="AH975" s="97"/>
      <c r="AI975" s="97"/>
      <c r="AJ975" s="97"/>
      <c r="AK975" s="97"/>
      <c r="AL975" s="97"/>
      <c r="AM975" s="97"/>
      <c r="AN975" s="97"/>
      <c r="AO975" s="97"/>
      <c r="AP975" s="97"/>
      <c r="AQ975" s="99"/>
      <c r="AR975" s="99"/>
      <c r="AS975" s="99"/>
    </row>
    <row r="976">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c r="AB976" s="97"/>
      <c r="AC976" s="97"/>
      <c r="AD976" s="97"/>
      <c r="AE976" s="97"/>
      <c r="AF976" s="97"/>
      <c r="AG976" s="97"/>
      <c r="AH976" s="97"/>
      <c r="AI976" s="97"/>
      <c r="AJ976" s="97"/>
      <c r="AK976" s="97"/>
      <c r="AL976" s="97"/>
      <c r="AM976" s="97"/>
      <c r="AN976" s="97"/>
      <c r="AO976" s="97"/>
      <c r="AP976" s="97"/>
      <c r="AQ976" s="99"/>
      <c r="AR976" s="99"/>
      <c r="AS976" s="99"/>
    </row>
    <row r="977">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c r="AB977" s="97"/>
      <c r="AC977" s="97"/>
      <c r="AD977" s="97"/>
      <c r="AE977" s="97"/>
      <c r="AF977" s="97"/>
      <c r="AG977" s="97"/>
      <c r="AH977" s="97"/>
      <c r="AI977" s="97"/>
      <c r="AJ977" s="97"/>
      <c r="AK977" s="97"/>
      <c r="AL977" s="97"/>
      <c r="AM977" s="97"/>
      <c r="AN977" s="97"/>
      <c r="AO977" s="97"/>
      <c r="AP977" s="97"/>
      <c r="AQ977" s="99"/>
      <c r="AR977" s="99"/>
      <c r="AS977" s="99"/>
    </row>
    <row r="978">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c r="AB978" s="97"/>
      <c r="AC978" s="97"/>
      <c r="AD978" s="97"/>
      <c r="AE978" s="97"/>
      <c r="AF978" s="97"/>
      <c r="AG978" s="97"/>
      <c r="AH978" s="97"/>
      <c r="AI978" s="97"/>
      <c r="AJ978" s="97"/>
      <c r="AK978" s="97"/>
      <c r="AL978" s="97"/>
      <c r="AM978" s="97"/>
      <c r="AN978" s="97"/>
      <c r="AO978" s="97"/>
      <c r="AP978" s="97"/>
      <c r="AQ978" s="99"/>
      <c r="AR978" s="99"/>
      <c r="AS978" s="99"/>
    </row>
    <row r="979">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c r="AB979" s="97"/>
      <c r="AC979" s="97"/>
      <c r="AD979" s="97"/>
      <c r="AE979" s="97"/>
      <c r="AF979" s="97"/>
      <c r="AG979" s="97"/>
      <c r="AH979" s="97"/>
      <c r="AI979" s="97"/>
      <c r="AJ979" s="97"/>
      <c r="AK979" s="97"/>
      <c r="AL979" s="97"/>
      <c r="AM979" s="97"/>
      <c r="AN979" s="97"/>
      <c r="AO979" s="97"/>
      <c r="AP979" s="97"/>
      <c r="AQ979" s="99"/>
      <c r="AR979" s="99"/>
      <c r="AS979" s="99"/>
    </row>
    <row r="980">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c r="AB980" s="97"/>
      <c r="AC980" s="97"/>
      <c r="AD980" s="97"/>
      <c r="AE980" s="97"/>
      <c r="AF980" s="97"/>
      <c r="AG980" s="97"/>
      <c r="AH980" s="97"/>
      <c r="AI980" s="97"/>
      <c r="AJ980" s="97"/>
      <c r="AK980" s="97"/>
      <c r="AL980" s="97"/>
      <c r="AM980" s="97"/>
      <c r="AN980" s="97"/>
      <c r="AO980" s="97"/>
      <c r="AP980" s="97"/>
      <c r="AQ980" s="99"/>
      <c r="AR980" s="99"/>
      <c r="AS980" s="99"/>
    </row>
    <row r="98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c r="AB981" s="97"/>
      <c r="AC981" s="97"/>
      <c r="AD981" s="97"/>
      <c r="AE981" s="97"/>
      <c r="AF981" s="97"/>
      <c r="AG981" s="97"/>
      <c r="AH981" s="97"/>
      <c r="AI981" s="97"/>
      <c r="AJ981" s="97"/>
      <c r="AK981" s="97"/>
      <c r="AL981" s="97"/>
      <c r="AM981" s="97"/>
      <c r="AN981" s="97"/>
      <c r="AO981" s="97"/>
      <c r="AP981" s="97"/>
      <c r="AQ981" s="99"/>
      <c r="AR981" s="99"/>
      <c r="AS981" s="99"/>
    </row>
    <row r="982">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c r="AB982" s="97"/>
      <c r="AC982" s="97"/>
      <c r="AD982" s="97"/>
      <c r="AE982" s="97"/>
      <c r="AF982" s="97"/>
      <c r="AG982" s="97"/>
      <c r="AH982" s="97"/>
      <c r="AI982" s="97"/>
      <c r="AJ982" s="97"/>
      <c r="AK982" s="97"/>
      <c r="AL982" s="97"/>
      <c r="AM982" s="97"/>
      <c r="AN982" s="97"/>
      <c r="AO982" s="97"/>
      <c r="AP982" s="97"/>
      <c r="AQ982" s="99"/>
      <c r="AR982" s="99"/>
      <c r="AS982" s="99"/>
    </row>
    <row r="983">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c r="AB983" s="97"/>
      <c r="AC983" s="97"/>
      <c r="AD983" s="97"/>
      <c r="AE983" s="97"/>
      <c r="AF983" s="97"/>
      <c r="AG983" s="97"/>
      <c r="AH983" s="97"/>
      <c r="AI983" s="97"/>
      <c r="AJ983" s="97"/>
      <c r="AK983" s="97"/>
      <c r="AL983" s="97"/>
      <c r="AM983" s="97"/>
      <c r="AN983" s="97"/>
      <c r="AO983" s="97"/>
      <c r="AP983" s="97"/>
      <c r="AQ983" s="99"/>
      <c r="AR983" s="99"/>
      <c r="AS983" s="99"/>
    </row>
    <row r="984">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c r="AB984" s="97"/>
      <c r="AC984" s="97"/>
      <c r="AD984" s="97"/>
      <c r="AE984" s="97"/>
      <c r="AF984" s="97"/>
      <c r="AG984" s="97"/>
      <c r="AH984" s="97"/>
      <c r="AI984" s="97"/>
      <c r="AJ984" s="97"/>
      <c r="AK984" s="97"/>
      <c r="AL984" s="97"/>
      <c r="AM984" s="97"/>
      <c r="AN984" s="97"/>
      <c r="AO984" s="97"/>
      <c r="AP984" s="97"/>
      <c r="AQ984" s="99"/>
      <c r="AR984" s="99"/>
      <c r="AS984" s="99"/>
    </row>
    <row r="985">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c r="AB985" s="97"/>
      <c r="AC985" s="97"/>
      <c r="AD985" s="97"/>
      <c r="AE985" s="97"/>
      <c r="AF985" s="97"/>
      <c r="AG985" s="97"/>
      <c r="AH985" s="97"/>
      <c r="AI985" s="97"/>
      <c r="AJ985" s="97"/>
      <c r="AK985" s="97"/>
      <c r="AL985" s="97"/>
      <c r="AM985" s="97"/>
      <c r="AN985" s="97"/>
      <c r="AO985" s="97"/>
      <c r="AP985" s="97"/>
      <c r="AQ985" s="99"/>
      <c r="AR985" s="99"/>
      <c r="AS985" s="99"/>
    </row>
    <row r="986">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c r="AB986" s="97"/>
      <c r="AC986" s="97"/>
      <c r="AD986" s="97"/>
      <c r="AE986" s="97"/>
      <c r="AF986" s="97"/>
      <c r="AG986" s="97"/>
      <c r="AH986" s="97"/>
      <c r="AI986" s="97"/>
      <c r="AJ986" s="97"/>
      <c r="AK986" s="97"/>
      <c r="AL986" s="97"/>
      <c r="AM986" s="97"/>
      <c r="AN986" s="97"/>
      <c r="AO986" s="97"/>
      <c r="AP986" s="97"/>
      <c r="AQ986" s="99"/>
      <c r="AR986" s="99"/>
      <c r="AS986" s="99"/>
    </row>
    <row r="987">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c r="AB987" s="97"/>
      <c r="AC987" s="97"/>
      <c r="AD987" s="97"/>
      <c r="AE987" s="97"/>
      <c r="AF987" s="97"/>
      <c r="AG987" s="97"/>
      <c r="AH987" s="97"/>
      <c r="AI987" s="97"/>
      <c r="AJ987" s="97"/>
      <c r="AK987" s="97"/>
      <c r="AL987" s="97"/>
      <c r="AM987" s="97"/>
      <c r="AN987" s="97"/>
      <c r="AO987" s="97"/>
      <c r="AP987" s="97"/>
      <c r="AQ987" s="99"/>
      <c r="AR987" s="99"/>
      <c r="AS987" s="99"/>
    </row>
    <row r="988">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c r="AB988" s="97"/>
      <c r="AC988" s="97"/>
      <c r="AD988" s="97"/>
      <c r="AE988" s="97"/>
      <c r="AF988" s="97"/>
      <c r="AG988" s="97"/>
      <c r="AH988" s="97"/>
      <c r="AI988" s="97"/>
      <c r="AJ988" s="97"/>
      <c r="AK988" s="97"/>
      <c r="AL988" s="97"/>
      <c r="AM988" s="97"/>
      <c r="AN988" s="97"/>
      <c r="AO988" s="97"/>
      <c r="AP988" s="97"/>
      <c r="AQ988" s="99"/>
      <c r="AR988" s="99"/>
      <c r="AS988" s="99"/>
    </row>
    <row r="989">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c r="AB989" s="97"/>
      <c r="AC989" s="97"/>
      <c r="AD989" s="97"/>
      <c r="AE989" s="97"/>
      <c r="AF989" s="97"/>
      <c r="AG989" s="97"/>
      <c r="AH989" s="97"/>
      <c r="AI989" s="97"/>
      <c r="AJ989" s="97"/>
      <c r="AK989" s="97"/>
      <c r="AL989" s="97"/>
      <c r="AM989" s="97"/>
      <c r="AN989" s="97"/>
      <c r="AO989" s="97"/>
      <c r="AP989" s="97"/>
      <c r="AQ989" s="99"/>
      <c r="AR989" s="99"/>
      <c r="AS989" s="99"/>
    </row>
    <row r="990">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c r="AB990" s="97"/>
      <c r="AC990" s="97"/>
      <c r="AD990" s="97"/>
      <c r="AE990" s="97"/>
      <c r="AF990" s="97"/>
      <c r="AG990" s="97"/>
      <c r="AH990" s="97"/>
      <c r="AI990" s="97"/>
      <c r="AJ990" s="97"/>
      <c r="AK990" s="97"/>
      <c r="AL990" s="97"/>
      <c r="AM990" s="97"/>
      <c r="AN990" s="97"/>
      <c r="AO990" s="97"/>
      <c r="AP990" s="97"/>
      <c r="AQ990" s="99"/>
      <c r="AR990" s="99"/>
      <c r="AS990" s="99"/>
    </row>
    <row r="99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c r="AB991" s="97"/>
      <c r="AC991" s="97"/>
      <c r="AD991" s="97"/>
      <c r="AE991" s="97"/>
      <c r="AF991" s="97"/>
      <c r="AG991" s="97"/>
      <c r="AH991" s="97"/>
      <c r="AI991" s="97"/>
      <c r="AJ991" s="97"/>
      <c r="AK991" s="97"/>
      <c r="AL991" s="97"/>
      <c r="AM991" s="97"/>
      <c r="AN991" s="97"/>
      <c r="AO991" s="97"/>
      <c r="AP991" s="97"/>
      <c r="AQ991" s="99"/>
      <c r="AR991" s="99"/>
      <c r="AS991" s="99"/>
    </row>
    <row r="992">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c r="AB992" s="97"/>
      <c r="AC992" s="97"/>
      <c r="AD992" s="97"/>
      <c r="AE992" s="97"/>
      <c r="AF992" s="97"/>
      <c r="AG992" s="97"/>
      <c r="AH992" s="97"/>
      <c r="AI992" s="97"/>
      <c r="AJ992" s="97"/>
      <c r="AK992" s="97"/>
      <c r="AL992" s="97"/>
      <c r="AM992" s="97"/>
      <c r="AN992" s="97"/>
      <c r="AO992" s="97"/>
      <c r="AP992" s="97"/>
      <c r="AQ992" s="99"/>
      <c r="AR992" s="99"/>
      <c r="AS992" s="99"/>
    </row>
    <row r="993">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c r="AB993" s="97"/>
      <c r="AC993" s="97"/>
      <c r="AD993" s="97"/>
      <c r="AE993" s="97"/>
      <c r="AF993" s="97"/>
      <c r="AG993" s="97"/>
      <c r="AH993" s="97"/>
      <c r="AI993" s="97"/>
      <c r="AJ993" s="97"/>
      <c r="AK993" s="97"/>
      <c r="AL993" s="97"/>
      <c r="AM993" s="97"/>
      <c r="AN993" s="97"/>
      <c r="AO993" s="97"/>
      <c r="AP993" s="97"/>
      <c r="AQ993" s="99"/>
      <c r="AR993" s="99"/>
      <c r="AS993" s="99"/>
    </row>
    <row r="994">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c r="AB994" s="97"/>
      <c r="AC994" s="97"/>
      <c r="AD994" s="97"/>
      <c r="AE994" s="97"/>
      <c r="AF994" s="97"/>
      <c r="AG994" s="97"/>
      <c r="AH994" s="97"/>
      <c r="AI994" s="97"/>
      <c r="AJ994" s="97"/>
      <c r="AK994" s="97"/>
      <c r="AL994" s="97"/>
      <c r="AM994" s="97"/>
      <c r="AN994" s="97"/>
      <c r="AO994" s="97"/>
      <c r="AP994" s="97"/>
      <c r="AQ994" s="99"/>
      <c r="AR994" s="99"/>
      <c r="AS994" s="99"/>
    </row>
    <row r="995">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c r="AA995" s="97"/>
      <c r="AB995" s="97"/>
      <c r="AC995" s="97"/>
      <c r="AD995" s="97"/>
      <c r="AE995" s="97"/>
      <c r="AF995" s="97"/>
      <c r="AG995" s="97"/>
      <c r="AH995" s="97"/>
      <c r="AI995" s="97"/>
      <c r="AJ995" s="97"/>
      <c r="AK995" s="97"/>
      <c r="AL995" s="97"/>
      <c r="AM995" s="97"/>
      <c r="AN995" s="97"/>
      <c r="AO995" s="97"/>
      <c r="AP995" s="97"/>
      <c r="AQ995" s="99"/>
      <c r="AR995" s="99"/>
      <c r="AS995" s="99"/>
    </row>
    <row r="996">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c r="AA996" s="97"/>
      <c r="AB996" s="97"/>
      <c r="AC996" s="97"/>
      <c r="AD996" s="97"/>
      <c r="AE996" s="97"/>
      <c r="AF996" s="97"/>
      <c r="AG996" s="97"/>
      <c r="AH996" s="97"/>
      <c r="AI996" s="97"/>
      <c r="AJ996" s="97"/>
      <c r="AK996" s="97"/>
      <c r="AL996" s="97"/>
      <c r="AM996" s="97"/>
      <c r="AN996" s="97"/>
      <c r="AO996" s="97"/>
      <c r="AP996" s="97"/>
      <c r="AQ996" s="99"/>
      <c r="AR996" s="99"/>
      <c r="AS996" s="99"/>
    </row>
    <row r="997">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c r="AA997" s="97"/>
      <c r="AB997" s="97"/>
      <c r="AC997" s="97"/>
      <c r="AD997" s="97"/>
      <c r="AE997" s="97"/>
      <c r="AF997" s="97"/>
      <c r="AG997" s="97"/>
      <c r="AH997" s="97"/>
      <c r="AI997" s="97"/>
      <c r="AJ997" s="97"/>
      <c r="AK997" s="97"/>
      <c r="AL997" s="97"/>
      <c r="AM997" s="97"/>
      <c r="AN997" s="97"/>
      <c r="AO997" s="97"/>
      <c r="AP997" s="97"/>
      <c r="AQ997" s="99"/>
      <c r="AR997" s="99"/>
      <c r="AS997" s="99"/>
    </row>
    <row r="998">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c r="AA998" s="97"/>
      <c r="AB998" s="97"/>
      <c r="AC998" s="97"/>
      <c r="AD998" s="97"/>
      <c r="AE998" s="97"/>
      <c r="AF998" s="97"/>
      <c r="AG998" s="97"/>
      <c r="AH998" s="97"/>
      <c r="AI998" s="97"/>
      <c r="AJ998" s="97"/>
      <c r="AK998" s="97"/>
      <c r="AL998" s="97"/>
      <c r="AM998" s="97"/>
      <c r="AN998" s="97"/>
      <c r="AO998" s="97"/>
      <c r="AP998" s="97"/>
      <c r="AQ998" s="99"/>
      <c r="AR998" s="99"/>
      <c r="AS998" s="99"/>
    </row>
    <row r="999">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c r="AB999" s="97"/>
      <c r="AC999" s="97"/>
      <c r="AD999" s="97"/>
      <c r="AE999" s="97"/>
      <c r="AF999" s="97"/>
      <c r="AG999" s="97"/>
      <c r="AH999" s="97"/>
      <c r="AI999" s="97"/>
      <c r="AJ999" s="97"/>
      <c r="AK999" s="97"/>
      <c r="AL999" s="97"/>
      <c r="AM999" s="97"/>
      <c r="AN999" s="97"/>
      <c r="AO999" s="97"/>
      <c r="AP999" s="97"/>
      <c r="AQ999" s="99"/>
      <c r="AR999" s="99"/>
      <c r="AS999" s="99"/>
    </row>
    <row r="1000">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c r="AA1000" s="97"/>
      <c r="AB1000" s="97"/>
      <c r="AC1000" s="97"/>
      <c r="AD1000" s="97"/>
      <c r="AE1000" s="97"/>
      <c r="AF1000" s="97"/>
      <c r="AG1000" s="97"/>
      <c r="AH1000" s="97"/>
      <c r="AI1000" s="97"/>
      <c r="AJ1000" s="97"/>
      <c r="AK1000" s="97"/>
      <c r="AL1000" s="97"/>
      <c r="AM1000" s="97"/>
      <c r="AN1000" s="97"/>
      <c r="AO1000" s="97"/>
      <c r="AP1000" s="97"/>
      <c r="AQ1000" s="99"/>
      <c r="AR1000" s="99"/>
      <c r="AS1000" s="99"/>
    </row>
  </sheetData>
  <dataValidations>
    <dataValidation type="list" allowBlank="1" showDropDown="1" sqref="AQ2:AQ1000">
      <formula1>'UF Comp Metrics List'!$B$2:$B$27</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3.25"/>
    <col customWidth="1" min="2" max="2" width="9.38"/>
    <col customWidth="1" min="3" max="3" width="4.0"/>
    <col customWidth="1" min="4" max="4" width="9.38"/>
    <col customWidth="1" hidden="1" min="5" max="5" width="35.38"/>
    <col customWidth="1" hidden="1" min="6" max="6" width="9.38"/>
    <col customWidth="1" min="7" max="8" width="9.38"/>
    <col customWidth="1" hidden="1" min="9" max="22" width="9.38"/>
    <col customWidth="1" min="23" max="23" width="9.38"/>
    <col customWidth="1" min="24" max="24" width="32.63"/>
    <col customWidth="1" hidden="1" min="25" max="39" width="9.38"/>
    <col customWidth="1" min="40" max="40" width="16.75"/>
    <col customWidth="1" min="41" max="41" width="9.5"/>
    <col customWidth="1" min="42" max="42" width="28.38"/>
  </cols>
  <sheetData>
    <row r="1" ht="77.25" customHeight="1">
      <c r="A1" s="6" t="s">
        <v>4</v>
      </c>
      <c r="B1" s="6" t="s">
        <v>2323</v>
      </c>
      <c r="C1" s="6" t="s">
        <v>2324</v>
      </c>
      <c r="D1" s="6" t="s">
        <v>2325</v>
      </c>
      <c r="E1" s="7" t="s">
        <v>2326</v>
      </c>
      <c r="F1" s="7" t="s">
        <v>2327</v>
      </c>
      <c r="G1" s="7" t="s">
        <v>2328</v>
      </c>
      <c r="H1" s="7" t="s">
        <v>10</v>
      </c>
      <c r="I1" s="7" t="s">
        <v>11</v>
      </c>
      <c r="J1" s="7" t="s">
        <v>12</v>
      </c>
      <c r="K1" s="7" t="s">
        <v>2329</v>
      </c>
      <c r="L1" s="7" t="s">
        <v>2330</v>
      </c>
      <c r="M1" s="7" t="s">
        <v>15</v>
      </c>
      <c r="N1" s="7" t="s">
        <v>2331</v>
      </c>
      <c r="O1" s="7" t="s">
        <v>17</v>
      </c>
      <c r="P1" s="7" t="s">
        <v>2332</v>
      </c>
      <c r="Q1" s="7" t="s">
        <v>2333</v>
      </c>
      <c r="R1" s="7" t="s">
        <v>2334</v>
      </c>
      <c r="S1" s="7" t="s">
        <v>2335</v>
      </c>
      <c r="T1" s="7" t="s">
        <v>2336</v>
      </c>
      <c r="U1" s="7" t="s">
        <v>2337</v>
      </c>
      <c r="V1" s="7" t="s">
        <v>22</v>
      </c>
      <c r="W1" s="7" t="s">
        <v>23</v>
      </c>
      <c r="X1" s="7" t="s">
        <v>2338</v>
      </c>
      <c r="Y1" s="7" t="s">
        <v>2339</v>
      </c>
      <c r="Z1" s="7" t="s">
        <v>2340</v>
      </c>
      <c r="AA1" s="7" t="s">
        <v>2341</v>
      </c>
      <c r="AB1" s="7" t="s">
        <v>2342</v>
      </c>
      <c r="AC1" s="7" t="s">
        <v>35</v>
      </c>
      <c r="AD1" s="7" t="s">
        <v>2343</v>
      </c>
      <c r="AE1" s="7" t="s">
        <v>2344</v>
      </c>
      <c r="AF1" s="7" t="s">
        <v>2345</v>
      </c>
      <c r="AG1" s="7" t="s">
        <v>43</v>
      </c>
      <c r="AH1" s="7" t="s">
        <v>2346</v>
      </c>
      <c r="AI1" s="7" t="s">
        <v>2347</v>
      </c>
      <c r="AJ1" s="7" t="s">
        <v>2348</v>
      </c>
      <c r="AK1" s="7" t="s">
        <v>2349</v>
      </c>
      <c r="AL1" s="6" t="s">
        <v>44</v>
      </c>
      <c r="AM1" s="6" t="s">
        <v>2350</v>
      </c>
      <c r="AN1" s="162" t="s">
        <v>2351</v>
      </c>
      <c r="AO1" s="101" t="s">
        <v>47</v>
      </c>
      <c r="AP1" s="101" t="s">
        <v>48</v>
      </c>
    </row>
    <row r="2">
      <c r="A2" s="102">
        <v>2.0</v>
      </c>
      <c r="B2" s="34">
        <v>8.79385439E8</v>
      </c>
      <c r="C2" s="34" t="s">
        <v>2352</v>
      </c>
      <c r="D2" s="34" t="s">
        <v>2353</v>
      </c>
      <c r="E2" s="35" t="s">
        <v>2354</v>
      </c>
      <c r="F2" s="35" t="s">
        <v>2355</v>
      </c>
      <c r="G2" s="35" t="s">
        <v>2356</v>
      </c>
      <c r="H2" s="35" t="s">
        <v>2357</v>
      </c>
      <c r="I2" s="35">
        <v>2017.0</v>
      </c>
      <c r="J2" s="35" t="s">
        <v>2358</v>
      </c>
      <c r="K2" s="35" t="s">
        <v>730</v>
      </c>
      <c r="L2" s="35" t="s">
        <v>2359</v>
      </c>
      <c r="M2" s="35" t="s">
        <v>57</v>
      </c>
      <c r="N2" s="35" t="s">
        <v>2356</v>
      </c>
      <c r="O2" s="35" t="s">
        <v>2360</v>
      </c>
      <c r="P2" s="35" t="s">
        <v>2361</v>
      </c>
      <c r="Q2" s="35" t="s">
        <v>93</v>
      </c>
      <c r="R2" s="35" t="s">
        <v>57</v>
      </c>
      <c r="S2" s="35" t="s">
        <v>57</v>
      </c>
      <c r="T2" s="35" t="s">
        <v>69</v>
      </c>
      <c r="U2" s="35" t="s">
        <v>2362</v>
      </c>
      <c r="V2" s="35" t="s">
        <v>96</v>
      </c>
      <c r="W2" s="35" t="s">
        <v>749</v>
      </c>
      <c r="X2" s="35" t="s">
        <v>2363</v>
      </c>
      <c r="Y2" s="35" t="s">
        <v>2364</v>
      </c>
      <c r="Z2" s="35" t="s">
        <v>2365</v>
      </c>
      <c r="AA2" s="35" t="s">
        <v>57</v>
      </c>
      <c r="AB2" s="35" t="s">
        <v>57</v>
      </c>
      <c r="AC2" s="35" t="s">
        <v>74</v>
      </c>
      <c r="AD2" s="35" t="s">
        <v>96</v>
      </c>
      <c r="AE2" s="35" t="s">
        <v>2366</v>
      </c>
      <c r="AF2" s="35" t="s">
        <v>69</v>
      </c>
      <c r="AG2" s="35" t="s">
        <v>129</v>
      </c>
      <c r="AH2" s="35" t="s">
        <v>129</v>
      </c>
      <c r="AI2" s="35" t="s">
        <v>57</v>
      </c>
      <c r="AJ2" s="35" t="s">
        <v>57</v>
      </c>
      <c r="AK2" s="35" t="s">
        <v>4128</v>
      </c>
      <c r="AL2" s="34"/>
      <c r="AM2" s="34" t="s">
        <v>109</v>
      </c>
      <c r="AN2" s="163"/>
      <c r="AO2" s="103"/>
      <c r="AP2" s="103" t="s">
        <v>4103</v>
      </c>
    </row>
    <row r="3">
      <c r="A3" s="102">
        <v>4.0</v>
      </c>
      <c r="B3" s="34">
        <v>8.97599677E8</v>
      </c>
      <c r="C3" s="34" t="s">
        <v>2369</v>
      </c>
      <c r="D3" s="34" t="s">
        <v>2370</v>
      </c>
      <c r="E3" s="35" t="s">
        <v>2371</v>
      </c>
      <c r="F3" s="43" t="s">
        <v>2372</v>
      </c>
      <c r="G3" s="35" t="s">
        <v>172</v>
      </c>
      <c r="H3" s="43" t="s">
        <v>2373</v>
      </c>
      <c r="I3" s="35">
        <v>2017.0</v>
      </c>
      <c r="J3" s="35" t="s">
        <v>2374</v>
      </c>
      <c r="K3" s="35" t="s">
        <v>730</v>
      </c>
      <c r="L3" s="35" t="s">
        <v>2375</v>
      </c>
      <c r="M3" s="35" t="s">
        <v>57</v>
      </c>
      <c r="N3" s="35" t="s">
        <v>172</v>
      </c>
      <c r="O3" s="35" t="s">
        <v>2376</v>
      </c>
      <c r="P3" s="35" t="s">
        <v>2377</v>
      </c>
      <c r="Q3" s="35" t="s">
        <v>93</v>
      </c>
      <c r="R3" s="35" t="s">
        <v>57</v>
      </c>
      <c r="S3" s="35" t="s">
        <v>57</v>
      </c>
      <c r="T3" s="35" t="s">
        <v>69</v>
      </c>
      <c r="U3" s="35" t="s">
        <v>2378</v>
      </c>
      <c r="V3" s="35" t="s">
        <v>96</v>
      </c>
      <c r="W3" s="35" t="s">
        <v>1976</v>
      </c>
      <c r="X3" s="35" t="s">
        <v>2379</v>
      </c>
      <c r="Y3" s="35" t="s">
        <v>2380</v>
      </c>
      <c r="Z3" s="35" t="s">
        <v>2381</v>
      </c>
      <c r="AA3" s="35">
        <v>1997.0</v>
      </c>
      <c r="AB3" s="35">
        <v>2013.0</v>
      </c>
      <c r="AC3" s="35" t="s">
        <v>74</v>
      </c>
      <c r="AD3" s="35" t="s">
        <v>96</v>
      </c>
      <c r="AE3" s="35" t="s">
        <v>2382</v>
      </c>
      <c r="AF3" s="35" t="s">
        <v>69</v>
      </c>
      <c r="AG3" s="35" t="s">
        <v>307</v>
      </c>
      <c r="AH3" s="35" t="s">
        <v>2067</v>
      </c>
      <c r="AI3" s="35" t="s">
        <v>129</v>
      </c>
      <c r="AJ3" s="35" t="s">
        <v>57</v>
      </c>
      <c r="AK3" s="35" t="s">
        <v>2383</v>
      </c>
      <c r="AL3" s="34"/>
      <c r="AM3" s="34" t="s">
        <v>109</v>
      </c>
      <c r="AN3" s="103" t="s">
        <v>4129</v>
      </c>
      <c r="AO3" s="103" t="s">
        <v>201</v>
      </c>
      <c r="AP3" s="103" t="s">
        <v>4130</v>
      </c>
    </row>
    <row r="4">
      <c r="A4" s="102">
        <v>12.0</v>
      </c>
      <c r="B4" s="34">
        <v>8.79385457E8</v>
      </c>
      <c r="C4" s="34" t="s">
        <v>2385</v>
      </c>
      <c r="D4" s="34" t="s">
        <v>2386</v>
      </c>
      <c r="E4" s="35" t="s">
        <v>2387</v>
      </c>
      <c r="F4" s="35" t="s">
        <v>2388</v>
      </c>
      <c r="G4" s="35" t="s">
        <v>2389</v>
      </c>
      <c r="H4" s="43" t="s">
        <v>2390</v>
      </c>
      <c r="I4" s="35">
        <v>2018.0</v>
      </c>
      <c r="J4" s="35" t="s">
        <v>295</v>
      </c>
      <c r="K4" s="35" t="s">
        <v>730</v>
      </c>
      <c r="L4" s="35" t="s">
        <v>2391</v>
      </c>
      <c r="M4" s="35" t="s">
        <v>57</v>
      </c>
      <c r="N4" s="35" t="s">
        <v>2389</v>
      </c>
      <c r="O4" s="35" t="s">
        <v>2392</v>
      </c>
      <c r="P4" s="35" t="s">
        <v>2393</v>
      </c>
      <c r="Q4" s="35" t="s">
        <v>93</v>
      </c>
      <c r="R4" s="35" t="s">
        <v>57</v>
      </c>
      <c r="S4" s="35" t="s">
        <v>57</v>
      </c>
      <c r="T4" s="35" t="s">
        <v>74</v>
      </c>
      <c r="U4" s="35" t="s">
        <v>57</v>
      </c>
      <c r="V4" s="35" t="s">
        <v>2394</v>
      </c>
      <c r="W4" s="35" t="s">
        <v>2395</v>
      </c>
      <c r="X4" s="35" t="s">
        <v>2396</v>
      </c>
      <c r="Y4" s="35" t="s">
        <v>2397</v>
      </c>
      <c r="Z4" s="35" t="s">
        <v>2398</v>
      </c>
      <c r="AA4" s="35">
        <v>2013.0</v>
      </c>
      <c r="AB4" s="35">
        <v>2015.0</v>
      </c>
      <c r="AC4" s="35" t="s">
        <v>74</v>
      </c>
      <c r="AD4" s="35" t="s">
        <v>63</v>
      </c>
      <c r="AE4" s="35" t="s">
        <v>2399</v>
      </c>
      <c r="AF4" s="35" t="s">
        <v>69</v>
      </c>
      <c r="AG4" s="35" t="s">
        <v>129</v>
      </c>
      <c r="AH4" s="35" t="s">
        <v>129</v>
      </c>
      <c r="AI4" s="35" t="s">
        <v>57</v>
      </c>
      <c r="AJ4" s="35" t="s">
        <v>57</v>
      </c>
      <c r="AK4" s="35" t="s">
        <v>2400</v>
      </c>
      <c r="AL4" s="34"/>
      <c r="AM4" s="34" t="s">
        <v>2401</v>
      </c>
      <c r="AN4" s="103" t="s">
        <v>4131</v>
      </c>
      <c r="AO4" s="103" t="s">
        <v>201</v>
      </c>
      <c r="AP4" s="104"/>
    </row>
    <row r="5">
      <c r="A5" s="102">
        <v>13.0</v>
      </c>
      <c r="B5" s="34">
        <v>8.7938549E8</v>
      </c>
      <c r="C5" s="34" t="s">
        <v>2403</v>
      </c>
      <c r="D5" s="34" t="s">
        <v>2404</v>
      </c>
      <c r="E5" s="35" t="s">
        <v>2405</v>
      </c>
      <c r="F5" s="43" t="s">
        <v>2406</v>
      </c>
      <c r="G5" s="35" t="s">
        <v>859</v>
      </c>
      <c r="H5" s="35" t="s">
        <v>2407</v>
      </c>
      <c r="I5" s="35">
        <v>2022.0</v>
      </c>
      <c r="J5" s="35" t="s">
        <v>2408</v>
      </c>
      <c r="K5" s="35" t="s">
        <v>730</v>
      </c>
      <c r="L5" s="35" t="s">
        <v>2409</v>
      </c>
      <c r="M5" s="35" t="s">
        <v>57</v>
      </c>
      <c r="N5" s="35" t="s">
        <v>859</v>
      </c>
      <c r="O5" s="35" t="s">
        <v>57</v>
      </c>
      <c r="P5" s="35" t="s">
        <v>2410</v>
      </c>
      <c r="Q5" s="35" t="s">
        <v>93</v>
      </c>
      <c r="R5" s="43" t="s">
        <v>2411</v>
      </c>
      <c r="S5" s="35" t="s">
        <v>2412</v>
      </c>
      <c r="T5" s="35" t="s">
        <v>69</v>
      </c>
      <c r="U5" s="35" t="s">
        <v>2413</v>
      </c>
      <c r="V5" s="35" t="s">
        <v>193</v>
      </c>
      <c r="W5" s="35" t="s">
        <v>2414</v>
      </c>
      <c r="X5" s="35" t="s">
        <v>2415</v>
      </c>
      <c r="Y5" s="35" t="s">
        <v>2397</v>
      </c>
      <c r="Z5" s="35" t="s">
        <v>2416</v>
      </c>
      <c r="AA5" s="35">
        <v>1989.0</v>
      </c>
      <c r="AB5" s="35">
        <v>2019.0</v>
      </c>
      <c r="AC5" s="35" t="s">
        <v>74</v>
      </c>
      <c r="AD5" s="35" t="s">
        <v>96</v>
      </c>
      <c r="AE5" s="35" t="s">
        <v>2417</v>
      </c>
      <c r="AF5" s="35" t="s">
        <v>69</v>
      </c>
      <c r="AG5" s="35" t="s">
        <v>129</v>
      </c>
      <c r="AH5" s="35" t="s">
        <v>129</v>
      </c>
      <c r="AI5" s="35" t="s">
        <v>57</v>
      </c>
      <c r="AJ5" s="35" t="s">
        <v>57</v>
      </c>
      <c r="AK5" s="35" t="s">
        <v>2418</v>
      </c>
      <c r="AL5" s="34"/>
      <c r="AM5" s="34" t="s">
        <v>2401</v>
      </c>
      <c r="AN5" s="163" t="s">
        <v>324</v>
      </c>
      <c r="AO5" s="103" t="s">
        <v>201</v>
      </c>
      <c r="AP5" s="112" t="s">
        <v>4132</v>
      </c>
    </row>
    <row r="6">
      <c r="A6" s="106">
        <v>19.0</v>
      </c>
      <c r="B6" s="15">
        <v>8.79385565E8</v>
      </c>
      <c r="C6" s="15" t="s">
        <v>2420</v>
      </c>
      <c r="D6" s="15" t="s">
        <v>2421</v>
      </c>
      <c r="E6" s="16" t="s">
        <v>2422</v>
      </c>
      <c r="F6" s="16" t="s">
        <v>2423</v>
      </c>
      <c r="G6" s="16" t="s">
        <v>273</v>
      </c>
      <c r="H6" s="16" t="s">
        <v>2424</v>
      </c>
      <c r="I6" s="16">
        <v>2020.0</v>
      </c>
      <c r="J6" s="16" t="s">
        <v>2425</v>
      </c>
      <c r="K6" s="16" t="s">
        <v>730</v>
      </c>
      <c r="L6" s="16" t="s">
        <v>2426</v>
      </c>
      <c r="M6" s="16" t="s">
        <v>57</v>
      </c>
      <c r="N6" s="16" t="s">
        <v>2427</v>
      </c>
      <c r="O6" s="16" t="s">
        <v>2428</v>
      </c>
      <c r="P6" s="16" t="s">
        <v>2429</v>
      </c>
      <c r="Q6" s="16" t="s">
        <v>93</v>
      </c>
      <c r="R6" s="16" t="s">
        <v>57</v>
      </c>
      <c r="S6" s="16" t="s">
        <v>57</v>
      </c>
      <c r="T6" s="16" t="s">
        <v>74</v>
      </c>
      <c r="U6" s="16" t="s">
        <v>57</v>
      </c>
      <c r="V6" s="16" t="s">
        <v>2430</v>
      </c>
      <c r="W6" s="16" t="s">
        <v>161</v>
      </c>
      <c r="X6" s="16" t="s">
        <v>2431</v>
      </c>
      <c r="Y6" s="16" t="s">
        <v>2397</v>
      </c>
      <c r="Z6" s="16" t="s">
        <v>2432</v>
      </c>
      <c r="AA6" s="16" t="s">
        <v>57</v>
      </c>
      <c r="AB6" s="16" t="s">
        <v>57</v>
      </c>
      <c r="AC6" s="16" t="s">
        <v>69</v>
      </c>
      <c r="AD6" s="16" t="s">
        <v>96</v>
      </c>
      <c r="AE6" s="16" t="s">
        <v>2433</v>
      </c>
      <c r="AF6" s="16" t="s">
        <v>74</v>
      </c>
      <c r="AG6" s="16" t="s">
        <v>57</v>
      </c>
      <c r="AH6" s="16" t="s">
        <v>57</v>
      </c>
      <c r="AI6" s="16" t="s">
        <v>57</v>
      </c>
      <c r="AJ6" s="16" t="s">
        <v>57</v>
      </c>
      <c r="AK6" s="16" t="s">
        <v>57</v>
      </c>
      <c r="AL6" s="15"/>
      <c r="AM6" s="15" t="s">
        <v>109</v>
      </c>
      <c r="AN6" s="107" t="s">
        <v>2434</v>
      </c>
      <c r="AO6" s="107" t="s">
        <v>201</v>
      </c>
      <c r="AP6" s="107" t="s">
        <v>4133</v>
      </c>
    </row>
    <row r="7">
      <c r="A7" s="106">
        <v>20.0</v>
      </c>
      <c r="B7" s="15">
        <v>8.7938557E8</v>
      </c>
      <c r="C7" s="15" t="s">
        <v>2435</v>
      </c>
      <c r="D7" s="15" t="s">
        <v>2436</v>
      </c>
      <c r="E7" s="16" t="s">
        <v>2437</v>
      </c>
      <c r="F7" s="16" t="s">
        <v>2438</v>
      </c>
      <c r="G7" s="16" t="s">
        <v>2439</v>
      </c>
      <c r="H7" s="16" t="s">
        <v>2440</v>
      </c>
      <c r="I7" s="16">
        <v>2011.0</v>
      </c>
      <c r="J7" s="16" t="s">
        <v>2441</v>
      </c>
      <c r="K7" s="16" t="s">
        <v>730</v>
      </c>
      <c r="L7" s="16" t="s">
        <v>2442</v>
      </c>
      <c r="M7" s="16" t="s">
        <v>57</v>
      </c>
      <c r="N7" s="16" t="s">
        <v>2389</v>
      </c>
      <c r="O7" s="16" t="s">
        <v>715</v>
      </c>
      <c r="P7" s="16" t="s">
        <v>2443</v>
      </c>
      <c r="Q7" s="16" t="s">
        <v>93</v>
      </c>
      <c r="R7" s="16" t="s">
        <v>57</v>
      </c>
      <c r="S7" s="16" t="s">
        <v>57</v>
      </c>
      <c r="T7" s="16" t="s">
        <v>74</v>
      </c>
      <c r="U7" s="16" t="s">
        <v>57</v>
      </c>
      <c r="V7" s="16" t="s">
        <v>2394</v>
      </c>
      <c r="W7" s="16" t="s">
        <v>161</v>
      </c>
      <c r="X7" s="16" t="s">
        <v>2444</v>
      </c>
      <c r="Y7" s="16" t="s">
        <v>2445</v>
      </c>
      <c r="Z7" s="16" t="s">
        <v>2446</v>
      </c>
      <c r="AA7" s="16">
        <v>2009.0</v>
      </c>
      <c r="AB7" s="16">
        <v>2009.0</v>
      </c>
      <c r="AC7" s="16" t="s">
        <v>74</v>
      </c>
      <c r="AD7" s="16" t="s">
        <v>63</v>
      </c>
      <c r="AE7" s="16" t="s">
        <v>2447</v>
      </c>
      <c r="AF7" s="16" t="s">
        <v>69</v>
      </c>
      <c r="AG7" s="16" t="s">
        <v>129</v>
      </c>
      <c r="AH7" s="16" t="s">
        <v>129</v>
      </c>
      <c r="AI7" s="16" t="s">
        <v>57</v>
      </c>
      <c r="AJ7" s="16" t="s">
        <v>57</v>
      </c>
      <c r="AK7" s="16" t="s">
        <v>2448</v>
      </c>
      <c r="AL7" s="15"/>
      <c r="AM7" s="15" t="s">
        <v>109</v>
      </c>
      <c r="AN7" s="107" t="s">
        <v>2449</v>
      </c>
      <c r="AO7" s="107" t="s">
        <v>201</v>
      </c>
      <c r="AP7" s="107" t="s">
        <v>4134</v>
      </c>
    </row>
    <row r="8">
      <c r="A8" s="106">
        <v>21.0</v>
      </c>
      <c r="B8" s="15">
        <v>8.79385581E8</v>
      </c>
      <c r="C8" s="15" t="s">
        <v>2450</v>
      </c>
      <c r="D8" s="15" t="s">
        <v>2451</v>
      </c>
      <c r="E8" s="16" t="s">
        <v>2452</v>
      </c>
      <c r="F8" s="16" t="s">
        <v>2453</v>
      </c>
      <c r="G8" s="16" t="s">
        <v>859</v>
      </c>
      <c r="H8" s="16" t="s">
        <v>2454</v>
      </c>
      <c r="I8" s="16">
        <v>2012.0</v>
      </c>
      <c r="J8" s="16" t="s">
        <v>1362</v>
      </c>
      <c r="K8" s="16" t="s">
        <v>730</v>
      </c>
      <c r="L8" s="16" t="s">
        <v>2455</v>
      </c>
      <c r="M8" s="16" t="s">
        <v>57</v>
      </c>
      <c r="N8" s="16" t="s">
        <v>859</v>
      </c>
      <c r="O8" s="16" t="s">
        <v>2456</v>
      </c>
      <c r="P8" s="16" t="s">
        <v>2457</v>
      </c>
      <c r="Q8" s="16" t="s">
        <v>93</v>
      </c>
      <c r="R8" s="16" t="s">
        <v>2458</v>
      </c>
      <c r="S8" s="16" t="s">
        <v>2459</v>
      </c>
      <c r="T8" s="16" t="s">
        <v>69</v>
      </c>
      <c r="U8" s="16" t="s">
        <v>2460</v>
      </c>
      <c r="V8" s="16" t="s">
        <v>2394</v>
      </c>
      <c r="W8" s="16" t="s">
        <v>161</v>
      </c>
      <c r="X8" s="16" t="s">
        <v>2461</v>
      </c>
      <c r="Y8" s="16" t="s">
        <v>2397</v>
      </c>
      <c r="Z8" s="16" t="s">
        <v>2462</v>
      </c>
      <c r="AA8" s="16">
        <v>1972.0</v>
      </c>
      <c r="AB8" s="16">
        <v>2006.0</v>
      </c>
      <c r="AC8" s="16" t="s">
        <v>74</v>
      </c>
      <c r="AD8" s="16" t="s">
        <v>63</v>
      </c>
      <c r="AE8" s="16" t="s">
        <v>2463</v>
      </c>
      <c r="AF8" s="16" t="s">
        <v>69</v>
      </c>
      <c r="AG8" s="16" t="s">
        <v>198</v>
      </c>
      <c r="AH8" s="16" t="s">
        <v>374</v>
      </c>
      <c r="AI8" s="16" t="s">
        <v>129</v>
      </c>
      <c r="AJ8" s="16" t="s">
        <v>57</v>
      </c>
      <c r="AK8" s="16" t="s">
        <v>2464</v>
      </c>
      <c r="AL8" s="15" t="s">
        <v>1418</v>
      </c>
      <c r="AM8" s="15" t="s">
        <v>109</v>
      </c>
      <c r="AN8" s="107" t="s">
        <v>4135</v>
      </c>
      <c r="AO8" s="107" t="s">
        <v>201</v>
      </c>
      <c r="AP8" s="107" t="s">
        <v>4136</v>
      </c>
    </row>
    <row r="9">
      <c r="A9" s="108">
        <v>23.0</v>
      </c>
      <c r="B9" s="24">
        <v>8.79385596E8</v>
      </c>
      <c r="C9" s="24" t="s">
        <v>2466</v>
      </c>
      <c r="D9" s="24" t="s">
        <v>2467</v>
      </c>
      <c r="E9" s="25" t="s">
        <v>2468</v>
      </c>
      <c r="F9" s="25" t="s">
        <v>2469</v>
      </c>
      <c r="G9" s="25" t="s">
        <v>443</v>
      </c>
      <c r="H9" s="25" t="s">
        <v>2470</v>
      </c>
      <c r="I9" s="25">
        <v>2018.0</v>
      </c>
      <c r="J9" s="25" t="s">
        <v>2471</v>
      </c>
      <c r="K9" s="25" t="s">
        <v>730</v>
      </c>
      <c r="L9" s="25" t="s">
        <v>2472</v>
      </c>
      <c r="M9" s="25" t="s">
        <v>57</v>
      </c>
      <c r="N9" s="25" t="s">
        <v>443</v>
      </c>
      <c r="O9" s="25" t="s">
        <v>2473</v>
      </c>
      <c r="P9" s="25" t="s">
        <v>2474</v>
      </c>
      <c r="Q9" s="25" t="s">
        <v>93</v>
      </c>
      <c r="R9" s="25" t="s">
        <v>2475</v>
      </c>
      <c r="S9" s="25" t="s">
        <v>2476</v>
      </c>
      <c r="T9" s="25" t="s">
        <v>74</v>
      </c>
      <c r="U9" s="25" t="s">
        <v>57</v>
      </c>
      <c r="V9" s="25" t="s">
        <v>96</v>
      </c>
      <c r="W9" s="25" t="s">
        <v>1389</v>
      </c>
      <c r="X9" s="25" t="s">
        <v>2477</v>
      </c>
      <c r="Y9" s="25" t="s">
        <v>2380</v>
      </c>
      <c r="Z9" s="25" t="s">
        <v>2478</v>
      </c>
      <c r="AA9" s="25" t="s">
        <v>57</v>
      </c>
      <c r="AB9" s="25" t="s">
        <v>57</v>
      </c>
      <c r="AC9" s="25" t="s">
        <v>74</v>
      </c>
      <c r="AD9" s="25" t="s">
        <v>215</v>
      </c>
      <c r="AE9" s="25" t="s">
        <v>2479</v>
      </c>
      <c r="AF9" s="25" t="s">
        <v>74</v>
      </c>
      <c r="AG9" s="25" t="s">
        <v>57</v>
      </c>
      <c r="AH9" s="25" t="s">
        <v>57</v>
      </c>
      <c r="AI9" s="25" t="s">
        <v>57</v>
      </c>
      <c r="AJ9" s="25" t="s">
        <v>57</v>
      </c>
      <c r="AK9" s="25" t="s">
        <v>57</v>
      </c>
      <c r="AL9" s="24"/>
      <c r="AM9" s="24" t="s">
        <v>109</v>
      </c>
      <c r="AN9" s="109" t="s">
        <v>4137</v>
      </c>
      <c r="AO9" s="109" t="s">
        <v>201</v>
      </c>
      <c r="AP9" s="109" t="s">
        <v>4138</v>
      </c>
    </row>
    <row r="10">
      <c r="A10" s="108">
        <v>25.0</v>
      </c>
      <c r="B10" s="24">
        <v>8.79385586E8</v>
      </c>
      <c r="C10" s="24" t="s">
        <v>2481</v>
      </c>
      <c r="D10" s="24" t="s">
        <v>2482</v>
      </c>
      <c r="E10" s="25" t="s">
        <v>2483</v>
      </c>
      <c r="F10" s="25" t="s">
        <v>2484</v>
      </c>
      <c r="G10" s="25" t="s">
        <v>2389</v>
      </c>
      <c r="H10" s="25" t="s">
        <v>2485</v>
      </c>
      <c r="I10" s="25">
        <v>2017.0</v>
      </c>
      <c r="J10" s="25" t="s">
        <v>207</v>
      </c>
      <c r="K10" s="25" t="s">
        <v>730</v>
      </c>
      <c r="L10" s="25" t="s">
        <v>2486</v>
      </c>
      <c r="M10" s="25" t="s">
        <v>57</v>
      </c>
      <c r="N10" s="25" t="s">
        <v>2389</v>
      </c>
      <c r="O10" s="25" t="s">
        <v>2487</v>
      </c>
      <c r="P10" s="25" t="s">
        <v>2488</v>
      </c>
      <c r="Q10" s="25" t="s">
        <v>93</v>
      </c>
      <c r="R10" s="25" t="s">
        <v>57</v>
      </c>
      <c r="S10" s="25" t="s">
        <v>57</v>
      </c>
      <c r="T10" s="25" t="s">
        <v>74</v>
      </c>
      <c r="U10" s="25" t="s">
        <v>57</v>
      </c>
      <c r="V10" s="25" t="s">
        <v>96</v>
      </c>
      <c r="W10" s="25" t="s">
        <v>64</v>
      </c>
      <c r="X10" s="25" t="s">
        <v>2489</v>
      </c>
      <c r="Y10" s="25" t="s">
        <v>2397</v>
      </c>
      <c r="Z10" s="25" t="s">
        <v>2490</v>
      </c>
      <c r="AA10" s="25" t="s">
        <v>57</v>
      </c>
      <c r="AB10" s="25" t="s">
        <v>57</v>
      </c>
      <c r="AC10" s="25" t="s">
        <v>74</v>
      </c>
      <c r="AD10" s="25" t="s">
        <v>96</v>
      </c>
      <c r="AE10" s="25" t="s">
        <v>2491</v>
      </c>
      <c r="AF10" s="25" t="s">
        <v>69</v>
      </c>
      <c r="AG10" s="25" t="s">
        <v>129</v>
      </c>
      <c r="AH10" s="25" t="s">
        <v>129</v>
      </c>
      <c r="AI10" s="25" t="s">
        <v>57</v>
      </c>
      <c r="AJ10" s="25" t="s">
        <v>57</v>
      </c>
      <c r="AK10" s="25" t="s">
        <v>2492</v>
      </c>
      <c r="AL10" s="24"/>
      <c r="AM10" s="24" t="s">
        <v>109</v>
      </c>
      <c r="AN10" s="109" t="s">
        <v>4139</v>
      </c>
      <c r="AO10" s="109" t="s">
        <v>201</v>
      </c>
      <c r="AP10" s="109" t="s">
        <v>4140</v>
      </c>
    </row>
    <row r="11">
      <c r="A11" s="108">
        <v>26.0</v>
      </c>
      <c r="B11" s="24">
        <v>8.79385627E8</v>
      </c>
      <c r="C11" s="24" t="s">
        <v>2494</v>
      </c>
      <c r="D11" s="24" t="s">
        <v>2495</v>
      </c>
      <c r="E11" s="25" t="s">
        <v>2496</v>
      </c>
      <c r="F11" s="25" t="s">
        <v>2497</v>
      </c>
      <c r="G11" s="25" t="s">
        <v>2389</v>
      </c>
      <c r="H11" s="25" t="s">
        <v>2498</v>
      </c>
      <c r="I11" s="25">
        <v>2014.0</v>
      </c>
      <c r="J11" s="25" t="s">
        <v>2499</v>
      </c>
      <c r="K11" s="25" t="s">
        <v>730</v>
      </c>
      <c r="L11" s="25" t="s">
        <v>2500</v>
      </c>
      <c r="M11" s="25" t="s">
        <v>57</v>
      </c>
      <c r="N11" s="25" t="s">
        <v>2389</v>
      </c>
      <c r="O11" s="25" t="s">
        <v>1974</v>
      </c>
      <c r="P11" s="25" t="s">
        <v>2501</v>
      </c>
      <c r="Q11" s="25" t="s">
        <v>93</v>
      </c>
      <c r="R11" s="25" t="s">
        <v>2502</v>
      </c>
      <c r="S11" s="25" t="s">
        <v>2503</v>
      </c>
      <c r="T11" s="25" t="s">
        <v>74</v>
      </c>
      <c r="U11" s="25" t="s">
        <v>57</v>
      </c>
      <c r="V11" s="25" t="s">
        <v>96</v>
      </c>
      <c r="W11" s="25" t="s">
        <v>161</v>
      </c>
      <c r="X11" s="25" t="s">
        <v>2504</v>
      </c>
      <c r="Y11" s="25" t="s">
        <v>2380</v>
      </c>
      <c r="Z11" s="25" t="s">
        <v>2505</v>
      </c>
      <c r="AA11" s="25" t="s">
        <v>57</v>
      </c>
      <c r="AB11" s="25" t="s">
        <v>57</v>
      </c>
      <c r="AC11" s="25" t="s">
        <v>74</v>
      </c>
      <c r="AD11" s="25" t="s">
        <v>215</v>
      </c>
      <c r="AE11" s="25" t="s">
        <v>2506</v>
      </c>
      <c r="AF11" s="25" t="s">
        <v>69</v>
      </c>
      <c r="AG11" s="25" t="s">
        <v>129</v>
      </c>
      <c r="AH11" s="25" t="s">
        <v>129</v>
      </c>
      <c r="AI11" s="25" t="s">
        <v>57</v>
      </c>
      <c r="AJ11" s="25" t="s">
        <v>57</v>
      </c>
      <c r="AK11" s="25" t="s">
        <v>2507</v>
      </c>
      <c r="AL11" s="24"/>
      <c r="AM11" s="24" t="s">
        <v>109</v>
      </c>
      <c r="AN11" s="109" t="s">
        <v>4141</v>
      </c>
      <c r="AO11" s="109" t="s">
        <v>201</v>
      </c>
      <c r="AP11" s="109" t="s">
        <v>4142</v>
      </c>
    </row>
    <row r="12">
      <c r="A12" s="102">
        <v>27.0</v>
      </c>
      <c r="B12" s="34">
        <v>8.79385604E8</v>
      </c>
      <c r="C12" s="34" t="s">
        <v>2509</v>
      </c>
      <c r="D12" s="34" t="s">
        <v>2510</v>
      </c>
      <c r="E12" s="35" t="s">
        <v>2511</v>
      </c>
      <c r="F12" s="35" t="s">
        <v>2512</v>
      </c>
      <c r="G12" s="35" t="s">
        <v>2389</v>
      </c>
      <c r="H12" s="35" t="s">
        <v>2513</v>
      </c>
      <c r="I12" s="35">
        <v>2016.0</v>
      </c>
      <c r="J12" s="35" t="s">
        <v>207</v>
      </c>
      <c r="K12" s="35" t="s">
        <v>730</v>
      </c>
      <c r="L12" s="35" t="s">
        <v>2514</v>
      </c>
      <c r="M12" s="35" t="s">
        <v>57</v>
      </c>
      <c r="N12" s="35" t="s">
        <v>2389</v>
      </c>
      <c r="O12" s="35" t="s">
        <v>2515</v>
      </c>
      <c r="P12" s="35" t="s">
        <v>2516</v>
      </c>
      <c r="Q12" s="35" t="s">
        <v>93</v>
      </c>
      <c r="R12" s="35" t="s">
        <v>57</v>
      </c>
      <c r="S12" s="35" t="s">
        <v>57</v>
      </c>
      <c r="T12" s="35" t="s">
        <v>74</v>
      </c>
      <c r="U12" s="35" t="s">
        <v>57</v>
      </c>
      <c r="V12" s="35" t="s">
        <v>2394</v>
      </c>
      <c r="W12" s="35" t="s">
        <v>2517</v>
      </c>
      <c r="X12" s="35" t="s">
        <v>2518</v>
      </c>
      <c r="Y12" s="35" t="s">
        <v>2397</v>
      </c>
      <c r="Z12" s="35" t="s">
        <v>2519</v>
      </c>
      <c r="AA12" s="35">
        <v>1999.0</v>
      </c>
      <c r="AB12" s="35">
        <v>2009.0</v>
      </c>
      <c r="AC12" s="35" t="s">
        <v>74</v>
      </c>
      <c r="AD12" s="35" t="s">
        <v>215</v>
      </c>
      <c r="AE12" s="35" t="s">
        <v>2520</v>
      </c>
      <c r="AF12" s="35" t="s">
        <v>69</v>
      </c>
      <c r="AG12" s="35" t="s">
        <v>198</v>
      </c>
      <c r="AH12" s="35" t="s">
        <v>374</v>
      </c>
      <c r="AI12" s="35" t="s">
        <v>129</v>
      </c>
      <c r="AJ12" s="35" t="s">
        <v>57</v>
      </c>
      <c r="AK12" s="35" t="s">
        <v>2521</v>
      </c>
      <c r="AL12" s="34"/>
      <c r="AM12" s="34" t="s">
        <v>1522</v>
      </c>
      <c r="AN12" s="103" t="s">
        <v>2522</v>
      </c>
      <c r="AO12" s="103" t="s">
        <v>201</v>
      </c>
      <c r="AP12" s="103" t="s">
        <v>2523</v>
      </c>
    </row>
    <row r="13">
      <c r="A13" s="102">
        <v>28.0</v>
      </c>
      <c r="B13" s="34">
        <v>8.79385607E8</v>
      </c>
      <c r="C13" s="34" t="s">
        <v>2524</v>
      </c>
      <c r="D13" s="34" t="s">
        <v>2525</v>
      </c>
      <c r="E13" s="35" t="s">
        <v>2526</v>
      </c>
      <c r="F13" s="43" t="s">
        <v>2527</v>
      </c>
      <c r="G13" s="35" t="s">
        <v>859</v>
      </c>
      <c r="H13" s="35" t="s">
        <v>2528</v>
      </c>
      <c r="I13" s="35">
        <v>2018.0</v>
      </c>
      <c r="J13" s="35" t="s">
        <v>2529</v>
      </c>
      <c r="K13" s="35" t="s">
        <v>730</v>
      </c>
      <c r="L13" s="35" t="s">
        <v>2530</v>
      </c>
      <c r="M13" s="35" t="s">
        <v>57</v>
      </c>
      <c r="N13" s="35" t="s">
        <v>859</v>
      </c>
      <c r="O13" s="35" t="s">
        <v>2531</v>
      </c>
      <c r="P13" s="35" t="s">
        <v>2532</v>
      </c>
      <c r="Q13" s="35" t="s">
        <v>93</v>
      </c>
      <c r="R13" s="35" t="s">
        <v>2533</v>
      </c>
      <c r="S13" s="35" t="s">
        <v>2534</v>
      </c>
      <c r="T13" s="35" t="s">
        <v>74</v>
      </c>
      <c r="U13" s="35" t="s">
        <v>57</v>
      </c>
      <c r="V13" s="35" t="s">
        <v>96</v>
      </c>
      <c r="W13" s="35" t="s">
        <v>64</v>
      </c>
      <c r="X13" s="35" t="s">
        <v>2535</v>
      </c>
      <c r="Y13" s="35" t="s">
        <v>2397</v>
      </c>
      <c r="Z13" s="35" t="s">
        <v>2536</v>
      </c>
      <c r="AA13" s="35">
        <v>2016.0</v>
      </c>
      <c r="AB13" s="35">
        <v>2016.0</v>
      </c>
      <c r="AC13" s="35" t="s">
        <v>74</v>
      </c>
      <c r="AD13" s="35" t="s">
        <v>215</v>
      </c>
      <c r="AE13" s="35" t="s">
        <v>2537</v>
      </c>
      <c r="AF13" s="35" t="s">
        <v>69</v>
      </c>
      <c r="AG13" s="35" t="s">
        <v>129</v>
      </c>
      <c r="AH13" s="35" t="s">
        <v>129</v>
      </c>
      <c r="AI13" s="35" t="s">
        <v>57</v>
      </c>
      <c r="AJ13" s="35" t="s">
        <v>57</v>
      </c>
      <c r="AK13" s="35" t="s">
        <v>2538</v>
      </c>
      <c r="AL13" s="34"/>
      <c r="AM13" s="34" t="s">
        <v>1522</v>
      </c>
      <c r="AN13" s="103" t="s">
        <v>2539</v>
      </c>
      <c r="AO13" s="103" t="s">
        <v>201</v>
      </c>
      <c r="AP13" s="103" t="s">
        <v>2540</v>
      </c>
    </row>
    <row r="14">
      <c r="A14" s="102">
        <v>30.0</v>
      </c>
      <c r="B14" s="34">
        <v>8.79385618E8</v>
      </c>
      <c r="C14" s="34" t="s">
        <v>2541</v>
      </c>
      <c r="D14" s="34" t="s">
        <v>2542</v>
      </c>
      <c r="E14" s="35" t="s">
        <v>2543</v>
      </c>
      <c r="F14" s="43" t="s">
        <v>2544</v>
      </c>
      <c r="G14" s="35" t="s">
        <v>396</v>
      </c>
      <c r="H14" s="43" t="s">
        <v>2545</v>
      </c>
      <c r="I14" s="35">
        <v>2016.0</v>
      </c>
      <c r="J14" s="35" t="s">
        <v>2546</v>
      </c>
      <c r="K14" s="35" t="s">
        <v>730</v>
      </c>
      <c r="L14" s="35" t="s">
        <v>2547</v>
      </c>
      <c r="M14" s="35" t="s">
        <v>57</v>
      </c>
      <c r="N14" s="35" t="s">
        <v>396</v>
      </c>
      <c r="O14" s="35" t="s">
        <v>2548</v>
      </c>
      <c r="P14" s="35" t="s">
        <v>2549</v>
      </c>
      <c r="Q14" s="35" t="s">
        <v>93</v>
      </c>
      <c r="R14" s="35" t="s">
        <v>2550</v>
      </c>
      <c r="S14" s="35" t="s">
        <v>2551</v>
      </c>
      <c r="T14" s="35" t="s">
        <v>74</v>
      </c>
      <c r="U14" s="35" t="s">
        <v>57</v>
      </c>
      <c r="V14" s="35" t="s">
        <v>96</v>
      </c>
      <c r="W14" s="35" t="s">
        <v>64</v>
      </c>
      <c r="X14" s="35" t="s">
        <v>2552</v>
      </c>
      <c r="Y14" s="35" t="s">
        <v>2397</v>
      </c>
      <c r="Z14" s="35" t="s">
        <v>2553</v>
      </c>
      <c r="AA14" s="35" t="s">
        <v>57</v>
      </c>
      <c r="AB14" s="35" t="s">
        <v>57</v>
      </c>
      <c r="AC14" s="35" t="s">
        <v>74</v>
      </c>
      <c r="AD14" s="35" t="s">
        <v>215</v>
      </c>
      <c r="AE14" s="35" t="s">
        <v>2554</v>
      </c>
      <c r="AF14" s="35" t="s">
        <v>69</v>
      </c>
      <c r="AG14" s="35" t="s">
        <v>895</v>
      </c>
      <c r="AH14" s="35" t="s">
        <v>129</v>
      </c>
      <c r="AI14" s="35" t="s">
        <v>374</v>
      </c>
      <c r="AJ14" s="35" t="s">
        <v>57</v>
      </c>
      <c r="AK14" s="35" t="s">
        <v>2555</v>
      </c>
      <c r="AL14" s="34" t="s">
        <v>2556</v>
      </c>
      <c r="AM14" s="34" t="s">
        <v>1522</v>
      </c>
      <c r="AN14" s="103" t="s">
        <v>2557</v>
      </c>
      <c r="AO14" s="103" t="s">
        <v>201</v>
      </c>
      <c r="AP14" s="103"/>
    </row>
    <row r="15">
      <c r="A15" s="102">
        <v>31.0</v>
      </c>
      <c r="B15" s="34">
        <v>8.79385682E8</v>
      </c>
      <c r="C15" s="34" t="s">
        <v>2558</v>
      </c>
      <c r="D15" s="38" t="s">
        <v>2559</v>
      </c>
      <c r="E15" s="35" t="s">
        <v>2560</v>
      </c>
      <c r="F15" s="43" t="s">
        <v>2561</v>
      </c>
      <c r="G15" s="35" t="s">
        <v>1455</v>
      </c>
      <c r="H15" s="43" t="s">
        <v>2562</v>
      </c>
      <c r="I15" s="35">
        <v>2021.0</v>
      </c>
      <c r="J15" s="35" t="s">
        <v>2563</v>
      </c>
      <c r="K15" s="35" t="s">
        <v>730</v>
      </c>
      <c r="L15" s="35" t="s">
        <v>2564</v>
      </c>
      <c r="M15" s="35" t="s">
        <v>57</v>
      </c>
      <c r="N15" s="35" t="s">
        <v>1455</v>
      </c>
      <c r="O15" s="35" t="s">
        <v>2565</v>
      </c>
      <c r="P15" s="35" t="s">
        <v>2566</v>
      </c>
      <c r="Q15" s="35" t="s">
        <v>93</v>
      </c>
      <c r="R15" s="35" t="s">
        <v>57</v>
      </c>
      <c r="S15" s="35" t="s">
        <v>57</v>
      </c>
      <c r="T15" s="35" t="s">
        <v>74</v>
      </c>
      <c r="U15" s="35" t="s">
        <v>57</v>
      </c>
      <c r="V15" s="35" t="s">
        <v>2394</v>
      </c>
      <c r="W15" s="35" t="s">
        <v>1389</v>
      </c>
      <c r="X15" s="35" t="s">
        <v>2567</v>
      </c>
      <c r="Y15" s="35" t="s">
        <v>2380</v>
      </c>
      <c r="Z15" s="35" t="s">
        <v>2568</v>
      </c>
      <c r="AA15" s="35">
        <v>2018.0</v>
      </c>
      <c r="AB15" s="35">
        <v>2019.0</v>
      </c>
      <c r="AC15" s="35" t="s">
        <v>74</v>
      </c>
      <c r="AD15" s="35" t="s">
        <v>215</v>
      </c>
      <c r="AE15" s="35" t="s">
        <v>2569</v>
      </c>
      <c r="AF15" s="35" t="s">
        <v>69</v>
      </c>
      <c r="AG15" s="35" t="s">
        <v>129</v>
      </c>
      <c r="AH15" s="35" t="s">
        <v>129</v>
      </c>
      <c r="AI15" s="35" t="s">
        <v>57</v>
      </c>
      <c r="AJ15" s="35" t="s">
        <v>57</v>
      </c>
      <c r="AK15" s="35" t="s">
        <v>2570</v>
      </c>
      <c r="AL15" s="34"/>
      <c r="AM15" s="34" t="s">
        <v>109</v>
      </c>
      <c r="AN15" s="103" t="s">
        <v>2571</v>
      </c>
      <c r="AO15" s="103" t="s">
        <v>201</v>
      </c>
      <c r="AP15" s="103" t="s">
        <v>2572</v>
      </c>
    </row>
    <row r="16">
      <c r="A16" s="102">
        <v>32.0</v>
      </c>
      <c r="B16" s="34">
        <v>8.79385655E8</v>
      </c>
      <c r="C16" s="34" t="s">
        <v>2573</v>
      </c>
      <c r="D16" s="34" t="s">
        <v>2574</v>
      </c>
      <c r="E16" s="35" t="s">
        <v>2575</v>
      </c>
      <c r="F16" s="35" t="s">
        <v>2576</v>
      </c>
      <c r="G16" s="35" t="s">
        <v>2577</v>
      </c>
      <c r="H16" s="43" t="s">
        <v>2578</v>
      </c>
      <c r="I16" s="35">
        <v>2017.0</v>
      </c>
      <c r="J16" s="35" t="s">
        <v>796</v>
      </c>
      <c r="K16" s="35" t="s">
        <v>730</v>
      </c>
      <c r="L16" s="35" t="s">
        <v>2579</v>
      </c>
      <c r="M16" s="35" t="s">
        <v>57</v>
      </c>
      <c r="N16" s="35" t="s">
        <v>293</v>
      </c>
      <c r="O16" s="35" t="s">
        <v>2577</v>
      </c>
      <c r="P16" s="35" t="s">
        <v>2580</v>
      </c>
      <c r="Q16" s="35" t="s">
        <v>93</v>
      </c>
      <c r="R16" s="35" t="s">
        <v>2581</v>
      </c>
      <c r="S16" s="35" t="s">
        <v>2582</v>
      </c>
      <c r="T16" s="35" t="s">
        <v>74</v>
      </c>
      <c r="U16" s="35" t="s">
        <v>57</v>
      </c>
      <c r="V16" s="35" t="s">
        <v>96</v>
      </c>
      <c r="W16" s="35" t="s">
        <v>1389</v>
      </c>
      <c r="X16" s="35" t="s">
        <v>2583</v>
      </c>
      <c r="Y16" s="35" t="s">
        <v>2584</v>
      </c>
      <c r="Z16" s="35" t="s">
        <v>2585</v>
      </c>
      <c r="AA16" s="35">
        <v>2004.0</v>
      </c>
      <c r="AB16" s="35">
        <v>2011.0</v>
      </c>
      <c r="AC16" s="35" t="s">
        <v>74</v>
      </c>
      <c r="AD16" s="35" t="s">
        <v>215</v>
      </c>
      <c r="AE16" s="35" t="s">
        <v>2586</v>
      </c>
      <c r="AF16" s="35" t="s">
        <v>69</v>
      </c>
      <c r="AG16" s="35" t="s">
        <v>129</v>
      </c>
      <c r="AH16" s="35" t="s">
        <v>129</v>
      </c>
      <c r="AI16" s="35" t="s">
        <v>57</v>
      </c>
      <c r="AJ16" s="35" t="s">
        <v>57</v>
      </c>
      <c r="AK16" s="35" t="s">
        <v>2587</v>
      </c>
      <c r="AL16" s="34"/>
      <c r="AM16" s="34" t="s">
        <v>109</v>
      </c>
      <c r="AN16" s="103" t="s">
        <v>2588</v>
      </c>
      <c r="AO16" s="103" t="s">
        <v>201</v>
      </c>
      <c r="AP16" s="103" t="s">
        <v>2589</v>
      </c>
    </row>
    <row r="17">
      <c r="A17" s="102">
        <v>33.0</v>
      </c>
      <c r="B17" s="34">
        <v>8.79385658E8</v>
      </c>
      <c r="C17" s="34" t="s">
        <v>2590</v>
      </c>
      <c r="D17" s="34" t="s">
        <v>2591</v>
      </c>
      <c r="E17" s="35" t="s">
        <v>2592</v>
      </c>
      <c r="F17" s="35" t="s">
        <v>2593</v>
      </c>
      <c r="G17" s="35" t="s">
        <v>2389</v>
      </c>
      <c r="H17" s="35" t="s">
        <v>2594</v>
      </c>
      <c r="I17" s="35">
        <v>2014.0</v>
      </c>
      <c r="J17" s="35" t="s">
        <v>295</v>
      </c>
      <c r="K17" s="35" t="s">
        <v>730</v>
      </c>
      <c r="L17" s="35" t="s">
        <v>2595</v>
      </c>
      <c r="M17" s="35" t="s">
        <v>57</v>
      </c>
      <c r="N17" s="35" t="s">
        <v>2389</v>
      </c>
      <c r="O17" s="35" t="s">
        <v>2596</v>
      </c>
      <c r="P17" s="35" t="s">
        <v>2597</v>
      </c>
      <c r="Q17" s="35" t="s">
        <v>93</v>
      </c>
      <c r="R17" s="35" t="s">
        <v>2598</v>
      </c>
      <c r="S17" s="35" t="s">
        <v>2599</v>
      </c>
      <c r="T17" s="35" t="s">
        <v>69</v>
      </c>
      <c r="U17" s="35" t="s">
        <v>2600</v>
      </c>
      <c r="V17" s="35" t="s">
        <v>96</v>
      </c>
      <c r="W17" s="35" t="s">
        <v>302</v>
      </c>
      <c r="X17" s="35" t="s">
        <v>2601</v>
      </c>
      <c r="Y17" s="35" t="s">
        <v>2397</v>
      </c>
      <c r="Z17" s="35" t="s">
        <v>2602</v>
      </c>
      <c r="AA17" s="35" t="s">
        <v>57</v>
      </c>
      <c r="AB17" s="35" t="s">
        <v>57</v>
      </c>
      <c r="AC17" s="35" t="s">
        <v>74</v>
      </c>
      <c r="AD17" s="35" t="s">
        <v>215</v>
      </c>
      <c r="AE17" s="35" t="s">
        <v>2603</v>
      </c>
      <c r="AF17" s="35" t="s">
        <v>69</v>
      </c>
      <c r="AG17" s="35" t="s">
        <v>895</v>
      </c>
      <c r="AH17" s="35" t="s">
        <v>129</v>
      </c>
      <c r="AI17" s="35" t="s">
        <v>374</v>
      </c>
      <c r="AJ17" s="35" t="s">
        <v>57</v>
      </c>
      <c r="AK17" s="35" t="s">
        <v>2604</v>
      </c>
      <c r="AL17" s="34"/>
      <c r="AM17" s="34" t="s">
        <v>109</v>
      </c>
      <c r="AN17" s="103" t="s">
        <v>2605</v>
      </c>
      <c r="AO17" s="103" t="s">
        <v>201</v>
      </c>
      <c r="AP17" s="103" t="s">
        <v>2606</v>
      </c>
    </row>
    <row r="18">
      <c r="A18" s="102">
        <v>34.0</v>
      </c>
      <c r="B18" s="34">
        <v>8.79385611E8</v>
      </c>
      <c r="C18" s="34" t="s">
        <v>2607</v>
      </c>
      <c r="D18" s="34" t="s">
        <v>2608</v>
      </c>
      <c r="E18" s="35" t="s">
        <v>2609</v>
      </c>
      <c r="F18" s="43" t="s">
        <v>2610</v>
      </c>
      <c r="G18" s="35" t="s">
        <v>2389</v>
      </c>
      <c r="H18" s="43" t="s">
        <v>2611</v>
      </c>
      <c r="I18" s="35">
        <v>2012.0</v>
      </c>
      <c r="J18" s="35" t="s">
        <v>2612</v>
      </c>
      <c r="K18" s="35" t="s">
        <v>730</v>
      </c>
      <c r="L18" s="35" t="s">
        <v>2613</v>
      </c>
      <c r="M18" s="35" t="s">
        <v>57</v>
      </c>
      <c r="N18" s="35" t="s">
        <v>2389</v>
      </c>
      <c r="O18" s="35" t="s">
        <v>2614</v>
      </c>
      <c r="P18" s="35" t="s">
        <v>2615</v>
      </c>
      <c r="Q18" s="35" t="s">
        <v>93</v>
      </c>
      <c r="R18" s="35" t="s">
        <v>2616</v>
      </c>
      <c r="S18" s="35" t="s">
        <v>2617</v>
      </c>
      <c r="T18" s="35"/>
      <c r="U18" s="35" t="s">
        <v>57</v>
      </c>
      <c r="V18" s="35" t="s">
        <v>2394</v>
      </c>
      <c r="W18" s="35" t="s">
        <v>536</v>
      </c>
      <c r="X18" s="35" t="s">
        <v>2618</v>
      </c>
      <c r="Y18" s="35" t="s">
        <v>2619</v>
      </c>
      <c r="Z18" s="35" t="s">
        <v>2620</v>
      </c>
      <c r="AA18" s="35">
        <v>2007.0</v>
      </c>
      <c r="AB18" s="35">
        <v>2008.0</v>
      </c>
      <c r="AC18" s="35" t="s">
        <v>74</v>
      </c>
      <c r="AD18" s="35" t="s">
        <v>215</v>
      </c>
      <c r="AE18" s="35" t="s">
        <v>2621</v>
      </c>
      <c r="AF18" s="35" t="s">
        <v>69</v>
      </c>
      <c r="AG18" s="35" t="s">
        <v>129</v>
      </c>
      <c r="AH18" s="35" t="s">
        <v>129</v>
      </c>
      <c r="AI18" s="35" t="s">
        <v>57</v>
      </c>
      <c r="AJ18" s="35" t="s">
        <v>57</v>
      </c>
      <c r="AK18" s="35" t="s">
        <v>2622</v>
      </c>
      <c r="AL18" s="34"/>
      <c r="AM18" s="34" t="s">
        <v>1522</v>
      </c>
      <c r="AN18" s="103" t="s">
        <v>2623</v>
      </c>
      <c r="AO18" s="103" t="s">
        <v>201</v>
      </c>
      <c r="AP18" s="103" t="s">
        <v>2624</v>
      </c>
    </row>
    <row r="19">
      <c r="A19" s="102">
        <v>35.0</v>
      </c>
      <c r="B19" s="34">
        <v>8.79385645E8</v>
      </c>
      <c r="C19" s="34" t="s">
        <v>2625</v>
      </c>
      <c r="D19" s="34" t="s">
        <v>2626</v>
      </c>
      <c r="E19" s="35" t="s">
        <v>2627</v>
      </c>
      <c r="F19" s="43" t="s">
        <v>2628</v>
      </c>
      <c r="G19" s="35" t="s">
        <v>2389</v>
      </c>
      <c r="H19" s="43" t="s">
        <v>2629</v>
      </c>
      <c r="I19" s="35">
        <v>2013.0</v>
      </c>
      <c r="J19" s="35" t="s">
        <v>295</v>
      </c>
      <c r="K19" s="35" t="s">
        <v>730</v>
      </c>
      <c r="L19" s="35" t="s">
        <v>2500</v>
      </c>
      <c r="M19" s="35" t="s">
        <v>57</v>
      </c>
      <c r="N19" s="35" t="s">
        <v>2389</v>
      </c>
      <c r="O19" s="35" t="s">
        <v>2630</v>
      </c>
      <c r="P19" s="35" t="s">
        <v>2631</v>
      </c>
      <c r="Q19" s="35" t="s">
        <v>93</v>
      </c>
      <c r="R19" s="35" t="s">
        <v>2632</v>
      </c>
      <c r="S19" s="35" t="s">
        <v>2633</v>
      </c>
      <c r="T19" s="35" t="s">
        <v>74</v>
      </c>
      <c r="U19" s="35" t="s">
        <v>57</v>
      </c>
      <c r="V19" s="35" t="s">
        <v>2430</v>
      </c>
      <c r="W19" s="35" t="s">
        <v>2634</v>
      </c>
      <c r="X19" s="35" t="s">
        <v>2635</v>
      </c>
      <c r="Y19" s="35" t="s">
        <v>2380</v>
      </c>
      <c r="Z19" s="35" t="s">
        <v>2636</v>
      </c>
      <c r="AA19" s="35">
        <v>2007.0</v>
      </c>
      <c r="AB19" s="35">
        <v>2008.0</v>
      </c>
      <c r="AC19" s="35" t="s">
        <v>74</v>
      </c>
      <c r="AD19" s="35" t="s">
        <v>215</v>
      </c>
      <c r="AE19" s="35" t="s">
        <v>2637</v>
      </c>
      <c r="AF19" s="35" t="s">
        <v>69</v>
      </c>
      <c r="AG19" s="35" t="s">
        <v>129</v>
      </c>
      <c r="AH19" s="35" t="s">
        <v>129</v>
      </c>
      <c r="AI19" s="35" t="s">
        <v>57</v>
      </c>
      <c r="AJ19" s="35" t="s">
        <v>57</v>
      </c>
      <c r="AK19" s="35" t="s">
        <v>2638</v>
      </c>
      <c r="AL19" s="34" t="s">
        <v>2556</v>
      </c>
      <c r="AM19" s="34" t="s">
        <v>1522</v>
      </c>
      <c r="AN19" s="103" t="s">
        <v>2639</v>
      </c>
      <c r="AO19" s="103" t="s">
        <v>201</v>
      </c>
      <c r="AP19" s="104"/>
    </row>
    <row r="20">
      <c r="A20" s="102">
        <v>36.0</v>
      </c>
      <c r="B20" s="34">
        <v>8.79385662E8</v>
      </c>
      <c r="C20" s="34" t="s">
        <v>2640</v>
      </c>
      <c r="D20" s="34" t="s">
        <v>2641</v>
      </c>
      <c r="E20" s="35" t="s">
        <v>2642</v>
      </c>
      <c r="F20" s="35" t="s">
        <v>2643</v>
      </c>
      <c r="G20" s="35" t="s">
        <v>2389</v>
      </c>
      <c r="H20" s="43" t="s">
        <v>2644</v>
      </c>
      <c r="I20" s="35">
        <v>2001.0</v>
      </c>
      <c r="J20" s="35" t="s">
        <v>2546</v>
      </c>
      <c r="K20" s="35" t="s">
        <v>730</v>
      </c>
      <c r="L20" s="35" t="s">
        <v>2645</v>
      </c>
      <c r="M20" s="35" t="s">
        <v>2646</v>
      </c>
      <c r="N20" s="35" t="s">
        <v>2389</v>
      </c>
      <c r="O20" s="35" t="s">
        <v>2647</v>
      </c>
      <c r="P20" s="35" t="s">
        <v>57</v>
      </c>
      <c r="Q20" s="35" t="s">
        <v>93</v>
      </c>
      <c r="R20" s="35" t="s">
        <v>57</v>
      </c>
      <c r="S20" s="35" t="s">
        <v>57</v>
      </c>
      <c r="T20" s="35" t="s">
        <v>74</v>
      </c>
      <c r="U20" s="35" t="s">
        <v>57</v>
      </c>
      <c r="V20" s="35" t="s">
        <v>2394</v>
      </c>
      <c r="W20" s="35" t="s">
        <v>64</v>
      </c>
      <c r="X20" s="35" t="s">
        <v>2648</v>
      </c>
      <c r="Y20" s="35" t="s">
        <v>2397</v>
      </c>
      <c r="Z20" s="35" t="s">
        <v>2649</v>
      </c>
      <c r="AA20" s="35">
        <v>1992.0</v>
      </c>
      <c r="AB20" s="35">
        <v>1992.0</v>
      </c>
      <c r="AC20" s="35" t="s">
        <v>74</v>
      </c>
      <c r="AD20" s="35" t="s">
        <v>215</v>
      </c>
      <c r="AE20" s="35" t="s">
        <v>2650</v>
      </c>
      <c r="AF20" s="35" t="s">
        <v>74</v>
      </c>
      <c r="AG20" s="35" t="s">
        <v>57</v>
      </c>
      <c r="AH20" s="35" t="s">
        <v>57</v>
      </c>
      <c r="AI20" s="35" t="s">
        <v>57</v>
      </c>
      <c r="AJ20" s="35" t="s">
        <v>57</v>
      </c>
      <c r="AK20" s="35" t="s">
        <v>57</v>
      </c>
      <c r="AL20" s="34"/>
      <c r="AM20" s="34" t="s">
        <v>109</v>
      </c>
      <c r="AN20" s="103" t="s">
        <v>2651</v>
      </c>
      <c r="AO20" s="103" t="s">
        <v>201</v>
      </c>
      <c r="AP20" s="103"/>
    </row>
    <row r="21">
      <c r="A21" s="102">
        <v>37.0</v>
      </c>
      <c r="B21" s="34">
        <v>8.7938564E8</v>
      </c>
      <c r="C21" s="34" t="s">
        <v>2652</v>
      </c>
      <c r="D21" s="34" t="s">
        <v>2653</v>
      </c>
      <c r="E21" s="35" t="s">
        <v>2654</v>
      </c>
      <c r="F21" s="43" t="s">
        <v>2655</v>
      </c>
      <c r="G21" s="35" t="s">
        <v>2389</v>
      </c>
      <c r="H21" s="43" t="s">
        <v>2656</v>
      </c>
      <c r="I21" s="35">
        <v>2014.0</v>
      </c>
      <c r="J21" s="43" t="s">
        <v>295</v>
      </c>
      <c r="K21" s="35" t="s">
        <v>730</v>
      </c>
      <c r="L21" s="35" t="s">
        <v>2657</v>
      </c>
      <c r="M21" s="35" t="s">
        <v>57</v>
      </c>
      <c r="N21" s="35" t="s">
        <v>2389</v>
      </c>
      <c r="O21" s="35" t="s">
        <v>2596</v>
      </c>
      <c r="P21" s="35" t="s">
        <v>2658</v>
      </c>
      <c r="Q21" s="35" t="s">
        <v>93</v>
      </c>
      <c r="R21" s="35" t="s">
        <v>2659</v>
      </c>
      <c r="S21" s="35" t="s">
        <v>2660</v>
      </c>
      <c r="T21" s="35" t="s">
        <v>74</v>
      </c>
      <c r="U21" s="35" t="s">
        <v>57</v>
      </c>
      <c r="V21" s="35" t="s">
        <v>2394</v>
      </c>
      <c r="W21" s="35" t="s">
        <v>1308</v>
      </c>
      <c r="X21" s="35" t="s">
        <v>2661</v>
      </c>
      <c r="Y21" s="35" t="s">
        <v>2397</v>
      </c>
      <c r="Z21" s="35" t="s">
        <v>2662</v>
      </c>
      <c r="AA21" s="35">
        <v>2006.0</v>
      </c>
      <c r="AB21" s="35">
        <v>2009.0</v>
      </c>
      <c r="AC21" s="35" t="s">
        <v>74</v>
      </c>
      <c r="AD21" s="35" t="s">
        <v>215</v>
      </c>
      <c r="AE21" s="35" t="s">
        <v>2663</v>
      </c>
      <c r="AF21" s="35" t="s">
        <v>69</v>
      </c>
      <c r="AG21" s="35" t="s">
        <v>129</v>
      </c>
      <c r="AH21" s="35" t="s">
        <v>129</v>
      </c>
      <c r="AI21" s="35" t="s">
        <v>57</v>
      </c>
      <c r="AJ21" s="35" t="s">
        <v>57</v>
      </c>
      <c r="AK21" s="35" t="s">
        <v>2664</v>
      </c>
      <c r="AL21" s="34"/>
      <c r="AM21" s="34" t="s">
        <v>1522</v>
      </c>
      <c r="AN21" s="103" t="s">
        <v>2665</v>
      </c>
      <c r="AO21" s="103" t="s">
        <v>201</v>
      </c>
      <c r="AP21" s="104"/>
    </row>
    <row r="22">
      <c r="A22" s="102">
        <v>39.0</v>
      </c>
      <c r="B22" s="34">
        <v>8.79385703E8</v>
      </c>
      <c r="C22" s="34" t="s">
        <v>2666</v>
      </c>
      <c r="D22" s="34" t="s">
        <v>2667</v>
      </c>
      <c r="E22" s="35" t="s">
        <v>2668</v>
      </c>
      <c r="F22" s="43" t="s">
        <v>2669</v>
      </c>
      <c r="G22" s="35" t="s">
        <v>1455</v>
      </c>
      <c r="H22" s="43" t="s">
        <v>2670</v>
      </c>
      <c r="I22" s="35">
        <v>2015.0</v>
      </c>
      <c r="J22" s="35" t="s">
        <v>796</v>
      </c>
      <c r="K22" s="35" t="s">
        <v>730</v>
      </c>
      <c r="L22" s="35" t="s">
        <v>2671</v>
      </c>
      <c r="M22" s="35" t="s">
        <v>57</v>
      </c>
      <c r="N22" s="35" t="s">
        <v>1455</v>
      </c>
      <c r="O22" s="35" t="s">
        <v>2672</v>
      </c>
      <c r="P22" s="35" t="s">
        <v>2673</v>
      </c>
      <c r="Q22" s="35" t="s">
        <v>93</v>
      </c>
      <c r="R22" s="35" t="s">
        <v>2674</v>
      </c>
      <c r="S22" s="35" t="s">
        <v>2675</v>
      </c>
      <c r="T22" s="35" t="s">
        <v>74</v>
      </c>
      <c r="U22" s="35" t="s">
        <v>57</v>
      </c>
      <c r="V22" s="35" t="s">
        <v>2394</v>
      </c>
      <c r="W22" s="35" t="s">
        <v>302</v>
      </c>
      <c r="X22" s="35" t="s">
        <v>2676</v>
      </c>
      <c r="Y22" s="35" t="s">
        <v>2397</v>
      </c>
      <c r="Z22" s="35" t="s">
        <v>2677</v>
      </c>
      <c r="AA22" s="35" t="s">
        <v>57</v>
      </c>
      <c r="AB22" s="35" t="s">
        <v>57</v>
      </c>
      <c r="AC22" s="35" t="s">
        <v>74</v>
      </c>
      <c r="AD22" s="35" t="s">
        <v>215</v>
      </c>
      <c r="AE22" s="35" t="s">
        <v>2678</v>
      </c>
      <c r="AF22" s="35" t="s">
        <v>74</v>
      </c>
      <c r="AG22" s="35" t="s">
        <v>57</v>
      </c>
      <c r="AH22" s="35" t="s">
        <v>57</v>
      </c>
      <c r="AI22" s="35" t="s">
        <v>57</v>
      </c>
      <c r="AJ22" s="35" t="s">
        <v>57</v>
      </c>
      <c r="AK22" s="35" t="s">
        <v>57</v>
      </c>
      <c r="AL22" s="34"/>
      <c r="AM22" s="34" t="s">
        <v>109</v>
      </c>
      <c r="AN22" s="103" t="s">
        <v>2679</v>
      </c>
      <c r="AO22" s="103" t="s">
        <v>201</v>
      </c>
      <c r="AP22" s="103"/>
    </row>
    <row r="23">
      <c r="A23" s="102">
        <v>40.0</v>
      </c>
      <c r="B23" s="34">
        <v>8.79385695E8</v>
      </c>
      <c r="C23" s="34" t="s">
        <v>2680</v>
      </c>
      <c r="D23" s="34" t="s">
        <v>2681</v>
      </c>
      <c r="E23" s="35" t="s">
        <v>2682</v>
      </c>
      <c r="F23" s="43" t="s">
        <v>2683</v>
      </c>
      <c r="G23" s="35" t="s">
        <v>172</v>
      </c>
      <c r="H23" s="43" t="s">
        <v>2684</v>
      </c>
      <c r="I23" s="35">
        <v>2021.0</v>
      </c>
      <c r="J23" s="35" t="s">
        <v>796</v>
      </c>
      <c r="K23" s="35" t="s">
        <v>730</v>
      </c>
      <c r="L23" s="35" t="s">
        <v>2685</v>
      </c>
      <c r="M23" s="35" t="s">
        <v>57</v>
      </c>
      <c r="N23" s="35" t="s">
        <v>172</v>
      </c>
      <c r="O23" s="35" t="s">
        <v>347</v>
      </c>
      <c r="P23" s="35" t="s">
        <v>2686</v>
      </c>
      <c r="Q23" s="35" t="s">
        <v>93</v>
      </c>
      <c r="R23" s="35" t="s">
        <v>57</v>
      </c>
      <c r="S23" s="35" t="s">
        <v>57</v>
      </c>
      <c r="T23" s="35" t="s">
        <v>69</v>
      </c>
      <c r="U23" s="35" t="s">
        <v>2687</v>
      </c>
      <c r="V23" s="35" t="s">
        <v>96</v>
      </c>
      <c r="W23" s="35" t="s">
        <v>2688</v>
      </c>
      <c r="X23" s="35" t="s">
        <v>2689</v>
      </c>
      <c r="Y23" s="35" t="s">
        <v>2690</v>
      </c>
      <c r="Z23" s="35" t="s">
        <v>2691</v>
      </c>
      <c r="AA23" s="35" t="s">
        <v>57</v>
      </c>
      <c r="AB23" s="35" t="s">
        <v>57</v>
      </c>
      <c r="AC23" s="35" t="s">
        <v>74</v>
      </c>
      <c r="AD23" s="35" t="s">
        <v>215</v>
      </c>
      <c r="AE23" s="35" t="s">
        <v>2692</v>
      </c>
      <c r="AF23" s="35" t="s">
        <v>69</v>
      </c>
      <c r="AG23" s="35" t="s">
        <v>129</v>
      </c>
      <c r="AH23" s="35" t="s">
        <v>129</v>
      </c>
      <c r="AI23" s="35" t="s">
        <v>57</v>
      </c>
      <c r="AJ23" s="35" t="s">
        <v>57</v>
      </c>
      <c r="AK23" s="35" t="s">
        <v>2693</v>
      </c>
      <c r="AL23" s="34"/>
      <c r="AM23" s="34" t="s">
        <v>1522</v>
      </c>
      <c r="AN23" s="103" t="s">
        <v>2694</v>
      </c>
      <c r="AO23" s="103" t="s">
        <v>201</v>
      </c>
      <c r="AP23" s="103" t="s">
        <v>2695</v>
      </c>
    </row>
    <row r="24">
      <c r="A24" s="102">
        <v>42.0</v>
      </c>
      <c r="B24" s="34">
        <v>8.79385722E8</v>
      </c>
      <c r="C24" s="34" t="s">
        <v>2696</v>
      </c>
      <c r="D24" s="34" t="s">
        <v>2697</v>
      </c>
      <c r="E24" s="35" t="s">
        <v>2698</v>
      </c>
      <c r="F24" s="43" t="s">
        <v>2699</v>
      </c>
      <c r="G24" s="35" t="s">
        <v>2389</v>
      </c>
      <c r="H24" s="43" t="s">
        <v>2700</v>
      </c>
      <c r="I24" s="35">
        <v>2015.0</v>
      </c>
      <c r="J24" s="35" t="s">
        <v>2701</v>
      </c>
      <c r="K24" s="35" t="s">
        <v>730</v>
      </c>
      <c r="L24" s="35" t="s">
        <v>2702</v>
      </c>
      <c r="M24" s="35" t="s">
        <v>57</v>
      </c>
      <c r="N24" s="35" t="s">
        <v>2389</v>
      </c>
      <c r="O24" s="35" t="s">
        <v>2703</v>
      </c>
      <c r="P24" s="35" t="s">
        <v>2704</v>
      </c>
      <c r="Q24" s="35" t="s">
        <v>93</v>
      </c>
      <c r="R24" s="35" t="s">
        <v>2705</v>
      </c>
      <c r="S24" s="35" t="s">
        <v>2706</v>
      </c>
      <c r="T24" s="35" t="s">
        <v>74</v>
      </c>
      <c r="U24" s="35" t="s">
        <v>57</v>
      </c>
      <c r="V24" s="35" t="s">
        <v>2394</v>
      </c>
      <c r="W24" s="35" t="s">
        <v>2707</v>
      </c>
      <c r="X24" s="35" t="s">
        <v>2708</v>
      </c>
      <c r="Y24" s="35" t="s">
        <v>2397</v>
      </c>
      <c r="Z24" s="35" t="s">
        <v>2709</v>
      </c>
      <c r="AA24" s="35">
        <v>2009.0</v>
      </c>
      <c r="AB24" s="35">
        <v>2011.0</v>
      </c>
      <c r="AC24" s="35" t="s">
        <v>74</v>
      </c>
      <c r="AD24" s="35" t="s">
        <v>215</v>
      </c>
      <c r="AE24" s="35" t="s">
        <v>2710</v>
      </c>
      <c r="AF24" s="35" t="s">
        <v>74</v>
      </c>
      <c r="AG24" s="35" t="s">
        <v>57</v>
      </c>
      <c r="AH24" s="35" t="s">
        <v>57</v>
      </c>
      <c r="AI24" s="35" t="s">
        <v>57</v>
      </c>
      <c r="AJ24" s="35" t="s">
        <v>57</v>
      </c>
      <c r="AK24" s="35" t="s">
        <v>57</v>
      </c>
      <c r="AL24" s="34"/>
      <c r="AM24" s="34" t="s">
        <v>1522</v>
      </c>
      <c r="AN24" s="103" t="s">
        <v>2711</v>
      </c>
      <c r="AO24" s="103" t="s">
        <v>201</v>
      </c>
      <c r="AP24" s="103" t="s">
        <v>2712</v>
      </c>
    </row>
    <row r="25">
      <c r="A25" s="102">
        <v>43.0</v>
      </c>
      <c r="B25" s="34">
        <v>8.79385725E8</v>
      </c>
      <c r="C25" s="34" t="s">
        <v>2713</v>
      </c>
      <c r="D25" s="34" t="s">
        <v>2714</v>
      </c>
      <c r="E25" s="35" t="s">
        <v>2715</v>
      </c>
      <c r="F25" s="43" t="s">
        <v>2716</v>
      </c>
      <c r="G25" s="35" t="s">
        <v>1455</v>
      </c>
      <c r="H25" s="43" t="s">
        <v>2717</v>
      </c>
      <c r="I25" s="35">
        <v>2017.0</v>
      </c>
      <c r="J25" s="43" t="s">
        <v>796</v>
      </c>
      <c r="K25" s="35" t="s">
        <v>730</v>
      </c>
      <c r="L25" s="35" t="s">
        <v>2718</v>
      </c>
      <c r="M25" s="35" t="s">
        <v>57</v>
      </c>
      <c r="N25" s="35" t="s">
        <v>1455</v>
      </c>
      <c r="O25" s="35" t="s">
        <v>2719</v>
      </c>
      <c r="P25" s="35" t="s">
        <v>2720</v>
      </c>
      <c r="Q25" s="35" t="s">
        <v>93</v>
      </c>
      <c r="R25" s="35" t="s">
        <v>57</v>
      </c>
      <c r="S25" s="35" t="s">
        <v>57</v>
      </c>
      <c r="T25" s="35" t="s">
        <v>74</v>
      </c>
      <c r="U25" s="35" t="s">
        <v>57</v>
      </c>
      <c r="V25" s="35" t="s">
        <v>2394</v>
      </c>
      <c r="W25" s="35" t="s">
        <v>161</v>
      </c>
      <c r="X25" s="35" t="s">
        <v>2721</v>
      </c>
      <c r="Y25" s="35" t="s">
        <v>2397</v>
      </c>
      <c r="Z25" s="35" t="s">
        <v>2722</v>
      </c>
      <c r="AA25" s="35" t="s">
        <v>57</v>
      </c>
      <c r="AB25" s="35" t="s">
        <v>57</v>
      </c>
      <c r="AC25" s="35" t="s">
        <v>74</v>
      </c>
      <c r="AD25" s="35" t="s">
        <v>215</v>
      </c>
      <c r="AE25" s="35" t="s">
        <v>2723</v>
      </c>
      <c r="AF25" s="35" t="s">
        <v>69</v>
      </c>
      <c r="AG25" s="35" t="s">
        <v>129</v>
      </c>
      <c r="AH25" s="35" t="s">
        <v>129</v>
      </c>
      <c r="AI25" s="35" t="s">
        <v>57</v>
      </c>
      <c r="AJ25" s="35" t="s">
        <v>57</v>
      </c>
      <c r="AK25" s="35" t="s">
        <v>2724</v>
      </c>
      <c r="AL25" s="34"/>
      <c r="AM25" s="34" t="s">
        <v>1522</v>
      </c>
      <c r="AN25" s="103" t="s">
        <v>2725</v>
      </c>
      <c r="AO25" s="103" t="s">
        <v>201</v>
      </c>
      <c r="AP25" s="110" t="s">
        <v>2726</v>
      </c>
    </row>
    <row r="26">
      <c r="A26" s="102">
        <v>44.0</v>
      </c>
      <c r="B26" s="34">
        <v>8.79385732E8</v>
      </c>
      <c r="C26" s="34" t="s">
        <v>2727</v>
      </c>
      <c r="D26" s="34" t="s">
        <v>2728</v>
      </c>
      <c r="E26" s="35" t="s">
        <v>2729</v>
      </c>
      <c r="F26" s="43" t="s">
        <v>2730</v>
      </c>
      <c r="G26" s="35" t="s">
        <v>581</v>
      </c>
      <c r="H26" s="43" t="s">
        <v>2731</v>
      </c>
      <c r="I26" s="35">
        <v>2020.0</v>
      </c>
      <c r="J26" s="35" t="s">
        <v>796</v>
      </c>
      <c r="K26" s="35" t="s">
        <v>730</v>
      </c>
      <c r="L26" s="35" t="s">
        <v>2732</v>
      </c>
      <c r="M26" s="35" t="s">
        <v>57</v>
      </c>
      <c r="N26" s="35" t="s">
        <v>581</v>
      </c>
      <c r="O26" s="35" t="s">
        <v>585</v>
      </c>
      <c r="P26" s="35" t="s">
        <v>2733</v>
      </c>
      <c r="Q26" s="35" t="s">
        <v>554</v>
      </c>
      <c r="R26" s="35" t="s">
        <v>2734</v>
      </c>
      <c r="S26" s="35" t="s">
        <v>2735</v>
      </c>
      <c r="T26" s="35" t="s">
        <v>74</v>
      </c>
      <c r="U26" s="35" t="s">
        <v>57</v>
      </c>
      <c r="V26" s="35" t="s">
        <v>96</v>
      </c>
      <c r="W26" s="35" t="s">
        <v>2736</v>
      </c>
      <c r="X26" s="35" t="s">
        <v>2737</v>
      </c>
      <c r="Y26" s="35" t="s">
        <v>2397</v>
      </c>
      <c r="Z26" s="35" t="s">
        <v>2738</v>
      </c>
      <c r="AA26" s="35">
        <v>2014.0</v>
      </c>
      <c r="AB26" s="35">
        <v>2016.0</v>
      </c>
      <c r="AC26" s="35" t="s">
        <v>74</v>
      </c>
      <c r="AD26" s="35" t="s">
        <v>215</v>
      </c>
      <c r="AE26" s="35" t="s">
        <v>2739</v>
      </c>
      <c r="AF26" s="35" t="s">
        <v>69</v>
      </c>
      <c r="AG26" s="35" t="s">
        <v>129</v>
      </c>
      <c r="AH26" s="35" t="s">
        <v>129</v>
      </c>
      <c r="AI26" s="35" t="s">
        <v>57</v>
      </c>
      <c r="AJ26" s="35" t="s">
        <v>57</v>
      </c>
      <c r="AK26" s="35" t="s">
        <v>2740</v>
      </c>
      <c r="AL26" s="34"/>
      <c r="AM26" s="34" t="s">
        <v>1522</v>
      </c>
      <c r="AN26" s="103" t="s">
        <v>2741</v>
      </c>
      <c r="AO26" s="103" t="s">
        <v>201</v>
      </c>
      <c r="AP26" s="103" t="s">
        <v>2742</v>
      </c>
    </row>
    <row r="27">
      <c r="A27" s="102">
        <v>46.0</v>
      </c>
      <c r="B27" s="34">
        <v>8.79385758E8</v>
      </c>
      <c r="C27" s="34" t="s">
        <v>2743</v>
      </c>
      <c r="D27" s="34" t="s">
        <v>2744</v>
      </c>
      <c r="E27" s="35" t="s">
        <v>2745</v>
      </c>
      <c r="F27" s="43" t="s">
        <v>2746</v>
      </c>
      <c r="G27" s="35" t="s">
        <v>2389</v>
      </c>
      <c r="H27" s="43" t="s">
        <v>2747</v>
      </c>
      <c r="I27" s="35">
        <v>2022.0</v>
      </c>
      <c r="J27" s="35" t="s">
        <v>2117</v>
      </c>
      <c r="K27" s="35" t="s">
        <v>730</v>
      </c>
      <c r="L27" s="35" t="s">
        <v>2748</v>
      </c>
      <c r="M27" s="35" t="s">
        <v>57</v>
      </c>
      <c r="N27" s="35" t="s">
        <v>2389</v>
      </c>
      <c r="O27" s="35" t="s">
        <v>1775</v>
      </c>
      <c r="P27" s="35" t="s">
        <v>2749</v>
      </c>
      <c r="Q27" s="35" t="s">
        <v>93</v>
      </c>
      <c r="R27" s="43" t="s">
        <v>2750</v>
      </c>
      <c r="S27" s="43" t="s">
        <v>2751</v>
      </c>
      <c r="T27" s="35" t="s">
        <v>74</v>
      </c>
      <c r="U27" s="35" t="s">
        <v>57</v>
      </c>
      <c r="V27" s="35" t="s">
        <v>2394</v>
      </c>
      <c r="W27" s="35" t="s">
        <v>1308</v>
      </c>
      <c r="X27" s="35" t="s">
        <v>2752</v>
      </c>
      <c r="Y27" s="35" t="s">
        <v>2753</v>
      </c>
      <c r="Z27" s="35" t="s">
        <v>2754</v>
      </c>
      <c r="AA27" s="35">
        <v>2013.0</v>
      </c>
      <c r="AB27" s="35">
        <v>2014.0</v>
      </c>
      <c r="AC27" s="35" t="s">
        <v>74</v>
      </c>
      <c r="AD27" s="35" t="s">
        <v>96</v>
      </c>
      <c r="AE27" s="35" t="s">
        <v>2755</v>
      </c>
      <c r="AF27" s="35" t="s">
        <v>69</v>
      </c>
      <c r="AG27" s="35" t="s">
        <v>895</v>
      </c>
      <c r="AH27" s="35" t="s">
        <v>129</v>
      </c>
      <c r="AI27" s="35" t="s">
        <v>374</v>
      </c>
      <c r="AJ27" s="35" t="s">
        <v>57</v>
      </c>
      <c r="AK27" s="35" t="s">
        <v>2756</v>
      </c>
      <c r="AL27" s="34"/>
      <c r="AM27" s="34" t="s">
        <v>1522</v>
      </c>
      <c r="AN27" s="103" t="s">
        <v>2757</v>
      </c>
      <c r="AO27" s="103" t="s">
        <v>201</v>
      </c>
      <c r="AP27" s="103"/>
    </row>
    <row r="28">
      <c r="A28" s="102">
        <v>47.0</v>
      </c>
      <c r="B28" s="34">
        <v>8.79385775E8</v>
      </c>
      <c r="C28" s="34" t="s">
        <v>2758</v>
      </c>
      <c r="D28" s="34" t="s">
        <v>2759</v>
      </c>
      <c r="E28" s="35" t="s">
        <v>2760</v>
      </c>
      <c r="F28" s="43" t="s">
        <v>2761</v>
      </c>
      <c r="G28" s="35" t="s">
        <v>2389</v>
      </c>
      <c r="H28" s="43" t="s">
        <v>2762</v>
      </c>
      <c r="I28" s="35">
        <v>2021.0</v>
      </c>
      <c r="J28" s="35" t="s">
        <v>2763</v>
      </c>
      <c r="K28" s="35" t="s">
        <v>730</v>
      </c>
      <c r="L28" s="35" t="s">
        <v>2764</v>
      </c>
      <c r="M28" s="35" t="s">
        <v>57</v>
      </c>
      <c r="N28" s="35" t="s">
        <v>2389</v>
      </c>
      <c r="O28" s="35" t="s">
        <v>1484</v>
      </c>
      <c r="P28" s="35" t="s">
        <v>2765</v>
      </c>
      <c r="Q28" s="35" t="s">
        <v>93</v>
      </c>
      <c r="R28" s="35" t="s">
        <v>57</v>
      </c>
      <c r="S28" s="35" t="s">
        <v>57</v>
      </c>
      <c r="T28" s="35" t="s">
        <v>74</v>
      </c>
      <c r="U28" s="35" t="s">
        <v>57</v>
      </c>
      <c r="V28" s="35" t="s">
        <v>96</v>
      </c>
      <c r="W28" s="35" t="s">
        <v>2766</v>
      </c>
      <c r="X28" s="35" t="s">
        <v>2767</v>
      </c>
      <c r="Y28" s="35" t="s">
        <v>2397</v>
      </c>
      <c r="Z28" s="35" t="s">
        <v>2768</v>
      </c>
      <c r="AA28" s="35">
        <v>2017.0</v>
      </c>
      <c r="AB28" s="35">
        <v>2018.0</v>
      </c>
      <c r="AC28" s="35" t="s">
        <v>74</v>
      </c>
      <c r="AD28" s="35" t="s">
        <v>96</v>
      </c>
      <c r="AE28" s="35" t="s">
        <v>2769</v>
      </c>
      <c r="AF28" s="35" t="s">
        <v>69</v>
      </c>
      <c r="AG28" s="35" t="s">
        <v>129</v>
      </c>
      <c r="AH28" s="35" t="s">
        <v>129</v>
      </c>
      <c r="AI28" s="35" t="s">
        <v>57</v>
      </c>
      <c r="AJ28" s="35" t="s">
        <v>57</v>
      </c>
      <c r="AK28" s="35" t="s">
        <v>2770</v>
      </c>
      <c r="AL28" s="34"/>
      <c r="AM28" s="34" t="s">
        <v>109</v>
      </c>
      <c r="AN28" s="103" t="s">
        <v>2771</v>
      </c>
      <c r="AO28" s="103" t="s">
        <v>201</v>
      </c>
      <c r="AP28" s="103" t="s">
        <v>2772</v>
      </c>
    </row>
    <row r="29">
      <c r="A29" s="102">
        <v>48.0</v>
      </c>
      <c r="B29" s="34">
        <v>8.79385767E8</v>
      </c>
      <c r="C29" s="34" t="s">
        <v>2773</v>
      </c>
      <c r="D29" s="34" t="s">
        <v>2774</v>
      </c>
      <c r="E29" s="35" t="s">
        <v>2775</v>
      </c>
      <c r="F29" s="43" t="s">
        <v>2776</v>
      </c>
      <c r="G29" s="35" t="s">
        <v>293</v>
      </c>
      <c r="H29" s="43" t="s">
        <v>2777</v>
      </c>
      <c r="I29" s="35">
        <v>2021.0</v>
      </c>
      <c r="J29" s="35" t="s">
        <v>2778</v>
      </c>
      <c r="K29" s="35" t="s">
        <v>730</v>
      </c>
      <c r="L29" s="35" t="s">
        <v>2779</v>
      </c>
      <c r="M29" s="35" t="s">
        <v>57</v>
      </c>
      <c r="N29" s="35" t="s">
        <v>293</v>
      </c>
      <c r="O29" s="35" t="s">
        <v>2577</v>
      </c>
      <c r="P29" s="35" t="s">
        <v>2780</v>
      </c>
      <c r="Q29" s="35" t="s">
        <v>93</v>
      </c>
      <c r="R29" s="35" t="s">
        <v>57</v>
      </c>
      <c r="S29" s="35" t="s">
        <v>57</v>
      </c>
      <c r="T29" s="35" t="s">
        <v>74</v>
      </c>
      <c r="U29" s="35" t="s">
        <v>57</v>
      </c>
      <c r="V29" s="35" t="s">
        <v>96</v>
      </c>
      <c r="W29" s="35" t="s">
        <v>351</v>
      </c>
      <c r="X29" s="35" t="s">
        <v>2781</v>
      </c>
      <c r="Y29" s="35" t="s">
        <v>2690</v>
      </c>
      <c r="Z29" s="35" t="s">
        <v>2782</v>
      </c>
      <c r="AA29" s="35" t="s">
        <v>57</v>
      </c>
      <c r="AB29" s="35" t="s">
        <v>57</v>
      </c>
      <c r="AC29" s="35" t="s">
        <v>74</v>
      </c>
      <c r="AD29" s="35" t="s">
        <v>215</v>
      </c>
      <c r="AE29" s="35" t="s">
        <v>2783</v>
      </c>
      <c r="AF29" s="35" t="s">
        <v>69</v>
      </c>
      <c r="AG29" s="35" t="s">
        <v>129</v>
      </c>
      <c r="AH29" s="35" t="s">
        <v>129</v>
      </c>
      <c r="AI29" s="35" t="s">
        <v>57</v>
      </c>
      <c r="AJ29" s="35" t="s">
        <v>57</v>
      </c>
      <c r="AK29" s="35" t="s">
        <v>2784</v>
      </c>
      <c r="AL29" s="34"/>
      <c r="AM29" s="34" t="s">
        <v>1522</v>
      </c>
      <c r="AN29" s="103" t="s">
        <v>2785</v>
      </c>
      <c r="AO29" s="103" t="s">
        <v>201</v>
      </c>
      <c r="AP29" s="103" t="s">
        <v>2786</v>
      </c>
    </row>
    <row r="30">
      <c r="A30" s="102">
        <v>50.0</v>
      </c>
      <c r="B30" s="34">
        <v>8.79385776E8</v>
      </c>
      <c r="C30" s="34" t="s">
        <v>2787</v>
      </c>
      <c r="D30" s="34" t="s">
        <v>2788</v>
      </c>
      <c r="E30" s="35" t="s">
        <v>2789</v>
      </c>
      <c r="F30" s="43" t="s">
        <v>2790</v>
      </c>
      <c r="G30" s="35" t="s">
        <v>2389</v>
      </c>
      <c r="H30" s="43" t="s">
        <v>2791</v>
      </c>
      <c r="I30" s="35">
        <v>2015.0</v>
      </c>
      <c r="J30" s="35" t="s">
        <v>2792</v>
      </c>
      <c r="K30" s="35" t="s">
        <v>730</v>
      </c>
      <c r="L30" s="35" t="s">
        <v>2793</v>
      </c>
      <c r="M30" s="35" t="s">
        <v>57</v>
      </c>
      <c r="N30" s="35" t="s">
        <v>2389</v>
      </c>
      <c r="O30" s="35" t="s">
        <v>1775</v>
      </c>
      <c r="P30" s="35" t="s">
        <v>2794</v>
      </c>
      <c r="Q30" s="35" t="s">
        <v>93</v>
      </c>
      <c r="R30" s="35" t="s">
        <v>57</v>
      </c>
      <c r="S30" s="35" t="s">
        <v>57</v>
      </c>
      <c r="T30" s="35" t="s">
        <v>69</v>
      </c>
      <c r="U30" s="35" t="s">
        <v>2795</v>
      </c>
      <c r="V30" s="35" t="s">
        <v>96</v>
      </c>
      <c r="W30" s="35" t="s">
        <v>2796</v>
      </c>
      <c r="X30" s="35" t="s">
        <v>2797</v>
      </c>
      <c r="Y30" s="35" t="s">
        <v>2397</v>
      </c>
      <c r="Z30" s="35" t="s">
        <v>2798</v>
      </c>
      <c r="AA30" s="35" t="s">
        <v>57</v>
      </c>
      <c r="AB30" s="35" t="s">
        <v>57</v>
      </c>
      <c r="AC30" s="35" t="s">
        <v>74</v>
      </c>
      <c r="AD30" s="35" t="s">
        <v>215</v>
      </c>
      <c r="AE30" s="35" t="s">
        <v>2799</v>
      </c>
      <c r="AF30" s="35" t="s">
        <v>69</v>
      </c>
      <c r="AG30" s="35" t="s">
        <v>2800</v>
      </c>
      <c r="AH30" s="35" t="s">
        <v>374</v>
      </c>
      <c r="AI30" s="35" t="s">
        <v>2067</v>
      </c>
      <c r="AJ30" s="35" t="s">
        <v>129</v>
      </c>
      <c r="AK30" s="35" t="s">
        <v>2801</v>
      </c>
      <c r="AL30" s="34" t="s">
        <v>2802</v>
      </c>
      <c r="AM30" s="34" t="s">
        <v>1522</v>
      </c>
      <c r="AN30" s="103" t="s">
        <v>2803</v>
      </c>
      <c r="AO30" s="103" t="s">
        <v>201</v>
      </c>
      <c r="AP30" s="103" t="s">
        <v>2804</v>
      </c>
    </row>
    <row r="31">
      <c r="A31" s="102">
        <v>51.0</v>
      </c>
      <c r="B31" s="34">
        <v>8.79385785E8</v>
      </c>
      <c r="C31" s="34" t="s">
        <v>2805</v>
      </c>
      <c r="D31" s="34" t="s">
        <v>2806</v>
      </c>
      <c r="E31" s="35" t="s">
        <v>2807</v>
      </c>
      <c r="F31" s="43" t="s">
        <v>2808</v>
      </c>
      <c r="G31" s="35" t="s">
        <v>639</v>
      </c>
      <c r="H31" s="43" t="s">
        <v>2809</v>
      </c>
      <c r="I31" s="35">
        <v>2020.0</v>
      </c>
      <c r="J31" s="43" t="s">
        <v>2810</v>
      </c>
      <c r="K31" s="35" t="s">
        <v>730</v>
      </c>
      <c r="L31" s="35" t="s">
        <v>2811</v>
      </c>
      <c r="M31" s="35" t="s">
        <v>57</v>
      </c>
      <c r="N31" s="35" t="s">
        <v>639</v>
      </c>
      <c r="O31" s="35" t="s">
        <v>2812</v>
      </c>
      <c r="P31" s="35" t="s">
        <v>2813</v>
      </c>
      <c r="Q31" s="35" t="s">
        <v>93</v>
      </c>
      <c r="R31" s="35" t="s">
        <v>57</v>
      </c>
      <c r="S31" s="35" t="s">
        <v>57</v>
      </c>
      <c r="T31" s="35" t="s">
        <v>74</v>
      </c>
      <c r="U31" s="35" t="s">
        <v>57</v>
      </c>
      <c r="V31" s="35" t="s">
        <v>96</v>
      </c>
      <c r="W31" s="35" t="s">
        <v>302</v>
      </c>
      <c r="X31" s="35" t="s">
        <v>2814</v>
      </c>
      <c r="Y31" s="35" t="s">
        <v>2380</v>
      </c>
      <c r="Z31" s="35" t="s">
        <v>2815</v>
      </c>
      <c r="AA31" s="35">
        <v>1976.0</v>
      </c>
      <c r="AB31" s="35">
        <v>2017.0</v>
      </c>
      <c r="AC31" s="35" t="s">
        <v>74</v>
      </c>
      <c r="AD31" s="35" t="s">
        <v>215</v>
      </c>
      <c r="AE31" s="35" t="s">
        <v>2816</v>
      </c>
      <c r="AF31" s="35" t="s">
        <v>69</v>
      </c>
      <c r="AG31" s="35" t="s">
        <v>129</v>
      </c>
      <c r="AH31" s="35" t="s">
        <v>129</v>
      </c>
      <c r="AI31" s="35" t="s">
        <v>57</v>
      </c>
      <c r="AJ31" s="35" t="s">
        <v>57</v>
      </c>
      <c r="AK31" s="35" t="s">
        <v>2817</v>
      </c>
      <c r="AL31" s="34"/>
      <c r="AM31" s="34" t="s">
        <v>1522</v>
      </c>
      <c r="AN31" s="103" t="s">
        <v>2818</v>
      </c>
      <c r="AO31" s="103" t="s">
        <v>201</v>
      </c>
      <c r="AP31" s="103" t="s">
        <v>2819</v>
      </c>
    </row>
    <row r="32">
      <c r="A32" s="102">
        <v>52.0</v>
      </c>
      <c r="B32" s="34">
        <v>8.793858E8</v>
      </c>
      <c r="C32" s="34" t="s">
        <v>2820</v>
      </c>
      <c r="D32" s="34" t="s">
        <v>2821</v>
      </c>
      <c r="E32" s="35" t="s">
        <v>2822</v>
      </c>
      <c r="F32" s="43" t="s">
        <v>2823</v>
      </c>
      <c r="G32" s="35" t="s">
        <v>1224</v>
      </c>
      <c r="H32" s="35" t="s">
        <v>2824</v>
      </c>
      <c r="I32" s="35">
        <v>2019.0</v>
      </c>
      <c r="J32" s="35" t="s">
        <v>2825</v>
      </c>
      <c r="K32" s="35" t="s">
        <v>730</v>
      </c>
      <c r="L32" s="35" t="s">
        <v>2826</v>
      </c>
      <c r="M32" s="35" t="s">
        <v>57</v>
      </c>
      <c r="N32" s="35" t="s">
        <v>1224</v>
      </c>
      <c r="O32" s="35" t="s">
        <v>2827</v>
      </c>
      <c r="P32" s="35" t="s">
        <v>2828</v>
      </c>
      <c r="Q32" s="35" t="s">
        <v>93</v>
      </c>
      <c r="R32" s="35" t="s">
        <v>57</v>
      </c>
      <c r="S32" s="35" t="s">
        <v>57</v>
      </c>
      <c r="T32" s="35" t="s">
        <v>69</v>
      </c>
      <c r="U32" s="35" t="s">
        <v>2829</v>
      </c>
      <c r="V32" s="35" t="s">
        <v>2394</v>
      </c>
      <c r="W32" s="35" t="s">
        <v>161</v>
      </c>
      <c r="X32" s="35" t="s">
        <v>2830</v>
      </c>
      <c r="Y32" s="35" t="s">
        <v>2831</v>
      </c>
      <c r="Z32" s="35" t="s">
        <v>2832</v>
      </c>
      <c r="AA32" s="35">
        <v>2017.0</v>
      </c>
      <c r="AB32" s="35">
        <v>2017.0</v>
      </c>
      <c r="AC32" s="35" t="s">
        <v>74</v>
      </c>
      <c r="AD32" s="35" t="s">
        <v>215</v>
      </c>
      <c r="AE32" s="35" t="s">
        <v>2833</v>
      </c>
      <c r="AF32" s="35" t="s">
        <v>69</v>
      </c>
      <c r="AG32" s="35" t="s">
        <v>129</v>
      </c>
      <c r="AH32" s="35" t="s">
        <v>129</v>
      </c>
      <c r="AI32" s="35" t="s">
        <v>57</v>
      </c>
      <c r="AJ32" s="35" t="s">
        <v>57</v>
      </c>
      <c r="AK32" s="35" t="s">
        <v>2834</v>
      </c>
      <c r="AL32" s="34" t="s">
        <v>2556</v>
      </c>
      <c r="AM32" s="34" t="s">
        <v>109</v>
      </c>
      <c r="AN32" s="103" t="s">
        <v>2835</v>
      </c>
      <c r="AO32" s="103" t="s">
        <v>201</v>
      </c>
      <c r="AP32" s="103" t="s">
        <v>2836</v>
      </c>
    </row>
    <row r="33">
      <c r="A33" s="102">
        <v>53.0</v>
      </c>
      <c r="B33" s="34">
        <v>8.79385801E8</v>
      </c>
      <c r="C33" s="34" t="s">
        <v>2837</v>
      </c>
      <c r="D33" s="34" t="s">
        <v>2838</v>
      </c>
      <c r="E33" s="35" t="s">
        <v>2839</v>
      </c>
      <c r="F33" s="43" t="s">
        <v>2840</v>
      </c>
      <c r="G33" s="35" t="s">
        <v>2389</v>
      </c>
      <c r="H33" s="35" t="s">
        <v>2841</v>
      </c>
      <c r="I33" s="35">
        <v>2015.0</v>
      </c>
      <c r="J33" s="35" t="s">
        <v>295</v>
      </c>
      <c r="K33" s="35" t="s">
        <v>730</v>
      </c>
      <c r="L33" s="35" t="s">
        <v>2842</v>
      </c>
      <c r="M33" s="35" t="s">
        <v>57</v>
      </c>
      <c r="N33" s="35" t="s">
        <v>2389</v>
      </c>
      <c r="O33" s="35" t="s">
        <v>2843</v>
      </c>
      <c r="P33" s="35" t="s">
        <v>2844</v>
      </c>
      <c r="Q33" s="35" t="s">
        <v>93</v>
      </c>
      <c r="R33" s="35" t="s">
        <v>57</v>
      </c>
      <c r="S33" s="35" t="s">
        <v>57</v>
      </c>
      <c r="T33" s="35" t="s">
        <v>74</v>
      </c>
      <c r="U33" s="35" t="s">
        <v>57</v>
      </c>
      <c r="V33" s="35" t="s">
        <v>96</v>
      </c>
      <c r="W33" s="35" t="s">
        <v>1389</v>
      </c>
      <c r="X33" s="35" t="s">
        <v>2845</v>
      </c>
      <c r="Y33" s="35" t="s">
        <v>2397</v>
      </c>
      <c r="Z33" s="35" t="s">
        <v>2846</v>
      </c>
      <c r="AA33" s="35">
        <v>2011.0</v>
      </c>
      <c r="AB33" s="35">
        <v>2011.0</v>
      </c>
      <c r="AC33" s="35" t="s">
        <v>74</v>
      </c>
      <c r="AD33" s="35" t="s">
        <v>96</v>
      </c>
      <c r="AE33" s="35" t="s">
        <v>2847</v>
      </c>
      <c r="AF33" s="35" t="s">
        <v>69</v>
      </c>
      <c r="AG33" s="35" t="s">
        <v>198</v>
      </c>
      <c r="AH33" s="35" t="s">
        <v>374</v>
      </c>
      <c r="AI33" s="35" t="s">
        <v>129</v>
      </c>
      <c r="AJ33" s="35" t="s">
        <v>57</v>
      </c>
      <c r="AK33" s="35" t="s">
        <v>2848</v>
      </c>
      <c r="AL33" s="34"/>
      <c r="AM33" s="34" t="s">
        <v>109</v>
      </c>
      <c r="AN33" s="103" t="s">
        <v>2849</v>
      </c>
      <c r="AO33" s="103" t="s">
        <v>201</v>
      </c>
      <c r="AP33" s="111" t="s">
        <v>4143</v>
      </c>
    </row>
    <row r="34">
      <c r="A34" s="102">
        <v>54.0</v>
      </c>
      <c r="B34" s="34">
        <v>8.79385802E8</v>
      </c>
      <c r="C34" s="34" t="s">
        <v>2851</v>
      </c>
      <c r="D34" s="34" t="s">
        <v>2852</v>
      </c>
      <c r="E34" s="35" t="s">
        <v>2853</v>
      </c>
      <c r="F34" s="43" t="s">
        <v>2854</v>
      </c>
      <c r="G34" s="35" t="s">
        <v>1727</v>
      </c>
      <c r="H34" s="35" t="s">
        <v>2855</v>
      </c>
      <c r="I34" s="35">
        <v>2020.0</v>
      </c>
      <c r="J34" s="35" t="s">
        <v>2778</v>
      </c>
      <c r="K34" s="35" t="s">
        <v>730</v>
      </c>
      <c r="L34" s="35" t="s">
        <v>2856</v>
      </c>
      <c r="M34" s="35" t="s">
        <v>57</v>
      </c>
      <c r="N34" s="35" t="s">
        <v>1727</v>
      </c>
      <c r="O34" s="35" t="s">
        <v>2857</v>
      </c>
      <c r="P34" s="35" t="s">
        <v>2858</v>
      </c>
      <c r="Q34" s="35" t="s">
        <v>93</v>
      </c>
      <c r="R34" s="35" t="s">
        <v>57</v>
      </c>
      <c r="S34" s="35" t="s">
        <v>57</v>
      </c>
      <c r="T34" s="35" t="s">
        <v>74</v>
      </c>
      <c r="U34" s="35" t="s">
        <v>57</v>
      </c>
      <c r="V34" s="35" t="s">
        <v>2394</v>
      </c>
      <c r="W34" s="35" t="s">
        <v>2859</v>
      </c>
      <c r="X34" s="35" t="s">
        <v>2860</v>
      </c>
      <c r="Y34" s="35" t="s">
        <v>2831</v>
      </c>
      <c r="Z34" s="35" t="s">
        <v>2861</v>
      </c>
      <c r="AA34" s="35">
        <v>2018.0</v>
      </c>
      <c r="AB34" s="35">
        <v>2018.0</v>
      </c>
      <c r="AC34" s="35" t="s">
        <v>74</v>
      </c>
      <c r="AD34" s="35" t="s">
        <v>215</v>
      </c>
      <c r="AE34" s="35" t="s">
        <v>2862</v>
      </c>
      <c r="AF34" s="35" t="s">
        <v>74</v>
      </c>
      <c r="AG34" s="35" t="s">
        <v>57</v>
      </c>
      <c r="AH34" s="35" t="s">
        <v>57</v>
      </c>
      <c r="AI34" s="35" t="s">
        <v>57</v>
      </c>
      <c r="AJ34" s="35" t="s">
        <v>57</v>
      </c>
      <c r="AK34" s="35" t="s">
        <v>57</v>
      </c>
      <c r="AL34" s="34"/>
      <c r="AM34" s="34" t="s">
        <v>109</v>
      </c>
      <c r="AN34" s="103" t="s">
        <v>2863</v>
      </c>
      <c r="AO34" s="103" t="s">
        <v>201</v>
      </c>
      <c r="AP34" s="103" t="s">
        <v>2864</v>
      </c>
    </row>
    <row r="35">
      <c r="A35" s="102">
        <v>56.0</v>
      </c>
      <c r="B35" s="34">
        <v>8.79385783E8</v>
      </c>
      <c r="C35" s="34" t="s">
        <v>2865</v>
      </c>
      <c r="D35" s="34" t="s">
        <v>2866</v>
      </c>
      <c r="E35" s="35" t="s">
        <v>2867</v>
      </c>
      <c r="F35" s="43" t="s">
        <v>2868</v>
      </c>
      <c r="G35" s="35" t="s">
        <v>2389</v>
      </c>
      <c r="H35" s="35" t="s">
        <v>2869</v>
      </c>
      <c r="I35" s="35">
        <v>2002.0</v>
      </c>
      <c r="J35" s="43" t="s">
        <v>2546</v>
      </c>
      <c r="K35" s="35" t="s">
        <v>730</v>
      </c>
      <c r="L35" s="35" t="s">
        <v>2870</v>
      </c>
      <c r="M35" s="35" t="s">
        <v>57</v>
      </c>
      <c r="N35" s="35" t="s">
        <v>2389</v>
      </c>
      <c r="O35" s="35" t="s">
        <v>2871</v>
      </c>
      <c r="P35" s="35" t="s">
        <v>57</v>
      </c>
      <c r="Q35" s="35" t="s">
        <v>93</v>
      </c>
      <c r="R35" s="35" t="s">
        <v>57</v>
      </c>
      <c r="S35" s="35" t="s">
        <v>57</v>
      </c>
      <c r="T35" s="35" t="s">
        <v>74</v>
      </c>
      <c r="U35" s="35" t="s">
        <v>57</v>
      </c>
      <c r="V35" s="35" t="s">
        <v>2430</v>
      </c>
      <c r="W35" s="35" t="s">
        <v>866</v>
      </c>
      <c r="X35" s="35" t="s">
        <v>2872</v>
      </c>
      <c r="Y35" s="35" t="s">
        <v>2831</v>
      </c>
      <c r="Z35" s="35" t="s">
        <v>2873</v>
      </c>
      <c r="AA35" s="35">
        <v>1994.0</v>
      </c>
      <c r="AB35" s="35">
        <v>2000.0</v>
      </c>
      <c r="AC35" s="35" t="s">
        <v>69</v>
      </c>
      <c r="AD35" s="35" t="s">
        <v>215</v>
      </c>
      <c r="AE35" s="35" t="s">
        <v>2874</v>
      </c>
      <c r="AF35" s="35" t="s">
        <v>69</v>
      </c>
      <c r="AG35" s="35" t="s">
        <v>129</v>
      </c>
      <c r="AH35" s="35" t="s">
        <v>129</v>
      </c>
      <c r="AI35" s="35" t="s">
        <v>57</v>
      </c>
      <c r="AJ35" s="35" t="s">
        <v>57</v>
      </c>
      <c r="AK35" s="35" t="s">
        <v>2875</v>
      </c>
      <c r="AL35" s="34"/>
      <c r="AM35" s="34" t="s">
        <v>1522</v>
      </c>
      <c r="AN35" s="103" t="s">
        <v>2876</v>
      </c>
      <c r="AO35" s="103" t="s">
        <v>201</v>
      </c>
      <c r="AP35" s="103" t="s">
        <v>2877</v>
      </c>
    </row>
    <row r="36" ht="144.75" customHeight="1">
      <c r="A36" s="102">
        <v>59.0</v>
      </c>
      <c r="B36" s="34">
        <v>8.79385804E8</v>
      </c>
      <c r="C36" s="34" t="s">
        <v>2878</v>
      </c>
      <c r="D36" s="34" t="s">
        <v>2879</v>
      </c>
      <c r="E36" s="35" t="s">
        <v>2880</v>
      </c>
      <c r="F36" s="43" t="s">
        <v>2881</v>
      </c>
      <c r="G36" s="35" t="s">
        <v>443</v>
      </c>
      <c r="H36" s="43" t="s">
        <v>2882</v>
      </c>
      <c r="I36" s="35">
        <v>2002.0</v>
      </c>
      <c r="J36" s="35" t="s">
        <v>1362</v>
      </c>
      <c r="K36" s="35" t="s">
        <v>730</v>
      </c>
      <c r="L36" s="35" t="s">
        <v>2883</v>
      </c>
      <c r="M36" s="35" t="s">
        <v>57</v>
      </c>
      <c r="N36" s="35" t="s">
        <v>443</v>
      </c>
      <c r="O36" s="35" t="s">
        <v>2884</v>
      </c>
      <c r="P36" s="35" t="s">
        <v>2885</v>
      </c>
      <c r="Q36" s="35" t="s">
        <v>93</v>
      </c>
      <c r="R36" s="35" t="s">
        <v>57</v>
      </c>
      <c r="S36" s="35" t="s">
        <v>57</v>
      </c>
      <c r="T36" s="35" t="s">
        <v>74</v>
      </c>
      <c r="U36" s="35" t="s">
        <v>57</v>
      </c>
      <c r="V36" s="35" t="s">
        <v>193</v>
      </c>
      <c r="W36" s="35" t="s">
        <v>2886</v>
      </c>
      <c r="X36" s="35" t="s">
        <v>2887</v>
      </c>
      <c r="Y36" s="35" t="s">
        <v>2380</v>
      </c>
      <c r="Z36" s="35" t="s">
        <v>2888</v>
      </c>
      <c r="AA36" s="35">
        <v>1994.0</v>
      </c>
      <c r="AB36" s="35">
        <v>1996.0</v>
      </c>
      <c r="AC36" s="35" t="s">
        <v>69</v>
      </c>
      <c r="AD36" s="35" t="s">
        <v>215</v>
      </c>
      <c r="AE36" s="35" t="s">
        <v>2889</v>
      </c>
      <c r="AF36" s="35" t="s">
        <v>69</v>
      </c>
      <c r="AG36" s="35" t="s">
        <v>198</v>
      </c>
      <c r="AH36" s="35" t="s">
        <v>374</v>
      </c>
      <c r="AI36" s="35" t="s">
        <v>129</v>
      </c>
      <c r="AJ36" s="35" t="s">
        <v>57</v>
      </c>
      <c r="AK36" s="35" t="s">
        <v>2890</v>
      </c>
      <c r="AL36" s="34"/>
      <c r="AM36" s="34" t="s">
        <v>1522</v>
      </c>
      <c r="AN36" s="103" t="s">
        <v>2891</v>
      </c>
      <c r="AO36" s="103" t="s">
        <v>201</v>
      </c>
      <c r="AP36" s="103" t="s">
        <v>2892</v>
      </c>
    </row>
    <row r="37">
      <c r="A37" s="102">
        <v>60.0</v>
      </c>
      <c r="B37" s="34">
        <v>8.79385817E8</v>
      </c>
      <c r="C37" s="34" t="s">
        <v>2893</v>
      </c>
      <c r="D37" s="34" t="s">
        <v>2894</v>
      </c>
      <c r="E37" s="35" t="s">
        <v>2895</v>
      </c>
      <c r="F37" s="35" t="s">
        <v>2896</v>
      </c>
      <c r="G37" s="35" t="s">
        <v>760</v>
      </c>
      <c r="H37" s="35" t="s">
        <v>2897</v>
      </c>
      <c r="I37" s="35">
        <v>2011.0</v>
      </c>
      <c r="J37" s="35" t="s">
        <v>295</v>
      </c>
      <c r="K37" s="35" t="s">
        <v>730</v>
      </c>
      <c r="L37" s="35" t="s">
        <v>2898</v>
      </c>
      <c r="M37" s="35" t="s">
        <v>57</v>
      </c>
      <c r="N37" s="35" t="s">
        <v>760</v>
      </c>
      <c r="O37" s="35" t="s">
        <v>2899</v>
      </c>
      <c r="P37" s="35" t="s">
        <v>2900</v>
      </c>
      <c r="Q37" s="35" t="s">
        <v>93</v>
      </c>
      <c r="R37" s="35" t="s">
        <v>2901</v>
      </c>
      <c r="S37" s="35" t="s">
        <v>2902</v>
      </c>
      <c r="T37" s="35" t="s">
        <v>74</v>
      </c>
      <c r="U37" s="35" t="s">
        <v>57</v>
      </c>
      <c r="V37" s="35" t="s">
        <v>96</v>
      </c>
      <c r="W37" s="35" t="s">
        <v>64</v>
      </c>
      <c r="X37" s="35" t="s">
        <v>2903</v>
      </c>
      <c r="Y37" s="35" t="s">
        <v>2397</v>
      </c>
      <c r="Z37" s="35" t="s">
        <v>2904</v>
      </c>
      <c r="AA37" s="35">
        <v>2008.0</v>
      </c>
      <c r="AB37" s="35">
        <v>2008.0</v>
      </c>
      <c r="AC37" s="35" t="s">
        <v>74</v>
      </c>
      <c r="AD37" s="35" t="s">
        <v>215</v>
      </c>
      <c r="AE37" s="35" t="s">
        <v>2905</v>
      </c>
      <c r="AF37" s="35" t="s">
        <v>74</v>
      </c>
      <c r="AG37" s="35" t="s">
        <v>57</v>
      </c>
      <c r="AH37" s="35" t="s">
        <v>57</v>
      </c>
      <c r="AI37" s="35" t="s">
        <v>57</v>
      </c>
      <c r="AJ37" s="35" t="s">
        <v>57</v>
      </c>
      <c r="AK37" s="35" t="s">
        <v>57</v>
      </c>
      <c r="AL37" s="34"/>
      <c r="AM37" s="34" t="s">
        <v>109</v>
      </c>
      <c r="AN37" s="103" t="s">
        <v>2906</v>
      </c>
      <c r="AO37" s="103" t="s">
        <v>201</v>
      </c>
      <c r="AP37" s="103" t="s">
        <v>2907</v>
      </c>
    </row>
    <row r="38" ht="117.0" customHeight="1">
      <c r="A38" s="102">
        <v>61.0</v>
      </c>
      <c r="B38" s="34">
        <v>8.79385823E8</v>
      </c>
      <c r="C38" s="34" t="s">
        <v>2908</v>
      </c>
      <c r="D38" s="34" t="s">
        <v>2909</v>
      </c>
      <c r="E38" s="35" t="s">
        <v>2910</v>
      </c>
      <c r="F38" s="43" t="s">
        <v>2911</v>
      </c>
      <c r="G38" s="35" t="s">
        <v>2389</v>
      </c>
      <c r="H38" s="35" t="s">
        <v>2912</v>
      </c>
      <c r="I38" s="35">
        <v>2013.0</v>
      </c>
      <c r="J38" s="35" t="s">
        <v>2913</v>
      </c>
      <c r="K38" s="35" t="s">
        <v>730</v>
      </c>
      <c r="L38" s="35" t="s">
        <v>2914</v>
      </c>
      <c r="M38" s="35" t="s">
        <v>57</v>
      </c>
      <c r="N38" s="35" t="s">
        <v>2389</v>
      </c>
      <c r="O38" s="35" t="s">
        <v>1775</v>
      </c>
      <c r="P38" s="35" t="s">
        <v>2915</v>
      </c>
      <c r="Q38" s="35" t="s">
        <v>93</v>
      </c>
      <c r="R38" s="35" t="s">
        <v>57</v>
      </c>
      <c r="S38" s="35" t="s">
        <v>57</v>
      </c>
      <c r="T38" s="35" t="s">
        <v>74</v>
      </c>
      <c r="U38" s="35" t="s">
        <v>57</v>
      </c>
      <c r="V38" s="35" t="s">
        <v>2394</v>
      </c>
      <c r="W38" s="35" t="s">
        <v>2916</v>
      </c>
      <c r="X38" s="35" t="s">
        <v>2917</v>
      </c>
      <c r="Y38" s="35" t="s">
        <v>2380</v>
      </c>
      <c r="Z38" s="35" t="s">
        <v>2918</v>
      </c>
      <c r="AA38" s="35" t="s">
        <v>57</v>
      </c>
      <c r="AB38" s="35" t="s">
        <v>57</v>
      </c>
      <c r="AC38" s="35" t="s">
        <v>74</v>
      </c>
      <c r="AD38" s="35" t="s">
        <v>215</v>
      </c>
      <c r="AE38" s="35" t="s">
        <v>2919</v>
      </c>
      <c r="AF38" s="35" t="s">
        <v>74</v>
      </c>
      <c r="AG38" s="35" t="s">
        <v>57</v>
      </c>
      <c r="AH38" s="35" t="s">
        <v>57</v>
      </c>
      <c r="AI38" s="35" t="s">
        <v>57</v>
      </c>
      <c r="AJ38" s="35" t="s">
        <v>57</v>
      </c>
      <c r="AK38" s="35" t="s">
        <v>57</v>
      </c>
      <c r="AL38" s="34"/>
      <c r="AM38" s="34" t="s">
        <v>1522</v>
      </c>
      <c r="AN38" s="103" t="s">
        <v>2920</v>
      </c>
      <c r="AO38" s="103" t="s">
        <v>201</v>
      </c>
      <c r="AP38" s="103" t="s">
        <v>2921</v>
      </c>
    </row>
    <row r="39">
      <c r="A39" s="102">
        <v>62.0</v>
      </c>
      <c r="B39" s="34">
        <v>8.79385831E8</v>
      </c>
      <c r="C39" s="34" t="s">
        <v>2922</v>
      </c>
      <c r="D39" s="34" t="s">
        <v>2923</v>
      </c>
      <c r="E39" s="35" t="s">
        <v>2924</v>
      </c>
      <c r="F39" s="43" t="s">
        <v>2925</v>
      </c>
      <c r="G39" s="35" t="s">
        <v>2926</v>
      </c>
      <c r="H39" s="43" t="s">
        <v>2927</v>
      </c>
      <c r="I39" s="35">
        <v>2019.0</v>
      </c>
      <c r="J39" s="35" t="s">
        <v>2928</v>
      </c>
      <c r="K39" s="35" t="s">
        <v>730</v>
      </c>
      <c r="L39" s="35" t="s">
        <v>2929</v>
      </c>
      <c r="M39" s="35" t="s">
        <v>57</v>
      </c>
      <c r="N39" s="35" t="s">
        <v>2926</v>
      </c>
      <c r="O39" s="35" t="s">
        <v>2930</v>
      </c>
      <c r="P39" s="35" t="s">
        <v>2931</v>
      </c>
      <c r="Q39" s="35" t="s">
        <v>93</v>
      </c>
      <c r="R39" s="35" t="s">
        <v>2932</v>
      </c>
      <c r="S39" s="35" t="s">
        <v>2933</v>
      </c>
      <c r="T39" s="35" t="s">
        <v>74</v>
      </c>
      <c r="U39" s="35" t="s">
        <v>57</v>
      </c>
      <c r="V39" s="35" t="s">
        <v>2394</v>
      </c>
      <c r="W39" s="35" t="s">
        <v>161</v>
      </c>
      <c r="X39" s="35" t="s">
        <v>2934</v>
      </c>
      <c r="Y39" s="35" t="s">
        <v>2380</v>
      </c>
      <c r="Z39" s="35" t="s">
        <v>2935</v>
      </c>
      <c r="AA39" s="35" t="s">
        <v>57</v>
      </c>
      <c r="AB39" s="35" t="s">
        <v>57</v>
      </c>
      <c r="AC39" s="35" t="s">
        <v>74</v>
      </c>
      <c r="AD39" s="35" t="s">
        <v>215</v>
      </c>
      <c r="AE39" s="35" t="s">
        <v>2936</v>
      </c>
      <c r="AF39" s="35" t="s">
        <v>69</v>
      </c>
      <c r="AG39" s="35" t="s">
        <v>129</v>
      </c>
      <c r="AH39" s="35" t="s">
        <v>129</v>
      </c>
      <c r="AI39" s="35" t="s">
        <v>57</v>
      </c>
      <c r="AJ39" s="35" t="s">
        <v>57</v>
      </c>
      <c r="AK39" s="35" t="s">
        <v>2937</v>
      </c>
      <c r="AL39" s="34" t="s">
        <v>2556</v>
      </c>
      <c r="AM39" s="34" t="s">
        <v>1522</v>
      </c>
      <c r="AN39" s="103" t="s">
        <v>2938</v>
      </c>
      <c r="AO39" s="103" t="s">
        <v>201</v>
      </c>
      <c r="AP39" s="103"/>
    </row>
    <row r="40">
      <c r="A40" s="102">
        <v>63.0</v>
      </c>
      <c r="B40" s="34">
        <v>8.79385834E8</v>
      </c>
      <c r="C40" s="34" t="s">
        <v>2939</v>
      </c>
      <c r="D40" s="34" t="s">
        <v>2940</v>
      </c>
      <c r="E40" s="35" t="s">
        <v>2941</v>
      </c>
      <c r="F40" s="43" t="s">
        <v>2942</v>
      </c>
      <c r="G40" s="35" t="s">
        <v>443</v>
      </c>
      <c r="H40" s="43" t="s">
        <v>2943</v>
      </c>
      <c r="I40" s="35">
        <v>1995.0</v>
      </c>
      <c r="J40" s="43" t="s">
        <v>1362</v>
      </c>
      <c r="K40" s="35" t="s">
        <v>730</v>
      </c>
      <c r="L40" s="35" t="s">
        <v>57</v>
      </c>
      <c r="M40" s="35" t="s">
        <v>57</v>
      </c>
      <c r="N40" s="35" t="s">
        <v>2389</v>
      </c>
      <c r="O40" s="35" t="s">
        <v>258</v>
      </c>
      <c r="P40" s="35" t="s">
        <v>2944</v>
      </c>
      <c r="Q40" s="35" t="s">
        <v>93</v>
      </c>
      <c r="R40" s="35" t="s">
        <v>57</v>
      </c>
      <c r="S40" s="35" t="s">
        <v>57</v>
      </c>
      <c r="T40" s="35" t="s">
        <v>74</v>
      </c>
      <c r="U40" s="35" t="s">
        <v>57</v>
      </c>
      <c r="V40" s="35" t="s">
        <v>96</v>
      </c>
      <c r="W40" s="35" t="s">
        <v>2916</v>
      </c>
      <c r="X40" s="35" t="s">
        <v>2945</v>
      </c>
      <c r="Y40" s="35" t="s">
        <v>2380</v>
      </c>
      <c r="Z40" s="35" t="s">
        <v>2946</v>
      </c>
      <c r="AA40" s="35">
        <v>1987.0</v>
      </c>
      <c r="AB40" s="35">
        <v>1992.0</v>
      </c>
      <c r="AC40" s="35" t="s">
        <v>74</v>
      </c>
      <c r="AD40" s="35" t="s">
        <v>215</v>
      </c>
      <c r="AE40" s="35" t="s">
        <v>2947</v>
      </c>
      <c r="AF40" s="35" t="s">
        <v>69</v>
      </c>
      <c r="AG40" s="35" t="s">
        <v>129</v>
      </c>
      <c r="AH40" s="35" t="s">
        <v>129</v>
      </c>
      <c r="AI40" s="35" t="s">
        <v>57</v>
      </c>
      <c r="AJ40" s="35" t="s">
        <v>57</v>
      </c>
      <c r="AK40" s="35" t="s">
        <v>2948</v>
      </c>
      <c r="AL40" s="34"/>
      <c r="AM40" s="34" t="s">
        <v>1522</v>
      </c>
      <c r="AN40" s="103" t="s">
        <v>2949</v>
      </c>
      <c r="AO40" s="103" t="s">
        <v>201</v>
      </c>
      <c r="AP40" s="103" t="s">
        <v>2950</v>
      </c>
    </row>
    <row r="41">
      <c r="A41" s="102">
        <v>64.0</v>
      </c>
      <c r="B41" s="34">
        <v>8.79385835E8</v>
      </c>
      <c r="C41" s="34" t="s">
        <v>2951</v>
      </c>
      <c r="D41" s="34" t="s">
        <v>2952</v>
      </c>
      <c r="E41" s="35" t="s">
        <v>2953</v>
      </c>
      <c r="F41" s="43" t="s">
        <v>2954</v>
      </c>
      <c r="G41" s="35" t="s">
        <v>1452</v>
      </c>
      <c r="H41" s="43" t="s">
        <v>2955</v>
      </c>
      <c r="I41" s="35">
        <v>2015.0</v>
      </c>
      <c r="J41" s="43" t="s">
        <v>2956</v>
      </c>
      <c r="K41" s="35" t="s">
        <v>730</v>
      </c>
      <c r="L41" s="35" t="s">
        <v>2957</v>
      </c>
      <c r="M41" s="35" t="s">
        <v>57</v>
      </c>
      <c r="N41" s="35" t="s">
        <v>1452</v>
      </c>
      <c r="O41" s="35" t="s">
        <v>2958</v>
      </c>
      <c r="P41" s="35" t="s">
        <v>2959</v>
      </c>
      <c r="Q41" s="35" t="s">
        <v>93</v>
      </c>
      <c r="R41" s="35" t="s">
        <v>57</v>
      </c>
      <c r="S41" s="35" t="s">
        <v>57</v>
      </c>
      <c r="T41" s="35" t="s">
        <v>74</v>
      </c>
      <c r="U41" s="35" t="s">
        <v>57</v>
      </c>
      <c r="V41" s="35" t="s">
        <v>2394</v>
      </c>
      <c r="W41" s="35" t="s">
        <v>2766</v>
      </c>
      <c r="X41" s="35" t="s">
        <v>2960</v>
      </c>
      <c r="Y41" s="35" t="s">
        <v>2397</v>
      </c>
      <c r="Z41" s="35" t="s">
        <v>2961</v>
      </c>
      <c r="AA41" s="35">
        <v>2012.0</v>
      </c>
      <c r="AB41" s="35">
        <v>2013.0</v>
      </c>
      <c r="AC41" s="35" t="s">
        <v>74</v>
      </c>
      <c r="AD41" s="35" t="s">
        <v>215</v>
      </c>
      <c r="AE41" s="35" t="s">
        <v>2962</v>
      </c>
      <c r="AF41" s="35" t="s">
        <v>69</v>
      </c>
      <c r="AG41" s="35" t="s">
        <v>129</v>
      </c>
      <c r="AH41" s="35" t="s">
        <v>129</v>
      </c>
      <c r="AI41" s="35" t="s">
        <v>57</v>
      </c>
      <c r="AJ41" s="35" t="s">
        <v>57</v>
      </c>
      <c r="AK41" s="35" t="s">
        <v>2963</v>
      </c>
      <c r="AL41" s="34"/>
      <c r="AM41" s="34" t="s">
        <v>1522</v>
      </c>
      <c r="AN41" s="103" t="s">
        <v>2964</v>
      </c>
      <c r="AO41" s="103" t="s">
        <v>201</v>
      </c>
      <c r="AP41" s="104"/>
    </row>
    <row r="42">
      <c r="A42" s="102">
        <v>65.0</v>
      </c>
      <c r="B42" s="34">
        <v>8.7938585E8</v>
      </c>
      <c r="C42" s="34" t="s">
        <v>2965</v>
      </c>
      <c r="D42" s="34" t="s">
        <v>2966</v>
      </c>
      <c r="E42" s="35" t="s">
        <v>2967</v>
      </c>
      <c r="F42" s="43" t="s">
        <v>2968</v>
      </c>
      <c r="G42" s="35" t="s">
        <v>760</v>
      </c>
      <c r="H42" s="43" t="s">
        <v>2969</v>
      </c>
      <c r="I42" s="35">
        <v>2005.0</v>
      </c>
      <c r="J42" s="35" t="s">
        <v>295</v>
      </c>
      <c r="K42" s="35" t="s">
        <v>730</v>
      </c>
      <c r="L42" s="35" t="s">
        <v>2970</v>
      </c>
      <c r="M42" s="35" t="s">
        <v>57</v>
      </c>
      <c r="N42" s="35" t="s">
        <v>760</v>
      </c>
      <c r="O42" s="35" t="s">
        <v>2971</v>
      </c>
      <c r="P42" s="35" t="s">
        <v>2972</v>
      </c>
      <c r="Q42" s="35" t="s">
        <v>93</v>
      </c>
      <c r="R42" s="35" t="s">
        <v>57</v>
      </c>
      <c r="S42" s="35" t="s">
        <v>57</v>
      </c>
      <c r="T42" s="35" t="s">
        <v>74</v>
      </c>
      <c r="U42" s="35" t="s">
        <v>57</v>
      </c>
      <c r="V42" s="35" t="s">
        <v>2394</v>
      </c>
      <c r="W42" s="35" t="s">
        <v>64</v>
      </c>
      <c r="X42" s="35" t="s">
        <v>2973</v>
      </c>
      <c r="Y42" s="35" t="s">
        <v>2397</v>
      </c>
      <c r="Z42" s="35" t="s">
        <v>2974</v>
      </c>
      <c r="AA42" s="35">
        <v>2002.0</v>
      </c>
      <c r="AB42" s="35">
        <v>2002.0</v>
      </c>
      <c r="AC42" s="35" t="s">
        <v>69</v>
      </c>
      <c r="AD42" s="35" t="s">
        <v>96</v>
      </c>
      <c r="AE42" s="35" t="s">
        <v>2975</v>
      </c>
      <c r="AF42" s="35" t="s">
        <v>74</v>
      </c>
      <c r="AG42" s="35" t="s">
        <v>57</v>
      </c>
      <c r="AH42" s="35" t="s">
        <v>57</v>
      </c>
      <c r="AI42" s="35" t="s">
        <v>57</v>
      </c>
      <c r="AJ42" s="35" t="s">
        <v>57</v>
      </c>
      <c r="AK42" s="35" t="s">
        <v>57</v>
      </c>
      <c r="AL42" s="34" t="s">
        <v>2976</v>
      </c>
      <c r="AM42" s="34" t="s">
        <v>1522</v>
      </c>
      <c r="AN42" s="103" t="s">
        <v>2977</v>
      </c>
      <c r="AO42" s="103" t="s">
        <v>201</v>
      </c>
      <c r="AP42" s="104"/>
    </row>
    <row r="43">
      <c r="A43" s="102">
        <v>66.0</v>
      </c>
      <c r="B43" s="34">
        <v>8.79385852E8</v>
      </c>
      <c r="C43" s="34" t="s">
        <v>2978</v>
      </c>
      <c r="D43" s="34" t="s">
        <v>2979</v>
      </c>
      <c r="E43" s="35" t="s">
        <v>2980</v>
      </c>
      <c r="F43" s="43" t="s">
        <v>2981</v>
      </c>
      <c r="G43" s="35" t="s">
        <v>859</v>
      </c>
      <c r="H43" s="43" t="s">
        <v>2982</v>
      </c>
      <c r="I43" s="35">
        <v>2015.0</v>
      </c>
      <c r="J43" s="35" t="s">
        <v>2983</v>
      </c>
      <c r="K43" s="35" t="s">
        <v>730</v>
      </c>
      <c r="L43" s="35" t="s">
        <v>2984</v>
      </c>
      <c r="M43" s="35" t="s">
        <v>57</v>
      </c>
      <c r="N43" s="35" t="s">
        <v>859</v>
      </c>
      <c r="O43" s="35" t="s">
        <v>2985</v>
      </c>
      <c r="P43" s="35" t="s">
        <v>2986</v>
      </c>
      <c r="Q43" s="35" t="s">
        <v>93</v>
      </c>
      <c r="R43" s="35" t="s">
        <v>2987</v>
      </c>
      <c r="S43" s="35" t="s">
        <v>2988</v>
      </c>
      <c r="T43" s="35" t="s">
        <v>74</v>
      </c>
      <c r="U43" s="35" t="s">
        <v>57</v>
      </c>
      <c r="V43" s="35" t="s">
        <v>2394</v>
      </c>
      <c r="W43" s="35" t="s">
        <v>2989</v>
      </c>
      <c r="X43" s="35" t="s">
        <v>2990</v>
      </c>
      <c r="Y43" s="35" t="s">
        <v>2397</v>
      </c>
      <c r="Z43" s="35" t="s">
        <v>2991</v>
      </c>
      <c r="AA43" s="35">
        <v>2012.0</v>
      </c>
      <c r="AB43" s="35">
        <v>2012.0</v>
      </c>
      <c r="AC43" s="35" t="s">
        <v>74</v>
      </c>
      <c r="AD43" s="35" t="s">
        <v>96</v>
      </c>
      <c r="AE43" s="35" t="s">
        <v>2992</v>
      </c>
      <c r="AF43" s="35" t="s">
        <v>69</v>
      </c>
      <c r="AG43" s="35" t="s">
        <v>129</v>
      </c>
      <c r="AH43" s="35" t="s">
        <v>129</v>
      </c>
      <c r="AI43" s="35" t="s">
        <v>57</v>
      </c>
      <c r="AJ43" s="35" t="s">
        <v>57</v>
      </c>
      <c r="AK43" s="35" t="s">
        <v>2993</v>
      </c>
      <c r="AL43" s="34"/>
      <c r="AM43" s="34" t="s">
        <v>1522</v>
      </c>
      <c r="AN43" s="103" t="s">
        <v>2994</v>
      </c>
      <c r="AO43" s="103" t="s">
        <v>201</v>
      </c>
      <c r="AP43" s="103" t="s">
        <v>2995</v>
      </c>
    </row>
    <row r="44">
      <c r="A44" s="102">
        <v>67.0</v>
      </c>
      <c r="B44" s="34">
        <v>8.79385854E8</v>
      </c>
      <c r="C44" s="34" t="s">
        <v>2996</v>
      </c>
      <c r="D44" s="34" t="s">
        <v>2997</v>
      </c>
      <c r="E44" s="35" t="s">
        <v>2998</v>
      </c>
      <c r="F44" s="43" t="s">
        <v>2999</v>
      </c>
      <c r="G44" s="35" t="s">
        <v>172</v>
      </c>
      <c r="H44" s="43" t="s">
        <v>3000</v>
      </c>
      <c r="I44" s="35">
        <v>2015.0</v>
      </c>
      <c r="J44" s="43" t="s">
        <v>796</v>
      </c>
      <c r="K44" s="35" t="s">
        <v>730</v>
      </c>
      <c r="L44" s="35" t="s">
        <v>3001</v>
      </c>
      <c r="M44" s="35" t="s">
        <v>57</v>
      </c>
      <c r="N44" s="35" t="s">
        <v>172</v>
      </c>
      <c r="O44" s="35" t="s">
        <v>3002</v>
      </c>
      <c r="P44" s="35" t="s">
        <v>3003</v>
      </c>
      <c r="Q44" s="35" t="s">
        <v>93</v>
      </c>
      <c r="R44" s="35" t="s">
        <v>3004</v>
      </c>
      <c r="S44" s="35" t="s">
        <v>3005</v>
      </c>
      <c r="T44" s="35" t="s">
        <v>74</v>
      </c>
      <c r="U44" s="35" t="s">
        <v>57</v>
      </c>
      <c r="V44" s="35" t="s">
        <v>2394</v>
      </c>
      <c r="W44" s="35" t="s">
        <v>2634</v>
      </c>
      <c r="X44" s="35" t="s">
        <v>3006</v>
      </c>
      <c r="Y44" s="35" t="s">
        <v>2397</v>
      </c>
      <c r="Z44" s="35" t="s">
        <v>3007</v>
      </c>
      <c r="AA44" s="35" t="s">
        <v>57</v>
      </c>
      <c r="AB44" s="35">
        <v>2011.0</v>
      </c>
      <c r="AC44" s="35" t="s">
        <v>74</v>
      </c>
      <c r="AD44" s="35" t="s">
        <v>215</v>
      </c>
      <c r="AE44" s="35" t="s">
        <v>3008</v>
      </c>
      <c r="AF44" s="35" t="s">
        <v>69</v>
      </c>
      <c r="AG44" s="35" t="s">
        <v>129</v>
      </c>
      <c r="AH44" s="35" t="s">
        <v>129</v>
      </c>
      <c r="AI44" s="35" t="s">
        <v>57</v>
      </c>
      <c r="AJ44" s="35" t="s">
        <v>57</v>
      </c>
      <c r="AK44" s="35" t="s">
        <v>3009</v>
      </c>
      <c r="AL44" s="34"/>
      <c r="AM44" s="34" t="s">
        <v>1522</v>
      </c>
      <c r="AN44" s="103" t="s">
        <v>3010</v>
      </c>
      <c r="AO44" s="103" t="s">
        <v>201</v>
      </c>
      <c r="AP44" s="104"/>
    </row>
    <row r="45">
      <c r="A45" s="102">
        <v>68.0</v>
      </c>
      <c r="B45" s="34">
        <v>8.79385873E8</v>
      </c>
      <c r="C45" s="34" t="s">
        <v>3011</v>
      </c>
      <c r="D45" s="34" t="s">
        <v>3012</v>
      </c>
      <c r="E45" s="35" t="s">
        <v>3013</v>
      </c>
      <c r="F45" s="43" t="s">
        <v>3014</v>
      </c>
      <c r="G45" s="35" t="s">
        <v>273</v>
      </c>
      <c r="H45" s="35" t="s">
        <v>3015</v>
      </c>
      <c r="I45" s="35">
        <v>2019.0</v>
      </c>
      <c r="J45" s="35" t="s">
        <v>1798</v>
      </c>
      <c r="K45" s="35" t="s">
        <v>730</v>
      </c>
      <c r="L45" s="35" t="s">
        <v>3016</v>
      </c>
      <c r="M45" s="35" t="s">
        <v>57</v>
      </c>
      <c r="N45" s="35" t="s">
        <v>273</v>
      </c>
      <c r="O45" s="35" t="s">
        <v>1022</v>
      </c>
      <c r="P45" s="35" t="s">
        <v>3017</v>
      </c>
      <c r="Q45" s="35" t="s">
        <v>93</v>
      </c>
      <c r="R45" s="35" t="s">
        <v>57</v>
      </c>
      <c r="S45" s="35" t="s">
        <v>57</v>
      </c>
      <c r="T45" s="35" t="s">
        <v>74</v>
      </c>
      <c r="U45" s="35" t="s">
        <v>57</v>
      </c>
      <c r="V45" s="35" t="s">
        <v>2394</v>
      </c>
      <c r="W45" s="35" t="s">
        <v>161</v>
      </c>
      <c r="X45" s="35" t="s">
        <v>3018</v>
      </c>
      <c r="Y45" s="35" t="s">
        <v>2397</v>
      </c>
      <c r="Z45" s="35" t="s">
        <v>3019</v>
      </c>
      <c r="AA45" s="35">
        <v>2019.0</v>
      </c>
      <c r="AB45" s="35">
        <v>2019.0</v>
      </c>
      <c r="AC45" s="35" t="s">
        <v>74</v>
      </c>
      <c r="AD45" s="35" t="s">
        <v>215</v>
      </c>
      <c r="AE45" s="35" t="s">
        <v>3020</v>
      </c>
      <c r="AF45" s="35" t="s">
        <v>69</v>
      </c>
      <c r="AG45" s="35" t="s">
        <v>129</v>
      </c>
      <c r="AH45" s="35" t="s">
        <v>129</v>
      </c>
      <c r="AI45" s="35" t="s">
        <v>57</v>
      </c>
      <c r="AJ45" s="35" t="s">
        <v>57</v>
      </c>
      <c r="AK45" s="35" t="s">
        <v>3021</v>
      </c>
      <c r="AL45" s="34"/>
      <c r="AM45" s="34" t="s">
        <v>109</v>
      </c>
      <c r="AN45" s="103" t="s">
        <v>501</v>
      </c>
      <c r="AO45" s="103" t="s">
        <v>201</v>
      </c>
      <c r="AP45" s="103" t="s">
        <v>3022</v>
      </c>
    </row>
    <row r="46">
      <c r="A46" s="102">
        <v>69.0</v>
      </c>
      <c r="B46" s="34">
        <v>8.7938586E8</v>
      </c>
      <c r="C46" s="34" t="s">
        <v>3023</v>
      </c>
      <c r="D46" s="34" t="s">
        <v>3024</v>
      </c>
      <c r="E46" s="35" t="s">
        <v>3025</v>
      </c>
      <c r="F46" s="43" t="s">
        <v>3026</v>
      </c>
      <c r="G46" s="35" t="s">
        <v>2389</v>
      </c>
      <c r="H46" s="43" t="s">
        <v>3027</v>
      </c>
      <c r="I46" s="35">
        <v>2016.0</v>
      </c>
      <c r="J46" s="35" t="s">
        <v>3028</v>
      </c>
      <c r="K46" s="35" t="s">
        <v>730</v>
      </c>
      <c r="L46" s="35" t="s">
        <v>3029</v>
      </c>
      <c r="M46" s="35" t="s">
        <v>57</v>
      </c>
      <c r="N46" s="35" t="s">
        <v>2389</v>
      </c>
      <c r="O46" s="35" t="s">
        <v>3030</v>
      </c>
      <c r="P46" s="35" t="s">
        <v>3031</v>
      </c>
      <c r="Q46" s="35" t="s">
        <v>93</v>
      </c>
      <c r="R46" s="43" t="s">
        <v>3032</v>
      </c>
      <c r="S46" s="43" t="s">
        <v>3033</v>
      </c>
      <c r="T46" s="35" t="s">
        <v>74</v>
      </c>
      <c r="U46" s="35" t="s">
        <v>57</v>
      </c>
      <c r="V46" s="35" t="s">
        <v>2394</v>
      </c>
      <c r="W46" s="35" t="s">
        <v>3034</v>
      </c>
      <c r="X46" s="35" t="s">
        <v>3035</v>
      </c>
      <c r="Y46" s="35" t="s">
        <v>2397</v>
      </c>
      <c r="Z46" s="35" t="s">
        <v>3036</v>
      </c>
      <c r="AA46" s="35">
        <v>2014.0</v>
      </c>
      <c r="AB46" s="35">
        <v>2014.0</v>
      </c>
      <c r="AC46" s="35" t="s">
        <v>74</v>
      </c>
      <c r="AD46" s="35" t="s">
        <v>215</v>
      </c>
      <c r="AE46" s="35" t="s">
        <v>3037</v>
      </c>
      <c r="AF46" s="35" t="s">
        <v>69</v>
      </c>
      <c r="AG46" s="35" t="s">
        <v>129</v>
      </c>
      <c r="AH46" s="35" t="s">
        <v>129</v>
      </c>
      <c r="AI46" s="35" t="s">
        <v>57</v>
      </c>
      <c r="AJ46" s="35" t="s">
        <v>57</v>
      </c>
      <c r="AK46" s="35" t="s">
        <v>3038</v>
      </c>
      <c r="AL46" s="34"/>
      <c r="AM46" s="34" t="s">
        <v>1522</v>
      </c>
      <c r="AN46" s="103" t="s">
        <v>3039</v>
      </c>
      <c r="AO46" s="103" t="s">
        <v>201</v>
      </c>
      <c r="AP46" s="103" t="s">
        <v>3040</v>
      </c>
    </row>
    <row r="47">
      <c r="A47" s="102">
        <v>70.0</v>
      </c>
      <c r="B47" s="34">
        <v>8.79385871E8</v>
      </c>
      <c r="C47" s="34" t="s">
        <v>3041</v>
      </c>
      <c r="D47" s="34" t="s">
        <v>3042</v>
      </c>
      <c r="E47" s="35" t="s">
        <v>3043</v>
      </c>
      <c r="F47" s="43" t="s">
        <v>3044</v>
      </c>
      <c r="G47" s="35" t="s">
        <v>2389</v>
      </c>
      <c r="H47" s="43" t="s">
        <v>3045</v>
      </c>
      <c r="I47" s="35">
        <v>2019.0</v>
      </c>
      <c r="J47" s="35" t="s">
        <v>2825</v>
      </c>
      <c r="K47" s="35" t="s">
        <v>730</v>
      </c>
      <c r="L47" s="35" t="s">
        <v>3046</v>
      </c>
      <c r="M47" s="35" t="s">
        <v>57</v>
      </c>
      <c r="N47" s="35" t="s">
        <v>2389</v>
      </c>
      <c r="O47" s="35" t="s">
        <v>1484</v>
      </c>
      <c r="P47" s="35" t="s">
        <v>3047</v>
      </c>
      <c r="Q47" s="35" t="s">
        <v>93</v>
      </c>
      <c r="R47" s="35" t="s">
        <v>57</v>
      </c>
      <c r="S47" s="35" t="s">
        <v>57</v>
      </c>
      <c r="T47" s="35" t="s">
        <v>74</v>
      </c>
      <c r="U47" s="35" t="s">
        <v>57</v>
      </c>
      <c r="V47" s="35" t="s">
        <v>96</v>
      </c>
      <c r="W47" s="35" t="s">
        <v>161</v>
      </c>
      <c r="X47" s="35" t="s">
        <v>3048</v>
      </c>
      <c r="Y47" s="35" t="s">
        <v>2397</v>
      </c>
      <c r="Z47" s="35" t="s">
        <v>3049</v>
      </c>
      <c r="AA47" s="35">
        <v>2005.0</v>
      </c>
      <c r="AB47" s="35">
        <v>2006.0</v>
      </c>
      <c r="AC47" s="35" t="s">
        <v>69</v>
      </c>
      <c r="AD47" s="35" t="s">
        <v>215</v>
      </c>
      <c r="AE47" s="35" t="s">
        <v>3050</v>
      </c>
      <c r="AF47" s="35" t="s">
        <v>69</v>
      </c>
      <c r="AG47" s="35" t="s">
        <v>129</v>
      </c>
      <c r="AH47" s="35" t="s">
        <v>129</v>
      </c>
      <c r="AI47" s="35" t="s">
        <v>57</v>
      </c>
      <c r="AJ47" s="35" t="s">
        <v>57</v>
      </c>
      <c r="AK47" s="35" t="s">
        <v>3051</v>
      </c>
      <c r="AL47" s="34" t="s">
        <v>3052</v>
      </c>
      <c r="AM47" s="34" t="s">
        <v>109</v>
      </c>
      <c r="AN47" s="103" t="s">
        <v>3053</v>
      </c>
      <c r="AO47" s="103" t="s">
        <v>201</v>
      </c>
      <c r="AP47" s="103" t="s">
        <v>3054</v>
      </c>
    </row>
    <row r="48">
      <c r="A48" s="102">
        <v>71.0</v>
      </c>
      <c r="B48" s="34">
        <v>8.79385865E8</v>
      </c>
      <c r="C48" s="34" t="s">
        <v>3055</v>
      </c>
      <c r="D48" s="34" t="s">
        <v>3056</v>
      </c>
      <c r="E48" s="35" t="s">
        <v>3057</v>
      </c>
      <c r="F48" s="43" t="s">
        <v>3058</v>
      </c>
      <c r="G48" s="35" t="s">
        <v>396</v>
      </c>
      <c r="H48" s="35" t="s">
        <v>3059</v>
      </c>
      <c r="I48" s="35">
        <v>2015.0</v>
      </c>
      <c r="J48" s="43" t="s">
        <v>1798</v>
      </c>
      <c r="K48" s="35" t="s">
        <v>730</v>
      </c>
      <c r="L48" s="35" t="s">
        <v>3060</v>
      </c>
      <c r="M48" s="35" t="s">
        <v>57</v>
      </c>
      <c r="N48" s="35" t="s">
        <v>396</v>
      </c>
      <c r="O48" s="35" t="s">
        <v>3061</v>
      </c>
      <c r="P48" s="35" t="s">
        <v>3062</v>
      </c>
      <c r="Q48" s="35" t="s">
        <v>93</v>
      </c>
      <c r="R48" s="35" t="s">
        <v>3063</v>
      </c>
      <c r="S48" s="35" t="s">
        <v>3064</v>
      </c>
      <c r="T48" s="35" t="s">
        <v>74</v>
      </c>
      <c r="U48" s="35" t="s">
        <v>57</v>
      </c>
      <c r="V48" s="35" t="s">
        <v>2394</v>
      </c>
      <c r="W48" s="35" t="s">
        <v>2395</v>
      </c>
      <c r="X48" s="35" t="s">
        <v>3065</v>
      </c>
      <c r="Y48" s="35" t="s">
        <v>2397</v>
      </c>
      <c r="Z48" s="35" t="s">
        <v>3066</v>
      </c>
      <c r="AA48" s="35" t="s">
        <v>57</v>
      </c>
      <c r="AB48" s="35" t="s">
        <v>57</v>
      </c>
      <c r="AC48" s="35" t="s">
        <v>69</v>
      </c>
      <c r="AD48" s="35" t="s">
        <v>96</v>
      </c>
      <c r="AE48" s="35" t="s">
        <v>3067</v>
      </c>
      <c r="AF48" s="35" t="s">
        <v>69</v>
      </c>
      <c r="AG48" s="35" t="s">
        <v>129</v>
      </c>
      <c r="AH48" s="35" t="s">
        <v>129</v>
      </c>
      <c r="AI48" s="35" t="s">
        <v>57</v>
      </c>
      <c r="AJ48" s="35" t="s">
        <v>57</v>
      </c>
      <c r="AK48" s="35" t="s">
        <v>3068</v>
      </c>
      <c r="AL48" s="34"/>
      <c r="AM48" s="34" t="s">
        <v>1522</v>
      </c>
      <c r="AN48" s="103" t="s">
        <v>3069</v>
      </c>
      <c r="AO48" s="103" t="s">
        <v>201</v>
      </c>
      <c r="AP48" s="103" t="s">
        <v>3070</v>
      </c>
    </row>
    <row r="49">
      <c r="A49" s="102">
        <v>72.0</v>
      </c>
      <c r="B49" s="34">
        <v>8.79385875E8</v>
      </c>
      <c r="C49" s="34" t="s">
        <v>3071</v>
      </c>
      <c r="D49" s="34" t="s">
        <v>3072</v>
      </c>
      <c r="E49" s="35" t="s">
        <v>3073</v>
      </c>
      <c r="F49" s="43" t="s">
        <v>3074</v>
      </c>
      <c r="G49" s="35" t="s">
        <v>2389</v>
      </c>
      <c r="H49" s="43" t="s">
        <v>3075</v>
      </c>
      <c r="I49" s="35">
        <v>2017.0</v>
      </c>
      <c r="J49" s="35" t="s">
        <v>796</v>
      </c>
      <c r="K49" s="35" t="s">
        <v>730</v>
      </c>
      <c r="L49" s="35" t="s">
        <v>2500</v>
      </c>
      <c r="M49" s="35" t="s">
        <v>57</v>
      </c>
      <c r="N49" s="35" t="s">
        <v>2389</v>
      </c>
      <c r="O49" s="35" t="s">
        <v>400</v>
      </c>
      <c r="P49" s="35" t="s">
        <v>3076</v>
      </c>
      <c r="Q49" s="35" t="s">
        <v>93</v>
      </c>
      <c r="R49" s="35" t="s">
        <v>57</v>
      </c>
      <c r="S49" s="35" t="s">
        <v>57</v>
      </c>
      <c r="T49" s="35" t="s">
        <v>74</v>
      </c>
      <c r="U49" s="35" t="s">
        <v>57</v>
      </c>
      <c r="V49" s="35" t="s">
        <v>2430</v>
      </c>
      <c r="W49" s="35" t="s">
        <v>2989</v>
      </c>
      <c r="X49" s="35" t="s">
        <v>3077</v>
      </c>
      <c r="Y49" s="35" t="s">
        <v>2397</v>
      </c>
      <c r="Z49" s="35" t="s">
        <v>3078</v>
      </c>
      <c r="AA49" s="35" t="s">
        <v>57</v>
      </c>
      <c r="AB49" s="35" t="s">
        <v>57</v>
      </c>
      <c r="AC49" s="35" t="s">
        <v>74</v>
      </c>
      <c r="AD49" s="35" t="s">
        <v>215</v>
      </c>
      <c r="AE49" s="35" t="s">
        <v>3079</v>
      </c>
      <c r="AF49" s="35" t="s">
        <v>74</v>
      </c>
      <c r="AG49" s="35" t="s">
        <v>57</v>
      </c>
      <c r="AH49" s="35" t="s">
        <v>57</v>
      </c>
      <c r="AI49" s="35" t="s">
        <v>57</v>
      </c>
      <c r="AJ49" s="35" t="s">
        <v>57</v>
      </c>
      <c r="AK49" s="35" t="s">
        <v>57</v>
      </c>
      <c r="AL49" s="34"/>
      <c r="AM49" s="34" t="s">
        <v>109</v>
      </c>
      <c r="AN49" s="103" t="s">
        <v>3080</v>
      </c>
      <c r="AO49" s="103" t="s">
        <v>201</v>
      </c>
      <c r="AP49" s="103" t="s">
        <v>3081</v>
      </c>
    </row>
    <row r="50">
      <c r="A50" s="102">
        <v>73.0</v>
      </c>
      <c r="B50" s="34">
        <v>8.79385887E8</v>
      </c>
      <c r="C50" s="34" t="s">
        <v>3082</v>
      </c>
      <c r="D50" s="34" t="s">
        <v>3083</v>
      </c>
      <c r="E50" s="35" t="s">
        <v>3084</v>
      </c>
      <c r="F50" s="43" t="s">
        <v>3085</v>
      </c>
      <c r="G50" s="35" t="s">
        <v>443</v>
      </c>
      <c r="H50" s="43" t="s">
        <v>3086</v>
      </c>
      <c r="I50" s="35">
        <v>2019.0</v>
      </c>
      <c r="J50" s="35" t="s">
        <v>796</v>
      </c>
      <c r="K50" s="35" t="s">
        <v>730</v>
      </c>
      <c r="L50" s="35" t="s">
        <v>3087</v>
      </c>
      <c r="M50" s="35" t="s">
        <v>57</v>
      </c>
      <c r="N50" s="35" t="s">
        <v>443</v>
      </c>
      <c r="O50" s="35" t="s">
        <v>444</v>
      </c>
      <c r="P50" s="35" t="s">
        <v>3088</v>
      </c>
      <c r="Q50" s="35" t="s">
        <v>93</v>
      </c>
      <c r="R50" s="35" t="s">
        <v>57</v>
      </c>
      <c r="S50" s="35" t="s">
        <v>57</v>
      </c>
      <c r="T50" s="35" t="s">
        <v>74</v>
      </c>
      <c r="U50" s="35" t="s">
        <v>57</v>
      </c>
      <c r="V50" s="35" t="s">
        <v>96</v>
      </c>
      <c r="W50" s="35" t="s">
        <v>161</v>
      </c>
      <c r="X50" s="35" t="s">
        <v>3089</v>
      </c>
      <c r="Y50" s="35" t="s">
        <v>2397</v>
      </c>
      <c r="Z50" s="35" t="s">
        <v>3090</v>
      </c>
      <c r="AA50" s="35" t="s">
        <v>57</v>
      </c>
      <c r="AB50" s="35" t="s">
        <v>57</v>
      </c>
      <c r="AC50" s="35" t="s">
        <v>74</v>
      </c>
      <c r="AD50" s="35" t="s">
        <v>215</v>
      </c>
      <c r="AE50" s="35" t="s">
        <v>3091</v>
      </c>
      <c r="AF50" s="35" t="s">
        <v>69</v>
      </c>
      <c r="AG50" s="35" t="s">
        <v>198</v>
      </c>
      <c r="AH50" s="35" t="s">
        <v>374</v>
      </c>
      <c r="AI50" s="35" t="s">
        <v>129</v>
      </c>
      <c r="AJ50" s="35" t="s">
        <v>57</v>
      </c>
      <c r="AK50" s="35" t="s">
        <v>3092</v>
      </c>
      <c r="AL50" s="34"/>
      <c r="AM50" s="34" t="s">
        <v>109</v>
      </c>
      <c r="AN50" s="103" t="s">
        <v>3093</v>
      </c>
      <c r="AO50" s="103" t="s">
        <v>201</v>
      </c>
      <c r="AP50" s="41" t="s">
        <v>3094</v>
      </c>
    </row>
    <row r="51">
      <c r="A51" s="102">
        <v>74.0</v>
      </c>
      <c r="B51" s="34">
        <v>8.7938588E8</v>
      </c>
      <c r="C51" s="34" t="s">
        <v>3095</v>
      </c>
      <c r="D51" s="34" t="s">
        <v>3096</v>
      </c>
      <c r="E51" s="35" t="s">
        <v>3097</v>
      </c>
      <c r="F51" s="35" t="s">
        <v>3098</v>
      </c>
      <c r="G51" s="35" t="s">
        <v>172</v>
      </c>
      <c r="H51" s="43" t="s">
        <v>3099</v>
      </c>
      <c r="I51" s="35">
        <v>2021.0</v>
      </c>
      <c r="J51" s="43" t="s">
        <v>2117</v>
      </c>
      <c r="K51" s="35" t="s">
        <v>730</v>
      </c>
      <c r="L51" s="35" t="s">
        <v>3100</v>
      </c>
      <c r="M51" s="35" t="s">
        <v>57</v>
      </c>
      <c r="N51" s="35" t="s">
        <v>172</v>
      </c>
      <c r="O51" s="35" t="s">
        <v>347</v>
      </c>
      <c r="P51" s="35" t="s">
        <v>3101</v>
      </c>
      <c r="Q51" s="35" t="s">
        <v>93</v>
      </c>
      <c r="R51" s="35" t="s">
        <v>57</v>
      </c>
      <c r="S51" s="35" t="s">
        <v>57</v>
      </c>
      <c r="T51" s="35" t="s">
        <v>3102</v>
      </c>
      <c r="U51" s="35" t="s">
        <v>57</v>
      </c>
      <c r="V51" s="35" t="s">
        <v>96</v>
      </c>
      <c r="W51" s="35" t="s">
        <v>3103</v>
      </c>
      <c r="X51" s="35" t="s">
        <v>3104</v>
      </c>
      <c r="Y51" s="35" t="s">
        <v>2380</v>
      </c>
      <c r="Z51" s="35" t="s">
        <v>3105</v>
      </c>
      <c r="AA51" s="35" t="s">
        <v>57</v>
      </c>
      <c r="AB51" s="35" t="s">
        <v>57</v>
      </c>
      <c r="AC51" s="35" t="s">
        <v>69</v>
      </c>
      <c r="AD51" s="35" t="s">
        <v>96</v>
      </c>
      <c r="AE51" s="35" t="s">
        <v>3106</v>
      </c>
      <c r="AF51" s="35" t="s">
        <v>74</v>
      </c>
      <c r="AG51" s="35" t="s">
        <v>57</v>
      </c>
      <c r="AH51" s="35" t="s">
        <v>57</v>
      </c>
      <c r="AI51" s="35" t="s">
        <v>57</v>
      </c>
      <c r="AJ51" s="35" t="s">
        <v>57</v>
      </c>
      <c r="AK51" s="35" t="s">
        <v>57</v>
      </c>
      <c r="AL51" s="34" t="s">
        <v>3107</v>
      </c>
      <c r="AM51" s="34" t="s">
        <v>1522</v>
      </c>
      <c r="AN51" s="103" t="s">
        <v>3108</v>
      </c>
      <c r="AO51" s="103" t="s">
        <v>201</v>
      </c>
      <c r="AP51" s="103" t="s">
        <v>3109</v>
      </c>
    </row>
    <row r="52">
      <c r="A52" s="102">
        <v>75.0</v>
      </c>
      <c r="B52" s="34">
        <v>8.79385885E8</v>
      </c>
      <c r="C52" s="34" t="s">
        <v>3110</v>
      </c>
      <c r="D52" s="34" t="s">
        <v>3111</v>
      </c>
      <c r="E52" s="35" t="s">
        <v>3112</v>
      </c>
      <c r="F52" s="43" t="s">
        <v>3113</v>
      </c>
      <c r="G52" s="35" t="s">
        <v>87</v>
      </c>
      <c r="H52" s="43" t="s">
        <v>3114</v>
      </c>
      <c r="I52" s="35">
        <v>2021.0</v>
      </c>
      <c r="J52" s="43" t="s">
        <v>1347</v>
      </c>
      <c r="K52" s="35" t="s">
        <v>730</v>
      </c>
      <c r="L52" s="35" t="s">
        <v>3115</v>
      </c>
      <c r="M52" s="35" t="s">
        <v>57</v>
      </c>
      <c r="N52" s="35" t="s">
        <v>87</v>
      </c>
      <c r="O52" s="35" t="s">
        <v>91</v>
      </c>
      <c r="P52" s="35" t="s">
        <v>3116</v>
      </c>
      <c r="Q52" s="35" t="s">
        <v>93</v>
      </c>
      <c r="R52" s="35" t="s">
        <v>57</v>
      </c>
      <c r="S52" s="35" t="s">
        <v>57</v>
      </c>
      <c r="T52" s="35" t="s">
        <v>74</v>
      </c>
      <c r="U52" s="35" t="s">
        <v>57</v>
      </c>
      <c r="V52" s="35" t="s">
        <v>96</v>
      </c>
      <c r="W52" s="35" t="s">
        <v>2916</v>
      </c>
      <c r="X52" s="35" t="s">
        <v>3117</v>
      </c>
      <c r="Y52" s="35" t="s">
        <v>2380</v>
      </c>
      <c r="Z52" s="35" t="s">
        <v>3118</v>
      </c>
      <c r="AA52" s="35">
        <v>2018.0</v>
      </c>
      <c r="AB52" s="35">
        <v>2018.0</v>
      </c>
      <c r="AC52" s="35" t="s">
        <v>74</v>
      </c>
      <c r="AD52" s="35" t="s">
        <v>215</v>
      </c>
      <c r="AE52" s="35" t="s">
        <v>3119</v>
      </c>
      <c r="AF52" s="35" t="s">
        <v>69</v>
      </c>
      <c r="AG52" s="35" t="s">
        <v>198</v>
      </c>
      <c r="AH52" s="35" t="s">
        <v>374</v>
      </c>
      <c r="AI52" s="35" t="s">
        <v>129</v>
      </c>
      <c r="AJ52" s="35" t="s">
        <v>57</v>
      </c>
      <c r="AK52" s="35" t="s">
        <v>3120</v>
      </c>
      <c r="AL52" s="34"/>
      <c r="AM52" s="34" t="s">
        <v>1522</v>
      </c>
      <c r="AN52" s="103" t="s">
        <v>3121</v>
      </c>
      <c r="AO52" s="103" t="s">
        <v>201</v>
      </c>
      <c r="AP52" s="103" t="s">
        <v>4144</v>
      </c>
    </row>
    <row r="53">
      <c r="A53" s="102">
        <v>76.0</v>
      </c>
      <c r="B53" s="34">
        <v>8.79385888E8</v>
      </c>
      <c r="C53" s="34" t="s">
        <v>3123</v>
      </c>
      <c r="D53" s="34" t="s">
        <v>3124</v>
      </c>
      <c r="E53" s="35" t="s">
        <v>3125</v>
      </c>
      <c r="F53" s="43" t="s">
        <v>3126</v>
      </c>
      <c r="G53" s="35" t="s">
        <v>859</v>
      </c>
      <c r="H53" s="43" t="s">
        <v>3127</v>
      </c>
      <c r="I53" s="35">
        <v>2012.0</v>
      </c>
      <c r="J53" s="43" t="s">
        <v>796</v>
      </c>
      <c r="K53" s="35" t="s">
        <v>730</v>
      </c>
      <c r="L53" s="35" t="s">
        <v>3128</v>
      </c>
      <c r="M53" s="35" t="s">
        <v>57</v>
      </c>
      <c r="N53" s="35" t="s">
        <v>859</v>
      </c>
      <c r="O53" s="35" t="s">
        <v>3129</v>
      </c>
      <c r="P53" s="35" t="s">
        <v>3130</v>
      </c>
      <c r="Q53" s="35" t="s">
        <v>93</v>
      </c>
      <c r="R53" s="35" t="s">
        <v>3131</v>
      </c>
      <c r="S53" s="35" t="s">
        <v>3132</v>
      </c>
      <c r="T53" s="35" t="s">
        <v>74</v>
      </c>
      <c r="U53" s="35" t="s">
        <v>57</v>
      </c>
      <c r="V53" s="35" t="s">
        <v>2394</v>
      </c>
      <c r="W53" s="35" t="s">
        <v>749</v>
      </c>
      <c r="X53" s="35" t="s">
        <v>3133</v>
      </c>
      <c r="Y53" s="35" t="s">
        <v>2380</v>
      </c>
      <c r="Z53" s="35" t="s">
        <v>3134</v>
      </c>
      <c r="AA53" s="35">
        <v>2006.0</v>
      </c>
      <c r="AB53" s="35">
        <v>2006.0</v>
      </c>
      <c r="AC53" s="35" t="s">
        <v>74</v>
      </c>
      <c r="AD53" s="35" t="s">
        <v>215</v>
      </c>
      <c r="AE53" s="35" t="s">
        <v>3135</v>
      </c>
      <c r="AF53" s="35" t="s">
        <v>69</v>
      </c>
      <c r="AG53" s="35" t="s">
        <v>129</v>
      </c>
      <c r="AH53" s="35" t="s">
        <v>129</v>
      </c>
      <c r="AI53" s="35" t="s">
        <v>57</v>
      </c>
      <c r="AJ53" s="35" t="s">
        <v>57</v>
      </c>
      <c r="AK53" s="35" t="s">
        <v>3136</v>
      </c>
      <c r="AL53" s="34"/>
      <c r="AM53" s="34" t="s">
        <v>1522</v>
      </c>
      <c r="AN53" s="103" t="s">
        <v>3137</v>
      </c>
      <c r="AO53" s="103" t="s">
        <v>201</v>
      </c>
      <c r="AP53" s="103" t="s">
        <v>3138</v>
      </c>
    </row>
    <row r="54">
      <c r="A54" s="102">
        <v>77.0</v>
      </c>
      <c r="B54" s="47">
        <v>8.7938587E8</v>
      </c>
      <c r="C54" s="34" t="s">
        <v>3139</v>
      </c>
      <c r="D54" s="34" t="s">
        <v>3140</v>
      </c>
      <c r="E54" s="35" t="s">
        <v>3141</v>
      </c>
      <c r="F54" s="43" t="s">
        <v>3142</v>
      </c>
      <c r="G54" s="35" t="s">
        <v>172</v>
      </c>
      <c r="H54" s="35" t="s">
        <v>3143</v>
      </c>
      <c r="I54" s="35">
        <v>2017.0</v>
      </c>
      <c r="J54" s="35" t="s">
        <v>2117</v>
      </c>
      <c r="K54" s="35" t="s">
        <v>730</v>
      </c>
      <c r="L54" s="35" t="s">
        <v>3144</v>
      </c>
      <c r="M54" s="35" t="s">
        <v>57</v>
      </c>
      <c r="N54" s="35" t="s">
        <v>172</v>
      </c>
      <c r="O54" s="35" t="s">
        <v>2376</v>
      </c>
      <c r="P54" s="35" t="s">
        <v>3145</v>
      </c>
      <c r="Q54" s="35" t="s">
        <v>93</v>
      </c>
      <c r="R54" s="35" t="s">
        <v>57</v>
      </c>
      <c r="S54" s="35" t="s">
        <v>57</v>
      </c>
      <c r="T54" s="35" t="s">
        <v>69</v>
      </c>
      <c r="U54" s="35" t="s">
        <v>3146</v>
      </c>
      <c r="V54" s="35" t="s">
        <v>2394</v>
      </c>
      <c r="W54" s="35" t="s">
        <v>3147</v>
      </c>
      <c r="X54" s="35" t="s">
        <v>3148</v>
      </c>
      <c r="Y54" s="35" t="s">
        <v>2397</v>
      </c>
      <c r="Z54" s="43" t="s">
        <v>3149</v>
      </c>
      <c r="AA54" s="35" t="s">
        <v>57</v>
      </c>
      <c r="AB54" s="35" t="s">
        <v>57</v>
      </c>
      <c r="AC54" s="35" t="s">
        <v>74</v>
      </c>
      <c r="AD54" s="35" t="s">
        <v>96</v>
      </c>
      <c r="AE54" s="35" t="s">
        <v>3150</v>
      </c>
      <c r="AF54" s="35" t="s">
        <v>69</v>
      </c>
      <c r="AG54" s="35" t="s">
        <v>2800</v>
      </c>
      <c r="AH54" s="35" t="s">
        <v>374</v>
      </c>
      <c r="AI54" s="35" t="s">
        <v>2067</v>
      </c>
      <c r="AJ54" s="35" t="s">
        <v>129</v>
      </c>
      <c r="AK54" s="35" t="s">
        <v>3151</v>
      </c>
      <c r="AL54" s="34" t="s">
        <v>3152</v>
      </c>
      <c r="AM54" s="34" t="s">
        <v>109</v>
      </c>
      <c r="AN54" s="103" t="s">
        <v>4145</v>
      </c>
      <c r="AO54" s="103" t="s">
        <v>201</v>
      </c>
      <c r="AP54" s="111" t="s">
        <v>4146</v>
      </c>
    </row>
    <row r="55">
      <c r="A55" s="102">
        <v>78.0</v>
      </c>
      <c r="B55" s="34">
        <v>8.79385909E8</v>
      </c>
      <c r="C55" s="34" t="s">
        <v>3154</v>
      </c>
      <c r="D55" s="34" t="s">
        <v>3155</v>
      </c>
      <c r="E55" s="35" t="s">
        <v>3156</v>
      </c>
      <c r="F55" s="43" t="s">
        <v>3157</v>
      </c>
      <c r="G55" s="35" t="s">
        <v>2389</v>
      </c>
      <c r="H55" s="43" t="s">
        <v>3158</v>
      </c>
      <c r="I55" s="35">
        <v>2013.0</v>
      </c>
      <c r="J55" s="43" t="s">
        <v>796</v>
      </c>
      <c r="K55" s="35" t="s">
        <v>730</v>
      </c>
      <c r="L55" s="35" t="s">
        <v>3159</v>
      </c>
      <c r="M55" s="35" t="s">
        <v>57</v>
      </c>
      <c r="N55" s="35" t="s">
        <v>2389</v>
      </c>
      <c r="O55" s="35" t="s">
        <v>3160</v>
      </c>
      <c r="P55" s="35" t="s">
        <v>3161</v>
      </c>
      <c r="Q55" s="35" t="s">
        <v>93</v>
      </c>
      <c r="R55" s="35" t="s">
        <v>57</v>
      </c>
      <c r="S55" s="35" t="s">
        <v>57</v>
      </c>
      <c r="T55" s="35" t="s">
        <v>69</v>
      </c>
      <c r="U55" s="35" t="s">
        <v>3162</v>
      </c>
      <c r="V55" s="35" t="s">
        <v>2394</v>
      </c>
      <c r="W55" s="35" t="s">
        <v>3163</v>
      </c>
      <c r="X55" s="35" t="s">
        <v>3164</v>
      </c>
      <c r="Y55" s="35" t="s">
        <v>3165</v>
      </c>
      <c r="Z55" s="35" t="s">
        <v>3166</v>
      </c>
      <c r="AA55" s="35">
        <v>2011.0</v>
      </c>
      <c r="AB55" s="35">
        <v>2011.0</v>
      </c>
      <c r="AC55" s="35" t="s">
        <v>74</v>
      </c>
      <c r="AD55" s="35" t="s">
        <v>215</v>
      </c>
      <c r="AE55" s="35" t="s">
        <v>3167</v>
      </c>
      <c r="AF55" s="35" t="s">
        <v>69</v>
      </c>
      <c r="AG55" s="35" t="s">
        <v>129</v>
      </c>
      <c r="AH55" s="35" t="s">
        <v>129</v>
      </c>
      <c r="AI55" s="35" t="s">
        <v>57</v>
      </c>
      <c r="AJ55" s="35" t="s">
        <v>57</v>
      </c>
      <c r="AK55" s="35" t="s">
        <v>3168</v>
      </c>
      <c r="AL55" s="34"/>
      <c r="AM55" s="34" t="s">
        <v>1522</v>
      </c>
      <c r="AN55" s="103" t="s">
        <v>3169</v>
      </c>
      <c r="AO55" s="103" t="s">
        <v>201</v>
      </c>
      <c r="AP55" s="103" t="s">
        <v>3170</v>
      </c>
    </row>
    <row r="56">
      <c r="A56" s="102">
        <v>79.0</v>
      </c>
      <c r="B56" s="34">
        <v>8.79385907E8</v>
      </c>
      <c r="C56" s="34" t="s">
        <v>3171</v>
      </c>
      <c r="D56" s="34" t="s">
        <v>3172</v>
      </c>
      <c r="E56" s="35" t="s">
        <v>3173</v>
      </c>
      <c r="F56" s="43" t="s">
        <v>3174</v>
      </c>
      <c r="G56" s="35" t="s">
        <v>2389</v>
      </c>
      <c r="H56" s="43" t="s">
        <v>3175</v>
      </c>
      <c r="I56" s="35">
        <v>2014.0</v>
      </c>
      <c r="J56" s="35" t="s">
        <v>3176</v>
      </c>
      <c r="K56" s="35" t="s">
        <v>730</v>
      </c>
      <c r="L56" s="35" t="s">
        <v>3177</v>
      </c>
      <c r="M56" s="35" t="s">
        <v>57</v>
      </c>
      <c r="N56" s="35" t="s">
        <v>2389</v>
      </c>
      <c r="O56" s="35" t="s">
        <v>1484</v>
      </c>
      <c r="P56" s="35" t="s">
        <v>3178</v>
      </c>
      <c r="Q56" s="35" t="s">
        <v>93</v>
      </c>
      <c r="R56" s="35" t="s">
        <v>3179</v>
      </c>
      <c r="S56" s="35" t="s">
        <v>3180</v>
      </c>
      <c r="T56" s="35" t="s">
        <v>69</v>
      </c>
      <c r="U56" s="35" t="s">
        <v>3181</v>
      </c>
      <c r="V56" s="35" t="s">
        <v>2394</v>
      </c>
      <c r="W56" s="35" t="s">
        <v>3182</v>
      </c>
      <c r="X56" s="35" t="s">
        <v>3183</v>
      </c>
      <c r="Y56" s="35" t="s">
        <v>2397</v>
      </c>
      <c r="Z56" s="35" t="s">
        <v>3184</v>
      </c>
      <c r="AA56" s="35">
        <v>2006.0</v>
      </c>
      <c r="AB56" s="35">
        <v>2007.0</v>
      </c>
      <c r="AC56" s="35" t="s">
        <v>74</v>
      </c>
      <c r="AD56" s="35" t="s">
        <v>96</v>
      </c>
      <c r="AE56" s="35" t="s">
        <v>3185</v>
      </c>
      <c r="AF56" s="35" t="s">
        <v>74</v>
      </c>
      <c r="AG56" s="35" t="s">
        <v>57</v>
      </c>
      <c r="AH56" s="35" t="s">
        <v>57</v>
      </c>
      <c r="AI56" s="35" t="s">
        <v>57</v>
      </c>
      <c r="AJ56" s="35" t="s">
        <v>57</v>
      </c>
      <c r="AK56" s="35" t="s">
        <v>57</v>
      </c>
      <c r="AL56" s="34"/>
      <c r="AM56" s="34" t="s">
        <v>109</v>
      </c>
      <c r="AN56" s="164"/>
      <c r="AO56" s="104"/>
      <c r="AP56" s="104"/>
    </row>
    <row r="57">
      <c r="A57" s="102">
        <v>80.0</v>
      </c>
      <c r="B57" s="34">
        <v>8.7938591E8</v>
      </c>
      <c r="C57" s="34" t="s">
        <v>3188</v>
      </c>
      <c r="D57" s="34" t="s">
        <v>3189</v>
      </c>
      <c r="E57" s="35" t="s">
        <v>3190</v>
      </c>
      <c r="F57" s="35" t="s">
        <v>3191</v>
      </c>
      <c r="G57" s="35" t="s">
        <v>439</v>
      </c>
      <c r="H57" s="43" t="s">
        <v>3192</v>
      </c>
      <c r="I57" s="35">
        <v>2020.0</v>
      </c>
      <c r="J57" s="43" t="s">
        <v>2117</v>
      </c>
      <c r="K57" s="35" t="s">
        <v>730</v>
      </c>
      <c r="L57" s="35" t="s">
        <v>3087</v>
      </c>
      <c r="M57" s="35" t="s">
        <v>57</v>
      </c>
      <c r="N57" s="35" t="s">
        <v>439</v>
      </c>
      <c r="O57" s="35" t="s">
        <v>3193</v>
      </c>
      <c r="P57" s="35" t="s">
        <v>3194</v>
      </c>
      <c r="Q57" s="35" t="s">
        <v>93</v>
      </c>
      <c r="R57" s="35" t="s">
        <v>57</v>
      </c>
      <c r="S57" s="35" t="s">
        <v>57</v>
      </c>
      <c r="T57" s="35" t="s">
        <v>74</v>
      </c>
      <c r="U57" s="35" t="s">
        <v>57</v>
      </c>
      <c r="V57" s="35" t="s">
        <v>193</v>
      </c>
      <c r="W57" s="35" t="s">
        <v>536</v>
      </c>
      <c r="X57" s="35" t="s">
        <v>3195</v>
      </c>
      <c r="Y57" s="35" t="s">
        <v>2397</v>
      </c>
      <c r="Z57" s="35" t="s">
        <v>3196</v>
      </c>
      <c r="AA57" s="35" t="s">
        <v>57</v>
      </c>
      <c r="AB57" s="35" t="s">
        <v>57</v>
      </c>
      <c r="AC57" s="35" t="s">
        <v>74</v>
      </c>
      <c r="AD57" s="35" t="s">
        <v>96</v>
      </c>
      <c r="AE57" s="35" t="s">
        <v>3197</v>
      </c>
      <c r="AF57" s="35" t="s">
        <v>69</v>
      </c>
      <c r="AG57" s="35" t="s">
        <v>129</v>
      </c>
      <c r="AH57" s="35" t="s">
        <v>129</v>
      </c>
      <c r="AI57" s="35" t="s">
        <v>57</v>
      </c>
      <c r="AJ57" s="35" t="s">
        <v>57</v>
      </c>
      <c r="AK57" s="35" t="s">
        <v>3198</v>
      </c>
      <c r="AL57" s="34"/>
      <c r="AM57" s="34" t="s">
        <v>1522</v>
      </c>
      <c r="AN57" s="164"/>
      <c r="AO57" s="104"/>
      <c r="AP57" s="104"/>
    </row>
    <row r="58">
      <c r="A58" s="102">
        <v>81.0</v>
      </c>
      <c r="B58" s="34">
        <v>8.79385913E8</v>
      </c>
      <c r="C58" s="34" t="s">
        <v>3201</v>
      </c>
      <c r="D58" s="34" t="s">
        <v>873</v>
      </c>
      <c r="E58" s="35" t="s">
        <v>3202</v>
      </c>
      <c r="F58" s="43" t="s">
        <v>3203</v>
      </c>
      <c r="G58" s="35" t="s">
        <v>859</v>
      </c>
      <c r="H58" s="43" t="s">
        <v>3204</v>
      </c>
      <c r="I58" s="35">
        <v>2021.0</v>
      </c>
      <c r="J58" s="35" t="s">
        <v>3205</v>
      </c>
      <c r="K58" s="35" t="s">
        <v>730</v>
      </c>
      <c r="L58" s="35" t="s">
        <v>3206</v>
      </c>
      <c r="M58" s="35" t="s">
        <v>57</v>
      </c>
      <c r="N58" s="35" t="s">
        <v>859</v>
      </c>
      <c r="O58" s="35" t="s">
        <v>3207</v>
      </c>
      <c r="P58" s="35" t="s">
        <v>3208</v>
      </c>
      <c r="Q58" s="35" t="s">
        <v>93</v>
      </c>
      <c r="R58" s="35" t="s">
        <v>3209</v>
      </c>
      <c r="S58" s="35" t="s">
        <v>3210</v>
      </c>
      <c r="T58" s="35" t="s">
        <v>74</v>
      </c>
      <c r="U58" s="35" t="s">
        <v>57</v>
      </c>
      <c r="V58" s="35" t="s">
        <v>96</v>
      </c>
      <c r="W58" s="35" t="s">
        <v>536</v>
      </c>
      <c r="X58" s="35" t="s">
        <v>3211</v>
      </c>
      <c r="Y58" s="35" t="s">
        <v>2397</v>
      </c>
      <c r="Z58" s="35" t="s">
        <v>3212</v>
      </c>
      <c r="AA58" s="35">
        <v>2019.0</v>
      </c>
      <c r="AB58" s="35">
        <v>2019.0</v>
      </c>
      <c r="AC58" s="35" t="s">
        <v>74</v>
      </c>
      <c r="AD58" s="35" t="s">
        <v>215</v>
      </c>
      <c r="AE58" s="35" t="s">
        <v>3213</v>
      </c>
      <c r="AF58" s="35" t="s">
        <v>74</v>
      </c>
      <c r="AG58" s="35" t="s">
        <v>57</v>
      </c>
      <c r="AH58" s="35" t="s">
        <v>57</v>
      </c>
      <c r="AI58" s="35" t="s">
        <v>57</v>
      </c>
      <c r="AJ58" s="35" t="s">
        <v>57</v>
      </c>
      <c r="AK58" s="35" t="s">
        <v>57</v>
      </c>
      <c r="AL58" s="34"/>
      <c r="AM58" s="34" t="s">
        <v>109</v>
      </c>
      <c r="AN58" s="164"/>
      <c r="AO58" s="104"/>
      <c r="AP58" s="104"/>
    </row>
    <row r="59">
      <c r="A59" s="102">
        <v>82.0</v>
      </c>
      <c r="B59" s="34">
        <v>8.79385934E8</v>
      </c>
      <c r="C59" s="34" t="s">
        <v>3214</v>
      </c>
      <c r="D59" s="34" t="s">
        <v>3215</v>
      </c>
      <c r="E59" s="35" t="s">
        <v>3216</v>
      </c>
      <c r="F59" s="43" t="s">
        <v>3217</v>
      </c>
      <c r="G59" s="35" t="s">
        <v>172</v>
      </c>
      <c r="H59" s="35" t="s">
        <v>3218</v>
      </c>
      <c r="I59" s="35">
        <v>2020.0</v>
      </c>
      <c r="J59" s="43" t="s">
        <v>3219</v>
      </c>
      <c r="K59" s="35" t="s">
        <v>730</v>
      </c>
      <c r="L59" s="35" t="s">
        <v>57</v>
      </c>
      <c r="M59" s="35" t="s">
        <v>3220</v>
      </c>
      <c r="N59" s="35" t="s">
        <v>172</v>
      </c>
      <c r="O59" s="35" t="s">
        <v>3221</v>
      </c>
      <c r="P59" s="35" t="s">
        <v>3222</v>
      </c>
      <c r="Q59" s="35" t="s">
        <v>93</v>
      </c>
      <c r="R59" s="35" t="s">
        <v>57</v>
      </c>
      <c r="S59" s="35" t="s">
        <v>57</v>
      </c>
      <c r="T59" s="35" t="s">
        <v>74</v>
      </c>
      <c r="U59" s="35" t="s">
        <v>57</v>
      </c>
      <c r="V59" s="35" t="s">
        <v>2394</v>
      </c>
      <c r="W59" s="35" t="s">
        <v>2886</v>
      </c>
      <c r="X59" s="35" t="s">
        <v>3223</v>
      </c>
      <c r="Y59" s="35" t="s">
        <v>2397</v>
      </c>
      <c r="Z59" s="35" t="s">
        <v>3224</v>
      </c>
      <c r="AA59" s="35">
        <v>2016.0</v>
      </c>
      <c r="AB59" s="35">
        <v>2016.0</v>
      </c>
      <c r="AC59" s="35" t="s">
        <v>74</v>
      </c>
      <c r="AD59" s="35" t="s">
        <v>96</v>
      </c>
      <c r="AE59" s="35" t="s">
        <v>3225</v>
      </c>
      <c r="AF59" s="35" t="s">
        <v>74</v>
      </c>
      <c r="AG59" s="35" t="s">
        <v>57</v>
      </c>
      <c r="AH59" s="35" t="s">
        <v>57</v>
      </c>
      <c r="AI59" s="35" t="s">
        <v>57</v>
      </c>
      <c r="AJ59" s="35" t="s">
        <v>57</v>
      </c>
      <c r="AK59" s="35" t="s">
        <v>57</v>
      </c>
      <c r="AL59" s="34"/>
      <c r="AM59" s="34" t="s">
        <v>1522</v>
      </c>
      <c r="AN59" s="164"/>
      <c r="AO59" s="104"/>
      <c r="AP59" s="104"/>
    </row>
    <row r="60">
      <c r="A60" s="102">
        <v>83.0</v>
      </c>
      <c r="B60" s="34">
        <v>8.79385935E8</v>
      </c>
      <c r="C60" s="34" t="s">
        <v>3228</v>
      </c>
      <c r="D60" s="34" t="s">
        <v>3229</v>
      </c>
      <c r="E60" s="35" t="s">
        <v>3230</v>
      </c>
      <c r="F60" s="43" t="s">
        <v>3231</v>
      </c>
      <c r="G60" s="35" t="s">
        <v>581</v>
      </c>
      <c r="H60" s="35" t="s">
        <v>3232</v>
      </c>
      <c r="I60" s="35">
        <v>2014.0</v>
      </c>
      <c r="J60" s="43" t="s">
        <v>3233</v>
      </c>
      <c r="K60" s="35" t="s">
        <v>730</v>
      </c>
      <c r="L60" s="35" t="s">
        <v>3234</v>
      </c>
      <c r="M60" s="35" t="s">
        <v>57</v>
      </c>
      <c r="N60" s="35" t="s">
        <v>581</v>
      </c>
      <c r="O60" s="35" t="s">
        <v>585</v>
      </c>
      <c r="P60" s="35" t="s">
        <v>3235</v>
      </c>
      <c r="Q60" s="35" t="s">
        <v>554</v>
      </c>
      <c r="R60" s="35" t="s">
        <v>3236</v>
      </c>
      <c r="S60" s="43" t="s">
        <v>3237</v>
      </c>
      <c r="T60" s="35" t="s">
        <v>69</v>
      </c>
      <c r="U60" s="35" t="s">
        <v>3238</v>
      </c>
      <c r="V60" s="35" t="s">
        <v>96</v>
      </c>
      <c r="W60" s="35" t="s">
        <v>1579</v>
      </c>
      <c r="X60" s="35" t="s">
        <v>3239</v>
      </c>
      <c r="Y60" s="35" t="s">
        <v>3165</v>
      </c>
      <c r="Z60" s="35" t="s">
        <v>3240</v>
      </c>
      <c r="AA60" s="35">
        <v>2010.0</v>
      </c>
      <c r="AB60" s="35">
        <v>2010.0</v>
      </c>
      <c r="AC60" s="35" t="s">
        <v>69</v>
      </c>
      <c r="AD60" s="35" t="s">
        <v>215</v>
      </c>
      <c r="AE60" s="35" t="s">
        <v>3241</v>
      </c>
      <c r="AF60" s="35" t="s">
        <v>69</v>
      </c>
      <c r="AG60" s="35" t="s">
        <v>129</v>
      </c>
      <c r="AH60" s="35" t="s">
        <v>129</v>
      </c>
      <c r="AI60" s="35" t="s">
        <v>57</v>
      </c>
      <c r="AJ60" s="35" t="s">
        <v>57</v>
      </c>
      <c r="AK60" s="35" t="s">
        <v>3242</v>
      </c>
      <c r="AL60" s="34" t="s">
        <v>3243</v>
      </c>
      <c r="AM60" s="34" t="s">
        <v>1522</v>
      </c>
      <c r="AN60" s="164"/>
      <c r="AO60" s="104"/>
      <c r="AP60" s="104"/>
    </row>
    <row r="61">
      <c r="A61" s="102">
        <v>84.0</v>
      </c>
      <c r="B61" s="34">
        <v>8.79385928E8</v>
      </c>
      <c r="C61" s="34" t="s">
        <v>3246</v>
      </c>
      <c r="D61" s="34" t="s">
        <v>3247</v>
      </c>
      <c r="E61" s="35" t="s">
        <v>3248</v>
      </c>
      <c r="F61" s="43" t="s">
        <v>3249</v>
      </c>
      <c r="G61" s="35" t="s">
        <v>172</v>
      </c>
      <c r="H61" s="43" t="s">
        <v>3250</v>
      </c>
      <c r="I61" s="35">
        <v>2020.0</v>
      </c>
      <c r="J61" s="43" t="s">
        <v>1347</v>
      </c>
      <c r="K61" s="35" t="s">
        <v>730</v>
      </c>
      <c r="L61" s="35" t="s">
        <v>3251</v>
      </c>
      <c r="M61" s="35" t="s">
        <v>57</v>
      </c>
      <c r="N61" s="35" t="s">
        <v>172</v>
      </c>
      <c r="O61" s="35" t="s">
        <v>3252</v>
      </c>
      <c r="P61" s="35" t="s">
        <v>3253</v>
      </c>
      <c r="Q61" s="35" t="s">
        <v>93</v>
      </c>
      <c r="R61" s="35" t="s">
        <v>57</v>
      </c>
      <c r="S61" s="35" t="s">
        <v>57</v>
      </c>
      <c r="T61" s="35" t="s">
        <v>74</v>
      </c>
      <c r="U61" s="35" t="s">
        <v>57</v>
      </c>
      <c r="V61" s="35" t="s">
        <v>2394</v>
      </c>
      <c r="W61" s="35" t="s">
        <v>161</v>
      </c>
      <c r="X61" s="35" t="s">
        <v>3254</v>
      </c>
      <c r="Y61" s="35" t="s">
        <v>2397</v>
      </c>
      <c r="Z61" s="35" t="s">
        <v>3255</v>
      </c>
      <c r="AA61" s="35">
        <v>2018.0</v>
      </c>
      <c r="AB61" s="35">
        <v>2018.0</v>
      </c>
      <c r="AC61" s="35" t="s">
        <v>69</v>
      </c>
      <c r="AD61" s="35" t="s">
        <v>215</v>
      </c>
      <c r="AE61" s="35" t="s">
        <v>3256</v>
      </c>
      <c r="AF61" s="35" t="s">
        <v>74</v>
      </c>
      <c r="AG61" s="35" t="s">
        <v>57</v>
      </c>
      <c r="AH61" s="35" t="s">
        <v>57</v>
      </c>
      <c r="AI61" s="35" t="s">
        <v>57</v>
      </c>
      <c r="AJ61" s="35" t="s">
        <v>57</v>
      </c>
      <c r="AK61" s="35" t="s">
        <v>57</v>
      </c>
      <c r="AL61" s="34"/>
      <c r="AM61" s="34" t="s">
        <v>1522</v>
      </c>
      <c r="AN61" s="164"/>
      <c r="AO61" s="104"/>
      <c r="AP61" s="104"/>
    </row>
    <row r="62">
      <c r="A62" s="102">
        <v>86.0</v>
      </c>
      <c r="B62" s="34">
        <v>8.79385959E8</v>
      </c>
      <c r="C62" s="34" t="s">
        <v>3258</v>
      </c>
      <c r="D62" s="34" t="s">
        <v>3259</v>
      </c>
      <c r="E62" s="35" t="s">
        <v>3260</v>
      </c>
      <c r="F62" s="43" t="s">
        <v>3261</v>
      </c>
      <c r="G62" s="35" t="s">
        <v>172</v>
      </c>
      <c r="H62" s="43" t="s">
        <v>3262</v>
      </c>
      <c r="I62" s="35">
        <v>2013.0</v>
      </c>
      <c r="J62" s="43" t="s">
        <v>295</v>
      </c>
      <c r="K62" s="35" t="s">
        <v>730</v>
      </c>
      <c r="L62" s="35" t="s">
        <v>3263</v>
      </c>
      <c r="M62" s="35" t="s">
        <v>57</v>
      </c>
      <c r="N62" s="35" t="s">
        <v>172</v>
      </c>
      <c r="O62" s="35" t="s">
        <v>3264</v>
      </c>
      <c r="P62" s="35" t="s">
        <v>3265</v>
      </c>
      <c r="Q62" s="35" t="s">
        <v>93</v>
      </c>
      <c r="R62" s="35" t="s">
        <v>3266</v>
      </c>
      <c r="S62" s="35" t="s">
        <v>3267</v>
      </c>
      <c r="T62" s="35" t="s">
        <v>74</v>
      </c>
      <c r="U62" s="35" t="s">
        <v>57</v>
      </c>
      <c r="V62" s="35" t="s">
        <v>2394</v>
      </c>
      <c r="W62" s="35" t="s">
        <v>3268</v>
      </c>
      <c r="X62" s="35" t="s">
        <v>3269</v>
      </c>
      <c r="Y62" s="35" t="s">
        <v>2380</v>
      </c>
      <c r="Z62" s="35" t="s">
        <v>3270</v>
      </c>
      <c r="AA62" s="35">
        <v>2005.0</v>
      </c>
      <c r="AB62" s="35">
        <v>2005.0</v>
      </c>
      <c r="AC62" s="35" t="s">
        <v>74</v>
      </c>
      <c r="AD62" s="35" t="s">
        <v>96</v>
      </c>
      <c r="AE62" s="35" t="s">
        <v>3271</v>
      </c>
      <c r="AF62" s="35" t="s">
        <v>74</v>
      </c>
      <c r="AG62" s="35" t="s">
        <v>57</v>
      </c>
      <c r="AH62" s="35" t="s">
        <v>57</v>
      </c>
      <c r="AI62" s="35" t="s">
        <v>57</v>
      </c>
      <c r="AJ62" s="35" t="s">
        <v>57</v>
      </c>
      <c r="AK62" s="35" t="s">
        <v>57</v>
      </c>
      <c r="AL62" s="34"/>
      <c r="AM62" s="34" t="s">
        <v>1522</v>
      </c>
      <c r="AN62" s="164"/>
      <c r="AO62" s="104"/>
      <c r="AP62" s="104"/>
    </row>
    <row r="63">
      <c r="A63" s="102">
        <v>89.0</v>
      </c>
      <c r="B63" s="34">
        <v>8.79385998E8</v>
      </c>
      <c r="C63" s="34" t="s">
        <v>3274</v>
      </c>
      <c r="D63" s="34" t="s">
        <v>3275</v>
      </c>
      <c r="E63" s="35" t="s">
        <v>3276</v>
      </c>
      <c r="F63" s="35" t="s">
        <v>3277</v>
      </c>
      <c r="G63" s="35" t="s">
        <v>87</v>
      </c>
      <c r="H63" s="43" t="s">
        <v>3278</v>
      </c>
      <c r="I63" s="35">
        <v>2022.0</v>
      </c>
      <c r="J63" s="43" t="s">
        <v>1347</v>
      </c>
      <c r="K63" s="35" t="s">
        <v>730</v>
      </c>
      <c r="L63" s="35" t="s">
        <v>3279</v>
      </c>
      <c r="M63" s="35" t="s">
        <v>57</v>
      </c>
      <c r="N63" s="35" t="s">
        <v>87</v>
      </c>
      <c r="O63" s="35" t="s">
        <v>91</v>
      </c>
      <c r="P63" s="35" t="s">
        <v>3280</v>
      </c>
      <c r="Q63" s="35" t="s">
        <v>93</v>
      </c>
      <c r="R63" s="43" t="s">
        <v>3281</v>
      </c>
      <c r="S63" s="43" t="s">
        <v>3282</v>
      </c>
      <c r="T63" s="35" t="s">
        <v>74</v>
      </c>
      <c r="U63" s="35" t="s">
        <v>57</v>
      </c>
      <c r="V63" s="35" t="s">
        <v>2394</v>
      </c>
      <c r="W63" s="35" t="s">
        <v>2634</v>
      </c>
      <c r="X63" s="35" t="s">
        <v>3283</v>
      </c>
      <c r="Y63" s="35" t="s">
        <v>2397</v>
      </c>
      <c r="Z63" s="35" t="s">
        <v>3284</v>
      </c>
      <c r="AA63" s="35">
        <v>2019.0</v>
      </c>
      <c r="AB63" s="35">
        <v>2019.0</v>
      </c>
      <c r="AC63" s="35" t="s">
        <v>74</v>
      </c>
      <c r="AD63" s="35" t="s">
        <v>215</v>
      </c>
      <c r="AE63" s="35" t="s">
        <v>3285</v>
      </c>
      <c r="AF63" s="35" t="s">
        <v>69</v>
      </c>
      <c r="AG63" s="35" t="s">
        <v>129</v>
      </c>
      <c r="AH63" s="35" t="s">
        <v>129</v>
      </c>
      <c r="AI63" s="35" t="s">
        <v>57</v>
      </c>
      <c r="AJ63" s="35" t="s">
        <v>57</v>
      </c>
      <c r="AK63" s="35" t="s">
        <v>3286</v>
      </c>
      <c r="AL63" s="34"/>
      <c r="AM63" s="34" t="s">
        <v>1522</v>
      </c>
      <c r="AN63" s="164"/>
      <c r="AO63" s="104"/>
      <c r="AP63" s="104"/>
    </row>
    <row r="64">
      <c r="A64" s="102">
        <v>90.0</v>
      </c>
      <c r="B64" s="34">
        <v>8.79386019E8</v>
      </c>
      <c r="C64" s="34" t="s">
        <v>3289</v>
      </c>
      <c r="D64" s="34" t="s">
        <v>3290</v>
      </c>
      <c r="E64" s="35" t="s">
        <v>3291</v>
      </c>
      <c r="F64" s="43" t="s">
        <v>3292</v>
      </c>
      <c r="G64" s="35" t="s">
        <v>2389</v>
      </c>
      <c r="H64" s="43" t="s">
        <v>3293</v>
      </c>
      <c r="I64" s="35">
        <v>2016.0</v>
      </c>
      <c r="J64" s="43" t="s">
        <v>2117</v>
      </c>
      <c r="K64" s="35" t="s">
        <v>730</v>
      </c>
      <c r="L64" s="35" t="s">
        <v>3294</v>
      </c>
      <c r="M64" s="35" t="s">
        <v>57</v>
      </c>
      <c r="N64" s="35" t="s">
        <v>2389</v>
      </c>
      <c r="O64" s="35" t="s">
        <v>258</v>
      </c>
      <c r="P64" s="35" t="s">
        <v>3295</v>
      </c>
      <c r="Q64" s="35" t="s">
        <v>93</v>
      </c>
      <c r="R64" s="35" t="s">
        <v>3296</v>
      </c>
      <c r="S64" s="35" t="s">
        <v>3297</v>
      </c>
      <c r="T64" s="35" t="s">
        <v>69</v>
      </c>
      <c r="U64" s="35" t="s">
        <v>3298</v>
      </c>
      <c r="V64" s="35" t="s">
        <v>96</v>
      </c>
      <c r="W64" s="35" t="s">
        <v>3299</v>
      </c>
      <c r="X64" s="35" t="s">
        <v>3300</v>
      </c>
      <c r="Y64" s="35" t="s">
        <v>3301</v>
      </c>
      <c r="Z64" s="35" t="s">
        <v>3302</v>
      </c>
      <c r="AA64" s="35">
        <v>2014.0</v>
      </c>
      <c r="AB64" s="35">
        <v>2015.0</v>
      </c>
      <c r="AC64" s="35" t="s">
        <v>74</v>
      </c>
      <c r="AD64" s="35" t="s">
        <v>215</v>
      </c>
      <c r="AE64" s="35" t="s">
        <v>3303</v>
      </c>
      <c r="AF64" s="35" t="s">
        <v>69</v>
      </c>
      <c r="AG64" s="35" t="s">
        <v>129</v>
      </c>
      <c r="AH64" s="35" t="s">
        <v>129</v>
      </c>
      <c r="AI64" s="35" t="s">
        <v>57</v>
      </c>
      <c r="AJ64" s="35" t="s">
        <v>57</v>
      </c>
      <c r="AK64" s="35" t="s">
        <v>3304</v>
      </c>
      <c r="AL64" s="34" t="s">
        <v>2556</v>
      </c>
      <c r="AM64" s="34" t="s">
        <v>1522</v>
      </c>
      <c r="AN64" s="164"/>
      <c r="AO64" s="104"/>
      <c r="AP64" s="104"/>
    </row>
    <row r="65">
      <c r="A65" s="102">
        <v>91.0</v>
      </c>
      <c r="B65" s="34">
        <v>8.7938604E8</v>
      </c>
      <c r="C65" s="34" t="s">
        <v>3307</v>
      </c>
      <c r="D65" s="34" t="s">
        <v>3308</v>
      </c>
      <c r="E65" s="35" t="s">
        <v>3309</v>
      </c>
      <c r="F65" s="43" t="s">
        <v>3310</v>
      </c>
      <c r="G65" s="35" t="s">
        <v>3311</v>
      </c>
      <c r="H65" s="43" t="s">
        <v>3312</v>
      </c>
      <c r="I65" s="35">
        <v>2018.0</v>
      </c>
      <c r="J65" s="43" t="s">
        <v>3313</v>
      </c>
      <c r="K65" s="35" t="s">
        <v>730</v>
      </c>
      <c r="L65" s="35" t="s">
        <v>3314</v>
      </c>
      <c r="M65" s="35" t="s">
        <v>57</v>
      </c>
      <c r="N65" s="35" t="s">
        <v>3311</v>
      </c>
      <c r="O65" s="35" t="s">
        <v>3315</v>
      </c>
      <c r="P65" s="35" t="s">
        <v>3316</v>
      </c>
      <c r="Q65" s="35" t="s">
        <v>93</v>
      </c>
      <c r="R65" s="35" t="s">
        <v>57</v>
      </c>
      <c r="S65" s="43" t="s">
        <v>57</v>
      </c>
      <c r="T65" s="35" t="s">
        <v>74</v>
      </c>
      <c r="U65" s="35" t="s">
        <v>57</v>
      </c>
      <c r="V65" s="35" t="s">
        <v>2394</v>
      </c>
      <c r="W65" s="35" t="s">
        <v>161</v>
      </c>
      <c r="X65" s="35" t="s">
        <v>3317</v>
      </c>
      <c r="Y65" s="35" t="s">
        <v>2397</v>
      </c>
      <c r="Z65" s="35" t="s">
        <v>3318</v>
      </c>
      <c r="AA65" s="35">
        <v>2014.0</v>
      </c>
      <c r="AB65" s="35">
        <v>2017.0</v>
      </c>
      <c r="AC65" s="35" t="s">
        <v>74</v>
      </c>
      <c r="AD65" s="35" t="s">
        <v>96</v>
      </c>
      <c r="AE65" s="35" t="s">
        <v>3319</v>
      </c>
      <c r="AF65" s="35" t="s">
        <v>74</v>
      </c>
      <c r="AG65" s="35" t="s">
        <v>57</v>
      </c>
      <c r="AH65" s="35" t="s">
        <v>57</v>
      </c>
      <c r="AI65" s="35" t="s">
        <v>57</v>
      </c>
      <c r="AJ65" s="35" t="s">
        <v>57</v>
      </c>
      <c r="AK65" s="35" t="s">
        <v>57</v>
      </c>
      <c r="AL65" s="34"/>
      <c r="AM65" s="34" t="s">
        <v>1522</v>
      </c>
      <c r="AN65" s="164"/>
      <c r="AO65" s="104"/>
      <c r="AP65" s="104"/>
    </row>
    <row r="66">
      <c r="A66" s="102">
        <v>92.0</v>
      </c>
      <c r="B66" s="34">
        <v>8.79386074E8</v>
      </c>
      <c r="C66" s="34" t="s">
        <v>3322</v>
      </c>
      <c r="D66" s="34" t="s">
        <v>3323</v>
      </c>
      <c r="E66" s="35" t="s">
        <v>3324</v>
      </c>
      <c r="F66" s="43" t="s">
        <v>3325</v>
      </c>
      <c r="G66" s="35" t="s">
        <v>172</v>
      </c>
      <c r="H66" s="43" t="s">
        <v>3326</v>
      </c>
      <c r="I66" s="35">
        <v>2016.0</v>
      </c>
      <c r="J66" s="43" t="s">
        <v>796</v>
      </c>
      <c r="K66" s="35" t="s">
        <v>730</v>
      </c>
      <c r="L66" s="35" t="s">
        <v>3327</v>
      </c>
      <c r="M66" s="35" t="s">
        <v>57</v>
      </c>
      <c r="N66" s="35" t="s">
        <v>172</v>
      </c>
      <c r="O66" s="35" t="s">
        <v>2376</v>
      </c>
      <c r="P66" s="35" t="s">
        <v>3328</v>
      </c>
      <c r="Q66" s="35" t="s">
        <v>93</v>
      </c>
      <c r="R66" s="35" t="s">
        <v>3329</v>
      </c>
      <c r="S66" s="35" t="s">
        <v>3330</v>
      </c>
      <c r="T66" s="35" t="s">
        <v>74</v>
      </c>
      <c r="U66" s="35" t="s">
        <v>57</v>
      </c>
      <c r="V66" s="35" t="s">
        <v>96</v>
      </c>
      <c r="W66" s="35" t="s">
        <v>2989</v>
      </c>
      <c r="X66" s="35" t="s">
        <v>3331</v>
      </c>
      <c r="Y66" s="35" t="s">
        <v>2397</v>
      </c>
      <c r="Z66" s="35" t="s">
        <v>3332</v>
      </c>
      <c r="AA66" s="35">
        <v>1995.0</v>
      </c>
      <c r="AB66" s="35">
        <v>2014.0</v>
      </c>
      <c r="AC66" s="35" t="s">
        <v>74</v>
      </c>
      <c r="AD66" s="35" t="s">
        <v>96</v>
      </c>
      <c r="AE66" s="35" t="s">
        <v>3333</v>
      </c>
      <c r="AF66" s="35" t="s">
        <v>69</v>
      </c>
      <c r="AG66" s="35" t="s">
        <v>129</v>
      </c>
      <c r="AH66" s="35" t="s">
        <v>129</v>
      </c>
      <c r="AI66" s="35" t="s">
        <v>57</v>
      </c>
      <c r="AJ66" s="35" t="s">
        <v>57</v>
      </c>
      <c r="AK66" s="35" t="s">
        <v>3334</v>
      </c>
      <c r="AL66" s="34" t="s">
        <v>2556</v>
      </c>
      <c r="AM66" s="34" t="s">
        <v>1522</v>
      </c>
      <c r="AN66" s="164"/>
      <c r="AO66" s="104"/>
      <c r="AP66" s="104"/>
    </row>
    <row r="67">
      <c r="A67" s="102">
        <v>93.0</v>
      </c>
      <c r="B67" s="34">
        <v>8.79386077E8</v>
      </c>
      <c r="C67" s="34" t="s">
        <v>3337</v>
      </c>
      <c r="D67" s="34" t="s">
        <v>3338</v>
      </c>
      <c r="E67" s="35" t="s">
        <v>3339</v>
      </c>
      <c r="F67" s="43" t="s">
        <v>3340</v>
      </c>
      <c r="G67" s="35" t="s">
        <v>2389</v>
      </c>
      <c r="H67" s="43" t="s">
        <v>3341</v>
      </c>
      <c r="I67" s="35">
        <v>2018.0</v>
      </c>
      <c r="J67" s="43" t="s">
        <v>1347</v>
      </c>
      <c r="K67" s="35" t="s">
        <v>730</v>
      </c>
      <c r="L67" s="35" t="s">
        <v>3342</v>
      </c>
      <c r="M67" s="35" t="s">
        <v>57</v>
      </c>
      <c r="N67" s="35" t="s">
        <v>2389</v>
      </c>
      <c r="O67" s="35" t="s">
        <v>2010</v>
      </c>
      <c r="P67" s="35" t="s">
        <v>3343</v>
      </c>
      <c r="Q67" s="35" t="s">
        <v>93</v>
      </c>
      <c r="R67" s="35" t="s">
        <v>57</v>
      </c>
      <c r="S67" s="35" t="s">
        <v>57</v>
      </c>
      <c r="T67" s="35" t="s">
        <v>74</v>
      </c>
      <c r="U67" s="35" t="s">
        <v>57</v>
      </c>
      <c r="V67" s="35" t="s">
        <v>2394</v>
      </c>
      <c r="W67" s="35" t="s">
        <v>3344</v>
      </c>
      <c r="X67" s="35" t="s">
        <v>3345</v>
      </c>
      <c r="Y67" s="35" t="s">
        <v>2397</v>
      </c>
      <c r="Z67" s="35" t="s">
        <v>3346</v>
      </c>
      <c r="AA67" s="35">
        <v>2016.0</v>
      </c>
      <c r="AB67" s="35">
        <v>2016.0</v>
      </c>
      <c r="AC67" s="35" t="s">
        <v>74</v>
      </c>
      <c r="AD67" s="35" t="s">
        <v>96</v>
      </c>
      <c r="AE67" s="35" t="s">
        <v>3347</v>
      </c>
      <c r="AF67" s="35" t="s">
        <v>69</v>
      </c>
      <c r="AG67" s="35" t="s">
        <v>129</v>
      </c>
      <c r="AH67" s="35" t="s">
        <v>129</v>
      </c>
      <c r="AI67" s="35" t="s">
        <v>57</v>
      </c>
      <c r="AJ67" s="35" t="s">
        <v>57</v>
      </c>
      <c r="AK67" s="35" t="s">
        <v>3348</v>
      </c>
      <c r="AL67" s="34" t="s">
        <v>2556</v>
      </c>
      <c r="AM67" s="34" t="s">
        <v>1522</v>
      </c>
      <c r="AN67" s="164"/>
      <c r="AO67" s="104"/>
      <c r="AP67" s="104"/>
    </row>
    <row r="68">
      <c r="A68" s="102">
        <v>95.0</v>
      </c>
      <c r="B68" s="34">
        <v>8.79386082E8</v>
      </c>
      <c r="C68" s="34" t="s">
        <v>3351</v>
      </c>
      <c r="D68" s="34" t="s">
        <v>3352</v>
      </c>
      <c r="E68" s="35" t="s">
        <v>3353</v>
      </c>
      <c r="F68" s="43" t="s">
        <v>3354</v>
      </c>
      <c r="G68" s="35" t="s">
        <v>639</v>
      </c>
      <c r="H68" s="43" t="s">
        <v>3355</v>
      </c>
      <c r="I68" s="35">
        <v>2012.0</v>
      </c>
      <c r="J68" s="43" t="s">
        <v>3356</v>
      </c>
      <c r="K68" s="35" t="s">
        <v>730</v>
      </c>
      <c r="L68" s="35" t="s">
        <v>3357</v>
      </c>
      <c r="M68" s="35" t="s">
        <v>57</v>
      </c>
      <c r="N68" s="35" t="s">
        <v>639</v>
      </c>
      <c r="O68" s="35" t="s">
        <v>57</v>
      </c>
      <c r="P68" s="35" t="s">
        <v>3358</v>
      </c>
      <c r="Q68" s="35" t="s">
        <v>93</v>
      </c>
      <c r="R68" s="35" t="s">
        <v>57</v>
      </c>
      <c r="S68" s="35" t="s">
        <v>57</v>
      </c>
      <c r="T68" s="35" t="s">
        <v>69</v>
      </c>
      <c r="U68" s="35" t="s">
        <v>3359</v>
      </c>
      <c r="V68" s="35" t="s">
        <v>2394</v>
      </c>
      <c r="W68" s="35" t="s">
        <v>3360</v>
      </c>
      <c r="X68" s="35" t="s">
        <v>3361</v>
      </c>
      <c r="Y68" s="35" t="s">
        <v>2380</v>
      </c>
      <c r="Z68" s="35" t="s">
        <v>3362</v>
      </c>
      <c r="AA68" s="35" t="s">
        <v>57</v>
      </c>
      <c r="AB68" s="35" t="s">
        <v>57</v>
      </c>
      <c r="AC68" s="35" t="s">
        <v>74</v>
      </c>
      <c r="AD68" s="35" t="s">
        <v>215</v>
      </c>
      <c r="AE68" s="35" t="s">
        <v>3363</v>
      </c>
      <c r="AF68" s="35" t="s">
        <v>74</v>
      </c>
      <c r="AG68" s="35" t="s">
        <v>57</v>
      </c>
      <c r="AH68" s="35" t="s">
        <v>57</v>
      </c>
      <c r="AI68" s="35" t="s">
        <v>57</v>
      </c>
      <c r="AJ68" s="35" t="s">
        <v>57</v>
      </c>
      <c r="AK68" s="35" t="s">
        <v>57</v>
      </c>
      <c r="AL68" s="34"/>
      <c r="AM68" s="34" t="s">
        <v>1522</v>
      </c>
      <c r="AN68" s="164"/>
      <c r="AO68" s="104"/>
      <c r="AP68" s="104"/>
    </row>
    <row r="69">
      <c r="A69" s="102">
        <v>97.0</v>
      </c>
      <c r="B69" s="34">
        <v>8.79386134E8</v>
      </c>
      <c r="C69" s="34" t="s">
        <v>3366</v>
      </c>
      <c r="D69" s="34" t="s">
        <v>3367</v>
      </c>
      <c r="E69" s="35" t="s">
        <v>3368</v>
      </c>
      <c r="F69" s="43" t="s">
        <v>3369</v>
      </c>
      <c r="G69" s="35" t="s">
        <v>396</v>
      </c>
      <c r="H69" s="43" t="s">
        <v>3370</v>
      </c>
      <c r="I69" s="35">
        <v>2011.0</v>
      </c>
      <c r="J69" s="43" t="s">
        <v>1798</v>
      </c>
      <c r="K69" s="35" t="s">
        <v>730</v>
      </c>
      <c r="L69" s="35" t="s">
        <v>57</v>
      </c>
      <c r="M69" s="35" t="s">
        <v>57</v>
      </c>
      <c r="N69" s="35" t="s">
        <v>396</v>
      </c>
      <c r="O69" s="35" t="s">
        <v>3061</v>
      </c>
      <c r="P69" s="35" t="s">
        <v>3371</v>
      </c>
      <c r="Q69" s="35" t="s">
        <v>93</v>
      </c>
      <c r="R69" s="35" t="s">
        <v>3063</v>
      </c>
      <c r="S69" s="43" t="s">
        <v>3064</v>
      </c>
      <c r="T69" s="35" t="s">
        <v>74</v>
      </c>
      <c r="U69" s="35" t="s">
        <v>57</v>
      </c>
      <c r="V69" s="35" t="s">
        <v>2394</v>
      </c>
      <c r="W69" s="35" t="s">
        <v>3372</v>
      </c>
      <c r="X69" s="35" t="s">
        <v>3373</v>
      </c>
      <c r="Y69" s="35" t="s">
        <v>2397</v>
      </c>
      <c r="Z69" s="35" t="s">
        <v>3374</v>
      </c>
      <c r="AA69" s="35">
        <v>2009.0</v>
      </c>
      <c r="AB69" s="35">
        <v>2009.0</v>
      </c>
      <c r="AC69" s="35" t="s">
        <v>74</v>
      </c>
      <c r="AD69" s="35" t="s">
        <v>96</v>
      </c>
      <c r="AE69" s="35" t="s">
        <v>3375</v>
      </c>
      <c r="AF69" s="35" t="s">
        <v>69</v>
      </c>
      <c r="AG69" s="35" t="s">
        <v>1791</v>
      </c>
      <c r="AH69" s="35" t="s">
        <v>129</v>
      </c>
      <c r="AI69" s="35" t="s">
        <v>2067</v>
      </c>
      <c r="AJ69" s="35" t="s">
        <v>57</v>
      </c>
      <c r="AK69" s="35" t="s">
        <v>3376</v>
      </c>
      <c r="AL69" s="34"/>
      <c r="AM69" s="34" t="s">
        <v>1522</v>
      </c>
      <c r="AN69" s="164"/>
      <c r="AO69" s="104"/>
      <c r="AP69" s="104"/>
    </row>
    <row r="70">
      <c r="A70" s="102">
        <v>98.0</v>
      </c>
      <c r="B70" s="34">
        <v>8.79386137E8</v>
      </c>
      <c r="C70" s="34" t="s">
        <v>3379</v>
      </c>
      <c r="D70" s="34" t="s">
        <v>3380</v>
      </c>
      <c r="E70" s="35" t="s">
        <v>3381</v>
      </c>
      <c r="F70" s="43" t="s">
        <v>3382</v>
      </c>
      <c r="G70" s="35" t="s">
        <v>1224</v>
      </c>
      <c r="H70" s="43" t="s">
        <v>3383</v>
      </c>
      <c r="I70" s="35">
        <v>2020.0</v>
      </c>
      <c r="J70" s="43" t="s">
        <v>3384</v>
      </c>
      <c r="K70" s="35" t="s">
        <v>730</v>
      </c>
      <c r="L70" s="35" t="s">
        <v>2826</v>
      </c>
      <c r="M70" s="35" t="s">
        <v>57</v>
      </c>
      <c r="N70" s="35" t="s">
        <v>1224</v>
      </c>
      <c r="O70" s="35" t="s">
        <v>2827</v>
      </c>
      <c r="P70" s="35" t="s">
        <v>3385</v>
      </c>
      <c r="Q70" s="35" t="s">
        <v>93</v>
      </c>
      <c r="R70" s="35" t="s">
        <v>3386</v>
      </c>
      <c r="S70" s="35" t="s">
        <v>3387</v>
      </c>
      <c r="T70" s="35" t="s">
        <v>74</v>
      </c>
      <c r="U70" s="35" t="s">
        <v>57</v>
      </c>
      <c r="V70" s="35" t="s">
        <v>2394</v>
      </c>
      <c r="W70" s="35" t="s">
        <v>3388</v>
      </c>
      <c r="X70" s="35" t="s">
        <v>3389</v>
      </c>
      <c r="Y70" s="35" t="s">
        <v>2397</v>
      </c>
      <c r="Z70" s="35" t="s">
        <v>3390</v>
      </c>
      <c r="AA70" s="35" t="s">
        <v>57</v>
      </c>
      <c r="AB70" s="35" t="s">
        <v>57</v>
      </c>
      <c r="AC70" s="35" t="s">
        <v>74</v>
      </c>
      <c r="AD70" s="35" t="s">
        <v>215</v>
      </c>
      <c r="AE70" s="35" t="s">
        <v>3391</v>
      </c>
      <c r="AF70" s="35" t="s">
        <v>69</v>
      </c>
      <c r="AG70" s="35" t="s">
        <v>129</v>
      </c>
      <c r="AH70" s="35" t="s">
        <v>129</v>
      </c>
      <c r="AI70" s="35" t="s">
        <v>57</v>
      </c>
      <c r="AJ70" s="35" t="s">
        <v>57</v>
      </c>
      <c r="AK70" s="35" t="s">
        <v>3392</v>
      </c>
      <c r="AL70" s="34"/>
      <c r="AM70" s="34" t="s">
        <v>1522</v>
      </c>
      <c r="AN70" s="164"/>
      <c r="AO70" s="104"/>
      <c r="AP70" s="104"/>
    </row>
    <row r="71">
      <c r="A71" s="102">
        <v>100.0</v>
      </c>
      <c r="B71" s="34">
        <v>8.79386168E8</v>
      </c>
      <c r="C71" s="34" t="s">
        <v>3395</v>
      </c>
      <c r="D71" s="34" t="s">
        <v>3396</v>
      </c>
      <c r="E71" s="35" t="s">
        <v>3397</v>
      </c>
      <c r="F71" s="35" t="s">
        <v>3398</v>
      </c>
      <c r="G71" s="35" t="s">
        <v>293</v>
      </c>
      <c r="H71" s="35" t="s">
        <v>3399</v>
      </c>
      <c r="I71" s="35">
        <v>2020.0</v>
      </c>
      <c r="J71" s="35" t="s">
        <v>796</v>
      </c>
      <c r="K71" s="35" t="s">
        <v>730</v>
      </c>
      <c r="L71" s="35" t="s">
        <v>3400</v>
      </c>
      <c r="M71" s="35" t="s">
        <v>57</v>
      </c>
      <c r="N71" s="35" t="s">
        <v>293</v>
      </c>
      <c r="O71" s="35" t="s">
        <v>2577</v>
      </c>
      <c r="P71" s="35" t="s">
        <v>3401</v>
      </c>
      <c r="Q71" s="35" t="s">
        <v>93</v>
      </c>
      <c r="R71" s="35" t="s">
        <v>3402</v>
      </c>
      <c r="S71" s="35" t="s">
        <v>3403</v>
      </c>
      <c r="T71" s="35" t="s">
        <v>74</v>
      </c>
      <c r="U71" s="35" t="s">
        <v>57</v>
      </c>
      <c r="V71" s="35" t="s">
        <v>2394</v>
      </c>
      <c r="W71" s="35" t="s">
        <v>536</v>
      </c>
      <c r="X71" s="35" t="s">
        <v>3404</v>
      </c>
      <c r="Y71" s="35" t="s">
        <v>3165</v>
      </c>
      <c r="Z71" s="35" t="s">
        <v>3405</v>
      </c>
      <c r="AA71" s="35">
        <v>2011.0</v>
      </c>
      <c r="AB71" s="35">
        <v>2013.0</v>
      </c>
      <c r="AC71" s="35" t="s">
        <v>74</v>
      </c>
      <c r="AD71" s="35" t="s">
        <v>215</v>
      </c>
      <c r="AE71" s="35" t="s">
        <v>3406</v>
      </c>
      <c r="AF71" s="35" t="s">
        <v>69</v>
      </c>
      <c r="AG71" s="35" t="s">
        <v>129</v>
      </c>
      <c r="AH71" s="35" t="s">
        <v>129</v>
      </c>
      <c r="AI71" s="35" t="s">
        <v>57</v>
      </c>
      <c r="AJ71" s="35" t="s">
        <v>57</v>
      </c>
      <c r="AK71" s="35" t="s">
        <v>3407</v>
      </c>
      <c r="AL71" s="34"/>
      <c r="AM71" s="34" t="s">
        <v>1522</v>
      </c>
      <c r="AN71" s="164"/>
      <c r="AO71" s="104"/>
      <c r="AP71" s="104"/>
    </row>
    <row r="72">
      <c r="A72" s="102">
        <v>101.0</v>
      </c>
      <c r="B72" s="34">
        <v>8.79386193E8</v>
      </c>
      <c r="C72" s="34" t="s">
        <v>3410</v>
      </c>
      <c r="D72" s="34" t="s">
        <v>3411</v>
      </c>
      <c r="E72" s="35" t="s">
        <v>3412</v>
      </c>
      <c r="F72" s="43" t="s">
        <v>3413</v>
      </c>
      <c r="G72" s="35" t="s">
        <v>3414</v>
      </c>
      <c r="H72" s="43" t="s">
        <v>3415</v>
      </c>
      <c r="I72" s="35">
        <v>2021.0</v>
      </c>
      <c r="J72" s="35" t="s">
        <v>3416</v>
      </c>
      <c r="K72" s="35" t="s">
        <v>730</v>
      </c>
      <c r="L72" s="35" t="s">
        <v>3417</v>
      </c>
      <c r="M72" s="35" t="s">
        <v>57</v>
      </c>
      <c r="N72" s="35" t="s">
        <v>3414</v>
      </c>
      <c r="O72" s="35" t="s">
        <v>3418</v>
      </c>
      <c r="P72" s="35" t="s">
        <v>3419</v>
      </c>
      <c r="Q72" s="35" t="s">
        <v>93</v>
      </c>
      <c r="R72" s="35" t="s">
        <v>57</v>
      </c>
      <c r="S72" s="35" t="s">
        <v>57</v>
      </c>
      <c r="T72" s="35" t="s">
        <v>74</v>
      </c>
      <c r="U72" s="35" t="s">
        <v>57</v>
      </c>
      <c r="V72" s="35" t="s">
        <v>96</v>
      </c>
      <c r="W72" s="35" t="s">
        <v>161</v>
      </c>
      <c r="X72" s="35" t="s">
        <v>3420</v>
      </c>
      <c r="Y72" s="35" t="s">
        <v>2397</v>
      </c>
      <c r="Z72" s="35" t="s">
        <v>3421</v>
      </c>
      <c r="AA72" s="35">
        <v>2019.0</v>
      </c>
      <c r="AB72" s="35">
        <v>2019.0</v>
      </c>
      <c r="AC72" s="35" t="s">
        <v>74</v>
      </c>
      <c r="AD72" s="35" t="s">
        <v>215</v>
      </c>
      <c r="AE72" s="35" t="s">
        <v>3422</v>
      </c>
      <c r="AF72" s="35" t="s">
        <v>74</v>
      </c>
      <c r="AG72" s="35" t="s">
        <v>57</v>
      </c>
      <c r="AH72" s="35" t="s">
        <v>57</v>
      </c>
      <c r="AI72" s="35" t="s">
        <v>57</v>
      </c>
      <c r="AJ72" s="35" t="s">
        <v>57</v>
      </c>
      <c r="AK72" s="35" t="s">
        <v>57</v>
      </c>
      <c r="AL72" s="34"/>
      <c r="AM72" s="34" t="s">
        <v>109</v>
      </c>
      <c r="AN72" s="164"/>
      <c r="AO72" s="104"/>
      <c r="AP72" s="104"/>
    </row>
    <row r="73">
      <c r="A73" s="102">
        <v>102.0</v>
      </c>
      <c r="B73" s="34">
        <v>8.79386176E8</v>
      </c>
      <c r="C73" s="34" t="s">
        <v>3425</v>
      </c>
      <c r="D73" s="34" t="s">
        <v>3426</v>
      </c>
      <c r="E73" s="35" t="s">
        <v>3427</v>
      </c>
      <c r="F73" s="43" t="s">
        <v>3428</v>
      </c>
      <c r="G73" s="35" t="s">
        <v>859</v>
      </c>
      <c r="H73" s="43" t="s">
        <v>3429</v>
      </c>
      <c r="I73" s="35">
        <v>2017.0</v>
      </c>
      <c r="J73" s="43" t="s">
        <v>2117</v>
      </c>
      <c r="K73" s="35" t="s">
        <v>730</v>
      </c>
      <c r="L73" s="35" t="s">
        <v>3430</v>
      </c>
      <c r="M73" s="35" t="s">
        <v>57</v>
      </c>
      <c r="N73" s="35" t="s">
        <v>859</v>
      </c>
      <c r="O73" s="35" t="s">
        <v>1824</v>
      </c>
      <c r="P73" s="35" t="s">
        <v>3431</v>
      </c>
      <c r="Q73" s="35" t="s">
        <v>93</v>
      </c>
      <c r="R73" s="35" t="s">
        <v>3432</v>
      </c>
      <c r="S73" s="35" t="s">
        <v>3433</v>
      </c>
      <c r="T73" s="35" t="s">
        <v>74</v>
      </c>
      <c r="U73" s="35" t="s">
        <v>57</v>
      </c>
      <c r="V73" s="35" t="s">
        <v>2394</v>
      </c>
      <c r="W73" s="35" t="s">
        <v>3434</v>
      </c>
      <c r="X73" s="35" t="s">
        <v>3435</v>
      </c>
      <c r="Y73" s="35" t="s">
        <v>2397</v>
      </c>
      <c r="Z73" s="35" t="s">
        <v>3436</v>
      </c>
      <c r="AA73" s="35">
        <v>2012.0</v>
      </c>
      <c r="AB73" s="35">
        <v>2012.0</v>
      </c>
      <c r="AC73" s="35" t="s">
        <v>74</v>
      </c>
      <c r="AD73" s="35" t="s">
        <v>96</v>
      </c>
      <c r="AE73" s="35" t="s">
        <v>3437</v>
      </c>
      <c r="AF73" s="35" t="s">
        <v>69</v>
      </c>
      <c r="AG73" s="35" t="s">
        <v>129</v>
      </c>
      <c r="AH73" s="35" t="s">
        <v>129</v>
      </c>
      <c r="AI73" s="35" t="s">
        <v>57</v>
      </c>
      <c r="AJ73" s="35" t="s">
        <v>57</v>
      </c>
      <c r="AK73" s="35" t="s">
        <v>3438</v>
      </c>
      <c r="AL73" s="34"/>
      <c r="AM73" s="34" t="s">
        <v>1522</v>
      </c>
      <c r="AN73" s="164"/>
      <c r="AO73" s="104"/>
      <c r="AP73" s="104"/>
    </row>
    <row r="74">
      <c r="A74" s="102">
        <v>103.0</v>
      </c>
      <c r="B74" s="34">
        <v>8.79386196E8</v>
      </c>
      <c r="C74" s="34" t="s">
        <v>3440</v>
      </c>
      <c r="D74" s="34" t="s">
        <v>3441</v>
      </c>
      <c r="E74" s="35" t="s">
        <v>3442</v>
      </c>
      <c r="F74" s="43" t="s">
        <v>3443</v>
      </c>
      <c r="G74" s="35" t="s">
        <v>456</v>
      </c>
      <c r="H74" s="43" t="s">
        <v>3444</v>
      </c>
      <c r="I74" s="35">
        <v>2021.0</v>
      </c>
      <c r="J74" s="43" t="s">
        <v>3445</v>
      </c>
      <c r="K74" s="35" t="s">
        <v>730</v>
      </c>
      <c r="L74" s="35" t="s">
        <v>57</v>
      </c>
      <c r="M74" s="35" t="s">
        <v>57</v>
      </c>
      <c r="N74" s="35" t="s">
        <v>456</v>
      </c>
      <c r="O74" s="35" t="s">
        <v>3446</v>
      </c>
      <c r="P74" s="35" t="s">
        <v>3447</v>
      </c>
      <c r="Q74" s="35" t="s">
        <v>93</v>
      </c>
      <c r="R74" s="35" t="s">
        <v>3448</v>
      </c>
      <c r="S74" s="35" t="s">
        <v>3449</v>
      </c>
      <c r="T74" s="35" t="s">
        <v>74</v>
      </c>
      <c r="U74" s="35" t="s">
        <v>57</v>
      </c>
      <c r="V74" s="35" t="s">
        <v>96</v>
      </c>
      <c r="W74" s="35" t="s">
        <v>536</v>
      </c>
      <c r="X74" s="35" t="s">
        <v>3450</v>
      </c>
      <c r="Y74" s="35" t="s">
        <v>2831</v>
      </c>
      <c r="Z74" s="35" t="s">
        <v>3451</v>
      </c>
      <c r="AA74" s="35">
        <v>2020.0</v>
      </c>
      <c r="AB74" s="35">
        <v>2020.0</v>
      </c>
      <c r="AC74" s="35" t="s">
        <v>74</v>
      </c>
      <c r="AD74" s="35" t="s">
        <v>215</v>
      </c>
      <c r="AE74" s="35" t="s">
        <v>3452</v>
      </c>
      <c r="AF74" s="35" t="s">
        <v>69</v>
      </c>
      <c r="AG74" s="35" t="s">
        <v>129</v>
      </c>
      <c r="AH74" s="35" t="s">
        <v>129</v>
      </c>
      <c r="AI74" s="35" t="s">
        <v>57</v>
      </c>
      <c r="AJ74" s="35" t="s">
        <v>57</v>
      </c>
      <c r="AK74" s="35" t="s">
        <v>3453</v>
      </c>
      <c r="AL74" s="34"/>
      <c r="AM74" s="34" t="s">
        <v>1522</v>
      </c>
      <c r="AN74" s="164"/>
      <c r="AO74" s="104"/>
      <c r="AP74" s="104"/>
    </row>
    <row r="75">
      <c r="A75" s="102">
        <v>104.0</v>
      </c>
      <c r="B75" s="34">
        <v>8.7938624E8</v>
      </c>
      <c r="C75" s="34" t="s">
        <v>3456</v>
      </c>
      <c r="D75" s="34" t="s">
        <v>3457</v>
      </c>
      <c r="E75" s="35" t="s">
        <v>3458</v>
      </c>
      <c r="F75" s="43" t="s">
        <v>3459</v>
      </c>
      <c r="G75" s="35" t="s">
        <v>1224</v>
      </c>
      <c r="H75" s="43" t="s">
        <v>3460</v>
      </c>
      <c r="I75" s="35">
        <v>2019.0</v>
      </c>
      <c r="J75" s="43" t="s">
        <v>207</v>
      </c>
      <c r="K75" s="35" t="s">
        <v>730</v>
      </c>
      <c r="L75" s="35" t="s">
        <v>2826</v>
      </c>
      <c r="M75" s="35" t="s">
        <v>57</v>
      </c>
      <c r="N75" s="35" t="s">
        <v>1224</v>
      </c>
      <c r="O75" s="35" t="s">
        <v>2827</v>
      </c>
      <c r="P75" s="35" t="s">
        <v>3461</v>
      </c>
      <c r="Q75" s="35" t="s">
        <v>93</v>
      </c>
      <c r="R75" s="35" t="s">
        <v>57</v>
      </c>
      <c r="S75" s="35" t="s">
        <v>57</v>
      </c>
      <c r="T75" s="35" t="s">
        <v>74</v>
      </c>
      <c r="U75" s="35" t="s">
        <v>57</v>
      </c>
      <c r="V75" s="35" t="s">
        <v>2394</v>
      </c>
      <c r="W75" s="35" t="s">
        <v>3462</v>
      </c>
      <c r="X75" s="35" t="s">
        <v>3463</v>
      </c>
      <c r="Y75" s="35" t="s">
        <v>2380</v>
      </c>
      <c r="Z75" s="35" t="s">
        <v>3464</v>
      </c>
      <c r="AA75" s="35">
        <v>2017.0</v>
      </c>
      <c r="AB75" s="35">
        <v>2017.0</v>
      </c>
      <c r="AC75" s="35" t="s">
        <v>74</v>
      </c>
      <c r="AD75" s="35" t="s">
        <v>215</v>
      </c>
      <c r="AE75" s="35" t="s">
        <v>3465</v>
      </c>
      <c r="AF75" s="35" t="s">
        <v>69</v>
      </c>
      <c r="AG75" s="35" t="s">
        <v>129</v>
      </c>
      <c r="AH75" s="35" t="s">
        <v>129</v>
      </c>
      <c r="AI75" s="35" t="s">
        <v>57</v>
      </c>
      <c r="AJ75" s="35" t="s">
        <v>57</v>
      </c>
      <c r="AK75" s="35" t="s">
        <v>3466</v>
      </c>
      <c r="AL75" s="34"/>
      <c r="AM75" s="34" t="s">
        <v>1522</v>
      </c>
      <c r="AN75" s="164"/>
      <c r="AO75" s="104"/>
      <c r="AP75" s="104"/>
    </row>
    <row r="76">
      <c r="A76" s="102">
        <v>105.0</v>
      </c>
      <c r="B76" s="34">
        <v>8.79386241E8</v>
      </c>
      <c r="C76" s="34" t="s">
        <v>3469</v>
      </c>
      <c r="D76" s="34" t="s">
        <v>3470</v>
      </c>
      <c r="E76" s="35" t="s">
        <v>3471</v>
      </c>
      <c r="F76" s="43" t="s">
        <v>3472</v>
      </c>
      <c r="G76" s="35" t="s">
        <v>2389</v>
      </c>
      <c r="H76" s="43" t="s">
        <v>3473</v>
      </c>
      <c r="I76" s="35">
        <v>2010.0</v>
      </c>
      <c r="J76" s="43" t="s">
        <v>3474</v>
      </c>
      <c r="K76" s="35" t="s">
        <v>730</v>
      </c>
      <c r="L76" s="35" t="s">
        <v>2702</v>
      </c>
      <c r="M76" s="35" t="s">
        <v>57</v>
      </c>
      <c r="N76" s="35" t="s">
        <v>2389</v>
      </c>
      <c r="O76" s="35" t="s">
        <v>3475</v>
      </c>
      <c r="P76" s="35" t="s">
        <v>3476</v>
      </c>
      <c r="Q76" s="35" t="s">
        <v>93</v>
      </c>
      <c r="R76" s="35" t="s">
        <v>57</v>
      </c>
      <c r="S76" s="35" t="s">
        <v>57</v>
      </c>
      <c r="T76" s="35" t="s">
        <v>74</v>
      </c>
      <c r="U76" s="35" t="s">
        <v>57</v>
      </c>
      <c r="V76" s="35" t="s">
        <v>193</v>
      </c>
      <c r="W76" s="35" t="s">
        <v>536</v>
      </c>
      <c r="X76" s="35" t="s">
        <v>3477</v>
      </c>
      <c r="Y76" s="35" t="s">
        <v>2831</v>
      </c>
      <c r="Z76" s="35" t="s">
        <v>3478</v>
      </c>
      <c r="AA76" s="35">
        <v>2008.0</v>
      </c>
      <c r="AB76" s="35">
        <v>2008.0</v>
      </c>
      <c r="AC76" s="35" t="s">
        <v>69</v>
      </c>
      <c r="AD76" s="35" t="s">
        <v>215</v>
      </c>
      <c r="AE76" s="35" t="s">
        <v>3479</v>
      </c>
      <c r="AF76" s="35" t="s">
        <v>69</v>
      </c>
      <c r="AG76" s="35" t="s">
        <v>129</v>
      </c>
      <c r="AH76" s="35" t="s">
        <v>129</v>
      </c>
      <c r="AI76" s="35" t="s">
        <v>57</v>
      </c>
      <c r="AJ76" s="35" t="s">
        <v>57</v>
      </c>
      <c r="AK76" s="35" t="s">
        <v>3480</v>
      </c>
      <c r="AL76" s="34"/>
      <c r="AM76" s="34" t="s">
        <v>1522</v>
      </c>
      <c r="AN76" s="164"/>
      <c r="AO76" s="104"/>
      <c r="AP76" s="104"/>
    </row>
    <row r="77">
      <c r="A77" s="102">
        <v>106.0</v>
      </c>
      <c r="B77" s="34">
        <v>8.79386261E8</v>
      </c>
      <c r="C77" s="34" t="s">
        <v>3482</v>
      </c>
      <c r="D77" s="34" t="s">
        <v>3483</v>
      </c>
      <c r="E77" s="35" t="s">
        <v>3484</v>
      </c>
      <c r="F77" s="43" t="s">
        <v>3485</v>
      </c>
      <c r="G77" s="35" t="s">
        <v>2128</v>
      </c>
      <c r="H77" s="43" t="s">
        <v>3486</v>
      </c>
      <c r="I77" s="35">
        <v>2017.0</v>
      </c>
      <c r="J77" s="43" t="s">
        <v>3487</v>
      </c>
      <c r="K77" s="35" t="s">
        <v>730</v>
      </c>
      <c r="L77" s="35" t="s">
        <v>3488</v>
      </c>
      <c r="M77" s="35" t="s">
        <v>57</v>
      </c>
      <c r="N77" s="35" t="s">
        <v>2128</v>
      </c>
      <c r="O77" s="35" t="s">
        <v>3489</v>
      </c>
      <c r="P77" s="35" t="s">
        <v>3490</v>
      </c>
      <c r="Q77" s="35" t="s">
        <v>93</v>
      </c>
      <c r="R77" s="35" t="s">
        <v>57</v>
      </c>
      <c r="S77" s="35" t="s">
        <v>57</v>
      </c>
      <c r="T77" s="35" t="s">
        <v>69</v>
      </c>
      <c r="U77" s="35" t="s">
        <v>3491</v>
      </c>
      <c r="V77" s="35" t="s">
        <v>96</v>
      </c>
      <c r="W77" s="35" t="s">
        <v>161</v>
      </c>
      <c r="X77" s="35" t="s">
        <v>3492</v>
      </c>
      <c r="Y77" s="35" t="s">
        <v>2831</v>
      </c>
      <c r="Z77" s="35" t="s">
        <v>3493</v>
      </c>
      <c r="AA77" s="35">
        <v>2015.0</v>
      </c>
      <c r="AB77" s="35">
        <v>2016.0</v>
      </c>
      <c r="AC77" s="35" t="s">
        <v>74</v>
      </c>
      <c r="AD77" s="35" t="s">
        <v>215</v>
      </c>
      <c r="AE77" s="35" t="s">
        <v>3494</v>
      </c>
      <c r="AF77" s="35" t="s">
        <v>74</v>
      </c>
      <c r="AG77" s="35" t="s">
        <v>57</v>
      </c>
      <c r="AH77" s="35" t="s">
        <v>57</v>
      </c>
      <c r="AI77" s="35" t="s">
        <v>57</v>
      </c>
      <c r="AJ77" s="35" t="s">
        <v>57</v>
      </c>
      <c r="AK77" s="35" t="s">
        <v>57</v>
      </c>
      <c r="AL77" s="34"/>
      <c r="AM77" s="34" t="s">
        <v>1522</v>
      </c>
      <c r="AN77" s="164"/>
      <c r="AO77" s="104"/>
      <c r="AP77" s="104"/>
    </row>
    <row r="78">
      <c r="A78" s="102">
        <v>107.0</v>
      </c>
      <c r="B78" s="34">
        <v>8.79386277E8</v>
      </c>
      <c r="C78" s="34" t="s">
        <v>3497</v>
      </c>
      <c r="D78" s="34" t="s">
        <v>3498</v>
      </c>
      <c r="E78" s="35" t="s">
        <v>3499</v>
      </c>
      <c r="F78" s="43" t="s">
        <v>3500</v>
      </c>
      <c r="G78" s="35" t="s">
        <v>172</v>
      </c>
      <c r="H78" s="43" t="s">
        <v>3501</v>
      </c>
      <c r="I78" s="35">
        <v>2022.0</v>
      </c>
      <c r="J78" s="43" t="s">
        <v>2117</v>
      </c>
      <c r="K78" s="35" t="s">
        <v>730</v>
      </c>
      <c r="L78" s="35" t="s">
        <v>3502</v>
      </c>
      <c r="M78" s="35" t="s">
        <v>57</v>
      </c>
      <c r="N78" s="35" t="s">
        <v>172</v>
      </c>
      <c r="O78" s="35" t="s">
        <v>3503</v>
      </c>
      <c r="P78" s="35" t="s">
        <v>3504</v>
      </c>
      <c r="Q78" s="35" t="s">
        <v>93</v>
      </c>
      <c r="R78" s="35" t="s">
        <v>57</v>
      </c>
      <c r="S78" s="35" t="s">
        <v>57</v>
      </c>
      <c r="T78" s="35" t="s">
        <v>74</v>
      </c>
      <c r="U78" s="35" t="s">
        <v>57</v>
      </c>
      <c r="V78" s="35" t="s">
        <v>2394</v>
      </c>
      <c r="W78" s="35" t="s">
        <v>3505</v>
      </c>
      <c r="X78" s="35" t="s">
        <v>3506</v>
      </c>
      <c r="Y78" s="35" t="s">
        <v>2397</v>
      </c>
      <c r="Z78" s="35" t="s">
        <v>3507</v>
      </c>
      <c r="AA78" s="35">
        <v>2019.0</v>
      </c>
      <c r="AB78" s="35">
        <v>2019.0</v>
      </c>
      <c r="AC78" s="35" t="s">
        <v>74</v>
      </c>
      <c r="AD78" s="35" t="s">
        <v>96</v>
      </c>
      <c r="AE78" s="35" t="s">
        <v>3508</v>
      </c>
      <c r="AF78" s="35" t="s">
        <v>74</v>
      </c>
      <c r="AG78" s="35" t="s">
        <v>57</v>
      </c>
      <c r="AH78" s="35" t="s">
        <v>57</v>
      </c>
      <c r="AI78" s="35" t="s">
        <v>57</v>
      </c>
      <c r="AJ78" s="35" t="s">
        <v>57</v>
      </c>
      <c r="AK78" s="35" t="s">
        <v>57</v>
      </c>
      <c r="AL78" s="34"/>
      <c r="AM78" s="34" t="s">
        <v>1522</v>
      </c>
      <c r="AN78" s="164"/>
      <c r="AO78" s="104"/>
      <c r="AP78" s="104"/>
    </row>
    <row r="79">
      <c r="A79" s="102">
        <v>108.0</v>
      </c>
      <c r="B79" s="34">
        <v>8.79386278E8</v>
      </c>
      <c r="C79" s="34" t="s">
        <v>3510</v>
      </c>
      <c r="D79" s="34" t="s">
        <v>873</v>
      </c>
      <c r="E79" s="35" t="s">
        <v>3511</v>
      </c>
      <c r="F79" s="43" t="s">
        <v>3512</v>
      </c>
      <c r="G79" s="35" t="s">
        <v>859</v>
      </c>
      <c r="H79" s="43" t="s">
        <v>3513</v>
      </c>
      <c r="I79" s="35">
        <v>2021.0</v>
      </c>
      <c r="J79" s="43" t="s">
        <v>796</v>
      </c>
      <c r="K79" s="35" t="s">
        <v>730</v>
      </c>
      <c r="L79" s="35" t="s">
        <v>3514</v>
      </c>
      <c r="M79" s="35" t="s">
        <v>57</v>
      </c>
      <c r="N79" s="35" t="s">
        <v>859</v>
      </c>
      <c r="O79" s="35" t="s">
        <v>1764</v>
      </c>
      <c r="P79" s="35" t="s">
        <v>3515</v>
      </c>
      <c r="Q79" s="35" t="s">
        <v>93</v>
      </c>
      <c r="R79" s="35" t="s">
        <v>57</v>
      </c>
      <c r="S79" s="35" t="s">
        <v>57</v>
      </c>
      <c r="T79" s="35" t="s">
        <v>74</v>
      </c>
      <c r="U79" s="35" t="s">
        <v>57</v>
      </c>
      <c r="V79" s="35" t="s">
        <v>96</v>
      </c>
      <c r="W79" s="35" t="s">
        <v>2766</v>
      </c>
      <c r="X79" s="35" t="s">
        <v>3516</v>
      </c>
      <c r="Y79" s="35" t="s">
        <v>2831</v>
      </c>
      <c r="Z79" s="35" t="s">
        <v>3517</v>
      </c>
      <c r="AA79" s="35">
        <v>2017.0</v>
      </c>
      <c r="AB79" s="35">
        <v>2017.0</v>
      </c>
      <c r="AC79" s="35" t="s">
        <v>74</v>
      </c>
      <c r="AD79" s="35" t="s">
        <v>215</v>
      </c>
      <c r="AE79" s="35" t="s">
        <v>3518</v>
      </c>
      <c r="AF79" s="35" t="s">
        <v>69</v>
      </c>
      <c r="AG79" s="35" t="s">
        <v>129</v>
      </c>
      <c r="AH79" s="35" t="s">
        <v>129</v>
      </c>
      <c r="AI79" s="35" t="s">
        <v>57</v>
      </c>
      <c r="AJ79" s="35" t="s">
        <v>57</v>
      </c>
      <c r="AK79" s="35" t="s">
        <v>3519</v>
      </c>
      <c r="AL79" s="34"/>
      <c r="AM79" s="34" t="s">
        <v>1522</v>
      </c>
      <c r="AN79" s="164"/>
      <c r="AO79" s="104"/>
      <c r="AP79" s="104"/>
    </row>
    <row r="80">
      <c r="A80" s="102">
        <v>109.0</v>
      </c>
      <c r="B80" s="34">
        <v>8.79386283E8</v>
      </c>
      <c r="C80" s="34" t="s">
        <v>3522</v>
      </c>
      <c r="D80" s="34" t="s">
        <v>3523</v>
      </c>
      <c r="E80" s="35" t="s">
        <v>3524</v>
      </c>
      <c r="F80" s="43" t="s">
        <v>3525</v>
      </c>
      <c r="G80" s="35" t="s">
        <v>639</v>
      </c>
      <c r="H80" s="43" t="s">
        <v>3526</v>
      </c>
      <c r="I80" s="35">
        <v>2015.0</v>
      </c>
      <c r="J80" s="43" t="s">
        <v>3527</v>
      </c>
      <c r="K80" s="35" t="s">
        <v>730</v>
      </c>
      <c r="L80" s="35" t="s">
        <v>3357</v>
      </c>
      <c r="M80" s="35" t="s">
        <v>57</v>
      </c>
      <c r="N80" s="35" t="s">
        <v>639</v>
      </c>
      <c r="O80" s="35" t="s">
        <v>57</v>
      </c>
      <c r="P80" s="35" t="s">
        <v>3528</v>
      </c>
      <c r="Q80" s="35" t="s">
        <v>93</v>
      </c>
      <c r="R80" s="35" t="s">
        <v>57</v>
      </c>
      <c r="S80" s="35" t="s">
        <v>57</v>
      </c>
      <c r="T80" s="35" t="s">
        <v>74</v>
      </c>
      <c r="U80" s="35" t="s">
        <v>57</v>
      </c>
      <c r="V80" s="35" t="s">
        <v>193</v>
      </c>
      <c r="W80" s="35" t="s">
        <v>64</v>
      </c>
      <c r="X80" s="35" t="s">
        <v>3529</v>
      </c>
      <c r="Y80" s="35" t="s">
        <v>2380</v>
      </c>
      <c r="Z80" s="35" t="s">
        <v>3530</v>
      </c>
      <c r="AA80" s="35">
        <v>2010.0</v>
      </c>
      <c r="AB80" s="35">
        <v>2011.0</v>
      </c>
      <c r="AC80" s="35" t="s">
        <v>74</v>
      </c>
      <c r="AD80" s="35" t="s">
        <v>96</v>
      </c>
      <c r="AE80" s="35" t="s">
        <v>3531</v>
      </c>
      <c r="AF80" s="35" t="s">
        <v>74</v>
      </c>
      <c r="AG80" s="35" t="s">
        <v>57</v>
      </c>
      <c r="AH80" s="35" t="s">
        <v>57</v>
      </c>
      <c r="AI80" s="35" t="s">
        <v>57</v>
      </c>
      <c r="AJ80" s="35" t="s">
        <v>57</v>
      </c>
      <c r="AK80" s="35" t="s">
        <v>57</v>
      </c>
      <c r="AL80" s="34"/>
      <c r="AM80" s="34" t="s">
        <v>1522</v>
      </c>
      <c r="AN80" s="164"/>
      <c r="AO80" s="104"/>
      <c r="AP80" s="104"/>
    </row>
    <row r="81">
      <c r="A81" s="102">
        <v>110.0</v>
      </c>
      <c r="B81" s="34">
        <v>8.79386291E8</v>
      </c>
      <c r="C81" s="34" t="s">
        <v>3534</v>
      </c>
      <c r="D81" s="34" t="s">
        <v>3535</v>
      </c>
      <c r="E81" s="35" t="s">
        <v>3536</v>
      </c>
      <c r="F81" s="43" t="s">
        <v>3537</v>
      </c>
      <c r="G81" s="35" t="s">
        <v>3538</v>
      </c>
      <c r="H81" s="43" t="s">
        <v>3539</v>
      </c>
      <c r="I81" s="35">
        <v>2021.0</v>
      </c>
      <c r="J81" s="43" t="s">
        <v>1347</v>
      </c>
      <c r="K81" s="35" t="s">
        <v>730</v>
      </c>
      <c r="L81" s="35" t="s">
        <v>3540</v>
      </c>
      <c r="M81" s="35" t="s">
        <v>57</v>
      </c>
      <c r="N81" s="35" t="s">
        <v>3538</v>
      </c>
      <c r="O81" s="35" t="s">
        <v>400</v>
      </c>
      <c r="P81" s="35" t="s">
        <v>3541</v>
      </c>
      <c r="Q81" s="35" t="s">
        <v>93</v>
      </c>
      <c r="R81" s="35" t="s">
        <v>57</v>
      </c>
      <c r="S81" s="35" t="s">
        <v>57</v>
      </c>
      <c r="T81" s="35" t="s">
        <v>74</v>
      </c>
      <c r="U81" s="35" t="s">
        <v>57</v>
      </c>
      <c r="V81" s="35" t="s">
        <v>2430</v>
      </c>
      <c r="W81" s="35" t="s">
        <v>64</v>
      </c>
      <c r="X81" s="35" t="s">
        <v>3542</v>
      </c>
      <c r="Y81" s="35" t="s">
        <v>2397</v>
      </c>
      <c r="Z81" s="35" t="s">
        <v>3543</v>
      </c>
      <c r="AA81" s="35" t="s">
        <v>57</v>
      </c>
      <c r="AB81" s="35" t="s">
        <v>57</v>
      </c>
      <c r="AC81" s="35" t="s">
        <v>74</v>
      </c>
      <c r="AD81" s="35" t="s">
        <v>96</v>
      </c>
      <c r="AE81" s="35" t="s">
        <v>3544</v>
      </c>
      <c r="AF81" s="35" t="s">
        <v>69</v>
      </c>
      <c r="AG81" s="35" t="s">
        <v>129</v>
      </c>
      <c r="AH81" s="35" t="s">
        <v>129</v>
      </c>
      <c r="AI81" s="35" t="s">
        <v>57</v>
      </c>
      <c r="AJ81" s="35" t="s">
        <v>57</v>
      </c>
      <c r="AK81" s="35" t="s">
        <v>3545</v>
      </c>
      <c r="AL81" s="34"/>
      <c r="AM81" s="34" t="s">
        <v>109</v>
      </c>
      <c r="AN81" s="164"/>
      <c r="AO81" s="104"/>
      <c r="AP81" s="104"/>
    </row>
    <row r="82">
      <c r="A82" s="102">
        <v>111.0</v>
      </c>
      <c r="B82" s="34">
        <v>8.79386296E8</v>
      </c>
      <c r="C82" s="34" t="s">
        <v>3548</v>
      </c>
      <c r="D82" s="34" t="s">
        <v>3549</v>
      </c>
      <c r="E82" s="35" t="s">
        <v>3550</v>
      </c>
      <c r="F82" s="43" t="s">
        <v>3551</v>
      </c>
      <c r="G82" s="35" t="s">
        <v>760</v>
      </c>
      <c r="H82" s="43" t="s">
        <v>3552</v>
      </c>
      <c r="I82" s="35">
        <v>2021.0</v>
      </c>
      <c r="J82" s="35" t="s">
        <v>796</v>
      </c>
      <c r="K82" s="35" t="s">
        <v>730</v>
      </c>
      <c r="L82" s="35" t="s">
        <v>3553</v>
      </c>
      <c r="M82" s="35" t="s">
        <v>57</v>
      </c>
      <c r="N82" s="35" t="s">
        <v>760</v>
      </c>
      <c r="O82" s="35" t="s">
        <v>3554</v>
      </c>
      <c r="P82" s="35" t="s">
        <v>3555</v>
      </c>
      <c r="Q82" s="35" t="s">
        <v>93</v>
      </c>
      <c r="R82" s="35" t="s">
        <v>3556</v>
      </c>
      <c r="S82" s="35" t="s">
        <v>3557</v>
      </c>
      <c r="T82" s="35" t="s">
        <v>74</v>
      </c>
      <c r="U82" s="35" t="s">
        <v>57</v>
      </c>
      <c r="V82" s="35" t="s">
        <v>2394</v>
      </c>
      <c r="W82" s="35" t="s">
        <v>64</v>
      </c>
      <c r="X82" s="35" t="s">
        <v>3558</v>
      </c>
      <c r="Y82" s="35" t="s">
        <v>2397</v>
      </c>
      <c r="Z82" s="35" t="s">
        <v>3559</v>
      </c>
      <c r="AA82" s="35">
        <v>2018.0</v>
      </c>
      <c r="AB82" s="35">
        <v>2018.0</v>
      </c>
      <c r="AC82" s="35" t="s">
        <v>74</v>
      </c>
      <c r="AD82" s="35" t="s">
        <v>63</v>
      </c>
      <c r="AE82" s="35" t="s">
        <v>3560</v>
      </c>
      <c r="AF82" s="35" t="s">
        <v>69</v>
      </c>
      <c r="AG82" s="35" t="s">
        <v>129</v>
      </c>
      <c r="AH82" s="35" t="s">
        <v>129</v>
      </c>
      <c r="AI82" s="35" t="s">
        <v>57</v>
      </c>
      <c r="AJ82" s="35" t="s">
        <v>57</v>
      </c>
      <c r="AK82" s="35" t="s">
        <v>3561</v>
      </c>
      <c r="AL82" s="34"/>
      <c r="AM82" s="34" t="s">
        <v>109</v>
      </c>
      <c r="AN82" s="164"/>
      <c r="AO82" s="104"/>
      <c r="AP82" s="104"/>
    </row>
    <row r="83">
      <c r="A83" s="102">
        <v>112.0</v>
      </c>
      <c r="B83" s="34">
        <v>8.79386299E8</v>
      </c>
      <c r="C83" s="34" t="s">
        <v>3564</v>
      </c>
      <c r="D83" s="34" t="s">
        <v>3565</v>
      </c>
      <c r="E83" s="35" t="s">
        <v>3566</v>
      </c>
      <c r="F83" s="43" t="s">
        <v>3567</v>
      </c>
      <c r="G83" s="35" t="s">
        <v>2926</v>
      </c>
      <c r="H83" s="43" t="s">
        <v>3568</v>
      </c>
      <c r="I83" s="35">
        <v>2018.0</v>
      </c>
      <c r="J83" s="35" t="s">
        <v>3569</v>
      </c>
      <c r="K83" s="35" t="s">
        <v>730</v>
      </c>
      <c r="L83" s="35" t="s">
        <v>3570</v>
      </c>
      <c r="M83" s="35" t="s">
        <v>57</v>
      </c>
      <c r="N83" s="35" t="s">
        <v>3571</v>
      </c>
      <c r="O83" s="35" t="s">
        <v>2926</v>
      </c>
      <c r="P83" s="35" t="s">
        <v>3572</v>
      </c>
      <c r="Q83" s="35" t="s">
        <v>93</v>
      </c>
      <c r="R83" s="43" t="s">
        <v>3573</v>
      </c>
      <c r="S83" s="43" t="s">
        <v>3574</v>
      </c>
      <c r="T83" s="35" t="s">
        <v>74</v>
      </c>
      <c r="U83" s="35" t="s">
        <v>57</v>
      </c>
      <c r="V83" s="35" t="s">
        <v>96</v>
      </c>
      <c r="W83" s="35" t="s">
        <v>64</v>
      </c>
      <c r="X83" s="35" t="s">
        <v>3575</v>
      </c>
      <c r="Y83" s="35" t="s">
        <v>2831</v>
      </c>
      <c r="Z83" s="35" t="s">
        <v>3576</v>
      </c>
      <c r="AA83" s="35" t="s">
        <v>57</v>
      </c>
      <c r="AB83" s="35" t="s">
        <v>57</v>
      </c>
      <c r="AC83" s="35" t="s">
        <v>74</v>
      </c>
      <c r="AD83" s="35" t="s">
        <v>96</v>
      </c>
      <c r="AE83" s="35" t="s">
        <v>3577</v>
      </c>
      <c r="AF83" s="35" t="s">
        <v>74</v>
      </c>
      <c r="AG83" s="35" t="s">
        <v>57</v>
      </c>
      <c r="AH83" s="35" t="s">
        <v>57</v>
      </c>
      <c r="AI83" s="35" t="s">
        <v>57</v>
      </c>
      <c r="AJ83" s="35" t="s">
        <v>57</v>
      </c>
      <c r="AK83" s="35" t="s">
        <v>57</v>
      </c>
      <c r="AL83" s="34"/>
      <c r="AM83" s="34" t="s">
        <v>109</v>
      </c>
      <c r="AN83" s="164"/>
      <c r="AO83" s="104"/>
      <c r="AP83" s="104"/>
    </row>
    <row r="84">
      <c r="A84" s="102">
        <v>113.0</v>
      </c>
      <c r="B84" s="34">
        <v>8.79386275E8</v>
      </c>
      <c r="C84" s="34" t="s">
        <v>3580</v>
      </c>
      <c r="D84" s="34" t="s">
        <v>3581</v>
      </c>
      <c r="E84" s="35" t="s">
        <v>3582</v>
      </c>
      <c r="F84" s="43" t="s">
        <v>3583</v>
      </c>
      <c r="G84" s="35" t="s">
        <v>273</v>
      </c>
      <c r="H84" s="43" t="s">
        <v>3584</v>
      </c>
      <c r="I84" s="35">
        <v>2021.0</v>
      </c>
      <c r="J84" s="43" t="s">
        <v>3585</v>
      </c>
      <c r="K84" s="35" t="s">
        <v>730</v>
      </c>
      <c r="L84" s="35" t="s">
        <v>3586</v>
      </c>
      <c r="M84" s="35" t="s">
        <v>57</v>
      </c>
      <c r="N84" s="35" t="s">
        <v>273</v>
      </c>
      <c r="O84" s="35" t="s">
        <v>277</v>
      </c>
      <c r="P84" s="35" t="s">
        <v>3587</v>
      </c>
      <c r="Q84" s="35" t="s">
        <v>93</v>
      </c>
      <c r="R84" s="35" t="s">
        <v>57</v>
      </c>
      <c r="S84" s="35" t="s">
        <v>57</v>
      </c>
      <c r="T84" s="35" t="s">
        <v>74</v>
      </c>
      <c r="U84" s="35" t="s">
        <v>57</v>
      </c>
      <c r="V84" s="35" t="s">
        <v>2394</v>
      </c>
      <c r="W84" s="35" t="s">
        <v>3588</v>
      </c>
      <c r="X84" s="35" t="s">
        <v>3589</v>
      </c>
      <c r="Y84" s="35" t="s">
        <v>2397</v>
      </c>
      <c r="Z84" s="35" t="s">
        <v>3590</v>
      </c>
      <c r="AA84" s="35" t="s">
        <v>57</v>
      </c>
      <c r="AB84" s="35" t="s">
        <v>57</v>
      </c>
      <c r="AC84" s="35" t="s">
        <v>74</v>
      </c>
      <c r="AD84" s="35" t="s">
        <v>96</v>
      </c>
      <c r="AE84" s="35" t="s">
        <v>3591</v>
      </c>
      <c r="AF84" s="35" t="s">
        <v>69</v>
      </c>
      <c r="AG84" s="35" t="s">
        <v>307</v>
      </c>
      <c r="AH84" s="35" t="s">
        <v>2067</v>
      </c>
      <c r="AI84" s="35" t="s">
        <v>129</v>
      </c>
      <c r="AJ84" s="35" t="s">
        <v>57</v>
      </c>
      <c r="AK84" s="35" t="s">
        <v>3592</v>
      </c>
      <c r="AL84" s="34"/>
      <c r="AM84" s="34" t="s">
        <v>1522</v>
      </c>
      <c r="AN84" s="164"/>
      <c r="AO84" s="104"/>
      <c r="AP84" s="104"/>
    </row>
    <row r="85">
      <c r="A85" s="102">
        <v>114.0</v>
      </c>
      <c r="B85" s="34">
        <v>8.79386325E8</v>
      </c>
      <c r="C85" s="34" t="s">
        <v>3595</v>
      </c>
      <c r="D85" s="34" t="s">
        <v>3596</v>
      </c>
      <c r="E85" s="35" t="s">
        <v>3597</v>
      </c>
      <c r="F85" s="43" t="s">
        <v>3598</v>
      </c>
      <c r="G85" s="35" t="s">
        <v>172</v>
      </c>
      <c r="H85" s="43" t="s">
        <v>3599</v>
      </c>
      <c r="I85" s="35">
        <v>2013.0</v>
      </c>
      <c r="J85" s="43" t="s">
        <v>3600</v>
      </c>
      <c r="K85" s="35" t="s">
        <v>730</v>
      </c>
      <c r="L85" s="35" t="s">
        <v>3327</v>
      </c>
      <c r="M85" s="35" t="s">
        <v>57</v>
      </c>
      <c r="N85" s="35" t="s">
        <v>172</v>
      </c>
      <c r="O85" s="35" t="s">
        <v>2376</v>
      </c>
      <c r="P85" s="35" t="s">
        <v>3601</v>
      </c>
      <c r="Q85" s="35" t="s">
        <v>93</v>
      </c>
      <c r="R85" s="35" t="s">
        <v>57</v>
      </c>
      <c r="S85" s="35" t="s">
        <v>57</v>
      </c>
      <c r="T85" s="35" t="s">
        <v>74</v>
      </c>
      <c r="U85" s="35" t="s">
        <v>57</v>
      </c>
      <c r="V85" s="35" t="s">
        <v>96</v>
      </c>
      <c r="W85" s="35" t="s">
        <v>64</v>
      </c>
      <c r="X85" s="35" t="s">
        <v>3602</v>
      </c>
      <c r="Y85" s="35" t="s">
        <v>2397</v>
      </c>
      <c r="Z85" s="35" t="s">
        <v>3603</v>
      </c>
      <c r="AA85" s="35">
        <v>2011.0</v>
      </c>
      <c r="AB85" s="35">
        <v>2011.0</v>
      </c>
      <c r="AC85" s="35" t="s">
        <v>74</v>
      </c>
      <c r="AD85" s="35" t="s">
        <v>215</v>
      </c>
      <c r="AE85" s="35" t="s">
        <v>3604</v>
      </c>
      <c r="AF85" s="35" t="s">
        <v>69</v>
      </c>
      <c r="AG85" s="35" t="s">
        <v>129</v>
      </c>
      <c r="AH85" s="35" t="s">
        <v>129</v>
      </c>
      <c r="AI85" s="35" t="s">
        <v>57</v>
      </c>
      <c r="AJ85" s="35" t="s">
        <v>57</v>
      </c>
      <c r="AK85" s="35" t="s">
        <v>3605</v>
      </c>
      <c r="AL85" s="34"/>
      <c r="AM85" s="34" t="s">
        <v>1522</v>
      </c>
      <c r="AN85" s="164"/>
      <c r="AO85" s="104"/>
      <c r="AP85" s="104"/>
    </row>
    <row r="86">
      <c r="A86" s="102">
        <v>115.0</v>
      </c>
      <c r="B86" s="34">
        <v>8.79386332E8</v>
      </c>
      <c r="C86" s="34" t="s">
        <v>3608</v>
      </c>
      <c r="D86" s="34" t="s">
        <v>3609</v>
      </c>
      <c r="E86" s="35" t="s">
        <v>3610</v>
      </c>
      <c r="F86" s="43" t="s">
        <v>3611</v>
      </c>
      <c r="G86" s="35" t="s">
        <v>859</v>
      </c>
      <c r="H86" s="43" t="s">
        <v>3612</v>
      </c>
      <c r="I86" s="35">
        <v>2010.0</v>
      </c>
      <c r="J86" s="43" t="s">
        <v>1362</v>
      </c>
      <c r="K86" s="35" t="s">
        <v>730</v>
      </c>
      <c r="L86" s="35" t="s">
        <v>3430</v>
      </c>
      <c r="M86" s="35" t="s">
        <v>57</v>
      </c>
      <c r="N86" s="35" t="s">
        <v>859</v>
      </c>
      <c r="O86" s="35" t="s">
        <v>2231</v>
      </c>
      <c r="P86" s="35" t="s">
        <v>3613</v>
      </c>
      <c r="Q86" s="35" t="s">
        <v>93</v>
      </c>
      <c r="R86" s="35" t="s">
        <v>57</v>
      </c>
      <c r="S86" s="35" t="s">
        <v>57</v>
      </c>
      <c r="T86" s="35" t="s">
        <v>74</v>
      </c>
      <c r="U86" s="35" t="s">
        <v>57</v>
      </c>
      <c r="V86" s="35" t="s">
        <v>2394</v>
      </c>
      <c r="W86" s="35" t="s">
        <v>64</v>
      </c>
      <c r="X86" s="35" t="s">
        <v>3614</v>
      </c>
      <c r="Y86" s="35" t="s">
        <v>2397</v>
      </c>
      <c r="Z86" s="35" t="s">
        <v>3615</v>
      </c>
      <c r="AA86" s="35">
        <v>1991.0</v>
      </c>
      <c r="AB86" s="35">
        <v>1996.0</v>
      </c>
      <c r="AC86" s="35" t="s">
        <v>74</v>
      </c>
      <c r="AD86" s="35" t="s">
        <v>96</v>
      </c>
      <c r="AE86" s="35" t="s">
        <v>3616</v>
      </c>
      <c r="AF86" s="35" t="s">
        <v>69</v>
      </c>
      <c r="AG86" s="35" t="s">
        <v>129</v>
      </c>
      <c r="AH86" s="35" t="s">
        <v>129</v>
      </c>
      <c r="AI86" s="35" t="s">
        <v>57</v>
      </c>
      <c r="AJ86" s="35" t="s">
        <v>57</v>
      </c>
      <c r="AK86" s="35" t="s">
        <v>3617</v>
      </c>
      <c r="AL86" s="34"/>
      <c r="AM86" s="34" t="s">
        <v>1522</v>
      </c>
      <c r="AN86" s="164"/>
      <c r="AO86" s="104"/>
      <c r="AP86" s="104"/>
    </row>
    <row r="87">
      <c r="A87" s="102">
        <v>117.0</v>
      </c>
      <c r="B87" s="34">
        <v>8.79386355E8</v>
      </c>
      <c r="C87" s="34" t="s">
        <v>3620</v>
      </c>
      <c r="D87" s="34" t="s">
        <v>3621</v>
      </c>
      <c r="E87" s="35" t="s">
        <v>3622</v>
      </c>
      <c r="F87" s="43" t="s">
        <v>3623</v>
      </c>
      <c r="G87" s="35" t="s">
        <v>859</v>
      </c>
      <c r="H87" s="43" t="s">
        <v>3624</v>
      </c>
      <c r="I87" s="35">
        <v>2019.0</v>
      </c>
      <c r="J87" s="35" t="s">
        <v>1362</v>
      </c>
      <c r="K87" s="35" t="s">
        <v>730</v>
      </c>
      <c r="L87" s="35" t="s">
        <v>3625</v>
      </c>
      <c r="M87" s="35" t="s">
        <v>57</v>
      </c>
      <c r="N87" s="35" t="s">
        <v>859</v>
      </c>
      <c r="O87" s="35" t="s">
        <v>3626</v>
      </c>
      <c r="P87" s="35" t="s">
        <v>3627</v>
      </c>
      <c r="Q87" s="35" t="s">
        <v>93</v>
      </c>
      <c r="R87" s="35" t="s">
        <v>57</v>
      </c>
      <c r="S87" s="35" t="s">
        <v>57</v>
      </c>
      <c r="T87" s="35" t="s">
        <v>74</v>
      </c>
      <c r="U87" s="35" t="s">
        <v>57</v>
      </c>
      <c r="V87" s="35" t="s">
        <v>193</v>
      </c>
      <c r="W87" s="35" t="s">
        <v>64</v>
      </c>
      <c r="X87" s="35" t="s">
        <v>3628</v>
      </c>
      <c r="Y87" s="35" t="s">
        <v>2397</v>
      </c>
      <c r="Z87" s="35" t="s">
        <v>3629</v>
      </c>
      <c r="AA87" s="35" t="s">
        <v>57</v>
      </c>
      <c r="AB87" s="35" t="s">
        <v>57</v>
      </c>
      <c r="AC87" s="35" t="s">
        <v>74</v>
      </c>
      <c r="AD87" s="35" t="s">
        <v>215</v>
      </c>
      <c r="AE87" s="35" t="s">
        <v>3630</v>
      </c>
      <c r="AF87" s="35" t="s">
        <v>69</v>
      </c>
      <c r="AG87" s="35" t="s">
        <v>129</v>
      </c>
      <c r="AH87" s="35" t="s">
        <v>129</v>
      </c>
      <c r="AI87" s="35" t="s">
        <v>57</v>
      </c>
      <c r="AJ87" s="35" t="s">
        <v>57</v>
      </c>
      <c r="AK87" s="35" t="s">
        <v>3631</v>
      </c>
      <c r="AL87" s="34" t="s">
        <v>1418</v>
      </c>
      <c r="AM87" s="34" t="s">
        <v>109</v>
      </c>
      <c r="AN87" s="164"/>
      <c r="AO87" s="104"/>
      <c r="AP87" s="104"/>
    </row>
    <row r="88">
      <c r="A88" s="102">
        <v>118.0</v>
      </c>
      <c r="B88" s="34">
        <v>8.79386363E8</v>
      </c>
      <c r="C88" s="34" t="s">
        <v>3634</v>
      </c>
      <c r="D88" s="34" t="s">
        <v>3635</v>
      </c>
      <c r="E88" s="35" t="s">
        <v>3636</v>
      </c>
      <c r="F88" s="35" t="s">
        <v>3637</v>
      </c>
      <c r="G88" s="35" t="s">
        <v>2389</v>
      </c>
      <c r="H88" s="43" t="s">
        <v>3638</v>
      </c>
      <c r="I88" s="35">
        <v>2017.0</v>
      </c>
      <c r="J88" s="43" t="s">
        <v>3639</v>
      </c>
      <c r="K88" s="35" t="s">
        <v>730</v>
      </c>
      <c r="L88" s="35" t="s">
        <v>3640</v>
      </c>
      <c r="M88" s="35" t="s">
        <v>57</v>
      </c>
      <c r="N88" s="35" t="s">
        <v>2389</v>
      </c>
      <c r="O88" s="35" t="s">
        <v>57</v>
      </c>
      <c r="P88" s="35" t="s">
        <v>3641</v>
      </c>
      <c r="Q88" s="35" t="s">
        <v>93</v>
      </c>
      <c r="R88" s="35" t="s">
        <v>57</v>
      </c>
      <c r="S88" s="35" t="s">
        <v>57</v>
      </c>
      <c r="T88" s="35" t="s">
        <v>74</v>
      </c>
      <c r="U88" s="35" t="s">
        <v>57</v>
      </c>
      <c r="V88" s="35" t="s">
        <v>193</v>
      </c>
      <c r="W88" s="35" t="s">
        <v>1579</v>
      </c>
      <c r="X88" s="35" t="s">
        <v>3642</v>
      </c>
      <c r="Y88" s="35" t="s">
        <v>2397</v>
      </c>
      <c r="Z88" s="35" t="s">
        <v>3643</v>
      </c>
      <c r="AA88" s="35" t="s">
        <v>57</v>
      </c>
      <c r="AB88" s="35" t="s">
        <v>57</v>
      </c>
      <c r="AC88" s="35" t="s">
        <v>74</v>
      </c>
      <c r="AD88" s="35" t="s">
        <v>215</v>
      </c>
      <c r="AE88" s="35" t="s">
        <v>3644</v>
      </c>
      <c r="AF88" s="35" t="s">
        <v>69</v>
      </c>
      <c r="AG88" s="35" t="s">
        <v>1791</v>
      </c>
      <c r="AH88" s="35" t="s">
        <v>129</v>
      </c>
      <c r="AI88" s="35" t="s">
        <v>2067</v>
      </c>
      <c r="AJ88" s="35" t="s">
        <v>57</v>
      </c>
      <c r="AK88" s="35" t="s">
        <v>3645</v>
      </c>
      <c r="AL88" s="34"/>
      <c r="AM88" s="34" t="s">
        <v>1522</v>
      </c>
      <c r="AN88" s="164"/>
      <c r="AO88" s="104"/>
      <c r="AP88" s="104"/>
    </row>
    <row r="89">
      <c r="A89" s="102">
        <v>119.0</v>
      </c>
      <c r="B89" s="34">
        <v>8.79386365E8</v>
      </c>
      <c r="C89" s="34" t="s">
        <v>3648</v>
      </c>
      <c r="D89" s="34" t="s">
        <v>3649</v>
      </c>
      <c r="E89" s="35" t="s">
        <v>3650</v>
      </c>
      <c r="F89" s="43" t="s">
        <v>3651</v>
      </c>
      <c r="G89" s="35" t="s">
        <v>2389</v>
      </c>
      <c r="H89" s="43" t="s">
        <v>3652</v>
      </c>
      <c r="I89" s="35">
        <v>2014.0</v>
      </c>
      <c r="J89" s="35" t="s">
        <v>295</v>
      </c>
      <c r="K89" s="35" t="s">
        <v>730</v>
      </c>
      <c r="L89" s="35" t="s">
        <v>3653</v>
      </c>
      <c r="M89" s="35" t="s">
        <v>57</v>
      </c>
      <c r="N89" s="35" t="s">
        <v>2389</v>
      </c>
      <c r="O89" s="35" t="s">
        <v>3654</v>
      </c>
      <c r="P89" s="35" t="s">
        <v>3655</v>
      </c>
      <c r="Q89" s="35" t="s">
        <v>93</v>
      </c>
      <c r="R89" s="35" t="s">
        <v>57</v>
      </c>
      <c r="S89" s="35" t="s">
        <v>57</v>
      </c>
      <c r="T89" s="35" t="s">
        <v>74</v>
      </c>
      <c r="U89" s="35" t="s">
        <v>57</v>
      </c>
      <c r="V89" s="35" t="s">
        <v>96</v>
      </c>
      <c r="W89" s="35" t="s">
        <v>64</v>
      </c>
      <c r="X89" s="35" t="s">
        <v>3656</v>
      </c>
      <c r="Y89" s="35" t="s">
        <v>3657</v>
      </c>
      <c r="Z89" s="35" t="s">
        <v>3658</v>
      </c>
      <c r="AA89" s="35">
        <v>2010.0</v>
      </c>
      <c r="AB89" s="35">
        <v>2011.0</v>
      </c>
      <c r="AC89" s="35" t="s">
        <v>74</v>
      </c>
      <c r="AD89" s="35" t="s">
        <v>215</v>
      </c>
      <c r="AE89" s="35" t="s">
        <v>3659</v>
      </c>
      <c r="AF89" s="35" t="s">
        <v>74</v>
      </c>
      <c r="AG89" s="35" t="s">
        <v>57</v>
      </c>
      <c r="AH89" s="35" t="s">
        <v>57</v>
      </c>
      <c r="AI89" s="35" t="s">
        <v>57</v>
      </c>
      <c r="AJ89" s="35" t="s">
        <v>57</v>
      </c>
      <c r="AK89" s="35" t="s">
        <v>57</v>
      </c>
      <c r="AL89" s="34"/>
      <c r="AM89" s="34" t="s">
        <v>109</v>
      </c>
      <c r="AN89" s="164"/>
      <c r="AO89" s="104"/>
      <c r="AP89" s="104"/>
    </row>
    <row r="90">
      <c r="A90" s="102">
        <v>120.0</v>
      </c>
      <c r="B90" s="34">
        <v>8.79386385E8</v>
      </c>
      <c r="C90" s="34" t="s">
        <v>3661</v>
      </c>
      <c r="D90" s="34" t="s">
        <v>3083</v>
      </c>
      <c r="E90" s="35" t="s">
        <v>3662</v>
      </c>
      <c r="F90" s="43" t="s">
        <v>3663</v>
      </c>
      <c r="G90" s="35" t="s">
        <v>3538</v>
      </c>
      <c r="H90" s="43" t="s">
        <v>3664</v>
      </c>
      <c r="I90" s="35">
        <v>2019.0</v>
      </c>
      <c r="J90" s="35" t="s">
        <v>2117</v>
      </c>
      <c r="K90" s="35" t="s">
        <v>730</v>
      </c>
      <c r="L90" s="35" t="s">
        <v>3540</v>
      </c>
      <c r="M90" s="35" t="s">
        <v>57</v>
      </c>
      <c r="N90" s="35" t="s">
        <v>3538</v>
      </c>
      <c r="O90" s="35" t="s">
        <v>3665</v>
      </c>
      <c r="P90" s="35" t="s">
        <v>3666</v>
      </c>
      <c r="Q90" s="35" t="s">
        <v>93</v>
      </c>
      <c r="R90" s="35" t="s">
        <v>57</v>
      </c>
      <c r="S90" s="35" t="s">
        <v>57</v>
      </c>
      <c r="T90" s="35" t="s">
        <v>74</v>
      </c>
      <c r="U90" s="35" t="s">
        <v>57</v>
      </c>
      <c r="V90" s="35" t="s">
        <v>2394</v>
      </c>
      <c r="W90" s="35" t="s">
        <v>161</v>
      </c>
      <c r="X90" s="35" t="s">
        <v>3667</v>
      </c>
      <c r="Y90" s="35" t="s">
        <v>2397</v>
      </c>
      <c r="Z90" s="35" t="s">
        <v>3668</v>
      </c>
      <c r="AA90" s="35" t="s">
        <v>57</v>
      </c>
      <c r="AB90" s="35" t="s">
        <v>57</v>
      </c>
      <c r="AC90" s="35" t="s">
        <v>74</v>
      </c>
      <c r="AD90" s="35" t="s">
        <v>215</v>
      </c>
      <c r="AE90" s="35" t="s">
        <v>3669</v>
      </c>
      <c r="AF90" s="35" t="s">
        <v>69</v>
      </c>
      <c r="AG90" s="35" t="s">
        <v>129</v>
      </c>
      <c r="AH90" s="35" t="s">
        <v>129</v>
      </c>
      <c r="AI90" s="35" t="s">
        <v>57</v>
      </c>
      <c r="AJ90" s="35" t="s">
        <v>57</v>
      </c>
      <c r="AK90" s="35" t="s">
        <v>3670</v>
      </c>
      <c r="AL90" s="34"/>
      <c r="AM90" s="34" t="s">
        <v>109</v>
      </c>
      <c r="AN90" s="164"/>
      <c r="AO90" s="104"/>
      <c r="AP90" s="104"/>
    </row>
    <row r="91">
      <c r="A91" s="102">
        <v>121.0</v>
      </c>
      <c r="B91" s="34">
        <v>8.7938639E8</v>
      </c>
      <c r="C91" s="34" t="s">
        <v>3673</v>
      </c>
      <c r="D91" s="34" t="s">
        <v>3674</v>
      </c>
      <c r="E91" s="35" t="s">
        <v>3675</v>
      </c>
      <c r="F91" s="43" t="s">
        <v>3676</v>
      </c>
      <c r="G91" s="35" t="s">
        <v>859</v>
      </c>
      <c r="H91" s="43" t="s">
        <v>3677</v>
      </c>
      <c r="I91" s="35">
        <v>2019.0</v>
      </c>
      <c r="J91" s="35" t="s">
        <v>3678</v>
      </c>
      <c r="K91" s="35" t="s">
        <v>730</v>
      </c>
      <c r="L91" s="35" t="s">
        <v>3679</v>
      </c>
      <c r="M91" s="35" t="s">
        <v>57</v>
      </c>
      <c r="N91" s="35" t="s">
        <v>859</v>
      </c>
      <c r="O91" s="35" t="s">
        <v>862</v>
      </c>
      <c r="P91" s="35" t="s">
        <v>3680</v>
      </c>
      <c r="Q91" s="35" t="s">
        <v>93</v>
      </c>
      <c r="R91" s="43" t="s">
        <v>3681</v>
      </c>
      <c r="S91" s="43" t="s">
        <v>3682</v>
      </c>
      <c r="T91" s="35" t="s">
        <v>74</v>
      </c>
      <c r="U91" s="35" t="s">
        <v>57</v>
      </c>
      <c r="V91" s="35" t="s">
        <v>96</v>
      </c>
      <c r="W91" s="35" t="s">
        <v>64</v>
      </c>
      <c r="X91" s="35" t="s">
        <v>3683</v>
      </c>
      <c r="Y91" s="35" t="s">
        <v>2397</v>
      </c>
      <c r="Z91" s="35" t="s">
        <v>3684</v>
      </c>
      <c r="AA91" s="35" t="s">
        <v>57</v>
      </c>
      <c r="AB91" s="35" t="s">
        <v>57</v>
      </c>
      <c r="AC91" s="35" t="s">
        <v>74</v>
      </c>
      <c r="AD91" s="35" t="s">
        <v>215</v>
      </c>
      <c r="AE91" s="35" t="s">
        <v>3685</v>
      </c>
      <c r="AF91" s="35" t="s">
        <v>69</v>
      </c>
      <c r="AG91" s="35" t="s">
        <v>129</v>
      </c>
      <c r="AH91" s="35" t="s">
        <v>129</v>
      </c>
      <c r="AI91" s="35" t="s">
        <v>57</v>
      </c>
      <c r="AJ91" s="35" t="s">
        <v>57</v>
      </c>
      <c r="AK91" s="35" t="s">
        <v>3686</v>
      </c>
      <c r="AL91" s="34" t="s">
        <v>2556</v>
      </c>
      <c r="AM91" s="34" t="s">
        <v>109</v>
      </c>
      <c r="AN91" s="164"/>
      <c r="AO91" s="104"/>
      <c r="AP91" s="104"/>
    </row>
    <row r="92">
      <c r="A92" s="102">
        <v>122.0</v>
      </c>
      <c r="B92" s="34">
        <v>8.79386384E8</v>
      </c>
      <c r="C92" s="34" t="s">
        <v>3689</v>
      </c>
      <c r="D92" s="34" t="s">
        <v>3690</v>
      </c>
      <c r="E92" s="35" t="s">
        <v>3691</v>
      </c>
      <c r="F92" s="43" t="s">
        <v>3692</v>
      </c>
      <c r="G92" s="35" t="s">
        <v>684</v>
      </c>
      <c r="H92" s="43" t="s">
        <v>3693</v>
      </c>
      <c r="I92" s="35">
        <v>2022.0</v>
      </c>
      <c r="J92" s="43" t="s">
        <v>3176</v>
      </c>
      <c r="K92" s="35" t="s">
        <v>730</v>
      </c>
      <c r="L92" s="35" t="s">
        <v>3694</v>
      </c>
      <c r="M92" s="35" t="s">
        <v>57</v>
      </c>
      <c r="N92" s="35" t="s">
        <v>684</v>
      </c>
      <c r="O92" s="35" t="s">
        <v>3695</v>
      </c>
      <c r="P92" s="35" t="s">
        <v>3696</v>
      </c>
      <c r="Q92" s="35" t="s">
        <v>3697</v>
      </c>
      <c r="R92" s="35" t="s">
        <v>57</v>
      </c>
      <c r="S92" s="35" t="s">
        <v>57</v>
      </c>
      <c r="T92" s="35" t="s">
        <v>69</v>
      </c>
      <c r="U92" s="35" t="s">
        <v>3698</v>
      </c>
      <c r="V92" s="35" t="s">
        <v>96</v>
      </c>
      <c r="W92" s="35" t="s">
        <v>1579</v>
      </c>
      <c r="X92" s="35" t="s">
        <v>3699</v>
      </c>
      <c r="Y92" s="35" t="s">
        <v>2397</v>
      </c>
      <c r="Z92" s="35" t="s">
        <v>3700</v>
      </c>
      <c r="AA92" s="35">
        <v>2020.0</v>
      </c>
      <c r="AB92" s="35">
        <v>2020.0</v>
      </c>
      <c r="AC92" s="35" t="s">
        <v>74</v>
      </c>
      <c r="AD92" s="35" t="s">
        <v>215</v>
      </c>
      <c r="AE92" s="35" t="s">
        <v>3701</v>
      </c>
      <c r="AF92" s="35" t="s">
        <v>69</v>
      </c>
      <c r="AG92" s="35" t="s">
        <v>129</v>
      </c>
      <c r="AH92" s="35" t="s">
        <v>129</v>
      </c>
      <c r="AI92" s="35" t="s">
        <v>57</v>
      </c>
      <c r="AJ92" s="35" t="s">
        <v>57</v>
      </c>
      <c r="AK92" s="35" t="s">
        <v>3702</v>
      </c>
      <c r="AL92" s="34" t="s">
        <v>2556</v>
      </c>
      <c r="AM92" s="34" t="s">
        <v>1522</v>
      </c>
      <c r="AN92" s="164"/>
      <c r="AO92" s="104"/>
      <c r="AP92" s="104"/>
    </row>
    <row r="93">
      <c r="A93" s="102">
        <v>124.0</v>
      </c>
      <c r="B93" s="34">
        <v>8.7938629E7</v>
      </c>
      <c r="C93" s="34" t="s">
        <v>3704</v>
      </c>
      <c r="D93" s="34" t="s">
        <v>3705</v>
      </c>
      <c r="E93" s="35" t="s">
        <v>3706</v>
      </c>
      <c r="F93" s="43" t="s">
        <v>3707</v>
      </c>
      <c r="G93" s="35" t="s">
        <v>859</v>
      </c>
      <c r="H93" s="43" t="s">
        <v>3708</v>
      </c>
      <c r="I93" s="35">
        <v>2013.0</v>
      </c>
      <c r="J93" s="43" t="s">
        <v>3709</v>
      </c>
      <c r="K93" s="35" t="s">
        <v>3710</v>
      </c>
      <c r="L93" s="35" t="s">
        <v>57</v>
      </c>
      <c r="M93" s="35" t="s">
        <v>57</v>
      </c>
      <c r="N93" s="35" t="s">
        <v>859</v>
      </c>
      <c r="O93" s="35" t="s">
        <v>3711</v>
      </c>
      <c r="P93" s="35" t="s">
        <v>3712</v>
      </c>
      <c r="Q93" s="35" t="s">
        <v>93</v>
      </c>
      <c r="R93" s="43" t="s">
        <v>3713</v>
      </c>
      <c r="S93" s="43" t="s">
        <v>3714</v>
      </c>
      <c r="T93" s="35" t="s">
        <v>74</v>
      </c>
      <c r="U93" s="35" t="s">
        <v>57</v>
      </c>
      <c r="V93" s="35" t="s">
        <v>96</v>
      </c>
      <c r="W93" s="35" t="s">
        <v>64</v>
      </c>
      <c r="X93" s="35" t="s">
        <v>3715</v>
      </c>
      <c r="Y93" s="35" t="s">
        <v>2831</v>
      </c>
      <c r="Z93" s="35" t="s">
        <v>3716</v>
      </c>
      <c r="AA93" s="35" t="s">
        <v>57</v>
      </c>
      <c r="AB93" s="35" t="s">
        <v>57</v>
      </c>
      <c r="AC93" s="35" t="s">
        <v>74</v>
      </c>
      <c r="AD93" s="35" t="s">
        <v>215</v>
      </c>
      <c r="AE93" s="35" t="s">
        <v>3717</v>
      </c>
      <c r="AF93" s="35" t="s">
        <v>69</v>
      </c>
      <c r="AG93" s="35" t="s">
        <v>129</v>
      </c>
      <c r="AH93" s="35" t="s">
        <v>129</v>
      </c>
      <c r="AI93" s="35" t="s">
        <v>57</v>
      </c>
      <c r="AJ93" s="35" t="s">
        <v>57</v>
      </c>
      <c r="AK93" s="35" t="s">
        <v>3718</v>
      </c>
      <c r="AL93" s="34"/>
      <c r="AM93" s="34" t="s">
        <v>1522</v>
      </c>
      <c r="AN93" s="164"/>
      <c r="AO93" s="104"/>
      <c r="AP93" s="104"/>
    </row>
    <row r="94">
      <c r="A94" s="102">
        <v>126.0</v>
      </c>
      <c r="B94" s="34">
        <v>8.79386493E8</v>
      </c>
      <c r="C94" s="34" t="s">
        <v>3721</v>
      </c>
      <c r="D94" s="34" t="s">
        <v>3722</v>
      </c>
      <c r="E94" s="35" t="s">
        <v>3723</v>
      </c>
      <c r="F94" s="43" t="s">
        <v>3724</v>
      </c>
      <c r="G94" s="35" t="s">
        <v>859</v>
      </c>
      <c r="H94" s="43" t="s">
        <v>3725</v>
      </c>
      <c r="I94" s="35">
        <v>2021.0</v>
      </c>
      <c r="J94" s="35" t="s">
        <v>3726</v>
      </c>
      <c r="K94" s="35" t="s">
        <v>730</v>
      </c>
      <c r="L94" s="35" t="s">
        <v>3727</v>
      </c>
      <c r="M94" s="35" t="s">
        <v>57</v>
      </c>
      <c r="N94" s="35" t="s">
        <v>859</v>
      </c>
      <c r="O94" s="35" t="s">
        <v>3728</v>
      </c>
      <c r="P94" s="35" t="s">
        <v>3729</v>
      </c>
      <c r="Q94" s="35" t="s">
        <v>93</v>
      </c>
      <c r="R94" s="35" t="s">
        <v>57</v>
      </c>
      <c r="S94" s="35" t="s">
        <v>57</v>
      </c>
      <c r="T94" s="35" t="s">
        <v>74</v>
      </c>
      <c r="U94" s="35" t="s">
        <v>57</v>
      </c>
      <c r="V94" s="35" t="s">
        <v>96</v>
      </c>
      <c r="W94" s="35" t="s">
        <v>1389</v>
      </c>
      <c r="X94" s="35" t="s">
        <v>3730</v>
      </c>
      <c r="Y94" s="35" t="s">
        <v>2397</v>
      </c>
      <c r="Z94" s="35" t="s">
        <v>3731</v>
      </c>
      <c r="AA94" s="35" t="s">
        <v>57</v>
      </c>
      <c r="AB94" s="35" t="s">
        <v>57</v>
      </c>
      <c r="AC94" s="35" t="s">
        <v>74</v>
      </c>
      <c r="AD94" s="35" t="s">
        <v>96</v>
      </c>
      <c r="AE94" s="35" t="s">
        <v>3732</v>
      </c>
      <c r="AF94" s="35" t="s">
        <v>69</v>
      </c>
      <c r="AG94" s="35" t="s">
        <v>129</v>
      </c>
      <c r="AH94" s="35" t="s">
        <v>129</v>
      </c>
      <c r="AI94" s="35" t="s">
        <v>57</v>
      </c>
      <c r="AJ94" s="35" t="s">
        <v>57</v>
      </c>
      <c r="AK94" s="35" t="s">
        <v>3733</v>
      </c>
      <c r="AL94" s="34"/>
      <c r="AM94" s="34" t="s">
        <v>109</v>
      </c>
      <c r="AN94" s="164"/>
      <c r="AO94" s="104"/>
      <c r="AP94" s="104"/>
    </row>
    <row r="95">
      <c r="A95" s="102">
        <v>127.0</v>
      </c>
      <c r="B95" s="34">
        <v>8.7938646E8</v>
      </c>
      <c r="C95" s="34" t="s">
        <v>3736</v>
      </c>
      <c r="D95" s="34" t="s">
        <v>3737</v>
      </c>
      <c r="E95" s="35" t="s">
        <v>3738</v>
      </c>
      <c r="F95" s="43" t="s">
        <v>3739</v>
      </c>
      <c r="G95" s="35" t="s">
        <v>992</v>
      </c>
      <c r="H95" s="43" t="s">
        <v>3740</v>
      </c>
      <c r="I95" s="35">
        <v>2017.0</v>
      </c>
      <c r="J95" s="35" t="s">
        <v>3741</v>
      </c>
      <c r="K95" s="35" t="s">
        <v>730</v>
      </c>
      <c r="L95" s="35" t="s">
        <v>3742</v>
      </c>
      <c r="M95" s="35" t="s">
        <v>57</v>
      </c>
      <c r="N95" s="35" t="s">
        <v>992</v>
      </c>
      <c r="O95" s="35" t="s">
        <v>1364</v>
      </c>
      <c r="P95" s="35" t="s">
        <v>3743</v>
      </c>
      <c r="Q95" s="35" t="s">
        <v>554</v>
      </c>
      <c r="R95" s="35" t="s">
        <v>57</v>
      </c>
      <c r="S95" s="35" t="s">
        <v>57</v>
      </c>
      <c r="T95" s="35" t="s">
        <v>74</v>
      </c>
      <c r="U95" s="35" t="s">
        <v>57</v>
      </c>
      <c r="V95" s="35" t="s">
        <v>96</v>
      </c>
      <c r="W95" s="35" t="s">
        <v>351</v>
      </c>
      <c r="X95" s="35" t="s">
        <v>3744</v>
      </c>
      <c r="Y95" s="35" t="s">
        <v>3745</v>
      </c>
      <c r="Z95" s="35" t="s">
        <v>3746</v>
      </c>
      <c r="AA95" s="35" t="s">
        <v>57</v>
      </c>
      <c r="AB95" s="35" t="s">
        <v>57</v>
      </c>
      <c r="AC95" s="35" t="s">
        <v>74</v>
      </c>
      <c r="AD95" s="35" t="s">
        <v>215</v>
      </c>
      <c r="AE95" s="35" t="s">
        <v>3747</v>
      </c>
      <c r="AF95" s="35" t="s">
        <v>74</v>
      </c>
      <c r="AG95" s="35" t="s">
        <v>57</v>
      </c>
      <c r="AH95" s="35" t="s">
        <v>57</v>
      </c>
      <c r="AI95" s="35" t="s">
        <v>57</v>
      </c>
      <c r="AJ95" s="35" t="s">
        <v>57</v>
      </c>
      <c r="AK95" s="35" t="s">
        <v>57</v>
      </c>
      <c r="AL95" s="34"/>
      <c r="AM95" s="34" t="s">
        <v>109</v>
      </c>
      <c r="AN95" s="164"/>
      <c r="AO95" s="104"/>
      <c r="AP95" s="104"/>
    </row>
    <row r="96">
      <c r="A96" s="102">
        <v>128.0</v>
      </c>
      <c r="B96" s="34">
        <v>8.79386497E8</v>
      </c>
      <c r="C96" s="34" t="s">
        <v>3750</v>
      </c>
      <c r="D96" s="34" t="s">
        <v>3751</v>
      </c>
      <c r="E96" s="35" t="s">
        <v>3752</v>
      </c>
      <c r="F96" s="43" t="s">
        <v>3753</v>
      </c>
      <c r="G96" s="35" t="s">
        <v>859</v>
      </c>
      <c r="H96" s="43" t="s">
        <v>3754</v>
      </c>
      <c r="I96" s="35">
        <v>2017.0</v>
      </c>
      <c r="J96" s="43" t="s">
        <v>3755</v>
      </c>
      <c r="K96" s="35" t="s">
        <v>730</v>
      </c>
      <c r="L96" s="35" t="s">
        <v>57</v>
      </c>
      <c r="M96" s="35" t="s">
        <v>57</v>
      </c>
      <c r="N96" s="35" t="s">
        <v>859</v>
      </c>
      <c r="O96" s="35" t="s">
        <v>3756</v>
      </c>
      <c r="P96" s="35" t="s">
        <v>3757</v>
      </c>
      <c r="Q96" s="35" t="s">
        <v>93</v>
      </c>
      <c r="R96" s="35" t="s">
        <v>57</v>
      </c>
      <c r="S96" s="35" t="s">
        <v>57</v>
      </c>
      <c r="T96" s="35" t="s">
        <v>74</v>
      </c>
      <c r="U96" s="35" t="s">
        <v>57</v>
      </c>
      <c r="V96" s="35" t="s">
        <v>2394</v>
      </c>
      <c r="W96" s="35" t="s">
        <v>749</v>
      </c>
      <c r="X96" s="35" t="s">
        <v>3758</v>
      </c>
      <c r="Y96" s="35" t="s">
        <v>2397</v>
      </c>
      <c r="Z96" s="35" t="s">
        <v>3759</v>
      </c>
      <c r="AA96" s="35" t="s">
        <v>57</v>
      </c>
      <c r="AB96" s="35" t="s">
        <v>57</v>
      </c>
      <c r="AC96" s="35" t="s">
        <v>74</v>
      </c>
      <c r="AD96" s="35" t="s">
        <v>96</v>
      </c>
      <c r="AE96" s="35" t="s">
        <v>3760</v>
      </c>
      <c r="AF96" s="35" t="s">
        <v>69</v>
      </c>
      <c r="AG96" s="35" t="s">
        <v>1791</v>
      </c>
      <c r="AH96" s="35" t="s">
        <v>129</v>
      </c>
      <c r="AI96" s="35" t="s">
        <v>2067</v>
      </c>
      <c r="AJ96" s="35" t="s">
        <v>57</v>
      </c>
      <c r="AK96" s="35" t="s">
        <v>3761</v>
      </c>
      <c r="AL96" s="34"/>
      <c r="AM96" s="34" t="s">
        <v>1522</v>
      </c>
      <c r="AN96" s="164"/>
      <c r="AO96" s="104"/>
      <c r="AP96" s="104"/>
    </row>
    <row r="97">
      <c r="A97" s="102">
        <v>129.0</v>
      </c>
      <c r="B97" s="34">
        <v>8.79386525E8</v>
      </c>
      <c r="C97" s="34" t="s">
        <v>3763</v>
      </c>
      <c r="D97" s="34" t="s">
        <v>3764</v>
      </c>
      <c r="E97" s="35" t="s">
        <v>3765</v>
      </c>
      <c r="F97" s="43" t="s">
        <v>3766</v>
      </c>
      <c r="G97" s="35" t="s">
        <v>2315</v>
      </c>
      <c r="H97" s="43" t="s">
        <v>3767</v>
      </c>
      <c r="I97" s="35">
        <v>2004.0</v>
      </c>
      <c r="J97" s="35" t="s">
        <v>3768</v>
      </c>
      <c r="K97" s="35" t="s">
        <v>730</v>
      </c>
      <c r="L97" s="35" t="s">
        <v>57</v>
      </c>
      <c r="M97" s="35" t="s">
        <v>57</v>
      </c>
      <c r="N97" s="35" t="s">
        <v>2315</v>
      </c>
      <c r="O97" s="35" t="s">
        <v>400</v>
      </c>
      <c r="P97" s="35" t="s">
        <v>3769</v>
      </c>
      <c r="Q97" s="35" t="s">
        <v>93</v>
      </c>
      <c r="R97" s="35" t="s">
        <v>57</v>
      </c>
      <c r="S97" s="35" t="s">
        <v>57</v>
      </c>
      <c r="T97" s="35" t="s">
        <v>74</v>
      </c>
      <c r="U97" s="35" t="s">
        <v>57</v>
      </c>
      <c r="V97" s="35" t="s">
        <v>193</v>
      </c>
      <c r="W97" s="35" t="s">
        <v>64</v>
      </c>
      <c r="X97" s="35" t="s">
        <v>3770</v>
      </c>
      <c r="Y97" s="35" t="s">
        <v>2397</v>
      </c>
      <c r="Z97" s="35" t="s">
        <v>3771</v>
      </c>
      <c r="AA97" s="35">
        <v>1997.0</v>
      </c>
      <c r="AB97" s="35">
        <v>2000.0</v>
      </c>
      <c r="AC97" s="35" t="s">
        <v>74</v>
      </c>
      <c r="AD97" s="35" t="s">
        <v>215</v>
      </c>
      <c r="AE97" s="35" t="s">
        <v>3772</v>
      </c>
      <c r="AF97" s="35" t="s">
        <v>74</v>
      </c>
      <c r="AG97" s="35" t="s">
        <v>57</v>
      </c>
      <c r="AH97" s="35" t="s">
        <v>57</v>
      </c>
      <c r="AI97" s="35" t="s">
        <v>57</v>
      </c>
      <c r="AJ97" s="35" t="s">
        <v>57</v>
      </c>
      <c r="AK97" s="35" t="s">
        <v>57</v>
      </c>
      <c r="AL97" s="34"/>
      <c r="AM97" s="34" t="s">
        <v>109</v>
      </c>
      <c r="AN97" s="164"/>
      <c r="AO97" s="104"/>
      <c r="AP97" s="104"/>
    </row>
    <row r="98">
      <c r="A98" s="102">
        <v>131.0</v>
      </c>
      <c r="B98" s="34">
        <v>8.79386538E8</v>
      </c>
      <c r="C98" s="34" t="s">
        <v>3774</v>
      </c>
      <c r="D98" s="38" t="s">
        <v>3775</v>
      </c>
      <c r="E98" s="35" t="s">
        <v>3776</v>
      </c>
      <c r="F98" s="43" t="s">
        <v>3777</v>
      </c>
      <c r="G98" s="35" t="s">
        <v>1455</v>
      </c>
      <c r="H98" s="43" t="s">
        <v>3778</v>
      </c>
      <c r="I98" s="35">
        <v>2021.0</v>
      </c>
      <c r="J98" s="43" t="s">
        <v>3779</v>
      </c>
      <c r="K98" s="35" t="s">
        <v>730</v>
      </c>
      <c r="L98" s="35" t="s">
        <v>3780</v>
      </c>
      <c r="M98" s="35" t="s">
        <v>57</v>
      </c>
      <c r="N98" s="35" t="s">
        <v>1455</v>
      </c>
      <c r="O98" s="35" t="s">
        <v>3781</v>
      </c>
      <c r="P98" s="35" t="s">
        <v>3782</v>
      </c>
      <c r="Q98" s="35" t="s">
        <v>93</v>
      </c>
      <c r="R98" s="35" t="s">
        <v>57</v>
      </c>
      <c r="S98" s="35" t="s">
        <v>57</v>
      </c>
      <c r="T98" s="35" t="s">
        <v>74</v>
      </c>
      <c r="U98" s="35" t="s">
        <v>57</v>
      </c>
      <c r="V98" s="35" t="s">
        <v>96</v>
      </c>
      <c r="W98" s="35" t="s">
        <v>64</v>
      </c>
      <c r="X98" s="35" t="s">
        <v>3783</v>
      </c>
      <c r="Y98" s="35" t="s">
        <v>2397</v>
      </c>
      <c r="Z98" s="35" t="s">
        <v>3784</v>
      </c>
      <c r="AA98" s="35">
        <v>2020.0</v>
      </c>
      <c r="AB98" s="35">
        <v>2020.0</v>
      </c>
      <c r="AC98" s="35" t="s">
        <v>74</v>
      </c>
      <c r="AD98" s="35" t="s">
        <v>215</v>
      </c>
      <c r="AE98" s="35" t="s">
        <v>3785</v>
      </c>
      <c r="AF98" s="35" t="s">
        <v>69</v>
      </c>
      <c r="AG98" s="35" t="s">
        <v>129</v>
      </c>
      <c r="AH98" s="35" t="s">
        <v>129</v>
      </c>
      <c r="AI98" s="35" t="s">
        <v>57</v>
      </c>
      <c r="AJ98" s="35" t="s">
        <v>57</v>
      </c>
      <c r="AK98" s="35" t="s">
        <v>3786</v>
      </c>
      <c r="AL98" s="34"/>
      <c r="AM98" s="34" t="s">
        <v>1522</v>
      </c>
      <c r="AN98" s="164"/>
      <c r="AO98" s="104"/>
      <c r="AP98" s="104"/>
    </row>
    <row r="99">
      <c r="A99" s="102">
        <v>132.0</v>
      </c>
      <c r="B99" s="34">
        <v>8.79386551E8</v>
      </c>
      <c r="C99" s="34" t="s">
        <v>3788</v>
      </c>
      <c r="D99" s="38" t="s">
        <v>3789</v>
      </c>
      <c r="E99" s="35" t="s">
        <v>3790</v>
      </c>
      <c r="F99" s="43" t="s">
        <v>3791</v>
      </c>
      <c r="G99" s="35" t="s">
        <v>1744</v>
      </c>
      <c r="H99" s="43" t="s">
        <v>3792</v>
      </c>
      <c r="I99" s="35">
        <v>2019.0</v>
      </c>
      <c r="J99" s="43" t="s">
        <v>3793</v>
      </c>
      <c r="K99" s="35" t="s">
        <v>730</v>
      </c>
      <c r="L99" s="35" t="s">
        <v>57</v>
      </c>
      <c r="M99" s="35" t="s">
        <v>57</v>
      </c>
      <c r="N99" s="35" t="s">
        <v>1744</v>
      </c>
      <c r="O99" s="43" t="s">
        <v>3794</v>
      </c>
      <c r="P99" s="43" t="s">
        <v>3795</v>
      </c>
      <c r="Q99" s="35" t="s">
        <v>93</v>
      </c>
      <c r="R99" s="35" t="s">
        <v>57</v>
      </c>
      <c r="S99" s="35" t="s">
        <v>57</v>
      </c>
      <c r="T99" s="35" t="s">
        <v>74</v>
      </c>
      <c r="U99" s="35" t="s">
        <v>57</v>
      </c>
      <c r="V99" s="35" t="s">
        <v>96</v>
      </c>
      <c r="W99" s="35" t="s">
        <v>3796</v>
      </c>
      <c r="X99" s="35" t="s">
        <v>3797</v>
      </c>
      <c r="Y99" s="35" t="s">
        <v>2397</v>
      </c>
      <c r="Z99" s="35" t="s">
        <v>3798</v>
      </c>
      <c r="AA99" s="35" t="s">
        <v>57</v>
      </c>
      <c r="AB99" s="35" t="s">
        <v>57</v>
      </c>
      <c r="AC99" s="35" t="s">
        <v>74</v>
      </c>
      <c r="AD99" s="35" t="s">
        <v>215</v>
      </c>
      <c r="AE99" s="35" t="s">
        <v>3799</v>
      </c>
      <c r="AF99" s="35" t="s">
        <v>69</v>
      </c>
      <c r="AG99" s="35" t="s">
        <v>129</v>
      </c>
      <c r="AH99" s="35" t="s">
        <v>129</v>
      </c>
      <c r="AI99" s="35" t="s">
        <v>57</v>
      </c>
      <c r="AJ99" s="35" t="s">
        <v>57</v>
      </c>
      <c r="AK99" s="35" t="s">
        <v>3800</v>
      </c>
      <c r="AL99" s="34"/>
      <c r="AM99" s="34" t="s">
        <v>1522</v>
      </c>
      <c r="AN99" s="164"/>
      <c r="AO99" s="104"/>
      <c r="AP99" s="104"/>
    </row>
    <row r="100">
      <c r="A100" s="102">
        <v>133.0</v>
      </c>
      <c r="B100" s="34">
        <v>8.79386556E8</v>
      </c>
      <c r="C100" s="34" t="s">
        <v>3802</v>
      </c>
      <c r="D100" s="34" t="s">
        <v>3803</v>
      </c>
      <c r="E100" s="35" t="s">
        <v>3804</v>
      </c>
      <c r="F100" s="43" t="s">
        <v>3805</v>
      </c>
      <c r="G100" s="35" t="s">
        <v>154</v>
      </c>
      <c r="H100" s="43" t="s">
        <v>3806</v>
      </c>
      <c r="I100" s="35">
        <v>2010.0</v>
      </c>
      <c r="J100" s="35" t="s">
        <v>3807</v>
      </c>
      <c r="K100" s="35" t="s">
        <v>730</v>
      </c>
      <c r="L100" s="35" t="s">
        <v>3808</v>
      </c>
      <c r="M100" s="35" t="s">
        <v>57</v>
      </c>
      <c r="N100" s="35" t="s">
        <v>154</v>
      </c>
      <c r="O100" s="35" t="s">
        <v>3809</v>
      </c>
      <c r="P100" s="35" t="s">
        <v>3810</v>
      </c>
      <c r="Q100" s="35" t="s">
        <v>93</v>
      </c>
      <c r="R100" s="35" t="s">
        <v>57</v>
      </c>
      <c r="S100" s="35" t="s">
        <v>57</v>
      </c>
      <c r="T100" s="35" t="s">
        <v>74</v>
      </c>
      <c r="U100" s="35" t="s">
        <v>57</v>
      </c>
      <c r="V100" s="35" t="s">
        <v>2394</v>
      </c>
      <c r="W100" s="35" t="s">
        <v>64</v>
      </c>
      <c r="X100" s="35" t="s">
        <v>3811</v>
      </c>
      <c r="Y100" s="35" t="s">
        <v>2397</v>
      </c>
      <c r="Z100" s="35" t="s">
        <v>3812</v>
      </c>
      <c r="AA100" s="35">
        <v>2009.0</v>
      </c>
      <c r="AB100" s="35">
        <v>2009.0</v>
      </c>
      <c r="AC100" s="35" t="s">
        <v>74</v>
      </c>
      <c r="AD100" s="35" t="s">
        <v>215</v>
      </c>
      <c r="AE100" s="35" t="s">
        <v>3813</v>
      </c>
      <c r="AF100" s="35" t="s">
        <v>74</v>
      </c>
      <c r="AG100" s="35" t="s">
        <v>57</v>
      </c>
      <c r="AH100" s="35" t="s">
        <v>57</v>
      </c>
      <c r="AI100" s="35" t="s">
        <v>57</v>
      </c>
      <c r="AJ100" s="35" t="s">
        <v>57</v>
      </c>
      <c r="AK100" s="35" t="s">
        <v>57</v>
      </c>
      <c r="AL100" s="34"/>
      <c r="AM100" s="34" t="s">
        <v>109</v>
      </c>
      <c r="AN100" s="164"/>
      <c r="AO100" s="104"/>
      <c r="AP100" s="104"/>
    </row>
    <row r="101">
      <c r="A101" s="102">
        <v>135.0</v>
      </c>
      <c r="B101" s="34">
        <v>8.79386575E8</v>
      </c>
      <c r="C101" s="34" t="s">
        <v>3815</v>
      </c>
      <c r="D101" s="34" t="s">
        <v>3816</v>
      </c>
      <c r="E101" s="35" t="s">
        <v>3817</v>
      </c>
      <c r="F101" s="43" t="s">
        <v>3818</v>
      </c>
      <c r="G101" s="35" t="s">
        <v>859</v>
      </c>
      <c r="H101" s="43" t="s">
        <v>3819</v>
      </c>
      <c r="I101" s="35">
        <v>2011.0</v>
      </c>
      <c r="J101" s="35" t="s">
        <v>3820</v>
      </c>
      <c r="K101" s="35" t="s">
        <v>730</v>
      </c>
      <c r="L101" s="35" t="s">
        <v>3821</v>
      </c>
      <c r="M101" s="35" t="s">
        <v>57</v>
      </c>
      <c r="N101" s="35" t="s">
        <v>859</v>
      </c>
      <c r="O101" s="35" t="s">
        <v>3129</v>
      </c>
      <c r="P101" s="35" t="s">
        <v>3822</v>
      </c>
      <c r="Q101" s="35" t="s">
        <v>93</v>
      </c>
      <c r="R101" s="35" t="s">
        <v>3823</v>
      </c>
      <c r="S101" s="35" t="s">
        <v>3824</v>
      </c>
      <c r="T101" s="35" t="s">
        <v>74</v>
      </c>
      <c r="U101" s="35" t="s">
        <v>57</v>
      </c>
      <c r="V101" s="35" t="s">
        <v>96</v>
      </c>
      <c r="W101" s="35" t="s">
        <v>64</v>
      </c>
      <c r="X101" s="35" t="s">
        <v>3825</v>
      </c>
      <c r="Y101" s="35" t="s">
        <v>2397</v>
      </c>
      <c r="Z101" s="35" t="s">
        <v>3826</v>
      </c>
      <c r="AA101" s="35">
        <v>2010.0</v>
      </c>
      <c r="AB101" s="35">
        <v>2010.0</v>
      </c>
      <c r="AC101" s="35" t="s">
        <v>74</v>
      </c>
      <c r="AD101" s="35" t="s">
        <v>215</v>
      </c>
      <c r="AE101" s="35" t="s">
        <v>3827</v>
      </c>
      <c r="AF101" s="35" t="s">
        <v>69</v>
      </c>
      <c r="AG101" s="35" t="s">
        <v>129</v>
      </c>
      <c r="AH101" s="35" t="s">
        <v>129</v>
      </c>
      <c r="AI101" s="35" t="s">
        <v>57</v>
      </c>
      <c r="AJ101" s="35" t="s">
        <v>57</v>
      </c>
      <c r="AK101" s="35" t="s">
        <v>3828</v>
      </c>
      <c r="AL101" s="34"/>
      <c r="AM101" s="34" t="s">
        <v>109</v>
      </c>
      <c r="AN101" s="164"/>
      <c r="AO101" s="104"/>
      <c r="AP101" s="104"/>
    </row>
    <row r="102">
      <c r="A102" s="102">
        <v>136.0</v>
      </c>
      <c r="B102" s="34">
        <v>8.79386595E8</v>
      </c>
      <c r="C102" s="34" t="s">
        <v>3830</v>
      </c>
      <c r="D102" s="34" t="s">
        <v>3831</v>
      </c>
      <c r="E102" s="35" t="s">
        <v>3832</v>
      </c>
      <c r="F102" s="43" t="s">
        <v>3833</v>
      </c>
      <c r="G102" s="35" t="s">
        <v>3538</v>
      </c>
      <c r="H102" s="43" t="s">
        <v>3834</v>
      </c>
      <c r="I102" s="35">
        <v>2021.0</v>
      </c>
      <c r="J102" s="35" t="s">
        <v>3835</v>
      </c>
      <c r="K102" s="35" t="s">
        <v>730</v>
      </c>
      <c r="L102" s="35" t="s">
        <v>3836</v>
      </c>
      <c r="M102" s="35" t="s">
        <v>57</v>
      </c>
      <c r="N102" s="35" t="s">
        <v>3538</v>
      </c>
      <c r="O102" s="35" t="s">
        <v>400</v>
      </c>
      <c r="P102" s="35" t="s">
        <v>3837</v>
      </c>
      <c r="Q102" s="35" t="s">
        <v>93</v>
      </c>
      <c r="R102" s="35" t="s">
        <v>57</v>
      </c>
      <c r="S102" s="35" t="s">
        <v>57</v>
      </c>
      <c r="T102" s="35" t="s">
        <v>74</v>
      </c>
      <c r="U102" s="35" t="s">
        <v>57</v>
      </c>
      <c r="V102" s="35" t="s">
        <v>96</v>
      </c>
      <c r="W102" s="35" t="s">
        <v>64</v>
      </c>
      <c r="X102" s="35" t="s">
        <v>3838</v>
      </c>
      <c r="Y102" s="35" t="s">
        <v>2397</v>
      </c>
      <c r="Z102" s="35" t="s">
        <v>3839</v>
      </c>
      <c r="AA102" s="35">
        <v>2019.0</v>
      </c>
      <c r="AB102" s="35">
        <v>2020.0</v>
      </c>
      <c r="AC102" s="35" t="s">
        <v>74</v>
      </c>
      <c r="AD102" s="35" t="s">
        <v>96</v>
      </c>
      <c r="AE102" s="35" t="s">
        <v>3840</v>
      </c>
      <c r="AF102" s="35" t="s">
        <v>69</v>
      </c>
      <c r="AG102" s="35" t="s">
        <v>129</v>
      </c>
      <c r="AH102" s="35" t="s">
        <v>129</v>
      </c>
      <c r="AI102" s="35" t="s">
        <v>57</v>
      </c>
      <c r="AJ102" s="35" t="s">
        <v>57</v>
      </c>
      <c r="AK102" s="35" t="s">
        <v>3841</v>
      </c>
      <c r="AL102" s="34" t="s">
        <v>2556</v>
      </c>
      <c r="AM102" s="34" t="s">
        <v>109</v>
      </c>
      <c r="AN102" s="164"/>
      <c r="AO102" s="104"/>
      <c r="AP102" s="104"/>
    </row>
    <row r="103">
      <c r="A103" s="102">
        <v>137.0</v>
      </c>
      <c r="B103" s="34">
        <v>8.79386608E8</v>
      </c>
      <c r="C103" s="34" t="s">
        <v>3843</v>
      </c>
      <c r="D103" s="34" t="s">
        <v>3844</v>
      </c>
      <c r="E103" s="35" t="s">
        <v>3845</v>
      </c>
      <c r="F103" s="43" t="s">
        <v>3846</v>
      </c>
      <c r="G103" s="35" t="s">
        <v>3847</v>
      </c>
      <c r="H103" s="43" t="s">
        <v>3848</v>
      </c>
      <c r="I103" s="35">
        <v>2020.0</v>
      </c>
      <c r="J103" s="35" t="s">
        <v>3849</v>
      </c>
      <c r="K103" s="35" t="s">
        <v>730</v>
      </c>
      <c r="L103" s="35" t="s">
        <v>3850</v>
      </c>
      <c r="M103" s="35" t="s">
        <v>57</v>
      </c>
      <c r="N103" s="35" t="s">
        <v>3847</v>
      </c>
      <c r="O103" s="35" t="s">
        <v>3851</v>
      </c>
      <c r="P103" s="35" t="s">
        <v>3852</v>
      </c>
      <c r="Q103" s="35" t="s">
        <v>93</v>
      </c>
      <c r="R103" s="35" t="s">
        <v>57</v>
      </c>
      <c r="S103" s="35" t="s">
        <v>57</v>
      </c>
      <c r="T103" s="35" t="s">
        <v>74</v>
      </c>
      <c r="U103" s="35" t="s">
        <v>57</v>
      </c>
      <c r="V103" s="35" t="s">
        <v>96</v>
      </c>
      <c r="W103" s="35" t="s">
        <v>64</v>
      </c>
      <c r="X103" s="35" t="s">
        <v>3853</v>
      </c>
      <c r="Y103" s="35" t="s">
        <v>2397</v>
      </c>
      <c r="Z103" s="35" t="s">
        <v>3854</v>
      </c>
      <c r="AA103" s="35" t="s">
        <v>57</v>
      </c>
      <c r="AB103" s="35" t="s">
        <v>57</v>
      </c>
      <c r="AC103" s="35" t="s">
        <v>74</v>
      </c>
      <c r="AD103" s="35" t="s">
        <v>215</v>
      </c>
      <c r="AE103" s="35" t="s">
        <v>3855</v>
      </c>
      <c r="AF103" s="35" t="s">
        <v>74</v>
      </c>
      <c r="AG103" s="35" t="s">
        <v>57</v>
      </c>
      <c r="AH103" s="35" t="s">
        <v>57</v>
      </c>
      <c r="AI103" s="35" t="s">
        <v>57</v>
      </c>
      <c r="AJ103" s="35" t="s">
        <v>57</v>
      </c>
      <c r="AK103" s="35" t="s">
        <v>57</v>
      </c>
      <c r="AL103" s="34"/>
      <c r="AM103" s="34" t="s">
        <v>109</v>
      </c>
      <c r="AN103" s="164"/>
      <c r="AO103" s="104"/>
      <c r="AP103" s="104"/>
    </row>
    <row r="104">
      <c r="A104" s="102">
        <v>139.0</v>
      </c>
      <c r="B104" s="34">
        <v>8.79386448E8</v>
      </c>
      <c r="C104" s="34" t="s">
        <v>3857</v>
      </c>
      <c r="D104" s="34" t="s">
        <v>3858</v>
      </c>
      <c r="E104" s="35" t="s">
        <v>3859</v>
      </c>
      <c r="F104" s="43" t="s">
        <v>3860</v>
      </c>
      <c r="G104" s="35" t="s">
        <v>2389</v>
      </c>
      <c r="H104" s="43" t="s">
        <v>3861</v>
      </c>
      <c r="I104" s="35">
        <v>2012.0</v>
      </c>
      <c r="J104" s="43" t="s">
        <v>1085</v>
      </c>
      <c r="K104" s="35" t="s">
        <v>730</v>
      </c>
      <c r="L104" s="35" t="s">
        <v>3862</v>
      </c>
      <c r="M104" s="35" t="s">
        <v>57</v>
      </c>
      <c r="N104" s="35" t="s">
        <v>2389</v>
      </c>
      <c r="O104" s="35" t="s">
        <v>1484</v>
      </c>
      <c r="P104" s="35" t="s">
        <v>3863</v>
      </c>
      <c r="Q104" s="35" t="s">
        <v>93</v>
      </c>
      <c r="R104" s="35" t="s">
        <v>57</v>
      </c>
      <c r="S104" s="35" t="s">
        <v>57</v>
      </c>
      <c r="T104" s="35" t="s">
        <v>69</v>
      </c>
      <c r="U104" s="35" t="s">
        <v>3864</v>
      </c>
      <c r="V104" s="35" t="s">
        <v>2394</v>
      </c>
      <c r="W104" s="35" t="s">
        <v>1265</v>
      </c>
      <c r="X104" s="35" t="s">
        <v>3865</v>
      </c>
      <c r="Y104" s="35" t="s">
        <v>3866</v>
      </c>
      <c r="Z104" s="35" t="s">
        <v>3867</v>
      </c>
      <c r="AA104" s="35">
        <v>2010.0</v>
      </c>
      <c r="AB104" s="35">
        <v>2010.0</v>
      </c>
      <c r="AC104" s="35" t="s">
        <v>74</v>
      </c>
      <c r="AD104" s="35" t="s">
        <v>96</v>
      </c>
      <c r="AE104" s="35" t="s">
        <v>3868</v>
      </c>
      <c r="AF104" s="35" t="s">
        <v>74</v>
      </c>
      <c r="AG104" s="35" t="s">
        <v>57</v>
      </c>
      <c r="AH104" s="35" t="s">
        <v>57</v>
      </c>
      <c r="AI104" s="35" t="s">
        <v>57</v>
      </c>
      <c r="AJ104" s="35" t="s">
        <v>57</v>
      </c>
      <c r="AK104" s="35" t="s">
        <v>57</v>
      </c>
      <c r="AL104" s="34"/>
      <c r="AM104" s="34" t="s">
        <v>1522</v>
      </c>
      <c r="AN104" s="164"/>
      <c r="AO104" s="104"/>
      <c r="AP104" s="104"/>
    </row>
    <row r="105">
      <c r="A105" s="102">
        <v>140.0</v>
      </c>
      <c r="B105" s="34">
        <v>8.79386564E8</v>
      </c>
      <c r="C105" s="34" t="s">
        <v>3870</v>
      </c>
      <c r="D105" s="34" t="s">
        <v>3871</v>
      </c>
      <c r="E105" s="35" t="s">
        <v>3872</v>
      </c>
      <c r="F105" s="43" t="s">
        <v>3873</v>
      </c>
      <c r="G105" s="35" t="s">
        <v>2389</v>
      </c>
      <c r="H105" s="43" t="s">
        <v>3874</v>
      </c>
      <c r="I105" s="35">
        <v>2016.0</v>
      </c>
      <c r="J105" s="43" t="s">
        <v>796</v>
      </c>
      <c r="K105" s="35" t="s">
        <v>730</v>
      </c>
      <c r="L105" s="119" t="s">
        <v>2500</v>
      </c>
      <c r="M105" s="35" t="s">
        <v>3875</v>
      </c>
      <c r="N105" s="35" t="s">
        <v>2389</v>
      </c>
      <c r="O105" s="35" t="s">
        <v>400</v>
      </c>
      <c r="P105" s="35" t="s">
        <v>3876</v>
      </c>
      <c r="Q105" s="35" t="s">
        <v>93</v>
      </c>
      <c r="R105" s="35" t="s">
        <v>57</v>
      </c>
      <c r="S105" s="35" t="s">
        <v>57</v>
      </c>
      <c r="T105" s="35" t="s">
        <v>74</v>
      </c>
      <c r="U105" s="35" t="s">
        <v>57</v>
      </c>
      <c r="V105" s="35" t="s">
        <v>193</v>
      </c>
      <c r="W105" s="35" t="s">
        <v>161</v>
      </c>
      <c r="X105" s="35" t="s">
        <v>3877</v>
      </c>
      <c r="Y105" s="35" t="s">
        <v>3878</v>
      </c>
      <c r="Z105" s="35" t="s">
        <v>3879</v>
      </c>
      <c r="AA105" s="35">
        <v>2005.0</v>
      </c>
      <c r="AB105" s="35" t="s">
        <v>57</v>
      </c>
      <c r="AC105" s="35" t="s">
        <v>69</v>
      </c>
      <c r="AD105" s="35" t="s">
        <v>215</v>
      </c>
      <c r="AE105" s="35" t="s">
        <v>3880</v>
      </c>
      <c r="AF105" s="35" t="s">
        <v>69</v>
      </c>
      <c r="AG105" s="35" t="s">
        <v>129</v>
      </c>
      <c r="AH105" s="35" t="s">
        <v>129</v>
      </c>
      <c r="AI105" s="35" t="s">
        <v>57</v>
      </c>
      <c r="AJ105" s="35" t="s">
        <v>57</v>
      </c>
      <c r="AK105" s="35" t="s">
        <v>3881</v>
      </c>
      <c r="AL105" s="34"/>
      <c r="AM105" s="34" t="s">
        <v>1522</v>
      </c>
      <c r="AN105" s="164"/>
      <c r="AO105" s="104"/>
      <c r="AP105" s="104"/>
    </row>
    <row r="106">
      <c r="A106" s="120">
        <v>141.0</v>
      </c>
      <c r="B106" s="121">
        <v>8.79386565E8</v>
      </c>
      <c r="C106" s="121" t="s">
        <v>3883</v>
      </c>
      <c r="D106" s="121" t="s">
        <v>3884</v>
      </c>
      <c r="E106" s="122" t="s">
        <v>3885</v>
      </c>
      <c r="F106" s="123" t="s">
        <v>3886</v>
      </c>
      <c r="G106" s="122" t="s">
        <v>2389</v>
      </c>
      <c r="H106" s="123" t="s">
        <v>3887</v>
      </c>
      <c r="I106" s="122">
        <v>2014.0</v>
      </c>
      <c r="J106" s="123" t="s">
        <v>3888</v>
      </c>
      <c r="K106" s="122" t="s">
        <v>730</v>
      </c>
      <c r="L106" s="124" t="s">
        <v>2500</v>
      </c>
      <c r="M106" s="122" t="s">
        <v>57</v>
      </c>
      <c r="N106" s="122" t="s">
        <v>2389</v>
      </c>
      <c r="O106" s="122" t="s">
        <v>1974</v>
      </c>
      <c r="P106" s="122" t="s">
        <v>3889</v>
      </c>
      <c r="Q106" s="122" t="s">
        <v>93</v>
      </c>
      <c r="R106" s="122" t="s">
        <v>3890</v>
      </c>
      <c r="S106" s="122" t="s">
        <v>3891</v>
      </c>
      <c r="T106" s="122" t="s">
        <v>74</v>
      </c>
      <c r="U106" s="122" t="s">
        <v>57</v>
      </c>
      <c r="V106" s="122" t="s">
        <v>2394</v>
      </c>
      <c r="W106" s="122" t="s">
        <v>161</v>
      </c>
      <c r="X106" s="122" t="s">
        <v>3892</v>
      </c>
      <c r="Y106" s="122" t="s">
        <v>2397</v>
      </c>
      <c r="Z106" s="122" t="s">
        <v>3893</v>
      </c>
      <c r="AA106" s="122">
        <v>2006.0</v>
      </c>
      <c r="AB106" s="122">
        <v>2011.0</v>
      </c>
      <c r="AC106" s="122" t="s">
        <v>74</v>
      </c>
      <c r="AD106" s="122" t="s">
        <v>215</v>
      </c>
      <c r="AE106" s="122" t="s">
        <v>3894</v>
      </c>
      <c r="AF106" s="122" t="s">
        <v>69</v>
      </c>
      <c r="AG106" s="122" t="s">
        <v>129</v>
      </c>
      <c r="AH106" s="35" t="s">
        <v>129</v>
      </c>
      <c r="AI106" s="122" t="s">
        <v>57</v>
      </c>
      <c r="AJ106" s="122" t="s">
        <v>57</v>
      </c>
      <c r="AK106" s="122" t="s">
        <v>3895</v>
      </c>
      <c r="AL106" s="121"/>
      <c r="AM106" s="121" t="s">
        <v>1522</v>
      </c>
      <c r="AN106" s="164"/>
      <c r="AO106" s="104"/>
      <c r="AP106" s="104"/>
    </row>
    <row r="107">
      <c r="A107" s="102">
        <v>142.0</v>
      </c>
      <c r="B107" s="34">
        <v>4.2009093E8</v>
      </c>
      <c r="C107" s="34" t="s">
        <v>3977</v>
      </c>
      <c r="D107" s="34" t="s">
        <v>3978</v>
      </c>
      <c r="E107" s="35" t="s">
        <v>3979</v>
      </c>
      <c r="F107" s="35" t="s">
        <v>3980</v>
      </c>
      <c r="G107" s="35" t="s">
        <v>2315</v>
      </c>
      <c r="H107" s="35" t="s">
        <v>3981</v>
      </c>
      <c r="I107" s="35">
        <v>2013.0</v>
      </c>
      <c r="J107" s="35" t="s">
        <v>3982</v>
      </c>
      <c r="K107" s="35" t="s">
        <v>3983</v>
      </c>
      <c r="L107" s="35" t="s">
        <v>57</v>
      </c>
      <c r="M107" s="35" t="s">
        <v>57</v>
      </c>
      <c r="N107" s="35" t="s">
        <v>2389</v>
      </c>
      <c r="O107" s="35" t="s">
        <v>715</v>
      </c>
      <c r="P107" s="35" t="s">
        <v>3984</v>
      </c>
      <c r="Q107" s="35" t="s">
        <v>93</v>
      </c>
      <c r="R107" s="35" t="s">
        <v>57</v>
      </c>
      <c r="S107" s="35" t="s">
        <v>57</v>
      </c>
      <c r="T107" s="35" t="s">
        <v>74</v>
      </c>
      <c r="U107" s="35" t="s">
        <v>57</v>
      </c>
      <c r="V107" s="35" t="s">
        <v>2394</v>
      </c>
      <c r="W107" s="35" t="s">
        <v>536</v>
      </c>
      <c r="X107" s="35" t="s">
        <v>3985</v>
      </c>
      <c r="Y107" s="35" t="s">
        <v>2397</v>
      </c>
      <c r="Z107" s="35" t="s">
        <v>3986</v>
      </c>
      <c r="AA107" s="35" t="s">
        <v>57</v>
      </c>
      <c r="AB107" s="35" t="s">
        <v>57</v>
      </c>
      <c r="AC107" s="35" t="s">
        <v>74</v>
      </c>
      <c r="AD107" s="35" t="s">
        <v>3987</v>
      </c>
      <c r="AE107" s="35" t="s">
        <v>3988</v>
      </c>
      <c r="AF107" s="35" t="s">
        <v>69</v>
      </c>
      <c r="AG107" s="35" t="s">
        <v>3989</v>
      </c>
      <c r="AH107" s="35" t="s">
        <v>374</v>
      </c>
      <c r="AI107" s="35" t="s">
        <v>129</v>
      </c>
      <c r="AJ107" s="35" t="s">
        <v>57</v>
      </c>
      <c r="AK107" s="35" t="s">
        <v>3990</v>
      </c>
      <c r="AL107" s="34"/>
      <c r="AM107" s="34" t="s">
        <v>1955</v>
      </c>
      <c r="AN107" s="164"/>
      <c r="AO107" s="104"/>
      <c r="AP107" s="104"/>
    </row>
    <row r="108">
      <c r="A108" s="102">
        <v>143.0</v>
      </c>
      <c r="B108" s="34">
        <v>4.20090947E8</v>
      </c>
      <c r="C108" s="34" t="s">
        <v>3992</v>
      </c>
      <c r="D108" s="34" t="s">
        <v>3993</v>
      </c>
      <c r="E108" s="35" t="s">
        <v>3994</v>
      </c>
      <c r="F108" s="35" t="s">
        <v>3995</v>
      </c>
      <c r="G108" s="35" t="s">
        <v>2315</v>
      </c>
      <c r="H108" s="43" t="s">
        <v>3996</v>
      </c>
      <c r="I108" s="35">
        <v>1991.0</v>
      </c>
      <c r="J108" s="35" t="s">
        <v>3997</v>
      </c>
      <c r="K108" s="35" t="s">
        <v>3983</v>
      </c>
      <c r="L108" s="35" t="s">
        <v>57</v>
      </c>
      <c r="M108" s="35" t="s">
        <v>57</v>
      </c>
      <c r="N108" s="35" t="s">
        <v>2389</v>
      </c>
      <c r="O108" s="35" t="s">
        <v>3998</v>
      </c>
      <c r="P108" s="35" t="s">
        <v>3999</v>
      </c>
      <c r="Q108" s="35" t="s">
        <v>93</v>
      </c>
      <c r="R108" s="35" t="s">
        <v>57</v>
      </c>
      <c r="S108" s="35" t="s">
        <v>57</v>
      </c>
      <c r="T108" s="35" t="s">
        <v>74</v>
      </c>
      <c r="U108" s="35" t="s">
        <v>57</v>
      </c>
      <c r="V108" s="35" t="s">
        <v>2394</v>
      </c>
      <c r="W108" s="35" t="s">
        <v>536</v>
      </c>
      <c r="X108" s="35" t="s">
        <v>4000</v>
      </c>
      <c r="Y108" s="35" t="s">
        <v>2380</v>
      </c>
      <c r="Z108" s="35" t="s">
        <v>4001</v>
      </c>
      <c r="AA108" s="35">
        <v>1989.0</v>
      </c>
      <c r="AB108" s="35">
        <v>1989.0</v>
      </c>
      <c r="AC108" s="35" t="s">
        <v>74</v>
      </c>
      <c r="AD108" s="35" t="s">
        <v>215</v>
      </c>
      <c r="AE108" s="35" t="s">
        <v>4002</v>
      </c>
      <c r="AF108" s="35" t="s">
        <v>69</v>
      </c>
      <c r="AG108" s="35" t="s">
        <v>129</v>
      </c>
      <c r="AH108" s="35" t="s">
        <v>129</v>
      </c>
      <c r="AI108" s="35" t="s">
        <v>57</v>
      </c>
      <c r="AJ108" s="35" t="s">
        <v>57</v>
      </c>
      <c r="AK108" s="35" t="s">
        <v>4003</v>
      </c>
      <c r="AL108" s="34" t="s">
        <v>4004</v>
      </c>
      <c r="AM108" s="34" t="s">
        <v>109</v>
      </c>
      <c r="AN108" s="164"/>
      <c r="AO108" s="104"/>
      <c r="AP108" s="104"/>
    </row>
    <row r="109">
      <c r="A109" s="102">
        <v>145.0</v>
      </c>
      <c r="B109" s="34">
        <v>4.20090892E8</v>
      </c>
      <c r="C109" s="34" t="s">
        <v>4005</v>
      </c>
      <c r="D109" s="34" t="s">
        <v>4006</v>
      </c>
      <c r="E109" s="35" t="s">
        <v>4007</v>
      </c>
      <c r="F109" s="35" t="s">
        <v>4008</v>
      </c>
      <c r="G109" s="35" t="s">
        <v>2315</v>
      </c>
      <c r="H109" s="35" t="s">
        <v>4009</v>
      </c>
      <c r="I109" s="35">
        <v>2022.0</v>
      </c>
      <c r="J109" s="35" t="s">
        <v>4010</v>
      </c>
      <c r="K109" s="35" t="s">
        <v>3983</v>
      </c>
      <c r="L109" s="35" t="s">
        <v>57</v>
      </c>
      <c r="M109" s="35" t="s">
        <v>57</v>
      </c>
      <c r="N109" s="35" t="s">
        <v>2389</v>
      </c>
      <c r="O109" s="35" t="s">
        <v>1775</v>
      </c>
      <c r="P109" s="35" t="s">
        <v>4011</v>
      </c>
      <c r="Q109" s="35" t="s">
        <v>93</v>
      </c>
      <c r="R109" s="35" t="s">
        <v>4012</v>
      </c>
      <c r="S109" s="35" t="s">
        <v>4013</v>
      </c>
      <c r="T109" s="35" t="s">
        <v>69</v>
      </c>
      <c r="U109" s="35" t="s">
        <v>4014</v>
      </c>
      <c r="V109" s="35" t="s">
        <v>2394</v>
      </c>
      <c r="W109" s="35" t="s">
        <v>178</v>
      </c>
      <c r="X109" s="35" t="s">
        <v>4015</v>
      </c>
      <c r="Y109" s="35" t="s">
        <v>4016</v>
      </c>
      <c r="Z109" s="35" t="s">
        <v>4017</v>
      </c>
      <c r="AA109" s="35">
        <v>2018.0</v>
      </c>
      <c r="AB109" s="35">
        <v>2019.0</v>
      </c>
      <c r="AC109" s="35" t="s">
        <v>69</v>
      </c>
      <c r="AD109" s="35" t="s">
        <v>2394</v>
      </c>
      <c r="AE109" s="35" t="s">
        <v>4018</v>
      </c>
      <c r="AF109" s="35" t="s">
        <v>69</v>
      </c>
      <c r="AG109" s="35" t="s">
        <v>2067</v>
      </c>
      <c r="AH109" s="35" t="s">
        <v>2067</v>
      </c>
      <c r="AI109" s="35" t="s">
        <v>57</v>
      </c>
      <c r="AJ109" s="35" t="s">
        <v>57</v>
      </c>
      <c r="AK109" s="35" t="s">
        <v>4019</v>
      </c>
      <c r="AL109" s="34" t="s">
        <v>4020</v>
      </c>
      <c r="AM109" s="34" t="s">
        <v>1955</v>
      </c>
      <c r="AN109" s="164"/>
      <c r="AO109" s="104"/>
      <c r="AP109" s="104"/>
    </row>
    <row r="110">
      <c r="A110" s="102">
        <v>146.0</v>
      </c>
      <c r="B110" s="34">
        <v>4.20090892E8</v>
      </c>
      <c r="C110" s="34" t="s">
        <v>4021</v>
      </c>
      <c r="D110" s="34" t="s">
        <v>4006</v>
      </c>
      <c r="E110" s="35" t="s">
        <v>4022</v>
      </c>
      <c r="F110" s="35" t="s">
        <v>4008</v>
      </c>
      <c r="G110" s="35" t="s">
        <v>2315</v>
      </c>
      <c r="H110" s="35" t="s">
        <v>4009</v>
      </c>
      <c r="I110" s="35">
        <v>2022.0</v>
      </c>
      <c r="J110" s="35" t="s">
        <v>4010</v>
      </c>
      <c r="K110" s="35" t="s">
        <v>3983</v>
      </c>
      <c r="L110" s="35" t="s">
        <v>57</v>
      </c>
      <c r="M110" s="35" t="s">
        <v>57</v>
      </c>
      <c r="N110" s="35" t="s">
        <v>2389</v>
      </c>
      <c r="O110" s="35" t="s">
        <v>4023</v>
      </c>
      <c r="P110" s="35" t="s">
        <v>57</v>
      </c>
      <c r="Q110" s="35" t="s">
        <v>93</v>
      </c>
      <c r="R110" s="35" t="s">
        <v>57</v>
      </c>
      <c r="S110" s="35" t="s">
        <v>57</v>
      </c>
      <c r="T110" s="35" t="s">
        <v>74</v>
      </c>
      <c r="U110" s="35" t="s">
        <v>57</v>
      </c>
      <c r="V110" s="35" t="s">
        <v>2430</v>
      </c>
      <c r="W110" s="35" t="s">
        <v>536</v>
      </c>
      <c r="X110" s="35" t="s">
        <v>4024</v>
      </c>
      <c r="Y110" s="35" t="s">
        <v>4016</v>
      </c>
      <c r="Z110" s="35" t="s">
        <v>4025</v>
      </c>
      <c r="AA110" s="35" t="s">
        <v>57</v>
      </c>
      <c r="AB110" s="35" t="s">
        <v>57</v>
      </c>
      <c r="AC110" s="35" t="s">
        <v>74</v>
      </c>
      <c r="AD110" s="35" t="s">
        <v>2394</v>
      </c>
      <c r="AE110" s="35" t="s">
        <v>4026</v>
      </c>
      <c r="AF110" s="35" t="s">
        <v>69</v>
      </c>
      <c r="AG110" s="35" t="s">
        <v>374</v>
      </c>
      <c r="AH110" s="35" t="s">
        <v>374</v>
      </c>
      <c r="AI110" s="35" t="s">
        <v>57</v>
      </c>
      <c r="AJ110" s="35" t="s">
        <v>57</v>
      </c>
      <c r="AK110" s="35" t="s">
        <v>4027</v>
      </c>
      <c r="AL110" s="34" t="s">
        <v>4028</v>
      </c>
      <c r="AM110" s="34" t="s">
        <v>1955</v>
      </c>
      <c r="AN110" s="164"/>
      <c r="AO110" s="104"/>
      <c r="AP110" s="104"/>
    </row>
    <row r="111">
      <c r="A111" s="102">
        <v>150.0</v>
      </c>
      <c r="B111" s="34">
        <v>4.20090922E8</v>
      </c>
      <c r="C111" s="34" t="s">
        <v>4029</v>
      </c>
      <c r="D111" s="34" t="s">
        <v>4030</v>
      </c>
      <c r="E111" s="35" t="s">
        <v>4031</v>
      </c>
      <c r="F111" s="35" t="s">
        <v>4032</v>
      </c>
      <c r="G111" s="35" t="s">
        <v>2315</v>
      </c>
      <c r="H111" s="35" t="s">
        <v>4033</v>
      </c>
      <c r="I111" s="35">
        <v>2015.0</v>
      </c>
      <c r="J111" s="35" t="s">
        <v>4034</v>
      </c>
      <c r="K111" s="35" t="s">
        <v>4035</v>
      </c>
      <c r="L111" s="35" t="s">
        <v>57</v>
      </c>
      <c r="M111" s="35" t="s">
        <v>57</v>
      </c>
      <c r="N111" s="35" t="s">
        <v>2389</v>
      </c>
      <c r="O111" s="35" t="s">
        <v>4036</v>
      </c>
      <c r="P111" s="35" t="s">
        <v>4037</v>
      </c>
      <c r="Q111" s="35" t="s">
        <v>93</v>
      </c>
      <c r="R111" s="35" t="s">
        <v>57</v>
      </c>
      <c r="S111" s="35" t="s">
        <v>57</v>
      </c>
      <c r="T111" s="35" t="s">
        <v>74</v>
      </c>
      <c r="U111" s="35" t="s">
        <v>57</v>
      </c>
      <c r="V111" s="35" t="s">
        <v>2394</v>
      </c>
      <c r="W111" s="35" t="s">
        <v>536</v>
      </c>
      <c r="X111" s="35" t="s">
        <v>4038</v>
      </c>
      <c r="Y111" s="35" t="s">
        <v>2397</v>
      </c>
      <c r="Z111" s="35" t="s">
        <v>4039</v>
      </c>
      <c r="AA111" s="35">
        <v>2015.0</v>
      </c>
      <c r="AB111" s="35">
        <v>2015.0</v>
      </c>
      <c r="AC111" s="35" t="s">
        <v>74</v>
      </c>
      <c r="AD111" s="35" t="s">
        <v>215</v>
      </c>
      <c r="AE111" s="35" t="s">
        <v>4040</v>
      </c>
      <c r="AF111" s="35" t="s">
        <v>69</v>
      </c>
      <c r="AG111" s="35" t="s">
        <v>129</v>
      </c>
      <c r="AH111" s="35" t="s">
        <v>129</v>
      </c>
      <c r="AI111" s="35" t="s">
        <v>57</v>
      </c>
      <c r="AJ111" s="35" t="s">
        <v>57</v>
      </c>
      <c r="AK111" s="35" t="s">
        <v>4041</v>
      </c>
      <c r="AL111" s="34"/>
      <c r="AM111" s="34" t="s">
        <v>1955</v>
      </c>
      <c r="AN111" s="164"/>
      <c r="AO111" s="104"/>
      <c r="AP111" s="104"/>
    </row>
    <row r="112">
      <c r="A112" s="102">
        <v>151.0</v>
      </c>
      <c r="B112" s="34">
        <v>4.2009091E8</v>
      </c>
      <c r="C112" s="34" t="s">
        <v>4042</v>
      </c>
      <c r="D112" s="34" t="s">
        <v>4043</v>
      </c>
      <c r="E112" s="35" t="s">
        <v>4044</v>
      </c>
      <c r="F112" s="35" t="s">
        <v>4045</v>
      </c>
      <c r="G112" s="35" t="s">
        <v>396</v>
      </c>
      <c r="H112" s="35" t="s">
        <v>4046</v>
      </c>
      <c r="I112" s="35">
        <v>2018.0</v>
      </c>
      <c r="J112" s="35" t="s">
        <v>4047</v>
      </c>
      <c r="K112" s="35" t="s">
        <v>3983</v>
      </c>
      <c r="L112" s="35" t="s">
        <v>57</v>
      </c>
      <c r="M112" s="35" t="s">
        <v>57</v>
      </c>
      <c r="N112" s="35" t="s">
        <v>396</v>
      </c>
      <c r="O112" s="35" t="s">
        <v>1717</v>
      </c>
      <c r="P112" s="35" t="s">
        <v>4048</v>
      </c>
      <c r="Q112" s="35" t="s">
        <v>93</v>
      </c>
      <c r="R112" s="35" t="s">
        <v>57</v>
      </c>
      <c r="S112" s="35" t="s">
        <v>57</v>
      </c>
      <c r="T112" s="35" t="s">
        <v>74</v>
      </c>
      <c r="U112" s="35" t="s">
        <v>57</v>
      </c>
      <c r="V112" s="35" t="s">
        <v>2394</v>
      </c>
      <c r="W112" s="35" t="s">
        <v>64</v>
      </c>
      <c r="X112" s="35" t="s">
        <v>4049</v>
      </c>
      <c r="Y112" s="35" t="s">
        <v>2397</v>
      </c>
      <c r="Z112" s="35" t="s">
        <v>4050</v>
      </c>
      <c r="AA112" s="35">
        <v>2016.0</v>
      </c>
      <c r="AB112" s="35">
        <v>2016.0</v>
      </c>
      <c r="AC112" s="35" t="s">
        <v>74</v>
      </c>
      <c r="AD112" s="35" t="s">
        <v>2394</v>
      </c>
      <c r="AE112" s="35" t="s">
        <v>4051</v>
      </c>
      <c r="AF112" s="35" t="s">
        <v>69</v>
      </c>
      <c r="AG112" s="35" t="s">
        <v>129</v>
      </c>
      <c r="AH112" s="35" t="s">
        <v>129</v>
      </c>
      <c r="AI112" s="35" t="s">
        <v>57</v>
      </c>
      <c r="AJ112" s="35" t="s">
        <v>57</v>
      </c>
      <c r="AK112" s="35" t="s">
        <v>4052</v>
      </c>
      <c r="AL112" s="34" t="s">
        <v>4053</v>
      </c>
      <c r="AM112" s="34" t="s">
        <v>1955</v>
      </c>
      <c r="AN112" s="164"/>
      <c r="AO112" s="104"/>
      <c r="AP112" s="104"/>
    </row>
    <row r="113">
      <c r="A113" s="102">
        <v>152.0</v>
      </c>
      <c r="B113" s="34">
        <v>4.20090928E8</v>
      </c>
      <c r="C113" s="34" t="s">
        <v>4054</v>
      </c>
      <c r="D113" s="34" t="s">
        <v>4055</v>
      </c>
      <c r="E113" s="35" t="s">
        <v>4056</v>
      </c>
      <c r="F113" s="35" t="s">
        <v>4057</v>
      </c>
      <c r="G113" s="35" t="s">
        <v>396</v>
      </c>
      <c r="H113" s="35" t="s">
        <v>4058</v>
      </c>
      <c r="I113" s="35">
        <v>2013.0</v>
      </c>
      <c r="J113" s="35" t="s">
        <v>4059</v>
      </c>
      <c r="K113" s="35" t="s">
        <v>3983</v>
      </c>
      <c r="L113" s="35" t="s">
        <v>57</v>
      </c>
      <c r="M113" s="35" t="s">
        <v>57</v>
      </c>
      <c r="N113" s="35" t="s">
        <v>396</v>
      </c>
      <c r="O113" s="35" t="s">
        <v>4060</v>
      </c>
      <c r="P113" s="35" t="s">
        <v>4061</v>
      </c>
      <c r="Q113" s="35" t="s">
        <v>93</v>
      </c>
      <c r="R113" s="35" t="s">
        <v>57</v>
      </c>
      <c r="S113" s="35" t="s">
        <v>57</v>
      </c>
      <c r="T113" s="35" t="s">
        <v>74</v>
      </c>
      <c r="U113" s="35" t="s">
        <v>57</v>
      </c>
      <c r="V113" s="35" t="s">
        <v>193</v>
      </c>
      <c r="W113" s="35" t="s">
        <v>1938</v>
      </c>
      <c r="X113" s="35" t="s">
        <v>4062</v>
      </c>
      <c r="Y113" s="35" t="s">
        <v>4063</v>
      </c>
      <c r="Z113" s="35" t="s">
        <v>4064</v>
      </c>
      <c r="AA113" s="35">
        <v>2008.0</v>
      </c>
      <c r="AB113" s="35">
        <v>2010.0</v>
      </c>
      <c r="AC113" s="35" t="s">
        <v>69</v>
      </c>
      <c r="AD113" s="35" t="s">
        <v>215</v>
      </c>
      <c r="AE113" s="35" t="s">
        <v>4065</v>
      </c>
      <c r="AF113" s="35" t="s">
        <v>69</v>
      </c>
      <c r="AG113" s="35" t="s">
        <v>129</v>
      </c>
      <c r="AH113" s="35" t="s">
        <v>129</v>
      </c>
      <c r="AI113" s="35" t="s">
        <v>57</v>
      </c>
      <c r="AJ113" s="35" t="s">
        <v>57</v>
      </c>
      <c r="AK113" s="35" t="s">
        <v>4066</v>
      </c>
      <c r="AL113" s="34"/>
      <c r="AM113" s="34" t="s">
        <v>1955</v>
      </c>
      <c r="AN113" s="164"/>
      <c r="AO113" s="104"/>
      <c r="AP113" s="104"/>
    </row>
    <row r="114">
      <c r="A114" s="102">
        <v>155.0</v>
      </c>
      <c r="B114" s="34">
        <v>4.20090926E8</v>
      </c>
      <c r="C114" s="34" t="s">
        <v>4067</v>
      </c>
      <c r="D114" s="34" t="s">
        <v>4068</v>
      </c>
      <c r="E114" s="35" t="s">
        <v>4069</v>
      </c>
      <c r="F114" s="35" t="s">
        <v>4070</v>
      </c>
      <c r="G114" s="35" t="s">
        <v>2315</v>
      </c>
      <c r="H114" s="35" t="s">
        <v>4071</v>
      </c>
      <c r="I114" s="35">
        <v>2015.0</v>
      </c>
      <c r="J114" s="35" t="s">
        <v>4072</v>
      </c>
      <c r="K114" s="35" t="s">
        <v>3983</v>
      </c>
      <c r="L114" s="35" t="s">
        <v>57</v>
      </c>
      <c r="M114" s="35" t="s">
        <v>57</v>
      </c>
      <c r="N114" s="35" t="s">
        <v>2389</v>
      </c>
      <c r="O114" s="35" t="s">
        <v>3030</v>
      </c>
      <c r="P114" s="35" t="s">
        <v>4073</v>
      </c>
      <c r="Q114" s="35" t="s">
        <v>93</v>
      </c>
      <c r="R114" s="35" t="s">
        <v>57</v>
      </c>
      <c r="S114" s="35" t="s">
        <v>57</v>
      </c>
      <c r="T114" s="35" t="s">
        <v>74</v>
      </c>
      <c r="U114" s="35" t="s">
        <v>57</v>
      </c>
      <c r="V114" s="35" t="s">
        <v>2394</v>
      </c>
      <c r="W114" s="35" t="s">
        <v>536</v>
      </c>
      <c r="X114" s="35" t="s">
        <v>4074</v>
      </c>
      <c r="Y114" s="35" t="s">
        <v>2397</v>
      </c>
      <c r="Z114" s="35" t="s">
        <v>4075</v>
      </c>
      <c r="AA114" s="35">
        <v>2014.0</v>
      </c>
      <c r="AB114" s="35">
        <v>2014.0</v>
      </c>
      <c r="AC114" s="35" t="s">
        <v>74</v>
      </c>
      <c r="AD114" s="35" t="s">
        <v>2394</v>
      </c>
      <c r="AE114" s="35" t="s">
        <v>4076</v>
      </c>
      <c r="AF114" s="35" t="s">
        <v>69</v>
      </c>
      <c r="AG114" s="35" t="s">
        <v>129</v>
      </c>
      <c r="AH114" s="35" t="s">
        <v>129</v>
      </c>
      <c r="AI114" s="35" t="s">
        <v>57</v>
      </c>
      <c r="AJ114" s="35" t="s">
        <v>57</v>
      </c>
      <c r="AK114" s="35" t="s">
        <v>4077</v>
      </c>
      <c r="AL114" s="34"/>
      <c r="AM114" s="34" t="s">
        <v>1955</v>
      </c>
      <c r="AN114" s="164"/>
      <c r="AO114" s="104"/>
      <c r="AP114" s="104"/>
    </row>
    <row r="115">
      <c r="A115" s="102">
        <v>158.0</v>
      </c>
      <c r="B115" s="155">
        <v>4.20090941E8</v>
      </c>
      <c r="C115" s="155" t="s">
        <v>4078</v>
      </c>
      <c r="D115" s="155" t="s">
        <v>4079</v>
      </c>
      <c r="E115" s="156" t="s">
        <v>4080</v>
      </c>
      <c r="F115" s="156" t="s">
        <v>4081</v>
      </c>
      <c r="G115" s="156" t="s">
        <v>2315</v>
      </c>
      <c r="H115" s="156" t="s">
        <v>4082</v>
      </c>
      <c r="I115" s="156">
        <v>2007.0</v>
      </c>
      <c r="J115" s="156" t="s">
        <v>4083</v>
      </c>
      <c r="K115" s="156" t="s">
        <v>3983</v>
      </c>
      <c r="L115" s="156" t="s">
        <v>57</v>
      </c>
      <c r="M115" s="156" t="s">
        <v>57</v>
      </c>
      <c r="N115" s="156" t="s">
        <v>2389</v>
      </c>
      <c r="O115" s="156" t="s">
        <v>4084</v>
      </c>
      <c r="P115" s="156" t="s">
        <v>4085</v>
      </c>
      <c r="Q115" s="156" t="s">
        <v>93</v>
      </c>
      <c r="R115" s="156" t="s">
        <v>4086</v>
      </c>
      <c r="S115" s="156" t="s">
        <v>4087</v>
      </c>
      <c r="T115" s="156" t="s">
        <v>74</v>
      </c>
      <c r="U115" s="156" t="s">
        <v>57</v>
      </c>
      <c r="V115" s="156" t="s">
        <v>193</v>
      </c>
      <c r="W115" s="156" t="s">
        <v>64</v>
      </c>
      <c r="X115" s="156" t="s">
        <v>4088</v>
      </c>
      <c r="Y115" s="156" t="s">
        <v>2397</v>
      </c>
      <c r="Z115" s="156" t="s">
        <v>4089</v>
      </c>
      <c r="AA115" s="156" t="s">
        <v>57</v>
      </c>
      <c r="AB115" s="156" t="s">
        <v>57</v>
      </c>
      <c r="AC115" s="156" t="s">
        <v>74</v>
      </c>
      <c r="AD115" s="156" t="s">
        <v>96</v>
      </c>
      <c r="AE115" s="156" t="s">
        <v>4090</v>
      </c>
      <c r="AF115" s="156" t="s">
        <v>69</v>
      </c>
      <c r="AG115" s="156" t="s">
        <v>129</v>
      </c>
      <c r="AH115" s="156" t="s">
        <v>129</v>
      </c>
      <c r="AI115" s="156" t="s">
        <v>57</v>
      </c>
      <c r="AJ115" s="156" t="s">
        <v>57</v>
      </c>
      <c r="AK115" s="156" t="s">
        <v>57</v>
      </c>
      <c r="AL115" s="155" t="s">
        <v>4091</v>
      </c>
      <c r="AM115" s="155" t="s">
        <v>1955</v>
      </c>
      <c r="AN115" s="157"/>
      <c r="AO115" s="157"/>
      <c r="AP115" s="44"/>
    </row>
    <row r="116">
      <c r="A116" s="120">
        <v>159.0</v>
      </c>
      <c r="B116" s="121">
        <v>8.79385757E8</v>
      </c>
      <c r="C116" s="121" t="s">
        <v>3897</v>
      </c>
      <c r="D116" s="121" t="s">
        <v>3898</v>
      </c>
      <c r="E116" s="122" t="s">
        <v>3899</v>
      </c>
      <c r="F116" s="122" t="s">
        <v>3900</v>
      </c>
      <c r="G116" s="122" t="s">
        <v>273</v>
      </c>
      <c r="H116" s="122" t="s">
        <v>3901</v>
      </c>
      <c r="I116" s="122">
        <v>2014.0</v>
      </c>
      <c r="J116" s="122" t="s">
        <v>3902</v>
      </c>
      <c r="K116" s="122" t="s">
        <v>3903</v>
      </c>
      <c r="L116" s="122" t="s">
        <v>57</v>
      </c>
      <c r="M116" s="122" t="s">
        <v>3904</v>
      </c>
      <c r="N116" s="122" t="s">
        <v>273</v>
      </c>
      <c r="O116" s="122" t="s">
        <v>701</v>
      </c>
      <c r="P116" s="122" t="s">
        <v>3905</v>
      </c>
      <c r="Q116" s="122" t="s">
        <v>93</v>
      </c>
      <c r="R116" s="122" t="s">
        <v>57</v>
      </c>
      <c r="S116" s="122" t="s">
        <v>57</v>
      </c>
      <c r="T116" s="122" t="s">
        <v>74</v>
      </c>
      <c r="U116" s="122" t="s">
        <v>57</v>
      </c>
      <c r="V116" s="122" t="s">
        <v>2394</v>
      </c>
      <c r="W116" s="122" t="s">
        <v>749</v>
      </c>
      <c r="X116" s="122" t="s">
        <v>3906</v>
      </c>
      <c r="Y116" s="122" t="s">
        <v>2397</v>
      </c>
      <c r="Z116" s="122" t="s">
        <v>3907</v>
      </c>
      <c r="AA116" s="122">
        <v>2009.0</v>
      </c>
      <c r="AB116" s="122">
        <v>2009.0</v>
      </c>
      <c r="AC116" s="122" t="s">
        <v>74</v>
      </c>
      <c r="AD116" s="122" t="s">
        <v>96</v>
      </c>
      <c r="AE116" s="122" t="s">
        <v>3908</v>
      </c>
      <c r="AF116" s="122" t="s">
        <v>69</v>
      </c>
      <c r="AG116" s="122" t="s">
        <v>129</v>
      </c>
      <c r="AH116" s="122" t="s">
        <v>129</v>
      </c>
      <c r="AI116" s="122" t="s">
        <v>57</v>
      </c>
      <c r="AJ116" s="122" t="s">
        <v>57</v>
      </c>
      <c r="AK116" s="122" t="s">
        <v>3909</v>
      </c>
      <c r="AL116" s="121" t="s">
        <v>3910</v>
      </c>
      <c r="AM116" s="121" t="s">
        <v>1522</v>
      </c>
      <c r="AN116" s="158"/>
      <c r="AO116" s="158"/>
      <c r="AP116" s="44"/>
    </row>
    <row r="117">
      <c r="A117" s="102">
        <v>160.0</v>
      </c>
      <c r="B117" s="130">
        <v>5.23992296E8</v>
      </c>
      <c r="C117" s="130" t="s">
        <v>3912</v>
      </c>
      <c r="D117" s="159" t="s">
        <v>3913</v>
      </c>
      <c r="E117" s="131" t="s">
        <v>3914</v>
      </c>
      <c r="F117" s="131" t="s">
        <v>3915</v>
      </c>
      <c r="G117" s="131" t="s">
        <v>2315</v>
      </c>
      <c r="H117" s="131" t="s">
        <v>3916</v>
      </c>
      <c r="I117" s="131">
        <v>2005.0</v>
      </c>
      <c r="J117" s="131" t="s">
        <v>3917</v>
      </c>
      <c r="K117" s="131" t="s">
        <v>730</v>
      </c>
      <c r="L117" s="131" t="s">
        <v>57</v>
      </c>
      <c r="M117" s="131" t="s">
        <v>57</v>
      </c>
      <c r="N117" s="131" t="s">
        <v>2389</v>
      </c>
      <c r="O117" s="131" t="s">
        <v>400</v>
      </c>
      <c r="P117" s="131" t="s">
        <v>3918</v>
      </c>
      <c r="Q117" s="131" t="s">
        <v>93</v>
      </c>
      <c r="R117" s="131" t="s">
        <v>57</v>
      </c>
      <c r="S117" s="131" t="s">
        <v>57</v>
      </c>
      <c r="T117" s="131" t="s">
        <v>74</v>
      </c>
      <c r="U117" s="131" t="s">
        <v>57</v>
      </c>
      <c r="V117" s="131" t="s">
        <v>2430</v>
      </c>
      <c r="W117" s="131" t="s">
        <v>302</v>
      </c>
      <c r="X117" s="131" t="s">
        <v>3919</v>
      </c>
      <c r="Y117" s="131" t="s">
        <v>2380</v>
      </c>
      <c r="Z117" s="131" t="s">
        <v>3920</v>
      </c>
      <c r="AA117" s="131">
        <v>2003.0</v>
      </c>
      <c r="AB117" s="131">
        <v>2005.0</v>
      </c>
      <c r="AC117" s="131" t="s">
        <v>74</v>
      </c>
      <c r="AD117" s="131" t="s">
        <v>215</v>
      </c>
      <c r="AE117" s="131" t="s">
        <v>3921</v>
      </c>
      <c r="AF117" s="131" t="s">
        <v>74</v>
      </c>
      <c r="AG117" s="131" t="s">
        <v>57</v>
      </c>
      <c r="AH117" s="131" t="s">
        <v>57</v>
      </c>
      <c r="AI117" s="131" t="s">
        <v>57</v>
      </c>
      <c r="AJ117" s="131" t="s">
        <v>57</v>
      </c>
      <c r="AK117" s="131" t="s">
        <v>57</v>
      </c>
      <c r="AL117" s="130"/>
      <c r="AM117" s="130" t="s">
        <v>109</v>
      </c>
      <c r="AN117" s="164"/>
      <c r="AO117" s="104"/>
      <c r="AP117" s="104"/>
    </row>
    <row r="118">
      <c r="A118" s="102">
        <v>161.0</v>
      </c>
      <c r="B118" s="34">
        <v>5.23992297E8</v>
      </c>
      <c r="C118" s="34" t="s">
        <v>3923</v>
      </c>
      <c r="D118" s="34" t="s">
        <v>3924</v>
      </c>
      <c r="E118" s="35" t="s">
        <v>3925</v>
      </c>
      <c r="F118" s="35" t="s">
        <v>3926</v>
      </c>
      <c r="G118" s="35" t="s">
        <v>273</v>
      </c>
      <c r="H118" s="35" t="s">
        <v>3927</v>
      </c>
      <c r="I118" s="35">
        <v>2011.0</v>
      </c>
      <c r="J118" s="35" t="s">
        <v>796</v>
      </c>
      <c r="K118" s="35" t="s">
        <v>730</v>
      </c>
      <c r="L118" s="35" t="s">
        <v>3928</v>
      </c>
      <c r="M118" s="35" t="s">
        <v>57</v>
      </c>
      <c r="N118" s="35" t="s">
        <v>2926</v>
      </c>
      <c r="O118" s="35" t="s">
        <v>2930</v>
      </c>
      <c r="P118" s="35" t="s">
        <v>3929</v>
      </c>
      <c r="Q118" s="35" t="s">
        <v>93</v>
      </c>
      <c r="R118" s="35" t="s">
        <v>57</v>
      </c>
      <c r="S118" s="35" t="s">
        <v>57</v>
      </c>
      <c r="T118" s="35" t="s">
        <v>74</v>
      </c>
      <c r="U118" s="35" t="s">
        <v>57</v>
      </c>
      <c r="V118" s="35" t="s">
        <v>96</v>
      </c>
      <c r="W118" s="35" t="s">
        <v>302</v>
      </c>
      <c r="X118" s="35" t="s">
        <v>3930</v>
      </c>
      <c r="Y118" s="35" t="s">
        <v>2380</v>
      </c>
      <c r="Z118" s="35" t="s">
        <v>3931</v>
      </c>
      <c r="AA118" s="35">
        <v>2003.0</v>
      </c>
      <c r="AB118" s="35">
        <v>2003.0</v>
      </c>
      <c r="AC118" s="35" t="s">
        <v>74</v>
      </c>
      <c r="AD118" s="35" t="s">
        <v>215</v>
      </c>
      <c r="AE118" s="35" t="s">
        <v>3932</v>
      </c>
      <c r="AF118" s="35" t="s">
        <v>69</v>
      </c>
      <c r="AG118" s="35" t="s">
        <v>129</v>
      </c>
      <c r="AH118" s="35" t="s">
        <v>129</v>
      </c>
      <c r="AI118" s="35" t="s">
        <v>57</v>
      </c>
      <c r="AJ118" s="35" t="s">
        <v>57</v>
      </c>
      <c r="AK118" s="35" t="s">
        <v>3933</v>
      </c>
      <c r="AL118" s="34"/>
      <c r="AM118" s="34" t="s">
        <v>109</v>
      </c>
      <c r="AN118" s="164"/>
      <c r="AO118" s="104"/>
      <c r="AP118" s="104"/>
    </row>
    <row r="119">
      <c r="A119" s="102">
        <v>163.0</v>
      </c>
      <c r="B119" s="34">
        <v>5.23992333E8</v>
      </c>
      <c r="C119" s="34" t="s">
        <v>3935</v>
      </c>
      <c r="D119" s="34" t="s">
        <v>3936</v>
      </c>
      <c r="E119" s="35" t="s">
        <v>3937</v>
      </c>
      <c r="F119" s="35" t="s">
        <v>3938</v>
      </c>
      <c r="G119" s="35" t="s">
        <v>293</v>
      </c>
      <c r="H119" s="35" t="s">
        <v>3939</v>
      </c>
      <c r="I119" s="35">
        <v>2016.0</v>
      </c>
      <c r="J119" s="35" t="s">
        <v>3176</v>
      </c>
      <c r="K119" s="35" t="s">
        <v>730</v>
      </c>
      <c r="L119" s="35" t="s">
        <v>3940</v>
      </c>
      <c r="M119" s="35" t="s">
        <v>57</v>
      </c>
      <c r="N119" s="35" t="s">
        <v>293</v>
      </c>
      <c r="O119" s="35" t="s">
        <v>3941</v>
      </c>
      <c r="P119" s="35" t="s">
        <v>3942</v>
      </c>
      <c r="Q119" s="35" t="s">
        <v>93</v>
      </c>
      <c r="R119" s="35" t="s">
        <v>57</v>
      </c>
      <c r="S119" s="35" t="s">
        <v>57</v>
      </c>
      <c r="T119" s="35" t="s">
        <v>74</v>
      </c>
      <c r="U119" s="35" t="s">
        <v>57</v>
      </c>
      <c r="V119" s="35" t="s">
        <v>2394</v>
      </c>
      <c r="W119" s="35" t="s">
        <v>64</v>
      </c>
      <c r="X119" s="35" t="s">
        <v>3943</v>
      </c>
      <c r="Y119" s="35" t="s">
        <v>3944</v>
      </c>
      <c r="Z119" s="35" t="s">
        <v>3945</v>
      </c>
      <c r="AA119" s="35" t="s">
        <v>57</v>
      </c>
      <c r="AB119" s="35" t="s">
        <v>57</v>
      </c>
      <c r="AC119" s="35" t="s">
        <v>74</v>
      </c>
      <c r="AD119" s="35" t="s">
        <v>63</v>
      </c>
      <c r="AE119" s="35" t="s">
        <v>3946</v>
      </c>
      <c r="AF119" s="35" t="s">
        <v>69</v>
      </c>
      <c r="AG119" s="35" t="s">
        <v>129</v>
      </c>
      <c r="AH119" s="35" t="s">
        <v>129</v>
      </c>
      <c r="AI119" s="35" t="s">
        <v>57</v>
      </c>
      <c r="AJ119" s="35" t="s">
        <v>57</v>
      </c>
      <c r="AK119" s="35" t="s">
        <v>3947</v>
      </c>
      <c r="AL119" s="34"/>
      <c r="AM119" s="34" t="s">
        <v>109</v>
      </c>
      <c r="AN119" s="164"/>
      <c r="AO119" s="104"/>
      <c r="AP119" s="104"/>
    </row>
    <row r="120">
      <c r="A120" s="102">
        <v>168.0</v>
      </c>
      <c r="B120" s="34">
        <v>5.23992399E8</v>
      </c>
      <c r="C120" s="34" t="s">
        <v>3949</v>
      </c>
      <c r="D120" s="34" t="s">
        <v>3950</v>
      </c>
      <c r="E120" s="35" t="s">
        <v>3951</v>
      </c>
      <c r="F120" s="35" t="s">
        <v>3952</v>
      </c>
      <c r="G120" s="35" t="s">
        <v>859</v>
      </c>
      <c r="H120" s="35" t="s">
        <v>3953</v>
      </c>
      <c r="I120" s="35">
        <v>2016.0</v>
      </c>
      <c r="J120" s="43" t="s">
        <v>361</v>
      </c>
      <c r="K120" s="35" t="s">
        <v>730</v>
      </c>
      <c r="L120" s="35" t="s">
        <v>3954</v>
      </c>
      <c r="M120" s="35" t="s">
        <v>57</v>
      </c>
      <c r="N120" s="35" t="s">
        <v>859</v>
      </c>
      <c r="O120" s="35" t="s">
        <v>862</v>
      </c>
      <c r="P120" s="35" t="s">
        <v>3955</v>
      </c>
      <c r="Q120" s="35" t="s">
        <v>93</v>
      </c>
      <c r="R120" s="35" t="s">
        <v>3956</v>
      </c>
      <c r="S120" s="35" t="s">
        <v>3957</v>
      </c>
      <c r="T120" s="35" t="s">
        <v>74</v>
      </c>
      <c r="U120" s="35" t="s">
        <v>57</v>
      </c>
      <c r="V120" s="35" t="s">
        <v>96</v>
      </c>
      <c r="W120" s="35" t="s">
        <v>1389</v>
      </c>
      <c r="X120" s="35" t="s">
        <v>3958</v>
      </c>
      <c r="Y120" s="35" t="s">
        <v>2397</v>
      </c>
      <c r="Z120" s="35" t="s">
        <v>3959</v>
      </c>
      <c r="AA120" s="35" t="s">
        <v>57</v>
      </c>
      <c r="AB120" s="35" t="s">
        <v>57</v>
      </c>
      <c r="AC120" s="35" t="s">
        <v>74</v>
      </c>
      <c r="AD120" s="35" t="s">
        <v>96</v>
      </c>
      <c r="AE120" s="35" t="s">
        <v>3960</v>
      </c>
      <c r="AF120" s="35" t="s">
        <v>74</v>
      </c>
      <c r="AG120" s="35" t="s">
        <v>57</v>
      </c>
      <c r="AH120" s="35" t="s">
        <v>57</v>
      </c>
      <c r="AI120" s="35" t="s">
        <v>57</v>
      </c>
      <c r="AJ120" s="35" t="s">
        <v>57</v>
      </c>
      <c r="AK120" s="35" t="s">
        <v>57</v>
      </c>
      <c r="AL120" s="34"/>
      <c r="AM120" s="34" t="s">
        <v>109</v>
      </c>
      <c r="AN120" s="164"/>
      <c r="AO120" s="104"/>
      <c r="AP120" s="104"/>
    </row>
    <row r="121">
      <c r="A121" s="102">
        <v>169.0</v>
      </c>
      <c r="B121" s="34">
        <v>5.23992376E8</v>
      </c>
      <c r="C121" s="34" t="s">
        <v>3962</v>
      </c>
      <c r="D121" s="34" t="s">
        <v>3963</v>
      </c>
      <c r="E121" s="35" t="s">
        <v>3964</v>
      </c>
      <c r="F121" s="35" t="s">
        <v>3965</v>
      </c>
      <c r="G121" s="35" t="s">
        <v>114</v>
      </c>
      <c r="H121" s="35" t="s">
        <v>3966</v>
      </c>
      <c r="I121" s="35">
        <v>2018.0</v>
      </c>
      <c r="J121" s="35" t="s">
        <v>796</v>
      </c>
      <c r="K121" s="35" t="s">
        <v>730</v>
      </c>
      <c r="L121" s="35" t="s">
        <v>3967</v>
      </c>
      <c r="M121" s="35" t="s">
        <v>57</v>
      </c>
      <c r="N121" s="35" t="s">
        <v>114</v>
      </c>
      <c r="O121" s="35" t="s">
        <v>1999</v>
      </c>
      <c r="P121" s="35" t="s">
        <v>3968</v>
      </c>
      <c r="Q121" s="35" t="s">
        <v>93</v>
      </c>
      <c r="R121" s="43" t="s">
        <v>3969</v>
      </c>
      <c r="S121" s="43" t="s">
        <v>3970</v>
      </c>
      <c r="T121" s="35" t="s">
        <v>74</v>
      </c>
      <c r="U121" s="35" t="s">
        <v>57</v>
      </c>
      <c r="V121" s="35" t="s">
        <v>2394</v>
      </c>
      <c r="W121" s="35" t="s">
        <v>3971</v>
      </c>
      <c r="X121" s="35" t="s">
        <v>3972</v>
      </c>
      <c r="Y121" s="35" t="s">
        <v>2397</v>
      </c>
      <c r="Z121" s="35" t="s">
        <v>3973</v>
      </c>
      <c r="AA121" s="35">
        <v>2015.0</v>
      </c>
      <c r="AB121" s="35">
        <v>2015.0</v>
      </c>
      <c r="AC121" s="35" t="s">
        <v>74</v>
      </c>
      <c r="AD121" s="35" t="s">
        <v>96</v>
      </c>
      <c r="AE121" s="35" t="s">
        <v>3974</v>
      </c>
      <c r="AF121" s="35" t="s">
        <v>74</v>
      </c>
      <c r="AG121" s="35" t="s">
        <v>57</v>
      </c>
      <c r="AH121" s="35" t="s">
        <v>57</v>
      </c>
      <c r="AI121" s="35" t="s">
        <v>57</v>
      </c>
      <c r="AJ121" s="35" t="s">
        <v>57</v>
      </c>
      <c r="AK121" s="35" t="s">
        <v>57</v>
      </c>
      <c r="AL121" s="34"/>
      <c r="AM121" s="34" t="s">
        <v>109</v>
      </c>
      <c r="AN121" s="164"/>
      <c r="AO121" s="104"/>
      <c r="AP121" s="104"/>
    </row>
    <row r="122">
      <c r="A122" s="34"/>
      <c r="B122" s="34"/>
      <c r="C122" s="34"/>
      <c r="D122" s="34"/>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4"/>
      <c r="AM122" s="34"/>
      <c r="AN122" s="164"/>
      <c r="AO122" s="104"/>
      <c r="AP122" s="104"/>
    </row>
    <row r="123">
      <c r="A123" s="34"/>
      <c r="B123" s="34"/>
      <c r="C123" s="34"/>
      <c r="D123" s="34"/>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c r="AI123" s="35"/>
      <c r="AJ123" s="35"/>
      <c r="AK123" s="35"/>
      <c r="AL123" s="34"/>
      <c r="AM123" s="34"/>
      <c r="AN123" s="164"/>
      <c r="AO123" s="104"/>
      <c r="AP123" s="104"/>
    </row>
    <row r="124">
      <c r="A124" s="34"/>
      <c r="B124" s="34"/>
      <c r="C124" s="34"/>
      <c r="D124" s="34"/>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4"/>
      <c r="AM124" s="34"/>
      <c r="AN124" s="164"/>
      <c r="AO124" s="104"/>
      <c r="AP124" s="104"/>
    </row>
    <row r="125">
      <c r="A125" s="34"/>
      <c r="B125" s="34"/>
      <c r="C125" s="34"/>
      <c r="D125" s="34"/>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4"/>
      <c r="AM125" s="34"/>
      <c r="AN125" s="164"/>
      <c r="AO125" s="104"/>
      <c r="AP125" s="104"/>
    </row>
    <row r="126">
      <c r="A126" s="34"/>
      <c r="B126" s="34"/>
      <c r="C126" s="34"/>
      <c r="D126" s="34"/>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c r="AG126" s="35"/>
      <c r="AH126" s="35"/>
      <c r="AI126" s="35"/>
      <c r="AJ126" s="35"/>
      <c r="AK126" s="35"/>
      <c r="AL126" s="34"/>
      <c r="AM126" s="34"/>
      <c r="AN126" s="164"/>
      <c r="AO126" s="104"/>
      <c r="AP126" s="104"/>
    </row>
    <row r="127">
      <c r="A127" s="34"/>
      <c r="B127" s="34"/>
      <c r="C127" s="34"/>
      <c r="D127" s="34"/>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4"/>
      <c r="AM127" s="34"/>
      <c r="AN127" s="164"/>
      <c r="AO127" s="104"/>
      <c r="AP127" s="104"/>
    </row>
    <row r="128">
      <c r="A128" s="34"/>
      <c r="B128" s="34"/>
      <c r="C128" s="34"/>
      <c r="D128" s="34"/>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c r="AG128" s="35"/>
      <c r="AH128" s="35"/>
      <c r="AI128" s="35"/>
      <c r="AJ128" s="35"/>
      <c r="AK128" s="35"/>
      <c r="AL128" s="34"/>
      <c r="AM128" s="34"/>
      <c r="AN128" s="164"/>
      <c r="AO128" s="104"/>
      <c r="AP128" s="104"/>
    </row>
    <row r="129">
      <c r="A129" s="34"/>
      <c r="B129" s="34"/>
      <c r="C129" s="34"/>
      <c r="D129" s="34"/>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4"/>
      <c r="AM129" s="34"/>
      <c r="AN129" s="164"/>
      <c r="AO129" s="104"/>
      <c r="AP129" s="104"/>
    </row>
    <row r="130">
      <c r="A130" s="34"/>
      <c r="B130" s="34"/>
      <c r="C130" s="34"/>
      <c r="D130" s="34"/>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4"/>
      <c r="AM130" s="34"/>
      <c r="AN130" s="164"/>
      <c r="AO130" s="104"/>
      <c r="AP130" s="104"/>
    </row>
    <row r="131">
      <c r="A131" s="34"/>
      <c r="B131" s="34"/>
      <c r="C131" s="34"/>
      <c r="D131" s="34"/>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c r="AG131" s="35"/>
      <c r="AH131" s="35"/>
      <c r="AI131" s="35"/>
      <c r="AJ131" s="35"/>
      <c r="AK131" s="35"/>
      <c r="AL131" s="34"/>
      <c r="AM131" s="34"/>
      <c r="AN131" s="164"/>
      <c r="AO131" s="104"/>
      <c r="AP131" s="104"/>
    </row>
    <row r="132">
      <c r="A132" s="34"/>
      <c r="B132" s="34"/>
      <c r="C132" s="34"/>
      <c r="D132" s="34"/>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4"/>
      <c r="AM132" s="34"/>
      <c r="AN132" s="164"/>
      <c r="AO132" s="104"/>
      <c r="AP132" s="104"/>
    </row>
    <row r="133">
      <c r="A133" s="34"/>
      <c r="B133" s="34"/>
      <c r="C133" s="34"/>
      <c r="D133" s="34"/>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c r="AG133" s="35"/>
      <c r="AH133" s="35"/>
      <c r="AI133" s="35"/>
      <c r="AJ133" s="35"/>
      <c r="AK133" s="35"/>
      <c r="AL133" s="34"/>
      <c r="AM133" s="34"/>
      <c r="AN133" s="164"/>
      <c r="AO133" s="104"/>
      <c r="AP133" s="104"/>
    </row>
    <row r="134">
      <c r="A134" s="34"/>
      <c r="B134" s="34"/>
      <c r="C134" s="34"/>
      <c r="D134" s="34"/>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4"/>
      <c r="AM134" s="34"/>
      <c r="AN134" s="164"/>
      <c r="AO134" s="104"/>
      <c r="AP134" s="104"/>
    </row>
    <row r="135">
      <c r="A135" s="34"/>
      <c r="B135" s="34"/>
      <c r="C135" s="34"/>
      <c r="D135" s="34"/>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c r="AI135" s="35"/>
      <c r="AJ135" s="35"/>
      <c r="AK135" s="35"/>
      <c r="AL135" s="34"/>
      <c r="AM135" s="34"/>
      <c r="AN135" s="164"/>
      <c r="AO135" s="104"/>
      <c r="AP135" s="104"/>
    </row>
    <row r="136">
      <c r="A136" s="34"/>
      <c r="B136" s="34"/>
      <c r="C136" s="34"/>
      <c r="D136" s="34"/>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4"/>
      <c r="AM136" s="34"/>
      <c r="AN136" s="164"/>
      <c r="AO136" s="104"/>
      <c r="AP136" s="104"/>
    </row>
    <row r="137">
      <c r="A137" s="34"/>
      <c r="B137" s="34"/>
      <c r="C137" s="34"/>
      <c r="D137" s="34"/>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c r="AG137" s="35"/>
      <c r="AH137" s="35"/>
      <c r="AI137" s="35"/>
      <c r="AJ137" s="35"/>
      <c r="AK137" s="35"/>
      <c r="AL137" s="34"/>
      <c r="AM137" s="34"/>
      <c r="AN137" s="164"/>
      <c r="AO137" s="104"/>
      <c r="AP137" s="104"/>
    </row>
    <row r="138">
      <c r="A138" s="34"/>
      <c r="B138" s="34"/>
      <c r="C138" s="34"/>
      <c r="D138" s="34"/>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c r="AG138" s="35"/>
      <c r="AH138" s="35"/>
      <c r="AI138" s="35"/>
      <c r="AJ138" s="35"/>
      <c r="AK138" s="35"/>
      <c r="AL138" s="34"/>
      <c r="AM138" s="34"/>
      <c r="AN138" s="164"/>
      <c r="AO138" s="104"/>
      <c r="AP138" s="104"/>
    </row>
    <row r="139">
      <c r="A139" s="34"/>
      <c r="B139" s="34"/>
      <c r="C139" s="34"/>
      <c r="D139" s="34"/>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c r="AG139" s="35"/>
      <c r="AH139" s="35"/>
      <c r="AI139" s="35"/>
      <c r="AJ139" s="35"/>
      <c r="AK139" s="35"/>
      <c r="AL139" s="34"/>
      <c r="AM139" s="34"/>
      <c r="AN139" s="164"/>
      <c r="AO139" s="104"/>
      <c r="AP139" s="104"/>
    </row>
    <row r="140">
      <c r="A140" s="34"/>
      <c r="B140" s="34"/>
      <c r="C140" s="34"/>
      <c r="D140" s="34"/>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4"/>
      <c r="AM140" s="34"/>
      <c r="AN140" s="164"/>
      <c r="AO140" s="104"/>
      <c r="AP140" s="104"/>
    </row>
    <row r="141">
      <c r="A141" s="34"/>
      <c r="B141" s="34"/>
      <c r="C141" s="34"/>
      <c r="D141" s="34"/>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c r="AD141" s="35"/>
      <c r="AE141" s="35"/>
      <c r="AF141" s="35"/>
      <c r="AG141" s="35"/>
      <c r="AH141" s="35"/>
      <c r="AI141" s="35"/>
      <c r="AJ141" s="35"/>
      <c r="AK141" s="35"/>
      <c r="AL141" s="34"/>
      <c r="AM141" s="34"/>
      <c r="AN141" s="164"/>
      <c r="AO141" s="104"/>
      <c r="AP141" s="104"/>
    </row>
    <row r="142">
      <c r="A142" s="34"/>
      <c r="B142" s="34"/>
      <c r="C142" s="34"/>
      <c r="D142" s="34"/>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c r="AG142" s="35"/>
      <c r="AH142" s="35"/>
      <c r="AI142" s="35"/>
      <c r="AJ142" s="35"/>
      <c r="AK142" s="35"/>
      <c r="AL142" s="34"/>
      <c r="AM142" s="34"/>
      <c r="AN142" s="164"/>
      <c r="AO142" s="104"/>
      <c r="AP142" s="104"/>
    </row>
    <row r="143">
      <c r="A143" s="34"/>
      <c r="B143" s="34"/>
      <c r="C143" s="34"/>
      <c r="D143" s="34"/>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4"/>
      <c r="AM143" s="34"/>
      <c r="AN143" s="164"/>
      <c r="AO143" s="104"/>
      <c r="AP143" s="104"/>
    </row>
    <row r="144">
      <c r="A144" s="34"/>
      <c r="B144" s="34"/>
      <c r="C144" s="34"/>
      <c r="D144" s="34"/>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c r="AG144" s="35"/>
      <c r="AH144" s="35"/>
      <c r="AI144" s="35"/>
      <c r="AJ144" s="35"/>
      <c r="AK144" s="35"/>
      <c r="AL144" s="34"/>
      <c r="AM144" s="34"/>
      <c r="AN144" s="164"/>
      <c r="AO144" s="104"/>
      <c r="AP144" s="104"/>
    </row>
    <row r="145">
      <c r="A145" s="34"/>
      <c r="B145" s="34"/>
      <c r="C145" s="34"/>
      <c r="D145" s="34"/>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c r="AG145" s="35"/>
      <c r="AH145" s="35"/>
      <c r="AI145" s="35"/>
      <c r="AJ145" s="35"/>
      <c r="AK145" s="35"/>
      <c r="AL145" s="34"/>
      <c r="AM145" s="34"/>
      <c r="AN145" s="164"/>
      <c r="AO145" s="104"/>
      <c r="AP145" s="104"/>
    </row>
    <row r="146">
      <c r="A146" s="34"/>
      <c r="B146" s="34"/>
      <c r="C146" s="34"/>
      <c r="D146" s="34"/>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c r="AI146" s="35"/>
      <c r="AJ146" s="35"/>
      <c r="AK146" s="35"/>
      <c r="AL146" s="34"/>
      <c r="AM146" s="34"/>
      <c r="AN146" s="164"/>
      <c r="AO146" s="104"/>
      <c r="AP146" s="104"/>
    </row>
    <row r="147">
      <c r="A147" s="34"/>
      <c r="B147" s="34"/>
      <c r="C147" s="34"/>
      <c r="D147" s="34"/>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c r="AD147" s="35"/>
      <c r="AE147" s="35"/>
      <c r="AF147" s="35"/>
      <c r="AG147" s="35"/>
      <c r="AH147" s="35"/>
      <c r="AI147" s="35"/>
      <c r="AJ147" s="35"/>
      <c r="AK147" s="35"/>
      <c r="AL147" s="34"/>
      <c r="AM147" s="34"/>
      <c r="AN147" s="164"/>
      <c r="AO147" s="104"/>
      <c r="AP147" s="104"/>
    </row>
    <row r="148">
      <c r="A148" s="34"/>
      <c r="B148" s="34"/>
      <c r="C148" s="34"/>
      <c r="D148" s="34"/>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c r="AI148" s="35"/>
      <c r="AJ148" s="35"/>
      <c r="AK148" s="35"/>
      <c r="AL148" s="34"/>
      <c r="AM148" s="34"/>
      <c r="AN148" s="164"/>
      <c r="AO148" s="104"/>
      <c r="AP148" s="104"/>
    </row>
    <row r="149">
      <c r="A149" s="34"/>
      <c r="B149" s="34"/>
      <c r="C149" s="34"/>
      <c r="D149" s="34"/>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c r="AI149" s="35"/>
      <c r="AJ149" s="35"/>
      <c r="AK149" s="35"/>
      <c r="AL149" s="34"/>
      <c r="AM149" s="34"/>
      <c r="AN149" s="164"/>
      <c r="AO149" s="104"/>
      <c r="AP149" s="104"/>
    </row>
    <row r="150">
      <c r="A150" s="34"/>
      <c r="B150" s="34"/>
      <c r="C150" s="34"/>
      <c r="D150" s="34"/>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c r="AI150" s="35"/>
      <c r="AJ150" s="35"/>
      <c r="AK150" s="35"/>
      <c r="AL150" s="34"/>
      <c r="AM150" s="34"/>
      <c r="AN150" s="164"/>
      <c r="AO150" s="104"/>
      <c r="AP150" s="104"/>
    </row>
    <row r="151">
      <c r="A151" s="34"/>
      <c r="B151" s="34"/>
      <c r="C151" s="34"/>
      <c r="D151" s="34"/>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c r="AI151" s="35"/>
      <c r="AJ151" s="35"/>
      <c r="AK151" s="35"/>
      <c r="AL151" s="34"/>
      <c r="AM151" s="34"/>
      <c r="AN151" s="164"/>
      <c r="AO151" s="104"/>
      <c r="AP151" s="104"/>
    </row>
    <row r="152">
      <c r="A152" s="34"/>
      <c r="B152" s="34"/>
      <c r="C152" s="34"/>
      <c r="D152" s="34"/>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c r="AI152" s="35"/>
      <c r="AJ152" s="35"/>
      <c r="AK152" s="35"/>
      <c r="AL152" s="34"/>
      <c r="AM152" s="34"/>
      <c r="AN152" s="164"/>
      <c r="AO152" s="104"/>
      <c r="AP152" s="104"/>
    </row>
    <row r="153">
      <c r="A153" s="34"/>
      <c r="B153" s="34"/>
      <c r="C153" s="34"/>
      <c r="D153" s="34"/>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c r="AI153" s="35"/>
      <c r="AJ153" s="35"/>
      <c r="AK153" s="35"/>
      <c r="AL153" s="34"/>
      <c r="AM153" s="34"/>
      <c r="AN153" s="164"/>
      <c r="AO153" s="104"/>
      <c r="AP153" s="104"/>
    </row>
    <row r="154">
      <c r="A154" s="34"/>
      <c r="B154" s="34"/>
      <c r="C154" s="34"/>
      <c r="D154" s="34"/>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c r="AI154" s="35"/>
      <c r="AJ154" s="35"/>
      <c r="AK154" s="35"/>
      <c r="AL154" s="34"/>
      <c r="AM154" s="34"/>
      <c r="AN154" s="164"/>
      <c r="AO154" s="104"/>
      <c r="AP154" s="104"/>
    </row>
    <row r="155">
      <c r="A155" s="34"/>
      <c r="B155" s="34"/>
      <c r="C155" s="34"/>
      <c r="D155" s="34"/>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c r="AI155" s="35"/>
      <c r="AJ155" s="35"/>
      <c r="AK155" s="35"/>
      <c r="AL155" s="34"/>
      <c r="AM155" s="34"/>
      <c r="AN155" s="164"/>
      <c r="AO155" s="104"/>
      <c r="AP155" s="104"/>
    </row>
    <row r="156">
      <c r="A156" s="34"/>
      <c r="B156" s="34"/>
      <c r="C156" s="34"/>
      <c r="D156" s="34"/>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c r="AI156" s="35"/>
      <c r="AJ156" s="35"/>
      <c r="AK156" s="35"/>
      <c r="AL156" s="34"/>
      <c r="AM156" s="34"/>
      <c r="AN156" s="164"/>
      <c r="AO156" s="104"/>
      <c r="AP156" s="104"/>
    </row>
    <row r="157">
      <c r="A157" s="34"/>
      <c r="B157" s="34"/>
      <c r="C157" s="34"/>
      <c r="D157" s="34"/>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c r="AI157" s="35"/>
      <c r="AJ157" s="35"/>
      <c r="AK157" s="35"/>
      <c r="AL157" s="34"/>
      <c r="AM157" s="34"/>
      <c r="AN157" s="164"/>
      <c r="AO157" s="104"/>
      <c r="AP157" s="104"/>
    </row>
    <row r="158">
      <c r="A158" s="34"/>
      <c r="B158" s="34"/>
      <c r="C158" s="34"/>
      <c r="D158" s="34"/>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c r="AI158" s="35"/>
      <c r="AJ158" s="35"/>
      <c r="AK158" s="35"/>
      <c r="AL158" s="34"/>
      <c r="AM158" s="34"/>
      <c r="AN158" s="164"/>
      <c r="AO158" s="104"/>
      <c r="AP158" s="104"/>
    </row>
    <row r="159">
      <c r="A159" s="34"/>
      <c r="B159" s="34"/>
      <c r="C159" s="34"/>
      <c r="D159" s="34"/>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4"/>
      <c r="AM159" s="34"/>
      <c r="AN159" s="164"/>
      <c r="AO159" s="104"/>
      <c r="AP159" s="104"/>
    </row>
    <row r="160">
      <c r="A160" s="34"/>
      <c r="B160" s="34"/>
      <c r="C160" s="34"/>
      <c r="D160" s="34"/>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c r="AI160" s="35"/>
      <c r="AJ160" s="35"/>
      <c r="AK160" s="35"/>
      <c r="AL160" s="34"/>
      <c r="AM160" s="34"/>
      <c r="AN160" s="164"/>
      <c r="AO160" s="104"/>
      <c r="AP160" s="104"/>
    </row>
    <row r="161">
      <c r="A161" s="34"/>
      <c r="B161" s="34"/>
      <c r="C161" s="34"/>
      <c r="D161" s="34"/>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c r="AG161" s="35"/>
      <c r="AH161" s="35"/>
      <c r="AI161" s="35"/>
      <c r="AJ161" s="35"/>
      <c r="AK161" s="35"/>
      <c r="AL161" s="34"/>
      <c r="AM161" s="34"/>
      <c r="AN161" s="164"/>
      <c r="AO161" s="104"/>
      <c r="AP161" s="104"/>
    </row>
    <row r="162">
      <c r="A162" s="34"/>
      <c r="B162" s="34"/>
      <c r="C162" s="34"/>
      <c r="D162" s="34"/>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c r="AG162" s="35"/>
      <c r="AH162" s="35"/>
      <c r="AI162" s="35"/>
      <c r="AJ162" s="35"/>
      <c r="AK162" s="35"/>
      <c r="AL162" s="34"/>
      <c r="AM162" s="34"/>
      <c r="AN162" s="164"/>
      <c r="AO162" s="104"/>
      <c r="AP162" s="104"/>
    </row>
    <row r="163">
      <c r="A163" s="34"/>
      <c r="B163" s="34"/>
      <c r="C163" s="34"/>
      <c r="D163" s="34"/>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c r="AD163" s="35"/>
      <c r="AE163" s="35"/>
      <c r="AF163" s="35"/>
      <c r="AG163" s="35"/>
      <c r="AH163" s="35"/>
      <c r="AI163" s="35"/>
      <c r="AJ163" s="35"/>
      <c r="AK163" s="35"/>
      <c r="AL163" s="34"/>
      <c r="AM163" s="34"/>
      <c r="AN163" s="164"/>
      <c r="AO163" s="104"/>
      <c r="AP163" s="104"/>
    </row>
    <row r="164">
      <c r="A164" s="34"/>
      <c r="B164" s="34"/>
      <c r="C164" s="34"/>
      <c r="D164" s="34"/>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c r="AG164" s="35"/>
      <c r="AH164" s="35"/>
      <c r="AI164" s="35"/>
      <c r="AJ164" s="35"/>
      <c r="AK164" s="35"/>
      <c r="AL164" s="34"/>
      <c r="AM164" s="34"/>
      <c r="AN164" s="164"/>
      <c r="AO164" s="104"/>
      <c r="AP164" s="104"/>
    </row>
    <row r="165">
      <c r="A165" s="34"/>
      <c r="B165" s="34"/>
      <c r="C165" s="34"/>
      <c r="D165" s="34"/>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c r="AD165" s="35"/>
      <c r="AE165" s="35"/>
      <c r="AF165" s="35"/>
      <c r="AG165" s="35"/>
      <c r="AH165" s="35"/>
      <c r="AI165" s="35"/>
      <c r="AJ165" s="35"/>
      <c r="AK165" s="35"/>
      <c r="AL165" s="34"/>
      <c r="AM165" s="34"/>
      <c r="AN165" s="164"/>
      <c r="AO165" s="104"/>
      <c r="AP165" s="104"/>
    </row>
    <row r="166">
      <c r="A166" s="34"/>
      <c r="B166" s="34"/>
      <c r="C166" s="34"/>
      <c r="D166" s="34"/>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c r="AG166" s="35"/>
      <c r="AH166" s="35"/>
      <c r="AI166" s="35"/>
      <c r="AJ166" s="35"/>
      <c r="AK166" s="35"/>
      <c r="AL166" s="34"/>
      <c r="AM166" s="34"/>
      <c r="AN166" s="164"/>
      <c r="AO166" s="104"/>
      <c r="AP166" s="104"/>
    </row>
    <row r="167">
      <c r="A167" s="34"/>
      <c r="B167" s="34"/>
      <c r="C167" s="34"/>
      <c r="D167" s="34"/>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c r="AG167" s="35"/>
      <c r="AH167" s="35"/>
      <c r="AI167" s="35"/>
      <c r="AJ167" s="35"/>
      <c r="AK167" s="35"/>
      <c r="AL167" s="34"/>
      <c r="AM167" s="34"/>
      <c r="AN167" s="164"/>
      <c r="AO167" s="104"/>
      <c r="AP167" s="104"/>
    </row>
    <row r="168">
      <c r="A168" s="34"/>
      <c r="B168" s="34"/>
      <c r="C168" s="34"/>
      <c r="D168" s="34"/>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c r="AG168" s="35"/>
      <c r="AH168" s="35"/>
      <c r="AI168" s="35"/>
      <c r="AJ168" s="35"/>
      <c r="AK168" s="35"/>
      <c r="AL168" s="34"/>
      <c r="AM168" s="34"/>
      <c r="AN168" s="164"/>
      <c r="AO168" s="104"/>
      <c r="AP168" s="104"/>
    </row>
    <row r="169">
      <c r="A169" s="34"/>
      <c r="B169" s="34"/>
      <c r="C169" s="34"/>
      <c r="D169" s="34"/>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c r="AG169" s="35"/>
      <c r="AH169" s="35"/>
      <c r="AI169" s="35"/>
      <c r="AJ169" s="35"/>
      <c r="AK169" s="35"/>
      <c r="AL169" s="34"/>
      <c r="AM169" s="34"/>
      <c r="AN169" s="164"/>
      <c r="AO169" s="104"/>
      <c r="AP169" s="104"/>
    </row>
    <row r="170">
      <c r="A170" s="34"/>
      <c r="B170" s="34"/>
      <c r="C170" s="34"/>
      <c r="D170" s="34"/>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4"/>
      <c r="AM170" s="34"/>
      <c r="AN170" s="164"/>
      <c r="AO170" s="104"/>
      <c r="AP170" s="104"/>
    </row>
    <row r="171">
      <c r="A171" s="34"/>
      <c r="B171" s="34"/>
      <c r="C171" s="34"/>
      <c r="D171" s="34"/>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4"/>
      <c r="AM171" s="34"/>
      <c r="AN171" s="164"/>
      <c r="AO171" s="104"/>
      <c r="AP171" s="104"/>
    </row>
    <row r="172">
      <c r="A172" s="34"/>
      <c r="B172" s="34"/>
      <c r="C172" s="34"/>
      <c r="D172" s="34"/>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4"/>
      <c r="AM172" s="34"/>
      <c r="AN172" s="164"/>
      <c r="AO172" s="104"/>
      <c r="AP172" s="104"/>
    </row>
    <row r="173">
      <c r="A173" s="34"/>
      <c r="B173" s="34"/>
      <c r="C173" s="34"/>
      <c r="D173" s="34"/>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4"/>
      <c r="AM173" s="34"/>
      <c r="AN173" s="164"/>
      <c r="AO173" s="104"/>
      <c r="AP173" s="104"/>
    </row>
    <row r="174">
      <c r="A174" s="34"/>
      <c r="B174" s="34"/>
      <c r="C174" s="34"/>
      <c r="D174" s="34"/>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4"/>
      <c r="AM174" s="34"/>
      <c r="AN174" s="164"/>
      <c r="AO174" s="104"/>
      <c r="AP174" s="104"/>
    </row>
    <row r="175">
      <c r="A175" s="34"/>
      <c r="B175" s="34"/>
      <c r="C175" s="34"/>
      <c r="D175" s="34"/>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4"/>
      <c r="AM175" s="34"/>
      <c r="AN175" s="164"/>
      <c r="AO175" s="104"/>
      <c r="AP175" s="104"/>
    </row>
    <row r="176">
      <c r="A176" s="34"/>
      <c r="B176" s="34"/>
      <c r="C176" s="34"/>
      <c r="D176" s="34"/>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4"/>
      <c r="AM176" s="34"/>
      <c r="AN176" s="164"/>
      <c r="AO176" s="104"/>
      <c r="AP176" s="104"/>
    </row>
    <row r="177">
      <c r="A177" s="34"/>
      <c r="B177" s="34"/>
      <c r="C177" s="34"/>
      <c r="D177" s="34"/>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4"/>
      <c r="AM177" s="34"/>
      <c r="AN177" s="164"/>
      <c r="AO177" s="104"/>
      <c r="AP177" s="104"/>
    </row>
    <row r="178">
      <c r="A178" s="34"/>
      <c r="B178" s="34"/>
      <c r="C178" s="34"/>
      <c r="D178" s="34"/>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4"/>
      <c r="AM178" s="34"/>
      <c r="AN178" s="164"/>
      <c r="AO178" s="104"/>
      <c r="AP178" s="104"/>
    </row>
    <row r="179">
      <c r="A179" s="34"/>
      <c r="B179" s="34"/>
      <c r="C179" s="34"/>
      <c r="D179" s="34"/>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4"/>
      <c r="AM179" s="34"/>
      <c r="AN179" s="164"/>
      <c r="AO179" s="104"/>
      <c r="AP179" s="104"/>
    </row>
    <row r="180">
      <c r="A180" s="34"/>
      <c r="B180" s="34"/>
      <c r="C180" s="34"/>
      <c r="D180" s="34"/>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4"/>
      <c r="AM180" s="34"/>
      <c r="AN180" s="164"/>
      <c r="AO180" s="104"/>
      <c r="AP180" s="104"/>
    </row>
    <row r="181">
      <c r="A181" s="34"/>
      <c r="B181" s="34"/>
      <c r="C181" s="34"/>
      <c r="D181" s="34"/>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4"/>
      <c r="AM181" s="34"/>
      <c r="AN181" s="164"/>
      <c r="AO181" s="104"/>
      <c r="AP181" s="104"/>
    </row>
    <row r="182">
      <c r="A182" s="34"/>
      <c r="B182" s="34"/>
      <c r="C182" s="34"/>
      <c r="D182" s="34"/>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4"/>
      <c r="AM182" s="34"/>
      <c r="AN182" s="164"/>
      <c r="AO182" s="104"/>
      <c r="AP182" s="104"/>
    </row>
    <row r="183">
      <c r="A183" s="34"/>
      <c r="B183" s="34"/>
      <c r="C183" s="34"/>
      <c r="D183" s="34"/>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4"/>
      <c r="AM183" s="34"/>
      <c r="AN183" s="164"/>
      <c r="AO183" s="104"/>
      <c r="AP183" s="104"/>
    </row>
    <row r="184">
      <c r="A184" s="34"/>
      <c r="B184" s="34"/>
      <c r="C184" s="34"/>
      <c r="D184" s="34"/>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4"/>
      <c r="AM184" s="34"/>
      <c r="AN184" s="164"/>
      <c r="AO184" s="104"/>
      <c r="AP184" s="104"/>
    </row>
    <row r="185">
      <c r="A185" s="34"/>
      <c r="B185" s="34"/>
      <c r="C185" s="34"/>
      <c r="D185" s="34"/>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4"/>
      <c r="AM185" s="34"/>
      <c r="AN185" s="164"/>
      <c r="AO185" s="104"/>
      <c r="AP185" s="104"/>
    </row>
    <row r="186">
      <c r="A186" s="34"/>
      <c r="B186" s="34"/>
      <c r="C186" s="34"/>
      <c r="D186" s="34"/>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4"/>
      <c r="AM186" s="34"/>
      <c r="AN186" s="164"/>
      <c r="AO186" s="104"/>
      <c r="AP186" s="104"/>
    </row>
    <row r="187">
      <c r="A187" s="34"/>
      <c r="B187" s="34"/>
      <c r="C187" s="34"/>
      <c r="D187" s="34"/>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4"/>
      <c r="AM187" s="34"/>
      <c r="AN187" s="164"/>
      <c r="AO187" s="104"/>
      <c r="AP187" s="104"/>
    </row>
    <row r="188">
      <c r="A188" s="34"/>
      <c r="B188" s="34"/>
      <c r="C188" s="34"/>
      <c r="D188" s="34"/>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4"/>
      <c r="AM188" s="34"/>
      <c r="AN188" s="164"/>
      <c r="AO188" s="104"/>
      <c r="AP188" s="104"/>
    </row>
    <row r="189">
      <c r="A189" s="34"/>
      <c r="B189" s="34"/>
      <c r="C189" s="34"/>
      <c r="D189" s="34"/>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4"/>
      <c r="AM189" s="34"/>
      <c r="AN189" s="164"/>
      <c r="AO189" s="104"/>
      <c r="AP189" s="104"/>
    </row>
    <row r="190">
      <c r="A190" s="34"/>
      <c r="B190" s="34"/>
      <c r="C190" s="34"/>
      <c r="D190" s="34"/>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4"/>
      <c r="AM190" s="34"/>
      <c r="AN190" s="164"/>
      <c r="AO190" s="104"/>
      <c r="AP190" s="104"/>
    </row>
    <row r="191">
      <c r="A191" s="34"/>
      <c r="B191" s="34"/>
      <c r="C191" s="34"/>
      <c r="D191" s="34"/>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4"/>
      <c r="AM191" s="34"/>
      <c r="AN191" s="164"/>
      <c r="AO191" s="104"/>
      <c r="AP191" s="104"/>
    </row>
    <row r="192">
      <c r="A192" s="34"/>
      <c r="B192" s="34"/>
      <c r="C192" s="34"/>
      <c r="D192" s="34"/>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4"/>
      <c r="AM192" s="34"/>
      <c r="AN192" s="164"/>
      <c r="AO192" s="104"/>
      <c r="AP192" s="104"/>
    </row>
    <row r="193">
      <c r="A193" s="34"/>
      <c r="B193" s="34"/>
      <c r="C193" s="34"/>
      <c r="D193" s="34"/>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4"/>
      <c r="AM193" s="34"/>
      <c r="AN193" s="164"/>
      <c r="AO193" s="104"/>
      <c r="AP193" s="104"/>
    </row>
    <row r="194">
      <c r="A194" s="34"/>
      <c r="B194" s="34"/>
      <c r="C194" s="34"/>
      <c r="D194" s="34"/>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4"/>
      <c r="AM194" s="34"/>
      <c r="AN194" s="164"/>
      <c r="AO194" s="104"/>
      <c r="AP194" s="104"/>
    </row>
    <row r="195">
      <c r="A195" s="34"/>
      <c r="B195" s="34"/>
      <c r="C195" s="34"/>
      <c r="D195" s="34"/>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4"/>
      <c r="AM195" s="34"/>
      <c r="AN195" s="164"/>
      <c r="AO195" s="104"/>
      <c r="AP195" s="104"/>
    </row>
    <row r="196">
      <c r="A196" s="34"/>
      <c r="B196" s="34"/>
      <c r="C196" s="34"/>
      <c r="D196" s="34"/>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4"/>
      <c r="AM196" s="34"/>
      <c r="AN196" s="164"/>
      <c r="AO196" s="104"/>
      <c r="AP196" s="104"/>
    </row>
    <row r="197">
      <c r="A197" s="34"/>
      <c r="B197" s="34"/>
      <c r="C197" s="34"/>
      <c r="D197" s="34"/>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4"/>
      <c r="AM197" s="34"/>
      <c r="AN197" s="164"/>
      <c r="AO197" s="104"/>
      <c r="AP197" s="104"/>
    </row>
    <row r="198">
      <c r="A198" s="34"/>
      <c r="B198" s="34"/>
      <c r="C198" s="34"/>
      <c r="D198" s="34"/>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4"/>
      <c r="AM198" s="34"/>
      <c r="AN198" s="164"/>
      <c r="AO198" s="104"/>
      <c r="AP198" s="104"/>
    </row>
    <row r="199">
      <c r="A199" s="34"/>
      <c r="B199" s="34"/>
      <c r="C199" s="34"/>
      <c r="D199" s="34"/>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4"/>
      <c r="AM199" s="34"/>
      <c r="AN199" s="164"/>
      <c r="AO199" s="104"/>
      <c r="AP199" s="104"/>
    </row>
    <row r="200">
      <c r="A200" s="34"/>
      <c r="B200" s="34"/>
      <c r="C200" s="34"/>
      <c r="D200" s="34"/>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4"/>
      <c r="AM200" s="34"/>
      <c r="AN200" s="164"/>
      <c r="AO200" s="104"/>
      <c r="AP200" s="104"/>
    </row>
    <row r="201">
      <c r="A201" s="34"/>
      <c r="B201" s="34"/>
      <c r="C201" s="34"/>
      <c r="D201" s="34"/>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4"/>
      <c r="AM201" s="34"/>
      <c r="AN201" s="164"/>
      <c r="AO201" s="104"/>
      <c r="AP201" s="104"/>
    </row>
    <row r="202">
      <c r="A202" s="34"/>
      <c r="B202" s="34"/>
      <c r="C202" s="34"/>
      <c r="D202" s="34"/>
      <c r="E202" s="35"/>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4"/>
      <c r="AM202" s="34"/>
      <c r="AN202" s="164"/>
      <c r="AO202" s="104"/>
      <c r="AP202" s="104"/>
    </row>
    <row r="203">
      <c r="A203" s="34"/>
      <c r="B203" s="34"/>
      <c r="C203" s="34"/>
      <c r="D203" s="34"/>
      <c r="E203" s="35"/>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4"/>
      <c r="AM203" s="34"/>
      <c r="AN203" s="164"/>
      <c r="AO203" s="104"/>
      <c r="AP203" s="104"/>
    </row>
    <row r="204">
      <c r="A204" s="34"/>
      <c r="B204" s="34"/>
      <c r="C204" s="34"/>
      <c r="D204" s="34"/>
      <c r="E204" s="35"/>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4"/>
      <c r="AM204" s="34"/>
      <c r="AN204" s="164"/>
      <c r="AO204" s="104"/>
      <c r="AP204" s="104"/>
    </row>
    <row r="205">
      <c r="A205" s="34"/>
      <c r="B205" s="34"/>
      <c r="C205" s="34"/>
      <c r="D205" s="34"/>
      <c r="E205" s="35"/>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4"/>
      <c r="AM205" s="34"/>
      <c r="AN205" s="164"/>
      <c r="AO205" s="104"/>
      <c r="AP205" s="104"/>
    </row>
    <row r="206">
      <c r="A206" s="34"/>
      <c r="B206" s="34"/>
      <c r="C206" s="34"/>
      <c r="D206" s="34"/>
      <c r="E206" s="35"/>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4"/>
      <c r="AM206" s="34"/>
      <c r="AN206" s="164"/>
      <c r="AO206" s="104"/>
      <c r="AP206" s="104"/>
    </row>
    <row r="207">
      <c r="A207" s="34"/>
      <c r="B207" s="34"/>
      <c r="C207" s="34"/>
      <c r="D207" s="34"/>
      <c r="E207" s="35"/>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4"/>
      <c r="AM207" s="34"/>
      <c r="AN207" s="164"/>
      <c r="AO207" s="104"/>
      <c r="AP207" s="104"/>
    </row>
    <row r="208">
      <c r="A208" s="34"/>
      <c r="B208" s="34"/>
      <c r="C208" s="34"/>
      <c r="D208" s="34"/>
      <c r="E208" s="35"/>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4"/>
      <c r="AM208" s="34"/>
      <c r="AN208" s="164"/>
      <c r="AO208" s="104"/>
      <c r="AP208" s="104"/>
    </row>
    <row r="209">
      <c r="A209" s="34"/>
      <c r="B209" s="34"/>
      <c r="C209" s="34"/>
      <c r="D209" s="34"/>
      <c r="E209" s="35"/>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4"/>
      <c r="AM209" s="34"/>
      <c r="AN209" s="164"/>
      <c r="AO209" s="104"/>
      <c r="AP209" s="104"/>
    </row>
    <row r="210">
      <c r="A210" s="34"/>
      <c r="B210" s="34"/>
      <c r="C210" s="34"/>
      <c r="D210" s="34"/>
      <c r="E210" s="35"/>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4"/>
      <c r="AM210" s="34"/>
      <c r="AN210" s="164"/>
      <c r="AO210" s="104"/>
      <c r="AP210" s="104"/>
    </row>
    <row r="211">
      <c r="A211" s="34"/>
      <c r="B211" s="34"/>
      <c r="C211" s="34"/>
      <c r="D211" s="34"/>
      <c r="E211" s="35"/>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4"/>
      <c r="AM211" s="34"/>
      <c r="AN211" s="164"/>
      <c r="AO211" s="104"/>
      <c r="AP211" s="104"/>
    </row>
    <row r="212">
      <c r="A212" s="34"/>
      <c r="B212" s="34"/>
      <c r="C212" s="34"/>
      <c r="D212" s="34"/>
      <c r="E212" s="35"/>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4"/>
      <c r="AM212" s="34"/>
      <c r="AN212" s="164"/>
      <c r="AO212" s="104"/>
      <c r="AP212" s="104"/>
    </row>
    <row r="213">
      <c r="A213" s="34"/>
      <c r="B213" s="34"/>
      <c r="C213" s="34"/>
      <c r="D213" s="34"/>
      <c r="E213" s="35"/>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4"/>
      <c r="AM213" s="34"/>
      <c r="AN213" s="164"/>
      <c r="AO213" s="104"/>
      <c r="AP213" s="104"/>
    </row>
    <row r="214">
      <c r="A214" s="34"/>
      <c r="B214" s="34"/>
      <c r="C214" s="34"/>
      <c r="D214" s="34"/>
      <c r="E214" s="35"/>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4"/>
      <c r="AM214" s="34"/>
      <c r="AN214" s="164"/>
      <c r="AO214" s="104"/>
      <c r="AP214" s="104"/>
    </row>
    <row r="215">
      <c r="A215" s="34"/>
      <c r="B215" s="34"/>
      <c r="C215" s="34"/>
      <c r="D215" s="34"/>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4"/>
      <c r="AM215" s="34"/>
      <c r="AN215" s="164"/>
      <c r="AO215" s="104"/>
      <c r="AP215" s="104"/>
    </row>
    <row r="216">
      <c r="A216" s="34"/>
      <c r="B216" s="34"/>
      <c r="C216" s="34"/>
      <c r="D216" s="34"/>
      <c r="E216" s="35"/>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4"/>
      <c r="AM216" s="34"/>
      <c r="AN216" s="164"/>
      <c r="AO216" s="104"/>
      <c r="AP216" s="104"/>
    </row>
    <row r="217">
      <c r="A217" s="34"/>
      <c r="B217" s="34"/>
      <c r="C217" s="34"/>
      <c r="D217" s="34"/>
      <c r="E217" s="35"/>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4"/>
      <c r="AM217" s="34"/>
      <c r="AN217" s="164"/>
      <c r="AO217" s="104"/>
      <c r="AP217" s="104"/>
    </row>
    <row r="218">
      <c r="A218" s="34"/>
      <c r="B218" s="34"/>
      <c r="C218" s="34"/>
      <c r="D218" s="34"/>
      <c r="E218" s="35"/>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4"/>
      <c r="AM218" s="34"/>
      <c r="AN218" s="164"/>
      <c r="AO218" s="104"/>
      <c r="AP218" s="104"/>
    </row>
    <row r="219">
      <c r="A219" s="34"/>
      <c r="B219" s="34"/>
      <c r="C219" s="34"/>
      <c r="D219" s="34"/>
      <c r="E219" s="35"/>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4"/>
      <c r="AM219" s="34"/>
      <c r="AN219" s="164"/>
      <c r="AO219" s="104"/>
      <c r="AP219" s="104"/>
    </row>
    <row r="220">
      <c r="A220" s="34"/>
      <c r="B220" s="34"/>
      <c r="C220" s="34"/>
      <c r="D220" s="34"/>
      <c r="E220" s="35"/>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4"/>
      <c r="AM220" s="34"/>
      <c r="AN220" s="164"/>
      <c r="AO220" s="104"/>
      <c r="AP220" s="104"/>
    </row>
    <row r="221">
      <c r="A221" s="34"/>
      <c r="B221" s="34"/>
      <c r="C221" s="34"/>
      <c r="D221" s="34"/>
      <c r="E221" s="35"/>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4"/>
      <c r="AM221" s="34"/>
      <c r="AN221" s="164"/>
      <c r="AO221" s="104"/>
      <c r="AP221" s="104"/>
    </row>
    <row r="222">
      <c r="A222" s="34"/>
      <c r="B222" s="34"/>
      <c r="C222" s="34"/>
      <c r="D222" s="34"/>
      <c r="E222" s="35"/>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4"/>
      <c r="AM222" s="34"/>
      <c r="AN222" s="164"/>
      <c r="AO222" s="104"/>
      <c r="AP222" s="104"/>
    </row>
    <row r="223">
      <c r="A223" s="34"/>
      <c r="B223" s="34"/>
      <c r="C223" s="34"/>
      <c r="D223" s="34"/>
      <c r="E223" s="35"/>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4"/>
      <c r="AM223" s="34"/>
      <c r="AN223" s="164"/>
      <c r="AO223" s="104"/>
      <c r="AP223" s="104"/>
    </row>
    <row r="224">
      <c r="A224" s="34"/>
      <c r="B224" s="34"/>
      <c r="C224" s="34"/>
      <c r="D224" s="34"/>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4"/>
      <c r="AM224" s="34"/>
      <c r="AN224" s="164"/>
      <c r="AO224" s="104"/>
      <c r="AP224" s="104"/>
    </row>
    <row r="225">
      <c r="A225" s="34"/>
      <c r="B225" s="34"/>
      <c r="C225" s="34"/>
      <c r="D225" s="34"/>
      <c r="E225" s="35"/>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4"/>
      <c r="AM225" s="34"/>
      <c r="AN225" s="164"/>
      <c r="AO225" s="104"/>
      <c r="AP225" s="104"/>
    </row>
    <row r="226">
      <c r="A226" s="34"/>
      <c r="B226" s="34"/>
      <c r="C226" s="34"/>
      <c r="D226" s="34"/>
      <c r="E226" s="35"/>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4"/>
      <c r="AM226" s="34"/>
      <c r="AN226" s="164"/>
      <c r="AO226" s="104"/>
      <c r="AP226" s="104"/>
    </row>
    <row r="227">
      <c r="A227" s="34"/>
      <c r="B227" s="34"/>
      <c r="C227" s="34"/>
      <c r="D227" s="34"/>
      <c r="E227" s="35"/>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4"/>
      <c r="AM227" s="34"/>
      <c r="AN227" s="164"/>
      <c r="AO227" s="104"/>
      <c r="AP227" s="104"/>
    </row>
    <row r="228">
      <c r="A228" s="34"/>
      <c r="B228" s="34"/>
      <c r="C228" s="34"/>
      <c r="D228" s="34"/>
      <c r="E228" s="35"/>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4"/>
      <c r="AM228" s="34"/>
      <c r="AN228" s="164"/>
      <c r="AO228" s="104"/>
      <c r="AP228" s="104"/>
    </row>
    <row r="229">
      <c r="A229" s="34"/>
      <c r="B229" s="34"/>
      <c r="C229" s="34"/>
      <c r="D229" s="34"/>
      <c r="E229" s="35"/>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4"/>
      <c r="AM229" s="34"/>
      <c r="AN229" s="164"/>
      <c r="AO229" s="104"/>
      <c r="AP229" s="104"/>
    </row>
    <row r="230">
      <c r="A230" s="34"/>
      <c r="B230" s="34"/>
      <c r="C230" s="34"/>
      <c r="D230" s="34"/>
      <c r="E230" s="35"/>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4"/>
      <c r="AM230" s="34"/>
      <c r="AN230" s="164"/>
      <c r="AO230" s="104"/>
      <c r="AP230" s="104"/>
    </row>
    <row r="231">
      <c r="A231" s="34"/>
      <c r="B231" s="34"/>
      <c r="C231" s="34"/>
      <c r="D231" s="34"/>
      <c r="E231" s="35"/>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4"/>
      <c r="AM231" s="34"/>
      <c r="AN231" s="164"/>
      <c r="AO231" s="104"/>
      <c r="AP231" s="104"/>
    </row>
    <row r="232">
      <c r="A232" s="34"/>
      <c r="B232" s="34"/>
      <c r="C232" s="34"/>
      <c r="D232" s="34"/>
      <c r="E232" s="35"/>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4"/>
      <c r="AM232" s="34"/>
      <c r="AN232" s="164"/>
      <c r="AO232" s="104"/>
      <c r="AP232" s="104"/>
    </row>
    <row r="233">
      <c r="A233" s="34"/>
      <c r="B233" s="34"/>
      <c r="C233" s="34"/>
      <c r="D233" s="34"/>
      <c r="E233" s="35"/>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4"/>
      <c r="AM233" s="34"/>
      <c r="AN233" s="164"/>
      <c r="AO233" s="104"/>
      <c r="AP233" s="104"/>
    </row>
    <row r="234">
      <c r="A234" s="34"/>
      <c r="B234" s="34"/>
      <c r="C234" s="34"/>
      <c r="D234" s="34"/>
      <c r="E234" s="35"/>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4"/>
      <c r="AM234" s="34"/>
      <c r="AN234" s="164"/>
      <c r="AO234" s="104"/>
      <c r="AP234" s="104"/>
    </row>
    <row r="235">
      <c r="A235" s="34"/>
      <c r="B235" s="34"/>
      <c r="C235" s="34"/>
      <c r="D235" s="34"/>
      <c r="E235" s="35"/>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4"/>
      <c r="AM235" s="34"/>
      <c r="AN235" s="164"/>
      <c r="AO235" s="104"/>
      <c r="AP235" s="104"/>
    </row>
    <row r="236">
      <c r="A236" s="34"/>
      <c r="B236" s="34"/>
      <c r="C236" s="34"/>
      <c r="D236" s="34"/>
      <c r="E236" s="35"/>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4"/>
      <c r="AM236" s="34"/>
      <c r="AN236" s="164"/>
      <c r="AO236" s="104"/>
      <c r="AP236" s="104"/>
    </row>
    <row r="237">
      <c r="A237" s="34"/>
      <c r="B237" s="34"/>
      <c r="C237" s="34"/>
      <c r="D237" s="34"/>
      <c r="E237" s="35"/>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4"/>
      <c r="AM237" s="34"/>
      <c r="AN237" s="164"/>
      <c r="AO237" s="104"/>
      <c r="AP237" s="104"/>
    </row>
    <row r="238">
      <c r="A238" s="34"/>
      <c r="B238" s="34"/>
      <c r="C238" s="34"/>
      <c r="D238" s="34"/>
      <c r="E238" s="35"/>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4"/>
      <c r="AM238" s="34"/>
      <c r="AN238" s="164"/>
      <c r="AO238" s="104"/>
      <c r="AP238" s="104"/>
    </row>
    <row r="239">
      <c r="A239" s="34"/>
      <c r="B239" s="34"/>
      <c r="C239" s="34"/>
      <c r="D239" s="34"/>
      <c r="E239" s="35"/>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4"/>
      <c r="AM239" s="34"/>
      <c r="AN239" s="164"/>
      <c r="AO239" s="104"/>
      <c r="AP239" s="104"/>
    </row>
    <row r="240">
      <c r="A240" s="34"/>
      <c r="B240" s="34"/>
      <c r="C240" s="34"/>
      <c r="D240" s="34"/>
      <c r="E240" s="35"/>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4"/>
      <c r="AM240" s="34"/>
      <c r="AN240" s="164"/>
      <c r="AO240" s="104"/>
      <c r="AP240" s="104"/>
    </row>
    <row r="241">
      <c r="A241" s="34"/>
      <c r="B241" s="34"/>
      <c r="C241" s="34"/>
      <c r="D241" s="34"/>
      <c r="E241" s="35"/>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4"/>
      <c r="AM241" s="34"/>
      <c r="AN241" s="164"/>
      <c r="AO241" s="104"/>
      <c r="AP241" s="104"/>
    </row>
    <row r="242">
      <c r="A242" s="34"/>
      <c r="B242" s="34"/>
      <c r="C242" s="34"/>
      <c r="D242" s="34"/>
      <c r="E242" s="35"/>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4"/>
      <c r="AM242" s="34"/>
      <c r="AN242" s="164"/>
      <c r="AO242" s="104"/>
      <c r="AP242" s="104"/>
    </row>
    <row r="243">
      <c r="A243" s="34"/>
      <c r="B243" s="34"/>
      <c r="C243" s="34"/>
      <c r="D243" s="34"/>
      <c r="E243" s="35"/>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4"/>
      <c r="AM243" s="34"/>
      <c r="AN243" s="164"/>
      <c r="AO243" s="104"/>
      <c r="AP243" s="104"/>
    </row>
    <row r="244">
      <c r="A244" s="34"/>
      <c r="B244" s="34"/>
      <c r="C244" s="34"/>
      <c r="D244" s="34"/>
      <c r="E244" s="35"/>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4"/>
      <c r="AM244" s="34"/>
      <c r="AN244" s="164"/>
      <c r="AO244" s="104"/>
      <c r="AP244" s="104"/>
    </row>
    <row r="245">
      <c r="A245" s="34"/>
      <c r="B245" s="34"/>
      <c r="C245" s="34"/>
      <c r="D245" s="34"/>
      <c r="E245" s="35"/>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4"/>
      <c r="AM245" s="34"/>
      <c r="AN245" s="164"/>
      <c r="AO245" s="104"/>
      <c r="AP245" s="104"/>
    </row>
    <row r="246">
      <c r="A246" s="34"/>
      <c r="B246" s="34"/>
      <c r="C246" s="34"/>
      <c r="D246" s="34"/>
      <c r="E246" s="35"/>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4"/>
      <c r="AM246" s="34"/>
      <c r="AN246" s="164"/>
      <c r="AO246" s="104"/>
      <c r="AP246" s="104"/>
    </row>
    <row r="247">
      <c r="A247" s="34"/>
      <c r="B247" s="34"/>
      <c r="C247" s="34"/>
      <c r="D247" s="34"/>
      <c r="E247" s="35"/>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4"/>
      <c r="AM247" s="34"/>
      <c r="AN247" s="164"/>
      <c r="AO247" s="104"/>
      <c r="AP247" s="104"/>
    </row>
    <row r="248">
      <c r="A248" s="34"/>
      <c r="B248" s="34"/>
      <c r="C248" s="34"/>
      <c r="D248" s="34"/>
      <c r="E248" s="35"/>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4"/>
      <c r="AM248" s="34"/>
      <c r="AN248" s="164"/>
      <c r="AO248" s="104"/>
      <c r="AP248" s="104"/>
    </row>
    <row r="249">
      <c r="A249" s="34"/>
      <c r="B249" s="34"/>
      <c r="C249" s="34"/>
      <c r="D249" s="34"/>
      <c r="E249" s="35"/>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4"/>
      <c r="AM249" s="34"/>
      <c r="AN249" s="164"/>
      <c r="AO249" s="104"/>
      <c r="AP249" s="104"/>
    </row>
    <row r="250">
      <c r="A250" s="34"/>
      <c r="B250" s="34"/>
      <c r="C250" s="34"/>
      <c r="D250" s="34"/>
      <c r="E250" s="35"/>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4"/>
      <c r="AM250" s="34"/>
      <c r="AN250" s="164"/>
      <c r="AO250" s="104"/>
      <c r="AP250" s="104"/>
    </row>
    <row r="251">
      <c r="A251" s="34"/>
      <c r="B251" s="34"/>
      <c r="C251" s="34"/>
      <c r="D251" s="34"/>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4"/>
      <c r="AM251" s="34"/>
      <c r="AN251" s="164"/>
      <c r="AO251" s="104"/>
      <c r="AP251" s="104"/>
    </row>
    <row r="252">
      <c r="A252" s="34"/>
      <c r="B252" s="34"/>
      <c r="C252" s="34"/>
      <c r="D252" s="34"/>
      <c r="E252" s="35"/>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4"/>
      <c r="AM252" s="34"/>
      <c r="AN252" s="164"/>
      <c r="AO252" s="104"/>
      <c r="AP252" s="104"/>
    </row>
    <row r="253">
      <c r="A253" s="34"/>
      <c r="B253" s="34"/>
      <c r="C253" s="34"/>
      <c r="D253" s="34"/>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4"/>
      <c r="AM253" s="34"/>
      <c r="AN253" s="164"/>
      <c r="AO253" s="104"/>
      <c r="AP253" s="104"/>
    </row>
    <row r="254">
      <c r="A254" s="34"/>
      <c r="B254" s="34"/>
      <c r="C254" s="34"/>
      <c r="D254" s="34"/>
      <c r="E254" s="35"/>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4"/>
      <c r="AM254" s="34"/>
      <c r="AN254" s="164"/>
      <c r="AO254" s="104"/>
      <c r="AP254" s="104"/>
    </row>
    <row r="255">
      <c r="A255" s="34"/>
      <c r="B255" s="34"/>
      <c r="C255" s="34"/>
      <c r="D255" s="34"/>
      <c r="E255" s="35"/>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4"/>
      <c r="AM255" s="34"/>
      <c r="AN255" s="164"/>
      <c r="AO255" s="104"/>
      <c r="AP255" s="104"/>
    </row>
    <row r="256">
      <c r="A256" s="34"/>
      <c r="B256" s="34"/>
      <c r="C256" s="34"/>
      <c r="D256" s="34"/>
      <c r="E256" s="35"/>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4"/>
      <c r="AM256" s="34"/>
      <c r="AN256" s="164"/>
      <c r="AO256" s="104"/>
      <c r="AP256" s="104"/>
    </row>
    <row r="257">
      <c r="A257" s="34"/>
      <c r="B257" s="34"/>
      <c r="C257" s="34"/>
      <c r="D257" s="34"/>
      <c r="E257" s="35"/>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4"/>
      <c r="AM257" s="34"/>
      <c r="AN257" s="164"/>
      <c r="AO257" s="104"/>
      <c r="AP257" s="104"/>
    </row>
    <row r="258">
      <c r="A258" s="34"/>
      <c r="B258" s="34"/>
      <c r="C258" s="34"/>
      <c r="D258" s="34"/>
      <c r="E258" s="35"/>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4"/>
      <c r="AM258" s="34"/>
      <c r="AN258" s="164"/>
      <c r="AO258" s="104"/>
      <c r="AP258" s="104"/>
    </row>
    <row r="259">
      <c r="A259" s="34"/>
      <c r="B259" s="34"/>
      <c r="C259" s="34"/>
      <c r="D259" s="34"/>
      <c r="E259" s="35"/>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4"/>
      <c r="AM259" s="34"/>
      <c r="AN259" s="164"/>
      <c r="AO259" s="104"/>
      <c r="AP259" s="104"/>
    </row>
    <row r="260">
      <c r="A260" s="34"/>
      <c r="B260" s="34"/>
      <c r="C260" s="34"/>
      <c r="D260" s="34"/>
      <c r="E260" s="35"/>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4"/>
      <c r="AM260" s="34"/>
      <c r="AN260" s="164"/>
      <c r="AO260" s="104"/>
      <c r="AP260" s="104"/>
    </row>
    <row r="261">
      <c r="A261" s="34"/>
      <c r="B261" s="34"/>
      <c r="C261" s="34"/>
      <c r="D261" s="34"/>
      <c r="E261" s="35"/>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4"/>
      <c r="AM261" s="34"/>
      <c r="AN261" s="164"/>
      <c r="AO261" s="104"/>
      <c r="AP261" s="104"/>
    </row>
    <row r="262">
      <c r="A262" s="34"/>
      <c r="B262" s="34"/>
      <c r="C262" s="34"/>
      <c r="D262" s="34"/>
      <c r="E262" s="35"/>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4"/>
      <c r="AM262" s="34"/>
      <c r="AN262" s="164"/>
      <c r="AO262" s="104"/>
      <c r="AP262" s="104"/>
    </row>
    <row r="263">
      <c r="A263" s="34"/>
      <c r="B263" s="34"/>
      <c r="C263" s="34"/>
      <c r="D263" s="34"/>
      <c r="E263" s="35"/>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4"/>
      <c r="AM263" s="34"/>
      <c r="AN263" s="164"/>
      <c r="AO263" s="104"/>
      <c r="AP263" s="104"/>
    </row>
    <row r="264">
      <c r="A264" s="34"/>
      <c r="B264" s="34"/>
      <c r="C264" s="34"/>
      <c r="D264" s="34"/>
      <c r="E264" s="35"/>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4"/>
      <c r="AM264" s="34"/>
      <c r="AN264" s="164"/>
      <c r="AO264" s="104"/>
      <c r="AP264" s="104"/>
    </row>
    <row r="265">
      <c r="A265" s="34"/>
      <c r="B265" s="34"/>
      <c r="C265" s="34"/>
      <c r="D265" s="34"/>
      <c r="E265" s="35"/>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4"/>
      <c r="AM265" s="34"/>
      <c r="AN265" s="164"/>
      <c r="AO265" s="104"/>
      <c r="AP265" s="104"/>
    </row>
    <row r="266">
      <c r="A266" s="34"/>
      <c r="B266" s="34"/>
      <c r="C266" s="34"/>
      <c r="D266" s="34"/>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4"/>
      <c r="AM266" s="34"/>
      <c r="AN266" s="164"/>
      <c r="AO266" s="104"/>
      <c r="AP266" s="104"/>
    </row>
    <row r="267">
      <c r="A267" s="34"/>
      <c r="B267" s="34"/>
      <c r="C267" s="34"/>
      <c r="D267" s="34"/>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4"/>
      <c r="AM267" s="34"/>
      <c r="AN267" s="164"/>
      <c r="AO267" s="104"/>
      <c r="AP267" s="104"/>
    </row>
    <row r="268">
      <c r="A268" s="34"/>
      <c r="B268" s="34"/>
      <c r="C268" s="34"/>
      <c r="D268" s="34"/>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4"/>
      <c r="AM268" s="34"/>
      <c r="AN268" s="164"/>
      <c r="AO268" s="104"/>
      <c r="AP268" s="104"/>
    </row>
    <row r="269">
      <c r="A269" s="34"/>
      <c r="B269" s="34"/>
      <c r="C269" s="34"/>
      <c r="D269" s="34"/>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4"/>
      <c r="AM269" s="34"/>
      <c r="AN269" s="164"/>
      <c r="AO269" s="104"/>
      <c r="AP269" s="104"/>
    </row>
    <row r="270">
      <c r="A270" s="34"/>
      <c r="B270" s="34"/>
      <c r="C270" s="34"/>
      <c r="D270" s="34"/>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4"/>
      <c r="AM270" s="34"/>
      <c r="AN270" s="164"/>
      <c r="AO270" s="104"/>
      <c r="AP270" s="104"/>
    </row>
    <row r="271">
      <c r="A271" s="34"/>
      <c r="B271" s="34"/>
      <c r="C271" s="34"/>
      <c r="D271" s="34"/>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4"/>
      <c r="AM271" s="34"/>
      <c r="AN271" s="164"/>
      <c r="AO271" s="104"/>
      <c r="AP271" s="104"/>
    </row>
    <row r="272">
      <c r="A272" s="34"/>
      <c r="B272" s="34"/>
      <c r="C272" s="34"/>
      <c r="D272" s="34"/>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4"/>
      <c r="AM272" s="34"/>
      <c r="AN272" s="164"/>
      <c r="AO272" s="104"/>
      <c r="AP272" s="104"/>
    </row>
    <row r="273">
      <c r="A273" s="34"/>
      <c r="B273" s="34"/>
      <c r="C273" s="34"/>
      <c r="D273" s="34"/>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4"/>
      <c r="AM273" s="34"/>
      <c r="AN273" s="164"/>
      <c r="AO273" s="104"/>
      <c r="AP273" s="104"/>
    </row>
    <row r="274">
      <c r="A274" s="34"/>
      <c r="B274" s="34"/>
      <c r="C274" s="34"/>
      <c r="D274" s="34"/>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4"/>
      <c r="AM274" s="34"/>
      <c r="AN274" s="164"/>
      <c r="AO274" s="104"/>
      <c r="AP274" s="104"/>
    </row>
    <row r="275">
      <c r="A275" s="34"/>
      <c r="B275" s="34"/>
      <c r="C275" s="34"/>
      <c r="D275" s="34"/>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4"/>
      <c r="AM275" s="34"/>
      <c r="AN275" s="164"/>
      <c r="AO275" s="104"/>
      <c r="AP275" s="104"/>
    </row>
    <row r="276">
      <c r="A276" s="34"/>
      <c r="B276" s="34"/>
      <c r="C276" s="34"/>
      <c r="D276" s="34"/>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4"/>
      <c r="AM276" s="34"/>
      <c r="AN276" s="164"/>
      <c r="AO276" s="104"/>
      <c r="AP276" s="104"/>
    </row>
    <row r="277">
      <c r="A277" s="34"/>
      <c r="B277" s="34"/>
      <c r="C277" s="34"/>
      <c r="D277" s="34"/>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4"/>
      <c r="AM277" s="34"/>
      <c r="AN277" s="164"/>
      <c r="AO277" s="104"/>
      <c r="AP277" s="104"/>
    </row>
    <row r="278">
      <c r="A278" s="34"/>
      <c r="B278" s="34"/>
      <c r="C278" s="34"/>
      <c r="D278" s="34"/>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4"/>
      <c r="AM278" s="34"/>
      <c r="AN278" s="164"/>
      <c r="AO278" s="104"/>
      <c r="AP278" s="104"/>
    </row>
    <row r="279">
      <c r="A279" s="34"/>
      <c r="B279" s="34"/>
      <c r="C279" s="34"/>
      <c r="D279" s="34"/>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4"/>
      <c r="AM279" s="34"/>
      <c r="AN279" s="164"/>
      <c r="AO279" s="104"/>
      <c r="AP279" s="104"/>
    </row>
    <row r="280">
      <c r="A280" s="34"/>
      <c r="B280" s="34"/>
      <c r="C280" s="34"/>
      <c r="D280" s="34"/>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c r="AK280" s="35"/>
      <c r="AL280" s="34"/>
      <c r="AM280" s="34"/>
      <c r="AN280" s="164"/>
      <c r="AO280" s="104"/>
      <c r="AP280" s="104"/>
    </row>
    <row r="281">
      <c r="A281" s="34"/>
      <c r="B281" s="34"/>
      <c r="C281" s="34"/>
      <c r="D281" s="34"/>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c r="AK281" s="35"/>
      <c r="AL281" s="34"/>
      <c r="AM281" s="34"/>
      <c r="AN281" s="164"/>
      <c r="AO281" s="104"/>
      <c r="AP281" s="104"/>
    </row>
    <row r="282">
      <c r="A282" s="34"/>
      <c r="B282" s="34"/>
      <c r="C282" s="34"/>
      <c r="D282" s="34"/>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4"/>
      <c r="AM282" s="34"/>
      <c r="AN282" s="164"/>
      <c r="AO282" s="104"/>
      <c r="AP282" s="104"/>
    </row>
    <row r="283">
      <c r="A283" s="34"/>
      <c r="B283" s="34"/>
      <c r="C283" s="34"/>
      <c r="D283" s="34"/>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c r="AK283" s="35"/>
      <c r="AL283" s="34"/>
      <c r="AM283" s="34"/>
      <c r="AN283" s="164"/>
      <c r="AO283" s="104"/>
      <c r="AP283" s="104"/>
    </row>
    <row r="284">
      <c r="A284" s="34"/>
      <c r="B284" s="34"/>
      <c r="C284" s="34"/>
      <c r="D284" s="34"/>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4"/>
      <c r="AM284" s="34"/>
      <c r="AN284" s="164"/>
      <c r="AO284" s="104"/>
      <c r="AP284" s="104"/>
    </row>
    <row r="285">
      <c r="A285" s="34"/>
      <c r="B285" s="34"/>
      <c r="C285" s="34"/>
      <c r="D285" s="34"/>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4"/>
      <c r="AM285" s="34"/>
      <c r="AN285" s="164"/>
      <c r="AO285" s="104"/>
      <c r="AP285" s="104"/>
    </row>
    <row r="286">
      <c r="A286" s="34"/>
      <c r="B286" s="34"/>
      <c r="C286" s="34"/>
      <c r="D286" s="34"/>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4"/>
      <c r="AM286" s="34"/>
      <c r="AN286" s="164"/>
      <c r="AO286" s="104"/>
      <c r="AP286" s="104"/>
    </row>
    <row r="287">
      <c r="A287" s="34"/>
      <c r="B287" s="34"/>
      <c r="C287" s="34"/>
      <c r="D287" s="34"/>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4"/>
      <c r="AM287" s="34"/>
      <c r="AN287" s="164"/>
      <c r="AO287" s="104"/>
      <c r="AP287" s="104"/>
    </row>
    <row r="288">
      <c r="A288" s="34"/>
      <c r="B288" s="34"/>
      <c r="C288" s="34"/>
      <c r="D288" s="34"/>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4"/>
      <c r="AM288" s="34"/>
      <c r="AN288" s="164"/>
      <c r="AO288" s="104"/>
      <c r="AP288" s="104"/>
    </row>
    <row r="289">
      <c r="A289" s="34"/>
      <c r="B289" s="34"/>
      <c r="C289" s="34"/>
      <c r="D289" s="34"/>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4"/>
      <c r="AM289" s="34"/>
      <c r="AN289" s="164"/>
      <c r="AO289" s="104"/>
      <c r="AP289" s="104"/>
    </row>
    <row r="290">
      <c r="A290" s="34"/>
      <c r="B290" s="34"/>
      <c r="C290" s="34"/>
      <c r="D290" s="34"/>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4"/>
      <c r="AM290" s="34"/>
      <c r="AN290" s="164"/>
      <c r="AO290" s="104"/>
      <c r="AP290" s="104"/>
    </row>
    <row r="291">
      <c r="A291" s="34"/>
      <c r="B291" s="34"/>
      <c r="C291" s="34"/>
      <c r="D291" s="34"/>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4"/>
      <c r="AM291" s="34"/>
      <c r="AN291" s="164"/>
      <c r="AO291" s="104"/>
      <c r="AP291" s="104"/>
    </row>
    <row r="292">
      <c r="A292" s="34"/>
      <c r="B292" s="34"/>
      <c r="C292" s="34"/>
      <c r="D292" s="34"/>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4"/>
      <c r="AM292" s="34"/>
      <c r="AN292" s="164"/>
      <c r="AO292" s="104"/>
      <c r="AP292" s="104"/>
    </row>
    <row r="293">
      <c r="A293" s="34"/>
      <c r="B293" s="34"/>
      <c r="C293" s="34"/>
      <c r="D293" s="34"/>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4"/>
      <c r="AM293" s="34"/>
      <c r="AN293" s="164"/>
      <c r="AO293" s="104"/>
      <c r="AP293" s="104"/>
    </row>
    <row r="294">
      <c r="A294" s="34"/>
      <c r="B294" s="34"/>
      <c r="C294" s="34"/>
      <c r="D294" s="34"/>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4"/>
      <c r="AM294" s="34"/>
      <c r="AN294" s="164"/>
      <c r="AO294" s="104"/>
      <c r="AP294" s="104"/>
    </row>
    <row r="295">
      <c r="A295" s="34"/>
      <c r="B295" s="34"/>
      <c r="C295" s="34"/>
      <c r="D295" s="34"/>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4"/>
      <c r="AM295" s="34"/>
      <c r="AN295" s="164"/>
      <c r="AO295" s="104"/>
      <c r="AP295" s="104"/>
    </row>
    <row r="296">
      <c r="A296" s="34"/>
      <c r="B296" s="34"/>
      <c r="C296" s="34"/>
      <c r="D296" s="34"/>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4"/>
      <c r="AM296" s="34"/>
      <c r="AN296" s="164"/>
      <c r="AO296" s="104"/>
      <c r="AP296" s="104"/>
    </row>
    <row r="297">
      <c r="A297" s="34"/>
      <c r="B297" s="34"/>
      <c r="C297" s="34"/>
      <c r="D297" s="34"/>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4"/>
      <c r="AM297" s="34"/>
      <c r="AN297" s="164"/>
      <c r="AO297" s="104"/>
      <c r="AP297" s="104"/>
    </row>
    <row r="298">
      <c r="A298" s="34"/>
      <c r="B298" s="34"/>
      <c r="C298" s="34"/>
      <c r="D298" s="34"/>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4"/>
      <c r="AM298" s="34"/>
      <c r="AN298" s="164"/>
      <c r="AO298" s="104"/>
      <c r="AP298" s="104"/>
    </row>
    <row r="299">
      <c r="A299" s="34"/>
      <c r="B299" s="34"/>
      <c r="C299" s="34"/>
      <c r="D299" s="34"/>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4"/>
      <c r="AM299" s="34"/>
      <c r="AN299" s="164"/>
      <c r="AO299" s="104"/>
      <c r="AP299" s="104"/>
    </row>
    <row r="300">
      <c r="A300" s="34"/>
      <c r="B300" s="34"/>
      <c r="C300" s="34"/>
      <c r="D300" s="34"/>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4"/>
      <c r="AM300" s="34"/>
      <c r="AN300" s="164"/>
      <c r="AO300" s="104"/>
      <c r="AP300" s="104"/>
    </row>
    <row r="301">
      <c r="A301" s="34"/>
      <c r="B301" s="34"/>
      <c r="C301" s="34"/>
      <c r="D301" s="34"/>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4"/>
      <c r="AM301" s="34"/>
      <c r="AN301" s="164"/>
      <c r="AO301" s="104"/>
      <c r="AP301" s="104"/>
    </row>
    <row r="302">
      <c r="A302" s="34"/>
      <c r="B302" s="34"/>
      <c r="C302" s="34"/>
      <c r="D302" s="34"/>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4"/>
      <c r="AM302" s="34"/>
      <c r="AN302" s="164"/>
      <c r="AO302" s="104"/>
      <c r="AP302" s="104"/>
    </row>
    <row r="303">
      <c r="A303" s="34"/>
      <c r="B303" s="34"/>
      <c r="C303" s="34"/>
      <c r="D303" s="34"/>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4"/>
      <c r="AM303" s="34"/>
      <c r="AN303" s="164"/>
      <c r="AO303" s="104"/>
      <c r="AP303" s="104"/>
    </row>
    <row r="304">
      <c r="A304" s="34"/>
      <c r="B304" s="34"/>
      <c r="C304" s="34"/>
      <c r="D304" s="34"/>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4"/>
      <c r="AM304" s="34"/>
      <c r="AN304" s="164"/>
      <c r="AO304" s="104"/>
      <c r="AP304" s="104"/>
    </row>
    <row r="305">
      <c r="A305" s="34"/>
      <c r="B305" s="34"/>
      <c r="C305" s="34"/>
      <c r="D305" s="34"/>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4"/>
      <c r="AM305" s="34"/>
      <c r="AN305" s="164"/>
      <c r="AO305" s="104"/>
      <c r="AP305" s="104"/>
    </row>
    <row r="306">
      <c r="A306" s="34"/>
      <c r="B306" s="34"/>
      <c r="C306" s="34"/>
      <c r="D306" s="34"/>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4"/>
      <c r="AM306" s="34"/>
      <c r="AN306" s="164"/>
      <c r="AO306" s="104"/>
      <c r="AP306" s="104"/>
    </row>
    <row r="307">
      <c r="A307" s="34"/>
      <c r="B307" s="34"/>
      <c r="C307" s="34"/>
      <c r="D307" s="34"/>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4"/>
      <c r="AM307" s="34"/>
      <c r="AN307" s="164"/>
      <c r="AO307" s="104"/>
      <c r="AP307" s="104"/>
    </row>
    <row r="308">
      <c r="A308" s="34"/>
      <c r="B308" s="34"/>
      <c r="C308" s="34"/>
      <c r="D308" s="34"/>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4"/>
      <c r="AM308" s="34"/>
      <c r="AN308" s="164"/>
      <c r="AO308" s="104"/>
      <c r="AP308" s="104"/>
    </row>
    <row r="309">
      <c r="A309" s="34"/>
      <c r="B309" s="34"/>
      <c r="C309" s="34"/>
      <c r="D309" s="34"/>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4"/>
      <c r="AM309" s="34"/>
      <c r="AN309" s="164"/>
      <c r="AO309" s="104"/>
      <c r="AP309" s="104"/>
    </row>
    <row r="310">
      <c r="A310" s="34"/>
      <c r="B310" s="34"/>
      <c r="C310" s="34"/>
      <c r="D310" s="34"/>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4"/>
      <c r="AM310" s="34"/>
      <c r="AN310" s="164"/>
      <c r="AO310" s="104"/>
      <c r="AP310" s="104"/>
    </row>
    <row r="311">
      <c r="A311" s="34"/>
      <c r="B311" s="34"/>
      <c r="C311" s="34"/>
      <c r="D311" s="34"/>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4"/>
      <c r="AM311" s="34"/>
      <c r="AN311" s="164"/>
      <c r="AO311" s="104"/>
      <c r="AP311" s="104"/>
    </row>
    <row r="312">
      <c r="A312" s="34"/>
      <c r="B312" s="34"/>
      <c r="C312" s="34"/>
      <c r="D312" s="34"/>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4"/>
      <c r="AM312" s="34"/>
      <c r="AN312" s="164"/>
      <c r="AO312" s="104"/>
      <c r="AP312" s="104"/>
    </row>
    <row r="313">
      <c r="A313" s="34"/>
      <c r="B313" s="34"/>
      <c r="C313" s="34"/>
      <c r="D313" s="34"/>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c r="AH313" s="35"/>
      <c r="AI313" s="35"/>
      <c r="AJ313" s="35"/>
      <c r="AK313" s="35"/>
      <c r="AL313" s="34"/>
      <c r="AM313" s="34"/>
      <c r="AN313" s="164"/>
      <c r="AO313" s="104"/>
      <c r="AP313" s="104"/>
    </row>
    <row r="314">
      <c r="A314" s="34"/>
      <c r="B314" s="34"/>
      <c r="C314" s="34"/>
      <c r="D314" s="34"/>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c r="AH314" s="35"/>
      <c r="AI314" s="35"/>
      <c r="AJ314" s="35"/>
      <c r="AK314" s="35"/>
      <c r="AL314" s="34"/>
      <c r="AM314" s="34"/>
      <c r="AN314" s="164"/>
      <c r="AO314" s="104"/>
      <c r="AP314" s="104"/>
    </row>
    <row r="315">
      <c r="A315" s="34"/>
      <c r="B315" s="34"/>
      <c r="C315" s="34"/>
      <c r="D315" s="34"/>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4"/>
      <c r="AM315" s="34"/>
      <c r="AN315" s="164"/>
      <c r="AO315" s="104"/>
      <c r="AP315" s="104"/>
    </row>
    <row r="316">
      <c r="A316" s="34"/>
      <c r="B316" s="34"/>
      <c r="C316" s="34"/>
      <c r="D316" s="34"/>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4"/>
      <c r="AM316" s="34"/>
      <c r="AN316" s="164"/>
      <c r="AO316" s="104"/>
      <c r="AP316" s="104"/>
    </row>
    <row r="317">
      <c r="A317" s="34"/>
      <c r="B317" s="34"/>
      <c r="C317" s="34"/>
      <c r="D317" s="34"/>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4"/>
      <c r="AM317" s="34"/>
      <c r="AN317" s="164"/>
      <c r="AO317" s="104"/>
      <c r="AP317" s="104"/>
    </row>
    <row r="318">
      <c r="A318" s="34"/>
      <c r="B318" s="34"/>
      <c r="C318" s="34"/>
      <c r="D318" s="34"/>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4"/>
      <c r="AM318" s="34"/>
      <c r="AN318" s="164"/>
      <c r="AO318" s="104"/>
      <c r="AP318" s="104"/>
    </row>
    <row r="319">
      <c r="A319" s="34"/>
      <c r="B319" s="34"/>
      <c r="C319" s="34"/>
      <c r="D319" s="34"/>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4"/>
      <c r="AM319" s="34"/>
      <c r="AN319" s="164"/>
      <c r="AO319" s="104"/>
      <c r="AP319" s="104"/>
    </row>
    <row r="320">
      <c r="A320" s="34"/>
      <c r="B320" s="34"/>
      <c r="C320" s="34"/>
      <c r="D320" s="34"/>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4"/>
      <c r="AM320" s="34"/>
      <c r="AN320" s="164"/>
      <c r="AO320" s="104"/>
      <c r="AP320" s="104"/>
    </row>
    <row r="321">
      <c r="A321" s="34"/>
      <c r="B321" s="34"/>
      <c r="C321" s="34"/>
      <c r="D321" s="34"/>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4"/>
      <c r="AM321" s="34"/>
      <c r="AN321" s="164"/>
      <c r="AO321" s="104"/>
      <c r="AP321" s="104"/>
    </row>
    <row r="322">
      <c r="A322" s="132"/>
      <c r="B322" s="132"/>
      <c r="C322" s="132"/>
      <c r="D322" s="132"/>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c r="AE322" s="133"/>
      <c r="AF322" s="133"/>
      <c r="AG322" s="133"/>
      <c r="AH322" s="133"/>
      <c r="AI322" s="133"/>
      <c r="AJ322" s="133"/>
      <c r="AK322" s="133"/>
      <c r="AL322" s="132"/>
      <c r="AM322" s="132"/>
      <c r="AN322" s="164"/>
      <c r="AO322" s="104"/>
      <c r="AP322" s="104"/>
    </row>
    <row r="323">
      <c r="A323" s="132"/>
      <c r="B323" s="132"/>
      <c r="C323" s="132"/>
      <c r="D323" s="132"/>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c r="AC323" s="133"/>
      <c r="AD323" s="133"/>
      <c r="AE323" s="133"/>
      <c r="AF323" s="133"/>
      <c r="AG323" s="133"/>
      <c r="AH323" s="133"/>
      <c r="AI323" s="133"/>
      <c r="AJ323" s="133"/>
      <c r="AK323" s="133"/>
      <c r="AL323" s="132"/>
      <c r="AM323" s="132"/>
      <c r="AN323" s="164"/>
      <c r="AO323" s="104"/>
      <c r="AP323" s="104"/>
    </row>
    <row r="324">
      <c r="A324" s="132"/>
      <c r="B324" s="132"/>
      <c r="C324" s="132"/>
      <c r="D324" s="132"/>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c r="AC324" s="133"/>
      <c r="AD324" s="133"/>
      <c r="AE324" s="133"/>
      <c r="AF324" s="133"/>
      <c r="AG324" s="133"/>
      <c r="AH324" s="133"/>
      <c r="AI324" s="133"/>
      <c r="AJ324" s="133"/>
      <c r="AK324" s="133"/>
      <c r="AL324" s="132"/>
      <c r="AM324" s="132"/>
      <c r="AN324" s="164"/>
      <c r="AO324" s="104"/>
      <c r="AP324" s="104"/>
    </row>
    <row r="325">
      <c r="A325" s="132"/>
      <c r="B325" s="132"/>
      <c r="C325" s="132"/>
      <c r="D325" s="132"/>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c r="AC325" s="133"/>
      <c r="AD325" s="133"/>
      <c r="AE325" s="133"/>
      <c r="AF325" s="133"/>
      <c r="AG325" s="133"/>
      <c r="AH325" s="133"/>
      <c r="AI325" s="133"/>
      <c r="AJ325" s="133"/>
      <c r="AK325" s="133"/>
      <c r="AL325" s="132"/>
      <c r="AM325" s="132"/>
      <c r="AN325" s="164"/>
      <c r="AO325" s="104"/>
      <c r="AP325" s="104"/>
    </row>
    <row r="326">
      <c r="A326" s="132"/>
      <c r="B326" s="132"/>
      <c r="C326" s="132"/>
      <c r="D326" s="132"/>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c r="AC326" s="133"/>
      <c r="AD326" s="133"/>
      <c r="AE326" s="133"/>
      <c r="AF326" s="133"/>
      <c r="AG326" s="133"/>
      <c r="AH326" s="133"/>
      <c r="AI326" s="133"/>
      <c r="AJ326" s="133"/>
      <c r="AK326" s="133"/>
      <c r="AL326" s="132"/>
      <c r="AM326" s="132"/>
      <c r="AN326" s="164"/>
      <c r="AO326" s="104"/>
      <c r="AP326" s="104"/>
    </row>
    <row r="327">
      <c r="A327" s="132"/>
      <c r="B327" s="132"/>
      <c r="C327" s="132"/>
      <c r="D327" s="132"/>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c r="AE327" s="133"/>
      <c r="AF327" s="133"/>
      <c r="AG327" s="133"/>
      <c r="AH327" s="133"/>
      <c r="AI327" s="133"/>
      <c r="AJ327" s="133"/>
      <c r="AK327" s="133"/>
      <c r="AL327" s="132"/>
      <c r="AM327" s="132"/>
      <c r="AN327" s="164"/>
      <c r="AO327" s="104"/>
      <c r="AP327" s="104"/>
    </row>
    <row r="328">
      <c r="A328" s="132"/>
      <c r="B328" s="132"/>
      <c r="C328" s="132"/>
      <c r="D328" s="132"/>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c r="AE328" s="133"/>
      <c r="AF328" s="133"/>
      <c r="AG328" s="133"/>
      <c r="AH328" s="133"/>
      <c r="AI328" s="133"/>
      <c r="AJ328" s="133"/>
      <c r="AK328" s="133"/>
      <c r="AL328" s="132"/>
      <c r="AM328" s="132"/>
      <c r="AN328" s="164"/>
      <c r="AO328" s="104"/>
      <c r="AP328" s="104"/>
    </row>
    <row r="329">
      <c r="A329" s="132"/>
      <c r="B329" s="132"/>
      <c r="C329" s="132"/>
      <c r="D329" s="132"/>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c r="AE329" s="133"/>
      <c r="AF329" s="133"/>
      <c r="AG329" s="133"/>
      <c r="AH329" s="133"/>
      <c r="AI329" s="133"/>
      <c r="AJ329" s="133"/>
      <c r="AK329" s="133"/>
      <c r="AL329" s="132"/>
      <c r="AM329" s="132"/>
      <c r="AN329" s="164"/>
      <c r="AO329" s="104"/>
      <c r="AP329" s="104"/>
    </row>
    <row r="330">
      <c r="A330" s="132"/>
      <c r="B330" s="132"/>
      <c r="C330" s="132"/>
      <c r="D330" s="132"/>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c r="AE330" s="133"/>
      <c r="AF330" s="133"/>
      <c r="AG330" s="133"/>
      <c r="AH330" s="133"/>
      <c r="AI330" s="133"/>
      <c r="AJ330" s="133"/>
      <c r="AK330" s="133"/>
      <c r="AL330" s="132"/>
      <c r="AM330" s="132"/>
      <c r="AN330" s="164"/>
      <c r="AO330" s="104"/>
      <c r="AP330" s="104"/>
    </row>
    <row r="331">
      <c r="A331" s="132"/>
      <c r="B331" s="132"/>
      <c r="C331" s="132"/>
      <c r="D331" s="132"/>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c r="AC331" s="133"/>
      <c r="AD331" s="133"/>
      <c r="AE331" s="133"/>
      <c r="AF331" s="133"/>
      <c r="AG331" s="133"/>
      <c r="AH331" s="133"/>
      <c r="AI331" s="133"/>
      <c r="AJ331" s="133"/>
      <c r="AK331" s="133"/>
      <c r="AL331" s="132"/>
      <c r="AM331" s="132"/>
      <c r="AN331" s="164"/>
      <c r="AO331" s="104"/>
      <c r="AP331" s="104"/>
    </row>
    <row r="332">
      <c r="A332" s="132"/>
      <c r="B332" s="132"/>
      <c r="C332" s="132"/>
      <c r="D332" s="132"/>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c r="AE332" s="133"/>
      <c r="AF332" s="133"/>
      <c r="AG332" s="133"/>
      <c r="AH332" s="133"/>
      <c r="AI332" s="133"/>
      <c r="AJ332" s="133"/>
      <c r="AK332" s="133"/>
      <c r="AL332" s="132"/>
      <c r="AM332" s="132"/>
      <c r="AN332" s="164"/>
      <c r="AO332" s="104"/>
      <c r="AP332" s="104"/>
    </row>
    <row r="333">
      <c r="A333" s="132"/>
      <c r="B333" s="132"/>
      <c r="C333" s="132"/>
      <c r="D333" s="132"/>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c r="AE333" s="133"/>
      <c r="AF333" s="133"/>
      <c r="AG333" s="133"/>
      <c r="AH333" s="133"/>
      <c r="AI333" s="133"/>
      <c r="AJ333" s="133"/>
      <c r="AK333" s="133"/>
      <c r="AL333" s="132"/>
      <c r="AM333" s="132"/>
      <c r="AN333" s="164"/>
      <c r="AO333" s="104"/>
      <c r="AP333" s="104"/>
    </row>
    <row r="334">
      <c r="A334" s="132"/>
      <c r="B334" s="132"/>
      <c r="C334" s="132"/>
      <c r="D334" s="132"/>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c r="AE334" s="133"/>
      <c r="AF334" s="133"/>
      <c r="AG334" s="133"/>
      <c r="AH334" s="133"/>
      <c r="AI334" s="133"/>
      <c r="AJ334" s="133"/>
      <c r="AK334" s="133"/>
      <c r="AL334" s="132"/>
      <c r="AM334" s="132"/>
      <c r="AN334" s="164"/>
      <c r="AO334" s="104"/>
      <c r="AP334" s="104"/>
    </row>
    <row r="335">
      <c r="A335" s="132"/>
      <c r="B335" s="132"/>
      <c r="C335" s="132"/>
      <c r="D335" s="132"/>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c r="AC335" s="133"/>
      <c r="AD335" s="133"/>
      <c r="AE335" s="133"/>
      <c r="AF335" s="133"/>
      <c r="AG335" s="133"/>
      <c r="AH335" s="133"/>
      <c r="AI335" s="133"/>
      <c r="AJ335" s="133"/>
      <c r="AK335" s="133"/>
      <c r="AL335" s="132"/>
      <c r="AM335" s="132"/>
      <c r="AN335" s="164"/>
      <c r="AO335" s="104"/>
      <c r="AP335" s="104"/>
    </row>
    <row r="336">
      <c r="A336" s="132"/>
      <c r="B336" s="132"/>
      <c r="C336" s="132"/>
      <c r="D336" s="132"/>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c r="AC336" s="133"/>
      <c r="AD336" s="133"/>
      <c r="AE336" s="133"/>
      <c r="AF336" s="133"/>
      <c r="AG336" s="133"/>
      <c r="AH336" s="133"/>
      <c r="AI336" s="133"/>
      <c r="AJ336" s="133"/>
      <c r="AK336" s="133"/>
      <c r="AL336" s="132"/>
      <c r="AM336" s="132"/>
      <c r="AN336" s="164"/>
      <c r="AO336" s="104"/>
      <c r="AP336" s="104"/>
    </row>
    <row r="337">
      <c r="A337" s="132"/>
      <c r="B337" s="132"/>
      <c r="C337" s="132"/>
      <c r="D337" s="132"/>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2"/>
      <c r="AM337" s="132"/>
      <c r="AN337" s="164"/>
      <c r="AO337" s="104"/>
      <c r="AP337" s="104"/>
    </row>
    <row r="338">
      <c r="A338" s="132"/>
      <c r="B338" s="132"/>
      <c r="C338" s="132"/>
      <c r="D338" s="132"/>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3"/>
      <c r="AJ338" s="133"/>
      <c r="AK338" s="133"/>
      <c r="AL338" s="132"/>
      <c r="AM338" s="132"/>
      <c r="AN338" s="164"/>
      <c r="AO338" s="104"/>
      <c r="AP338" s="104"/>
    </row>
    <row r="339">
      <c r="A339" s="132"/>
      <c r="B339" s="132"/>
      <c r="C339" s="132"/>
      <c r="D339" s="132"/>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c r="AE339" s="133"/>
      <c r="AF339" s="133"/>
      <c r="AG339" s="133"/>
      <c r="AH339" s="133"/>
      <c r="AI339" s="133"/>
      <c r="AJ339" s="133"/>
      <c r="AK339" s="133"/>
      <c r="AL339" s="132"/>
      <c r="AM339" s="132"/>
      <c r="AN339" s="164"/>
      <c r="AO339" s="104"/>
      <c r="AP339" s="104"/>
    </row>
    <row r="340">
      <c r="A340" s="132"/>
      <c r="B340" s="132"/>
      <c r="C340" s="132"/>
      <c r="D340" s="132"/>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c r="AC340" s="133"/>
      <c r="AD340" s="133"/>
      <c r="AE340" s="133"/>
      <c r="AF340" s="133"/>
      <c r="AG340" s="133"/>
      <c r="AH340" s="133"/>
      <c r="AI340" s="133"/>
      <c r="AJ340" s="133"/>
      <c r="AK340" s="133"/>
      <c r="AL340" s="132"/>
      <c r="AM340" s="132"/>
      <c r="AN340" s="164"/>
      <c r="AO340" s="104"/>
      <c r="AP340" s="104"/>
    </row>
    <row r="341">
      <c r="A341" s="132"/>
      <c r="B341" s="132"/>
      <c r="C341" s="132"/>
      <c r="D341" s="132"/>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c r="AE341" s="133"/>
      <c r="AF341" s="133"/>
      <c r="AG341" s="133"/>
      <c r="AH341" s="133"/>
      <c r="AI341" s="133"/>
      <c r="AJ341" s="133"/>
      <c r="AK341" s="133"/>
      <c r="AL341" s="132"/>
      <c r="AM341" s="132"/>
      <c r="AN341" s="164"/>
      <c r="AO341" s="104"/>
      <c r="AP341" s="104"/>
    </row>
    <row r="342">
      <c r="A342" s="132"/>
      <c r="B342" s="132"/>
      <c r="C342" s="132"/>
      <c r="D342" s="132"/>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c r="AE342" s="133"/>
      <c r="AF342" s="133"/>
      <c r="AG342" s="133"/>
      <c r="AH342" s="133"/>
      <c r="AI342" s="133"/>
      <c r="AJ342" s="133"/>
      <c r="AK342" s="133"/>
      <c r="AL342" s="132"/>
      <c r="AM342" s="132"/>
      <c r="AN342" s="164"/>
      <c r="AO342" s="104"/>
      <c r="AP342" s="104"/>
    </row>
    <row r="343">
      <c r="A343" s="132"/>
      <c r="B343" s="132"/>
      <c r="C343" s="132"/>
      <c r="D343" s="132"/>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c r="AE343" s="133"/>
      <c r="AF343" s="133"/>
      <c r="AG343" s="133"/>
      <c r="AH343" s="133"/>
      <c r="AI343" s="133"/>
      <c r="AJ343" s="133"/>
      <c r="AK343" s="133"/>
      <c r="AL343" s="132"/>
      <c r="AM343" s="132"/>
      <c r="AN343" s="164"/>
      <c r="AO343" s="104"/>
      <c r="AP343" s="104"/>
    </row>
    <row r="344">
      <c r="A344" s="132"/>
      <c r="B344" s="132"/>
      <c r="C344" s="132"/>
      <c r="D344" s="132"/>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c r="AE344" s="133"/>
      <c r="AF344" s="133"/>
      <c r="AG344" s="133"/>
      <c r="AH344" s="133"/>
      <c r="AI344" s="133"/>
      <c r="AJ344" s="133"/>
      <c r="AK344" s="133"/>
      <c r="AL344" s="132"/>
      <c r="AM344" s="132"/>
      <c r="AN344" s="164"/>
      <c r="AO344" s="104"/>
      <c r="AP344" s="104"/>
    </row>
    <row r="345">
      <c r="A345" s="132"/>
      <c r="B345" s="132"/>
      <c r="C345" s="132"/>
      <c r="D345" s="132"/>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c r="AE345" s="133"/>
      <c r="AF345" s="133"/>
      <c r="AG345" s="133"/>
      <c r="AH345" s="133"/>
      <c r="AI345" s="133"/>
      <c r="AJ345" s="133"/>
      <c r="AK345" s="133"/>
      <c r="AL345" s="132"/>
      <c r="AM345" s="132"/>
      <c r="AN345" s="164"/>
      <c r="AO345" s="104"/>
      <c r="AP345" s="104"/>
    </row>
    <row r="346">
      <c r="A346" s="132"/>
      <c r="B346" s="132"/>
      <c r="C346" s="132"/>
      <c r="D346" s="132"/>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c r="AG346" s="133"/>
      <c r="AH346" s="133"/>
      <c r="AI346" s="133"/>
      <c r="AJ346" s="133"/>
      <c r="AK346" s="133"/>
      <c r="AL346" s="132"/>
      <c r="AM346" s="132"/>
      <c r="AN346" s="164"/>
      <c r="AO346" s="104"/>
      <c r="AP346" s="104"/>
    </row>
    <row r="347">
      <c r="A347" s="132"/>
      <c r="B347" s="132"/>
      <c r="C347" s="132"/>
      <c r="D347" s="132"/>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c r="AG347" s="133"/>
      <c r="AH347" s="133"/>
      <c r="AI347" s="133"/>
      <c r="AJ347" s="133"/>
      <c r="AK347" s="133"/>
      <c r="AL347" s="132"/>
      <c r="AM347" s="132"/>
      <c r="AN347" s="164"/>
      <c r="AO347" s="104"/>
      <c r="AP347" s="104"/>
    </row>
    <row r="348">
      <c r="A348" s="132"/>
      <c r="B348" s="132"/>
      <c r="C348" s="132"/>
      <c r="D348" s="132"/>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c r="AG348" s="133"/>
      <c r="AH348" s="133"/>
      <c r="AI348" s="133"/>
      <c r="AJ348" s="133"/>
      <c r="AK348" s="133"/>
      <c r="AL348" s="132"/>
      <c r="AM348" s="132"/>
      <c r="AN348" s="164"/>
      <c r="AO348" s="104"/>
      <c r="AP348" s="104"/>
    </row>
    <row r="349">
      <c r="A349" s="132"/>
      <c r="B349" s="132"/>
      <c r="C349" s="132"/>
      <c r="D349" s="132"/>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c r="AE349" s="133"/>
      <c r="AF349" s="133"/>
      <c r="AG349" s="133"/>
      <c r="AH349" s="133"/>
      <c r="AI349" s="133"/>
      <c r="AJ349" s="133"/>
      <c r="AK349" s="133"/>
      <c r="AL349" s="132"/>
      <c r="AM349" s="132"/>
      <c r="AN349" s="164"/>
      <c r="AO349" s="104"/>
      <c r="AP349" s="104"/>
    </row>
    <row r="350">
      <c r="A350" s="132"/>
      <c r="B350" s="132"/>
      <c r="C350" s="132"/>
      <c r="D350" s="132"/>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c r="AG350" s="133"/>
      <c r="AH350" s="133"/>
      <c r="AI350" s="133"/>
      <c r="AJ350" s="133"/>
      <c r="AK350" s="133"/>
      <c r="AL350" s="132"/>
      <c r="AM350" s="132"/>
      <c r="AN350" s="164"/>
      <c r="AO350" s="104"/>
      <c r="AP350" s="104"/>
    </row>
    <row r="351">
      <c r="A351" s="132"/>
      <c r="B351" s="132"/>
      <c r="C351" s="132"/>
      <c r="D351" s="132"/>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c r="AG351" s="133"/>
      <c r="AH351" s="133"/>
      <c r="AI351" s="133"/>
      <c r="AJ351" s="133"/>
      <c r="AK351" s="133"/>
      <c r="AL351" s="132"/>
      <c r="AM351" s="132"/>
      <c r="AN351" s="164"/>
      <c r="AO351" s="104"/>
      <c r="AP351" s="104"/>
    </row>
    <row r="352">
      <c r="A352" s="132"/>
      <c r="B352" s="132"/>
      <c r="C352" s="132"/>
      <c r="D352" s="132"/>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c r="AE352" s="133"/>
      <c r="AF352" s="133"/>
      <c r="AG352" s="133"/>
      <c r="AH352" s="133"/>
      <c r="AI352" s="133"/>
      <c r="AJ352" s="133"/>
      <c r="AK352" s="133"/>
      <c r="AL352" s="132"/>
      <c r="AM352" s="132"/>
      <c r="AN352" s="164"/>
      <c r="AO352" s="104"/>
      <c r="AP352" s="104"/>
    </row>
    <row r="353">
      <c r="A353" s="132"/>
      <c r="B353" s="132"/>
      <c r="C353" s="132"/>
      <c r="D353" s="132"/>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c r="AG353" s="133"/>
      <c r="AH353" s="133"/>
      <c r="AI353" s="133"/>
      <c r="AJ353" s="133"/>
      <c r="AK353" s="133"/>
      <c r="AL353" s="132"/>
      <c r="AM353" s="132"/>
      <c r="AN353" s="164"/>
      <c r="AO353" s="104"/>
      <c r="AP353" s="104"/>
    </row>
    <row r="354">
      <c r="A354" s="132"/>
      <c r="B354" s="132"/>
      <c r="C354" s="132"/>
      <c r="D354" s="132"/>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c r="AI354" s="133"/>
      <c r="AJ354" s="133"/>
      <c r="AK354" s="133"/>
      <c r="AL354" s="132"/>
      <c r="AM354" s="132"/>
      <c r="AN354" s="164"/>
      <c r="AO354" s="104"/>
      <c r="AP354" s="104"/>
    </row>
    <row r="355">
      <c r="A355" s="132"/>
      <c r="B355" s="132"/>
      <c r="C355" s="132"/>
      <c r="D355" s="132"/>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c r="AG355" s="133"/>
      <c r="AH355" s="133"/>
      <c r="AI355" s="133"/>
      <c r="AJ355" s="133"/>
      <c r="AK355" s="133"/>
      <c r="AL355" s="132"/>
      <c r="AM355" s="132"/>
      <c r="AN355" s="164"/>
      <c r="AO355" s="104"/>
      <c r="AP355" s="104"/>
    </row>
    <row r="356">
      <c r="A356" s="132"/>
      <c r="B356" s="132"/>
      <c r="C356" s="132"/>
      <c r="D356" s="132"/>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c r="AE356" s="133"/>
      <c r="AF356" s="133"/>
      <c r="AG356" s="133"/>
      <c r="AH356" s="133"/>
      <c r="AI356" s="133"/>
      <c r="AJ356" s="133"/>
      <c r="AK356" s="133"/>
      <c r="AL356" s="132"/>
      <c r="AM356" s="132"/>
      <c r="AN356" s="164"/>
      <c r="AO356" s="104"/>
      <c r="AP356" s="104"/>
    </row>
    <row r="357">
      <c r="A357" s="132"/>
      <c r="B357" s="132"/>
      <c r="C357" s="132"/>
      <c r="D357" s="132"/>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c r="AG357" s="133"/>
      <c r="AH357" s="133"/>
      <c r="AI357" s="133"/>
      <c r="AJ357" s="133"/>
      <c r="AK357" s="133"/>
      <c r="AL357" s="132"/>
      <c r="AM357" s="132"/>
      <c r="AN357" s="164"/>
      <c r="AO357" s="104"/>
      <c r="AP357" s="104"/>
    </row>
    <row r="358">
      <c r="A358" s="132"/>
      <c r="B358" s="132"/>
      <c r="C358" s="132"/>
      <c r="D358" s="132"/>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c r="AE358" s="133"/>
      <c r="AF358" s="133"/>
      <c r="AG358" s="133"/>
      <c r="AH358" s="133"/>
      <c r="AI358" s="133"/>
      <c r="AJ358" s="133"/>
      <c r="AK358" s="133"/>
      <c r="AL358" s="132"/>
      <c r="AM358" s="132"/>
      <c r="AN358" s="164"/>
      <c r="AO358" s="104"/>
      <c r="AP358" s="104"/>
    </row>
    <row r="359">
      <c r="A359" s="132"/>
      <c r="B359" s="132"/>
      <c r="C359" s="132"/>
      <c r="D359" s="132"/>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c r="AE359" s="133"/>
      <c r="AF359" s="133"/>
      <c r="AG359" s="133"/>
      <c r="AH359" s="133"/>
      <c r="AI359" s="133"/>
      <c r="AJ359" s="133"/>
      <c r="AK359" s="133"/>
      <c r="AL359" s="132"/>
      <c r="AM359" s="132"/>
      <c r="AN359" s="164"/>
      <c r="AO359" s="104"/>
      <c r="AP359" s="104"/>
    </row>
    <row r="360">
      <c r="A360" s="132"/>
      <c r="B360" s="132"/>
      <c r="C360" s="132"/>
      <c r="D360" s="132"/>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c r="AI360" s="133"/>
      <c r="AJ360" s="133"/>
      <c r="AK360" s="133"/>
      <c r="AL360" s="132"/>
      <c r="AM360" s="132"/>
      <c r="AN360" s="164"/>
      <c r="AO360" s="104"/>
      <c r="AP360" s="104"/>
    </row>
    <row r="361">
      <c r="A361" s="132"/>
      <c r="B361" s="132"/>
      <c r="C361" s="132"/>
      <c r="D361" s="132"/>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c r="AE361" s="133"/>
      <c r="AF361" s="133"/>
      <c r="AG361" s="133"/>
      <c r="AH361" s="133"/>
      <c r="AI361" s="133"/>
      <c r="AJ361" s="133"/>
      <c r="AK361" s="133"/>
      <c r="AL361" s="132"/>
      <c r="AM361" s="132"/>
      <c r="AN361" s="164"/>
      <c r="AO361" s="104"/>
      <c r="AP361" s="104"/>
    </row>
    <row r="362">
      <c r="A362" s="132"/>
      <c r="B362" s="132"/>
      <c r="C362" s="132"/>
      <c r="D362" s="132"/>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c r="AE362" s="133"/>
      <c r="AF362" s="133"/>
      <c r="AG362" s="133"/>
      <c r="AH362" s="133"/>
      <c r="AI362" s="133"/>
      <c r="AJ362" s="133"/>
      <c r="AK362" s="133"/>
      <c r="AL362" s="132"/>
      <c r="AM362" s="132"/>
      <c r="AN362" s="164"/>
      <c r="AO362" s="104"/>
      <c r="AP362" s="104"/>
    </row>
    <row r="363">
      <c r="A363" s="132"/>
      <c r="B363" s="132"/>
      <c r="C363" s="132"/>
      <c r="D363" s="132"/>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c r="AE363" s="133"/>
      <c r="AF363" s="133"/>
      <c r="AG363" s="133"/>
      <c r="AH363" s="133"/>
      <c r="AI363" s="133"/>
      <c r="AJ363" s="133"/>
      <c r="AK363" s="133"/>
      <c r="AL363" s="132"/>
      <c r="AM363" s="132"/>
      <c r="AN363" s="164"/>
      <c r="AO363" s="104"/>
      <c r="AP363" s="104"/>
    </row>
    <row r="364">
      <c r="A364" s="132"/>
      <c r="B364" s="132"/>
      <c r="C364" s="132"/>
      <c r="D364" s="132"/>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c r="AE364" s="133"/>
      <c r="AF364" s="133"/>
      <c r="AG364" s="133"/>
      <c r="AH364" s="133"/>
      <c r="AI364" s="133"/>
      <c r="AJ364" s="133"/>
      <c r="AK364" s="133"/>
      <c r="AL364" s="132"/>
      <c r="AM364" s="132"/>
      <c r="AN364" s="164"/>
      <c r="AO364" s="104"/>
      <c r="AP364" s="104"/>
    </row>
    <row r="365">
      <c r="A365" s="132"/>
      <c r="B365" s="132"/>
      <c r="C365" s="132"/>
      <c r="D365" s="132"/>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c r="AE365" s="133"/>
      <c r="AF365" s="133"/>
      <c r="AG365" s="133"/>
      <c r="AH365" s="133"/>
      <c r="AI365" s="133"/>
      <c r="AJ365" s="133"/>
      <c r="AK365" s="133"/>
      <c r="AL365" s="132"/>
      <c r="AM365" s="132"/>
      <c r="AN365" s="164"/>
      <c r="AO365" s="104"/>
      <c r="AP365" s="104"/>
    </row>
    <row r="366">
      <c r="A366" s="132"/>
      <c r="B366" s="132"/>
      <c r="C366" s="132"/>
      <c r="D366" s="132"/>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c r="AI366" s="133"/>
      <c r="AJ366" s="133"/>
      <c r="AK366" s="133"/>
      <c r="AL366" s="132"/>
      <c r="AM366" s="132"/>
      <c r="AN366" s="164"/>
      <c r="AO366" s="104"/>
      <c r="AP366" s="104"/>
    </row>
    <row r="367">
      <c r="A367" s="132"/>
      <c r="B367" s="132"/>
      <c r="C367" s="132"/>
      <c r="D367" s="132"/>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c r="AE367" s="133"/>
      <c r="AF367" s="133"/>
      <c r="AG367" s="133"/>
      <c r="AH367" s="133"/>
      <c r="AI367" s="133"/>
      <c r="AJ367" s="133"/>
      <c r="AK367" s="133"/>
      <c r="AL367" s="132"/>
      <c r="AM367" s="132"/>
      <c r="AN367" s="164"/>
      <c r="AO367" s="104"/>
      <c r="AP367" s="104"/>
    </row>
    <row r="368">
      <c r="A368" s="132"/>
      <c r="B368" s="132"/>
      <c r="C368" s="132"/>
      <c r="D368" s="132"/>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c r="AE368" s="133"/>
      <c r="AF368" s="133"/>
      <c r="AG368" s="133"/>
      <c r="AH368" s="133"/>
      <c r="AI368" s="133"/>
      <c r="AJ368" s="133"/>
      <c r="AK368" s="133"/>
      <c r="AL368" s="132"/>
      <c r="AM368" s="132"/>
      <c r="AN368" s="164"/>
      <c r="AO368" s="104"/>
      <c r="AP368" s="104"/>
    </row>
    <row r="369">
      <c r="A369" s="132"/>
      <c r="B369" s="132"/>
      <c r="C369" s="132"/>
      <c r="D369" s="132"/>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c r="AE369" s="133"/>
      <c r="AF369" s="133"/>
      <c r="AG369" s="133"/>
      <c r="AH369" s="133"/>
      <c r="AI369" s="133"/>
      <c r="AJ369" s="133"/>
      <c r="AK369" s="133"/>
      <c r="AL369" s="132"/>
      <c r="AM369" s="132"/>
      <c r="AN369" s="164"/>
      <c r="AO369" s="104"/>
      <c r="AP369" s="104"/>
    </row>
    <row r="370">
      <c r="A370" s="132"/>
      <c r="B370" s="132"/>
      <c r="C370" s="132"/>
      <c r="D370" s="132"/>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c r="AE370" s="133"/>
      <c r="AF370" s="133"/>
      <c r="AG370" s="133"/>
      <c r="AH370" s="133"/>
      <c r="AI370" s="133"/>
      <c r="AJ370" s="133"/>
      <c r="AK370" s="133"/>
      <c r="AL370" s="132"/>
      <c r="AM370" s="132"/>
      <c r="AN370" s="164"/>
      <c r="AO370" s="104"/>
      <c r="AP370" s="104"/>
    </row>
    <row r="371">
      <c r="A371" s="132"/>
      <c r="B371" s="132"/>
      <c r="C371" s="132"/>
      <c r="D371" s="132"/>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c r="AG371" s="133"/>
      <c r="AH371" s="133"/>
      <c r="AI371" s="133"/>
      <c r="AJ371" s="133"/>
      <c r="AK371" s="133"/>
      <c r="AL371" s="132"/>
      <c r="AM371" s="132"/>
      <c r="AN371" s="164"/>
      <c r="AO371" s="104"/>
      <c r="AP371" s="104"/>
    </row>
    <row r="372">
      <c r="A372" s="132"/>
      <c r="B372" s="132"/>
      <c r="C372" s="132"/>
      <c r="D372" s="132"/>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c r="AI372" s="133"/>
      <c r="AJ372" s="133"/>
      <c r="AK372" s="133"/>
      <c r="AL372" s="132"/>
      <c r="AM372" s="132"/>
      <c r="AN372" s="164"/>
      <c r="AO372" s="104"/>
      <c r="AP372" s="104"/>
    </row>
    <row r="373">
      <c r="A373" s="132"/>
      <c r="B373" s="132"/>
      <c r="C373" s="132"/>
      <c r="D373" s="132"/>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c r="AE373" s="133"/>
      <c r="AF373" s="133"/>
      <c r="AG373" s="133"/>
      <c r="AH373" s="133"/>
      <c r="AI373" s="133"/>
      <c r="AJ373" s="133"/>
      <c r="AK373" s="133"/>
      <c r="AL373" s="132"/>
      <c r="AM373" s="132"/>
      <c r="AN373" s="164"/>
      <c r="AO373" s="104"/>
      <c r="AP373" s="104"/>
    </row>
    <row r="374">
      <c r="A374" s="132"/>
      <c r="B374" s="132"/>
      <c r="C374" s="132"/>
      <c r="D374" s="132"/>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c r="AG374" s="133"/>
      <c r="AH374" s="133"/>
      <c r="AI374" s="133"/>
      <c r="AJ374" s="133"/>
      <c r="AK374" s="133"/>
      <c r="AL374" s="132"/>
      <c r="AM374" s="132"/>
      <c r="AN374" s="164"/>
      <c r="AO374" s="104"/>
      <c r="AP374" s="104"/>
    </row>
    <row r="375">
      <c r="A375" s="132"/>
      <c r="B375" s="132"/>
      <c r="C375" s="132"/>
      <c r="D375" s="132"/>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c r="AG375" s="133"/>
      <c r="AH375" s="133"/>
      <c r="AI375" s="133"/>
      <c r="AJ375" s="133"/>
      <c r="AK375" s="133"/>
      <c r="AL375" s="132"/>
      <c r="AM375" s="132"/>
      <c r="AN375" s="164"/>
      <c r="AO375" s="104"/>
      <c r="AP375" s="104"/>
    </row>
    <row r="376">
      <c r="A376" s="132"/>
      <c r="B376" s="132"/>
      <c r="C376" s="132"/>
      <c r="D376" s="132"/>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c r="AG376" s="133"/>
      <c r="AH376" s="133"/>
      <c r="AI376" s="133"/>
      <c r="AJ376" s="133"/>
      <c r="AK376" s="133"/>
      <c r="AL376" s="132"/>
      <c r="AM376" s="132"/>
      <c r="AN376" s="164"/>
      <c r="AO376" s="104"/>
      <c r="AP376" s="104"/>
    </row>
    <row r="377">
      <c r="A377" s="132"/>
      <c r="B377" s="132"/>
      <c r="C377" s="132"/>
      <c r="D377" s="132"/>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c r="AE377" s="133"/>
      <c r="AF377" s="133"/>
      <c r="AG377" s="133"/>
      <c r="AH377" s="133"/>
      <c r="AI377" s="133"/>
      <c r="AJ377" s="133"/>
      <c r="AK377" s="133"/>
      <c r="AL377" s="132"/>
      <c r="AM377" s="132"/>
      <c r="AN377" s="164"/>
      <c r="AO377" s="104"/>
      <c r="AP377" s="104"/>
    </row>
    <row r="378">
      <c r="A378" s="132"/>
      <c r="B378" s="132"/>
      <c r="C378" s="132"/>
      <c r="D378" s="132"/>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3"/>
      <c r="AJ378" s="133"/>
      <c r="AK378" s="133"/>
      <c r="AL378" s="132"/>
      <c r="AM378" s="132"/>
      <c r="AN378" s="164"/>
      <c r="AO378" s="104"/>
      <c r="AP378" s="104"/>
    </row>
    <row r="379">
      <c r="A379" s="132"/>
      <c r="B379" s="132"/>
      <c r="C379" s="132"/>
      <c r="D379" s="132"/>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c r="AE379" s="133"/>
      <c r="AF379" s="133"/>
      <c r="AG379" s="133"/>
      <c r="AH379" s="133"/>
      <c r="AI379" s="133"/>
      <c r="AJ379" s="133"/>
      <c r="AK379" s="133"/>
      <c r="AL379" s="132"/>
      <c r="AM379" s="132"/>
      <c r="AN379" s="164"/>
      <c r="AO379" s="104"/>
      <c r="AP379" s="104"/>
    </row>
    <row r="380">
      <c r="A380" s="132"/>
      <c r="B380" s="132"/>
      <c r="C380" s="132"/>
      <c r="D380" s="132"/>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c r="AE380" s="133"/>
      <c r="AF380" s="133"/>
      <c r="AG380" s="133"/>
      <c r="AH380" s="133"/>
      <c r="AI380" s="133"/>
      <c r="AJ380" s="133"/>
      <c r="AK380" s="133"/>
      <c r="AL380" s="132"/>
      <c r="AM380" s="132"/>
      <c r="AN380" s="164"/>
      <c r="AO380" s="104"/>
      <c r="AP380" s="104"/>
    </row>
    <row r="381">
      <c r="A381" s="132"/>
      <c r="B381" s="132"/>
      <c r="C381" s="132"/>
      <c r="D381" s="132"/>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c r="AE381" s="133"/>
      <c r="AF381" s="133"/>
      <c r="AG381" s="133"/>
      <c r="AH381" s="133"/>
      <c r="AI381" s="133"/>
      <c r="AJ381" s="133"/>
      <c r="AK381" s="133"/>
      <c r="AL381" s="132"/>
      <c r="AM381" s="132"/>
      <c r="AN381" s="164"/>
      <c r="AO381" s="104"/>
      <c r="AP381" s="104"/>
    </row>
    <row r="382">
      <c r="A382" s="132"/>
      <c r="B382" s="132"/>
      <c r="C382" s="132"/>
      <c r="D382" s="132"/>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c r="AE382" s="133"/>
      <c r="AF382" s="133"/>
      <c r="AG382" s="133"/>
      <c r="AH382" s="133"/>
      <c r="AI382" s="133"/>
      <c r="AJ382" s="133"/>
      <c r="AK382" s="133"/>
      <c r="AL382" s="132"/>
      <c r="AM382" s="132"/>
      <c r="AN382" s="164"/>
      <c r="AO382" s="104"/>
      <c r="AP382" s="104"/>
    </row>
    <row r="383">
      <c r="A383" s="132"/>
      <c r="B383" s="132"/>
      <c r="C383" s="132"/>
      <c r="D383" s="132"/>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c r="AE383" s="133"/>
      <c r="AF383" s="133"/>
      <c r="AG383" s="133"/>
      <c r="AH383" s="133"/>
      <c r="AI383" s="133"/>
      <c r="AJ383" s="133"/>
      <c r="AK383" s="133"/>
      <c r="AL383" s="132"/>
      <c r="AM383" s="132"/>
      <c r="AN383" s="164"/>
      <c r="AO383" s="104"/>
      <c r="AP383" s="104"/>
    </row>
    <row r="384">
      <c r="A384" s="132"/>
      <c r="B384" s="132"/>
      <c r="C384" s="132"/>
      <c r="D384" s="132"/>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c r="AE384" s="133"/>
      <c r="AF384" s="133"/>
      <c r="AG384" s="133"/>
      <c r="AH384" s="133"/>
      <c r="AI384" s="133"/>
      <c r="AJ384" s="133"/>
      <c r="AK384" s="133"/>
      <c r="AL384" s="132"/>
      <c r="AM384" s="132"/>
      <c r="AN384" s="164"/>
      <c r="AO384" s="104"/>
      <c r="AP384" s="104"/>
    </row>
    <row r="385">
      <c r="A385" s="132"/>
      <c r="B385" s="132"/>
      <c r="C385" s="132"/>
      <c r="D385" s="132"/>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c r="AE385" s="133"/>
      <c r="AF385" s="133"/>
      <c r="AG385" s="133"/>
      <c r="AH385" s="133"/>
      <c r="AI385" s="133"/>
      <c r="AJ385" s="133"/>
      <c r="AK385" s="133"/>
      <c r="AL385" s="132"/>
      <c r="AM385" s="132"/>
      <c r="AN385" s="164"/>
      <c r="AO385" s="104"/>
      <c r="AP385" s="104"/>
    </row>
    <row r="386">
      <c r="A386" s="132"/>
      <c r="B386" s="132"/>
      <c r="C386" s="132"/>
      <c r="D386" s="132"/>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c r="AE386" s="133"/>
      <c r="AF386" s="133"/>
      <c r="AG386" s="133"/>
      <c r="AH386" s="133"/>
      <c r="AI386" s="133"/>
      <c r="AJ386" s="133"/>
      <c r="AK386" s="133"/>
      <c r="AL386" s="132"/>
      <c r="AM386" s="132"/>
      <c r="AN386" s="164"/>
      <c r="AO386" s="104"/>
      <c r="AP386" s="104"/>
    </row>
    <row r="387">
      <c r="A387" s="132"/>
      <c r="B387" s="132"/>
      <c r="C387" s="132"/>
      <c r="D387" s="132"/>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c r="AC387" s="133"/>
      <c r="AD387" s="133"/>
      <c r="AE387" s="133"/>
      <c r="AF387" s="133"/>
      <c r="AG387" s="133"/>
      <c r="AH387" s="133"/>
      <c r="AI387" s="133"/>
      <c r="AJ387" s="133"/>
      <c r="AK387" s="133"/>
      <c r="AL387" s="132"/>
      <c r="AM387" s="132"/>
      <c r="AN387" s="164"/>
      <c r="AO387" s="104"/>
      <c r="AP387" s="104"/>
    </row>
    <row r="388">
      <c r="A388" s="132"/>
      <c r="B388" s="132"/>
      <c r="C388" s="132"/>
      <c r="D388" s="132"/>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c r="AC388" s="133"/>
      <c r="AD388" s="133"/>
      <c r="AE388" s="133"/>
      <c r="AF388" s="133"/>
      <c r="AG388" s="133"/>
      <c r="AH388" s="133"/>
      <c r="AI388" s="133"/>
      <c r="AJ388" s="133"/>
      <c r="AK388" s="133"/>
      <c r="AL388" s="132"/>
      <c r="AM388" s="132"/>
      <c r="AN388" s="164"/>
      <c r="AO388" s="104"/>
      <c r="AP388" s="104"/>
    </row>
    <row r="389">
      <c r="A389" s="132"/>
      <c r="B389" s="132"/>
      <c r="C389" s="132"/>
      <c r="D389" s="132"/>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c r="AC389" s="133"/>
      <c r="AD389" s="133"/>
      <c r="AE389" s="133"/>
      <c r="AF389" s="133"/>
      <c r="AG389" s="133"/>
      <c r="AH389" s="133"/>
      <c r="AI389" s="133"/>
      <c r="AJ389" s="133"/>
      <c r="AK389" s="133"/>
      <c r="AL389" s="132"/>
      <c r="AM389" s="132"/>
      <c r="AN389" s="164"/>
      <c r="AO389" s="104"/>
      <c r="AP389" s="104"/>
    </row>
    <row r="390">
      <c r="A390" s="132"/>
      <c r="B390" s="132"/>
      <c r="C390" s="132"/>
      <c r="D390" s="132"/>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c r="AE390" s="133"/>
      <c r="AF390" s="133"/>
      <c r="AG390" s="133"/>
      <c r="AH390" s="133"/>
      <c r="AI390" s="133"/>
      <c r="AJ390" s="133"/>
      <c r="AK390" s="133"/>
      <c r="AL390" s="132"/>
      <c r="AM390" s="132"/>
      <c r="AN390" s="164"/>
      <c r="AO390" s="104"/>
      <c r="AP390" s="104"/>
    </row>
    <row r="391">
      <c r="A391" s="132"/>
      <c r="B391" s="132"/>
      <c r="C391" s="132"/>
      <c r="D391" s="132"/>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c r="AC391" s="133"/>
      <c r="AD391" s="133"/>
      <c r="AE391" s="133"/>
      <c r="AF391" s="133"/>
      <c r="AG391" s="133"/>
      <c r="AH391" s="133"/>
      <c r="AI391" s="133"/>
      <c r="AJ391" s="133"/>
      <c r="AK391" s="133"/>
      <c r="AL391" s="132"/>
      <c r="AM391" s="132"/>
      <c r="AN391" s="164"/>
      <c r="AO391" s="104"/>
      <c r="AP391" s="104"/>
    </row>
    <row r="392">
      <c r="A392" s="132"/>
      <c r="B392" s="132"/>
      <c r="C392" s="132"/>
      <c r="D392" s="132"/>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c r="AC392" s="133"/>
      <c r="AD392" s="133"/>
      <c r="AE392" s="133"/>
      <c r="AF392" s="133"/>
      <c r="AG392" s="133"/>
      <c r="AH392" s="133"/>
      <c r="AI392" s="133"/>
      <c r="AJ392" s="133"/>
      <c r="AK392" s="133"/>
      <c r="AL392" s="132"/>
      <c r="AM392" s="132"/>
      <c r="AN392" s="164"/>
      <c r="AO392" s="104"/>
      <c r="AP392" s="104"/>
    </row>
    <row r="393">
      <c r="A393" s="132"/>
      <c r="B393" s="132"/>
      <c r="C393" s="132"/>
      <c r="D393" s="132"/>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c r="AE393" s="133"/>
      <c r="AF393" s="133"/>
      <c r="AG393" s="133"/>
      <c r="AH393" s="133"/>
      <c r="AI393" s="133"/>
      <c r="AJ393" s="133"/>
      <c r="AK393" s="133"/>
      <c r="AL393" s="132"/>
      <c r="AM393" s="132"/>
      <c r="AN393" s="164"/>
      <c r="AO393" s="104"/>
      <c r="AP393" s="104"/>
    </row>
    <row r="394">
      <c r="A394" s="132"/>
      <c r="B394" s="132"/>
      <c r="C394" s="132"/>
      <c r="D394" s="132"/>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c r="AC394" s="133"/>
      <c r="AD394" s="133"/>
      <c r="AE394" s="133"/>
      <c r="AF394" s="133"/>
      <c r="AG394" s="133"/>
      <c r="AH394" s="133"/>
      <c r="AI394" s="133"/>
      <c r="AJ394" s="133"/>
      <c r="AK394" s="133"/>
      <c r="AL394" s="132"/>
      <c r="AM394" s="132"/>
      <c r="AN394" s="164"/>
      <c r="AO394" s="104"/>
      <c r="AP394" s="104"/>
    </row>
    <row r="395">
      <c r="A395" s="132"/>
      <c r="B395" s="132"/>
      <c r="C395" s="132"/>
      <c r="D395" s="132"/>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c r="AC395" s="133"/>
      <c r="AD395" s="133"/>
      <c r="AE395" s="133"/>
      <c r="AF395" s="133"/>
      <c r="AG395" s="133"/>
      <c r="AH395" s="133"/>
      <c r="AI395" s="133"/>
      <c r="AJ395" s="133"/>
      <c r="AK395" s="133"/>
      <c r="AL395" s="132"/>
      <c r="AM395" s="132"/>
      <c r="AN395" s="164"/>
      <c r="AO395" s="104"/>
      <c r="AP395" s="104"/>
    </row>
    <row r="396">
      <c r="A396" s="132"/>
      <c r="B396" s="132"/>
      <c r="C396" s="132"/>
      <c r="D396" s="132"/>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c r="AC396" s="133"/>
      <c r="AD396" s="133"/>
      <c r="AE396" s="133"/>
      <c r="AF396" s="133"/>
      <c r="AG396" s="133"/>
      <c r="AH396" s="133"/>
      <c r="AI396" s="133"/>
      <c r="AJ396" s="133"/>
      <c r="AK396" s="133"/>
      <c r="AL396" s="132"/>
      <c r="AM396" s="132"/>
      <c r="AN396" s="164"/>
      <c r="AO396" s="104"/>
      <c r="AP396" s="104"/>
    </row>
    <row r="397">
      <c r="A397" s="132"/>
      <c r="B397" s="132"/>
      <c r="C397" s="132"/>
      <c r="D397" s="132"/>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c r="AC397" s="133"/>
      <c r="AD397" s="133"/>
      <c r="AE397" s="133"/>
      <c r="AF397" s="133"/>
      <c r="AG397" s="133"/>
      <c r="AH397" s="133"/>
      <c r="AI397" s="133"/>
      <c r="AJ397" s="133"/>
      <c r="AK397" s="133"/>
      <c r="AL397" s="132"/>
      <c r="AM397" s="132"/>
      <c r="AN397" s="164"/>
      <c r="AO397" s="104"/>
      <c r="AP397" s="104"/>
    </row>
    <row r="398">
      <c r="A398" s="132"/>
      <c r="B398" s="132"/>
      <c r="C398" s="132"/>
      <c r="D398" s="132"/>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c r="AC398" s="133"/>
      <c r="AD398" s="133"/>
      <c r="AE398" s="133"/>
      <c r="AF398" s="133"/>
      <c r="AG398" s="133"/>
      <c r="AH398" s="133"/>
      <c r="AI398" s="133"/>
      <c r="AJ398" s="133"/>
      <c r="AK398" s="133"/>
      <c r="AL398" s="132"/>
      <c r="AM398" s="132"/>
      <c r="AN398" s="164"/>
      <c r="AO398" s="104"/>
      <c r="AP398" s="104"/>
    </row>
    <row r="399">
      <c r="A399" s="132"/>
      <c r="B399" s="132"/>
      <c r="C399" s="132"/>
      <c r="D399" s="132"/>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c r="AC399" s="133"/>
      <c r="AD399" s="133"/>
      <c r="AE399" s="133"/>
      <c r="AF399" s="133"/>
      <c r="AG399" s="133"/>
      <c r="AH399" s="133"/>
      <c r="AI399" s="133"/>
      <c r="AJ399" s="133"/>
      <c r="AK399" s="133"/>
      <c r="AL399" s="132"/>
      <c r="AM399" s="132"/>
      <c r="AN399" s="164"/>
      <c r="AO399" s="104"/>
      <c r="AP399" s="104"/>
    </row>
    <row r="400">
      <c r="A400" s="132"/>
      <c r="B400" s="132"/>
      <c r="C400" s="132"/>
      <c r="D400" s="132"/>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c r="AC400" s="133"/>
      <c r="AD400" s="133"/>
      <c r="AE400" s="133"/>
      <c r="AF400" s="133"/>
      <c r="AG400" s="133"/>
      <c r="AH400" s="133"/>
      <c r="AI400" s="133"/>
      <c r="AJ400" s="133"/>
      <c r="AK400" s="133"/>
      <c r="AL400" s="132"/>
      <c r="AM400" s="132"/>
      <c r="AN400" s="164"/>
      <c r="AO400" s="104"/>
      <c r="AP400" s="104"/>
    </row>
    <row r="401">
      <c r="A401" s="132"/>
      <c r="B401" s="132"/>
      <c r="C401" s="132"/>
      <c r="D401" s="132"/>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c r="AE401" s="133"/>
      <c r="AF401" s="133"/>
      <c r="AG401" s="133"/>
      <c r="AH401" s="133"/>
      <c r="AI401" s="133"/>
      <c r="AJ401" s="133"/>
      <c r="AK401" s="133"/>
      <c r="AL401" s="132"/>
      <c r="AM401" s="132"/>
      <c r="AN401" s="164"/>
      <c r="AO401" s="104"/>
      <c r="AP401" s="104"/>
    </row>
    <row r="402">
      <c r="A402" s="132"/>
      <c r="B402" s="132"/>
      <c r="C402" s="132"/>
      <c r="D402" s="132"/>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c r="AE402" s="133"/>
      <c r="AF402" s="133"/>
      <c r="AG402" s="133"/>
      <c r="AH402" s="133"/>
      <c r="AI402" s="133"/>
      <c r="AJ402" s="133"/>
      <c r="AK402" s="133"/>
      <c r="AL402" s="132"/>
      <c r="AM402" s="132"/>
      <c r="AN402" s="164"/>
      <c r="AO402" s="104"/>
      <c r="AP402" s="104"/>
    </row>
    <row r="403">
      <c r="A403" s="132"/>
      <c r="B403" s="132"/>
      <c r="C403" s="132"/>
      <c r="D403" s="132"/>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c r="AE403" s="133"/>
      <c r="AF403" s="133"/>
      <c r="AG403" s="133"/>
      <c r="AH403" s="133"/>
      <c r="AI403" s="133"/>
      <c r="AJ403" s="133"/>
      <c r="AK403" s="133"/>
      <c r="AL403" s="132"/>
      <c r="AM403" s="132"/>
      <c r="AN403" s="164"/>
      <c r="AO403" s="104"/>
      <c r="AP403" s="104"/>
    </row>
    <row r="404">
      <c r="A404" s="132"/>
      <c r="B404" s="132"/>
      <c r="C404" s="132"/>
      <c r="D404" s="132"/>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c r="AE404" s="133"/>
      <c r="AF404" s="133"/>
      <c r="AG404" s="133"/>
      <c r="AH404" s="133"/>
      <c r="AI404" s="133"/>
      <c r="AJ404" s="133"/>
      <c r="AK404" s="133"/>
      <c r="AL404" s="132"/>
      <c r="AM404" s="132"/>
      <c r="AN404" s="164"/>
      <c r="AO404" s="104"/>
      <c r="AP404" s="104"/>
    </row>
    <row r="405">
      <c r="A405" s="132"/>
      <c r="B405" s="132"/>
      <c r="C405" s="132"/>
      <c r="D405" s="132"/>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c r="AE405" s="133"/>
      <c r="AF405" s="133"/>
      <c r="AG405" s="133"/>
      <c r="AH405" s="133"/>
      <c r="AI405" s="133"/>
      <c r="AJ405" s="133"/>
      <c r="AK405" s="133"/>
      <c r="AL405" s="132"/>
      <c r="AM405" s="132"/>
      <c r="AN405" s="164"/>
      <c r="AO405" s="104"/>
      <c r="AP405" s="104"/>
    </row>
    <row r="406">
      <c r="A406" s="132"/>
      <c r="B406" s="132"/>
      <c r="C406" s="132"/>
      <c r="D406" s="132"/>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c r="AE406" s="133"/>
      <c r="AF406" s="133"/>
      <c r="AG406" s="133"/>
      <c r="AH406" s="133"/>
      <c r="AI406" s="133"/>
      <c r="AJ406" s="133"/>
      <c r="AK406" s="133"/>
      <c r="AL406" s="132"/>
      <c r="AM406" s="132"/>
      <c r="AN406" s="164"/>
      <c r="AO406" s="104"/>
      <c r="AP406" s="104"/>
    </row>
    <row r="407">
      <c r="A407" s="132"/>
      <c r="B407" s="132"/>
      <c r="C407" s="132"/>
      <c r="D407" s="132"/>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c r="AE407" s="133"/>
      <c r="AF407" s="133"/>
      <c r="AG407" s="133"/>
      <c r="AH407" s="133"/>
      <c r="AI407" s="133"/>
      <c r="AJ407" s="133"/>
      <c r="AK407" s="133"/>
      <c r="AL407" s="132"/>
      <c r="AM407" s="132"/>
      <c r="AN407" s="164"/>
      <c r="AO407" s="104"/>
      <c r="AP407" s="104"/>
    </row>
    <row r="408">
      <c r="A408" s="132"/>
      <c r="B408" s="132"/>
      <c r="C408" s="132"/>
      <c r="D408" s="132"/>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c r="AE408" s="133"/>
      <c r="AF408" s="133"/>
      <c r="AG408" s="133"/>
      <c r="AH408" s="133"/>
      <c r="AI408" s="133"/>
      <c r="AJ408" s="133"/>
      <c r="AK408" s="133"/>
      <c r="AL408" s="132"/>
      <c r="AM408" s="132"/>
      <c r="AN408" s="164"/>
      <c r="AO408" s="104"/>
      <c r="AP408" s="104"/>
    </row>
    <row r="409">
      <c r="A409" s="132"/>
      <c r="B409" s="132"/>
      <c r="C409" s="132"/>
      <c r="D409" s="132"/>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c r="AE409" s="133"/>
      <c r="AF409" s="133"/>
      <c r="AG409" s="133"/>
      <c r="AH409" s="133"/>
      <c r="AI409" s="133"/>
      <c r="AJ409" s="133"/>
      <c r="AK409" s="133"/>
      <c r="AL409" s="132"/>
      <c r="AM409" s="132"/>
      <c r="AN409" s="164"/>
      <c r="AO409" s="104"/>
      <c r="AP409" s="104"/>
    </row>
    <row r="410">
      <c r="A410" s="132"/>
      <c r="B410" s="132"/>
      <c r="C410" s="132"/>
      <c r="D410" s="132"/>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c r="AE410" s="133"/>
      <c r="AF410" s="133"/>
      <c r="AG410" s="133"/>
      <c r="AH410" s="133"/>
      <c r="AI410" s="133"/>
      <c r="AJ410" s="133"/>
      <c r="AK410" s="133"/>
      <c r="AL410" s="132"/>
      <c r="AM410" s="132"/>
      <c r="AN410" s="164"/>
      <c r="AO410" s="104"/>
      <c r="AP410" s="104"/>
    </row>
    <row r="411">
      <c r="A411" s="132"/>
      <c r="B411" s="132"/>
      <c r="C411" s="132"/>
      <c r="D411" s="132"/>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c r="AE411" s="133"/>
      <c r="AF411" s="133"/>
      <c r="AG411" s="133"/>
      <c r="AH411" s="133"/>
      <c r="AI411" s="133"/>
      <c r="AJ411" s="133"/>
      <c r="AK411" s="133"/>
      <c r="AL411" s="132"/>
      <c r="AM411" s="132"/>
      <c r="AN411" s="164"/>
      <c r="AO411" s="104"/>
      <c r="AP411" s="104"/>
    </row>
    <row r="412">
      <c r="A412" s="132"/>
      <c r="B412" s="132"/>
      <c r="C412" s="132"/>
      <c r="D412" s="132"/>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c r="AC412" s="133"/>
      <c r="AD412" s="133"/>
      <c r="AE412" s="133"/>
      <c r="AF412" s="133"/>
      <c r="AG412" s="133"/>
      <c r="AH412" s="133"/>
      <c r="AI412" s="133"/>
      <c r="AJ412" s="133"/>
      <c r="AK412" s="133"/>
      <c r="AL412" s="132"/>
      <c r="AM412" s="132"/>
      <c r="AN412" s="164"/>
      <c r="AO412" s="104"/>
      <c r="AP412" s="104"/>
    </row>
    <row r="413">
      <c r="A413" s="132"/>
      <c r="B413" s="132"/>
      <c r="C413" s="132"/>
      <c r="D413" s="132"/>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c r="AE413" s="133"/>
      <c r="AF413" s="133"/>
      <c r="AG413" s="133"/>
      <c r="AH413" s="133"/>
      <c r="AI413" s="133"/>
      <c r="AJ413" s="133"/>
      <c r="AK413" s="133"/>
      <c r="AL413" s="132"/>
      <c r="AM413" s="132"/>
      <c r="AN413" s="164"/>
      <c r="AO413" s="104"/>
      <c r="AP413" s="104"/>
    </row>
    <row r="414">
      <c r="A414" s="132"/>
      <c r="B414" s="132"/>
      <c r="C414" s="132"/>
      <c r="D414" s="132"/>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c r="AE414" s="133"/>
      <c r="AF414" s="133"/>
      <c r="AG414" s="133"/>
      <c r="AH414" s="133"/>
      <c r="AI414" s="133"/>
      <c r="AJ414" s="133"/>
      <c r="AK414" s="133"/>
      <c r="AL414" s="132"/>
      <c r="AM414" s="132"/>
      <c r="AN414" s="164"/>
      <c r="AO414" s="104"/>
      <c r="AP414" s="104"/>
    </row>
    <row r="415">
      <c r="A415" s="132"/>
      <c r="B415" s="132"/>
      <c r="C415" s="132"/>
      <c r="D415" s="132"/>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c r="AE415" s="133"/>
      <c r="AF415" s="133"/>
      <c r="AG415" s="133"/>
      <c r="AH415" s="133"/>
      <c r="AI415" s="133"/>
      <c r="AJ415" s="133"/>
      <c r="AK415" s="133"/>
      <c r="AL415" s="132"/>
      <c r="AM415" s="132"/>
      <c r="AN415" s="164"/>
      <c r="AO415" s="104"/>
      <c r="AP415" s="104"/>
    </row>
    <row r="416">
      <c r="A416" s="132"/>
      <c r="B416" s="132"/>
      <c r="C416" s="132"/>
      <c r="D416" s="132"/>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c r="AE416" s="133"/>
      <c r="AF416" s="133"/>
      <c r="AG416" s="133"/>
      <c r="AH416" s="133"/>
      <c r="AI416" s="133"/>
      <c r="AJ416" s="133"/>
      <c r="AK416" s="133"/>
      <c r="AL416" s="132"/>
      <c r="AM416" s="132"/>
      <c r="AN416" s="164"/>
      <c r="AO416" s="104"/>
      <c r="AP416" s="104"/>
    </row>
    <row r="417">
      <c r="A417" s="132"/>
      <c r="B417" s="132"/>
      <c r="C417" s="132"/>
      <c r="D417" s="132"/>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c r="AE417" s="133"/>
      <c r="AF417" s="133"/>
      <c r="AG417" s="133"/>
      <c r="AH417" s="133"/>
      <c r="AI417" s="133"/>
      <c r="AJ417" s="133"/>
      <c r="AK417" s="133"/>
      <c r="AL417" s="132"/>
      <c r="AM417" s="132"/>
      <c r="AN417" s="164"/>
      <c r="AO417" s="104"/>
      <c r="AP417" s="104"/>
    </row>
    <row r="418">
      <c r="A418" s="132"/>
      <c r="B418" s="132"/>
      <c r="C418" s="132"/>
      <c r="D418" s="132"/>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c r="AE418" s="133"/>
      <c r="AF418" s="133"/>
      <c r="AG418" s="133"/>
      <c r="AH418" s="133"/>
      <c r="AI418" s="133"/>
      <c r="AJ418" s="133"/>
      <c r="AK418" s="133"/>
      <c r="AL418" s="132"/>
      <c r="AM418" s="132"/>
      <c r="AN418" s="164"/>
      <c r="AO418" s="104"/>
      <c r="AP418" s="104"/>
    </row>
    <row r="419">
      <c r="A419" s="132"/>
      <c r="B419" s="132"/>
      <c r="C419" s="132"/>
      <c r="D419" s="132"/>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c r="AE419" s="133"/>
      <c r="AF419" s="133"/>
      <c r="AG419" s="133"/>
      <c r="AH419" s="133"/>
      <c r="AI419" s="133"/>
      <c r="AJ419" s="133"/>
      <c r="AK419" s="133"/>
      <c r="AL419" s="132"/>
      <c r="AM419" s="132"/>
      <c r="AN419" s="164"/>
      <c r="AO419" s="104"/>
      <c r="AP419" s="104"/>
    </row>
    <row r="420">
      <c r="A420" s="132"/>
      <c r="B420" s="132"/>
      <c r="C420" s="132"/>
      <c r="D420" s="132"/>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c r="AE420" s="133"/>
      <c r="AF420" s="133"/>
      <c r="AG420" s="133"/>
      <c r="AH420" s="133"/>
      <c r="AI420" s="133"/>
      <c r="AJ420" s="133"/>
      <c r="AK420" s="133"/>
      <c r="AL420" s="132"/>
      <c r="AM420" s="132"/>
      <c r="AN420" s="164"/>
      <c r="AO420" s="104"/>
      <c r="AP420" s="104"/>
    </row>
    <row r="421">
      <c r="A421" s="132"/>
      <c r="B421" s="132"/>
      <c r="C421" s="132"/>
      <c r="D421" s="132"/>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c r="AE421" s="133"/>
      <c r="AF421" s="133"/>
      <c r="AG421" s="133"/>
      <c r="AH421" s="133"/>
      <c r="AI421" s="133"/>
      <c r="AJ421" s="133"/>
      <c r="AK421" s="133"/>
      <c r="AL421" s="132"/>
      <c r="AM421" s="132"/>
      <c r="AN421" s="164"/>
      <c r="AO421" s="104"/>
      <c r="AP421" s="104"/>
    </row>
    <row r="422">
      <c r="A422" s="132"/>
      <c r="B422" s="132"/>
      <c r="C422" s="132"/>
      <c r="D422" s="132"/>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c r="AE422" s="133"/>
      <c r="AF422" s="133"/>
      <c r="AG422" s="133"/>
      <c r="AH422" s="133"/>
      <c r="AI422" s="133"/>
      <c r="AJ422" s="133"/>
      <c r="AK422" s="133"/>
      <c r="AL422" s="132"/>
      <c r="AM422" s="132"/>
      <c r="AN422" s="164"/>
      <c r="AO422" s="104"/>
      <c r="AP422" s="104"/>
    </row>
    <row r="423">
      <c r="A423" s="132"/>
      <c r="B423" s="132"/>
      <c r="C423" s="132"/>
      <c r="D423" s="132"/>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c r="AE423" s="133"/>
      <c r="AF423" s="133"/>
      <c r="AG423" s="133"/>
      <c r="AH423" s="133"/>
      <c r="AI423" s="133"/>
      <c r="AJ423" s="133"/>
      <c r="AK423" s="133"/>
      <c r="AL423" s="132"/>
      <c r="AM423" s="132"/>
      <c r="AN423" s="164"/>
      <c r="AO423" s="104"/>
      <c r="AP423" s="104"/>
    </row>
    <row r="424">
      <c r="A424" s="132"/>
      <c r="B424" s="132"/>
      <c r="C424" s="132"/>
      <c r="D424" s="132"/>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c r="AE424" s="133"/>
      <c r="AF424" s="133"/>
      <c r="AG424" s="133"/>
      <c r="AH424" s="133"/>
      <c r="AI424" s="133"/>
      <c r="AJ424" s="133"/>
      <c r="AK424" s="133"/>
      <c r="AL424" s="132"/>
      <c r="AM424" s="132"/>
      <c r="AN424" s="164"/>
      <c r="AO424" s="104"/>
      <c r="AP424" s="104"/>
    </row>
    <row r="425">
      <c r="A425" s="132"/>
      <c r="B425" s="132"/>
      <c r="C425" s="132"/>
      <c r="D425" s="132"/>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c r="AE425" s="133"/>
      <c r="AF425" s="133"/>
      <c r="AG425" s="133"/>
      <c r="AH425" s="133"/>
      <c r="AI425" s="133"/>
      <c r="AJ425" s="133"/>
      <c r="AK425" s="133"/>
      <c r="AL425" s="132"/>
      <c r="AM425" s="132"/>
      <c r="AN425" s="164"/>
      <c r="AO425" s="104"/>
      <c r="AP425" s="104"/>
    </row>
    <row r="426">
      <c r="A426" s="132"/>
      <c r="B426" s="132"/>
      <c r="C426" s="132"/>
      <c r="D426" s="132"/>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c r="AE426" s="133"/>
      <c r="AF426" s="133"/>
      <c r="AG426" s="133"/>
      <c r="AH426" s="133"/>
      <c r="AI426" s="133"/>
      <c r="AJ426" s="133"/>
      <c r="AK426" s="133"/>
      <c r="AL426" s="132"/>
      <c r="AM426" s="132"/>
      <c r="AN426" s="164"/>
      <c r="AO426" s="104"/>
      <c r="AP426" s="104"/>
    </row>
    <row r="427">
      <c r="A427" s="132"/>
      <c r="B427" s="132"/>
      <c r="C427" s="132"/>
      <c r="D427" s="132"/>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c r="AE427" s="133"/>
      <c r="AF427" s="133"/>
      <c r="AG427" s="133"/>
      <c r="AH427" s="133"/>
      <c r="AI427" s="133"/>
      <c r="AJ427" s="133"/>
      <c r="AK427" s="133"/>
      <c r="AL427" s="132"/>
      <c r="AM427" s="132"/>
      <c r="AN427" s="164"/>
      <c r="AO427" s="104"/>
      <c r="AP427" s="104"/>
    </row>
    <row r="428">
      <c r="A428" s="132"/>
      <c r="B428" s="132"/>
      <c r="C428" s="132"/>
      <c r="D428" s="132"/>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c r="AE428" s="133"/>
      <c r="AF428" s="133"/>
      <c r="AG428" s="133"/>
      <c r="AH428" s="133"/>
      <c r="AI428" s="133"/>
      <c r="AJ428" s="133"/>
      <c r="AK428" s="133"/>
      <c r="AL428" s="132"/>
      <c r="AM428" s="132"/>
      <c r="AN428" s="164"/>
      <c r="AO428" s="104"/>
      <c r="AP428" s="104"/>
    </row>
    <row r="429">
      <c r="A429" s="132"/>
      <c r="B429" s="132"/>
      <c r="C429" s="132"/>
      <c r="D429" s="132"/>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c r="AE429" s="133"/>
      <c r="AF429" s="133"/>
      <c r="AG429" s="133"/>
      <c r="AH429" s="133"/>
      <c r="AI429" s="133"/>
      <c r="AJ429" s="133"/>
      <c r="AK429" s="133"/>
      <c r="AL429" s="132"/>
      <c r="AM429" s="132"/>
      <c r="AN429" s="164"/>
      <c r="AO429" s="104"/>
      <c r="AP429" s="104"/>
    </row>
    <row r="430">
      <c r="A430" s="132"/>
      <c r="B430" s="132"/>
      <c r="C430" s="132"/>
      <c r="D430" s="132"/>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c r="AE430" s="133"/>
      <c r="AF430" s="133"/>
      <c r="AG430" s="133"/>
      <c r="AH430" s="133"/>
      <c r="AI430" s="133"/>
      <c r="AJ430" s="133"/>
      <c r="AK430" s="133"/>
      <c r="AL430" s="132"/>
      <c r="AM430" s="132"/>
      <c r="AN430" s="164"/>
      <c r="AO430" s="104"/>
      <c r="AP430" s="104"/>
    </row>
    <row r="431">
      <c r="A431" s="132"/>
      <c r="B431" s="132"/>
      <c r="C431" s="132"/>
      <c r="D431" s="132"/>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c r="AE431" s="133"/>
      <c r="AF431" s="133"/>
      <c r="AG431" s="133"/>
      <c r="AH431" s="133"/>
      <c r="AI431" s="133"/>
      <c r="AJ431" s="133"/>
      <c r="AK431" s="133"/>
      <c r="AL431" s="132"/>
      <c r="AM431" s="132"/>
      <c r="AN431" s="164"/>
      <c r="AO431" s="104"/>
      <c r="AP431" s="104"/>
    </row>
    <row r="432">
      <c r="A432" s="132"/>
      <c r="B432" s="132"/>
      <c r="C432" s="132"/>
      <c r="D432" s="132"/>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c r="AE432" s="133"/>
      <c r="AF432" s="133"/>
      <c r="AG432" s="133"/>
      <c r="AH432" s="133"/>
      <c r="AI432" s="133"/>
      <c r="AJ432" s="133"/>
      <c r="AK432" s="133"/>
      <c r="AL432" s="132"/>
      <c r="AM432" s="132"/>
      <c r="AN432" s="164"/>
      <c r="AO432" s="104"/>
      <c r="AP432" s="104"/>
    </row>
    <row r="433">
      <c r="A433" s="132"/>
      <c r="B433" s="132"/>
      <c r="C433" s="132"/>
      <c r="D433" s="132"/>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c r="AE433" s="133"/>
      <c r="AF433" s="133"/>
      <c r="AG433" s="133"/>
      <c r="AH433" s="133"/>
      <c r="AI433" s="133"/>
      <c r="AJ433" s="133"/>
      <c r="AK433" s="133"/>
      <c r="AL433" s="132"/>
      <c r="AM433" s="132"/>
      <c r="AN433" s="164"/>
      <c r="AO433" s="104"/>
      <c r="AP433" s="104"/>
    </row>
    <row r="434">
      <c r="A434" s="132"/>
      <c r="B434" s="132"/>
      <c r="C434" s="132"/>
      <c r="D434" s="132"/>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c r="AE434" s="133"/>
      <c r="AF434" s="133"/>
      <c r="AG434" s="133"/>
      <c r="AH434" s="133"/>
      <c r="AI434" s="133"/>
      <c r="AJ434" s="133"/>
      <c r="AK434" s="133"/>
      <c r="AL434" s="132"/>
      <c r="AM434" s="132"/>
      <c r="AN434" s="164"/>
      <c r="AO434" s="104"/>
      <c r="AP434" s="104"/>
    </row>
    <row r="435">
      <c r="A435" s="132"/>
      <c r="B435" s="132"/>
      <c r="C435" s="132"/>
      <c r="D435" s="132"/>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c r="AE435" s="133"/>
      <c r="AF435" s="133"/>
      <c r="AG435" s="133"/>
      <c r="AH435" s="133"/>
      <c r="AI435" s="133"/>
      <c r="AJ435" s="133"/>
      <c r="AK435" s="133"/>
      <c r="AL435" s="132"/>
      <c r="AM435" s="132"/>
      <c r="AN435" s="164"/>
      <c r="AO435" s="104"/>
      <c r="AP435" s="104"/>
    </row>
    <row r="436">
      <c r="A436" s="132"/>
      <c r="B436" s="132"/>
      <c r="C436" s="132"/>
      <c r="D436" s="132"/>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c r="AE436" s="133"/>
      <c r="AF436" s="133"/>
      <c r="AG436" s="133"/>
      <c r="AH436" s="133"/>
      <c r="AI436" s="133"/>
      <c r="AJ436" s="133"/>
      <c r="AK436" s="133"/>
      <c r="AL436" s="132"/>
      <c r="AM436" s="132"/>
      <c r="AN436" s="164"/>
      <c r="AO436" s="104"/>
      <c r="AP436" s="104"/>
    </row>
    <row r="437">
      <c r="A437" s="132"/>
      <c r="B437" s="132"/>
      <c r="C437" s="132"/>
      <c r="D437" s="132"/>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c r="AE437" s="133"/>
      <c r="AF437" s="133"/>
      <c r="AG437" s="133"/>
      <c r="AH437" s="133"/>
      <c r="AI437" s="133"/>
      <c r="AJ437" s="133"/>
      <c r="AK437" s="133"/>
      <c r="AL437" s="132"/>
      <c r="AM437" s="132"/>
      <c r="AN437" s="164"/>
      <c r="AO437" s="104"/>
      <c r="AP437" s="104"/>
    </row>
    <row r="438">
      <c r="A438" s="132"/>
      <c r="B438" s="132"/>
      <c r="C438" s="132"/>
      <c r="D438" s="132"/>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c r="AE438" s="133"/>
      <c r="AF438" s="133"/>
      <c r="AG438" s="133"/>
      <c r="AH438" s="133"/>
      <c r="AI438" s="133"/>
      <c r="AJ438" s="133"/>
      <c r="AK438" s="133"/>
      <c r="AL438" s="132"/>
      <c r="AM438" s="132"/>
      <c r="AN438" s="164"/>
      <c r="AO438" s="104"/>
      <c r="AP438" s="104"/>
    </row>
    <row r="439">
      <c r="A439" s="132"/>
      <c r="B439" s="132"/>
      <c r="C439" s="132"/>
      <c r="D439" s="132"/>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c r="AE439" s="133"/>
      <c r="AF439" s="133"/>
      <c r="AG439" s="133"/>
      <c r="AH439" s="133"/>
      <c r="AI439" s="133"/>
      <c r="AJ439" s="133"/>
      <c r="AK439" s="133"/>
      <c r="AL439" s="132"/>
      <c r="AM439" s="132"/>
      <c r="AN439" s="164"/>
      <c r="AO439" s="104"/>
      <c r="AP439" s="104"/>
    </row>
    <row r="440">
      <c r="A440" s="132"/>
      <c r="B440" s="132"/>
      <c r="C440" s="132"/>
      <c r="D440" s="132"/>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c r="AE440" s="133"/>
      <c r="AF440" s="133"/>
      <c r="AG440" s="133"/>
      <c r="AH440" s="133"/>
      <c r="AI440" s="133"/>
      <c r="AJ440" s="133"/>
      <c r="AK440" s="133"/>
      <c r="AL440" s="132"/>
      <c r="AM440" s="132"/>
      <c r="AN440" s="164"/>
      <c r="AO440" s="104"/>
      <c r="AP440" s="104"/>
    </row>
    <row r="441">
      <c r="A441" s="132"/>
      <c r="B441" s="132"/>
      <c r="C441" s="132"/>
      <c r="D441" s="132"/>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c r="AE441" s="133"/>
      <c r="AF441" s="133"/>
      <c r="AG441" s="133"/>
      <c r="AH441" s="133"/>
      <c r="AI441" s="133"/>
      <c r="AJ441" s="133"/>
      <c r="AK441" s="133"/>
      <c r="AL441" s="132"/>
      <c r="AM441" s="132"/>
      <c r="AN441" s="164"/>
      <c r="AO441" s="104"/>
      <c r="AP441" s="104"/>
    </row>
    <row r="442">
      <c r="A442" s="132"/>
      <c r="B442" s="132"/>
      <c r="C442" s="132"/>
      <c r="D442" s="132"/>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c r="AE442" s="133"/>
      <c r="AF442" s="133"/>
      <c r="AG442" s="133"/>
      <c r="AH442" s="133"/>
      <c r="AI442" s="133"/>
      <c r="AJ442" s="133"/>
      <c r="AK442" s="133"/>
      <c r="AL442" s="132"/>
      <c r="AM442" s="132"/>
      <c r="AN442" s="164"/>
      <c r="AO442" s="104"/>
      <c r="AP442" s="104"/>
    </row>
    <row r="443">
      <c r="A443" s="132"/>
      <c r="B443" s="132"/>
      <c r="C443" s="132"/>
      <c r="D443" s="132"/>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c r="AC443" s="133"/>
      <c r="AD443" s="133"/>
      <c r="AE443" s="133"/>
      <c r="AF443" s="133"/>
      <c r="AG443" s="133"/>
      <c r="AH443" s="133"/>
      <c r="AI443" s="133"/>
      <c r="AJ443" s="133"/>
      <c r="AK443" s="133"/>
      <c r="AL443" s="132"/>
      <c r="AM443" s="132"/>
      <c r="AN443" s="164"/>
      <c r="AO443" s="104"/>
      <c r="AP443" s="104"/>
    </row>
    <row r="444">
      <c r="A444" s="132"/>
      <c r="B444" s="132"/>
      <c r="C444" s="132"/>
      <c r="D444" s="132"/>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c r="AC444" s="133"/>
      <c r="AD444" s="133"/>
      <c r="AE444" s="133"/>
      <c r="AF444" s="133"/>
      <c r="AG444" s="133"/>
      <c r="AH444" s="133"/>
      <c r="AI444" s="133"/>
      <c r="AJ444" s="133"/>
      <c r="AK444" s="133"/>
      <c r="AL444" s="132"/>
      <c r="AM444" s="132"/>
      <c r="AN444" s="164"/>
      <c r="AO444" s="104"/>
      <c r="AP444" s="104"/>
    </row>
    <row r="445">
      <c r="A445" s="132"/>
      <c r="B445" s="132"/>
      <c r="C445" s="132"/>
      <c r="D445" s="132"/>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c r="AC445" s="133"/>
      <c r="AD445" s="133"/>
      <c r="AE445" s="133"/>
      <c r="AF445" s="133"/>
      <c r="AG445" s="133"/>
      <c r="AH445" s="133"/>
      <c r="AI445" s="133"/>
      <c r="AJ445" s="133"/>
      <c r="AK445" s="133"/>
      <c r="AL445" s="132"/>
      <c r="AM445" s="132"/>
      <c r="AN445" s="164"/>
      <c r="AO445" s="104"/>
      <c r="AP445" s="104"/>
    </row>
    <row r="446">
      <c r="A446" s="132"/>
      <c r="B446" s="132"/>
      <c r="C446" s="132"/>
      <c r="D446" s="132"/>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c r="AC446" s="133"/>
      <c r="AD446" s="133"/>
      <c r="AE446" s="133"/>
      <c r="AF446" s="133"/>
      <c r="AG446" s="133"/>
      <c r="AH446" s="133"/>
      <c r="AI446" s="133"/>
      <c r="AJ446" s="133"/>
      <c r="AK446" s="133"/>
      <c r="AL446" s="132"/>
      <c r="AM446" s="132"/>
      <c r="AN446" s="164"/>
      <c r="AO446" s="104"/>
      <c r="AP446" s="104"/>
    </row>
    <row r="447">
      <c r="A447" s="132"/>
      <c r="B447" s="132"/>
      <c r="C447" s="132"/>
      <c r="D447" s="132"/>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c r="AC447" s="133"/>
      <c r="AD447" s="133"/>
      <c r="AE447" s="133"/>
      <c r="AF447" s="133"/>
      <c r="AG447" s="133"/>
      <c r="AH447" s="133"/>
      <c r="AI447" s="133"/>
      <c r="AJ447" s="133"/>
      <c r="AK447" s="133"/>
      <c r="AL447" s="132"/>
      <c r="AM447" s="132"/>
      <c r="AN447" s="164"/>
      <c r="AO447" s="104"/>
      <c r="AP447" s="104"/>
    </row>
    <row r="448">
      <c r="A448" s="132"/>
      <c r="B448" s="132"/>
      <c r="C448" s="132"/>
      <c r="D448" s="132"/>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c r="AC448" s="133"/>
      <c r="AD448" s="133"/>
      <c r="AE448" s="133"/>
      <c r="AF448" s="133"/>
      <c r="AG448" s="133"/>
      <c r="AH448" s="133"/>
      <c r="AI448" s="133"/>
      <c r="AJ448" s="133"/>
      <c r="AK448" s="133"/>
      <c r="AL448" s="132"/>
      <c r="AM448" s="132"/>
      <c r="AN448" s="164"/>
      <c r="AO448" s="104"/>
      <c r="AP448" s="104"/>
    </row>
    <row r="449">
      <c r="A449" s="132"/>
      <c r="B449" s="132"/>
      <c r="C449" s="132"/>
      <c r="D449" s="132"/>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c r="AC449" s="133"/>
      <c r="AD449" s="133"/>
      <c r="AE449" s="133"/>
      <c r="AF449" s="133"/>
      <c r="AG449" s="133"/>
      <c r="AH449" s="133"/>
      <c r="AI449" s="133"/>
      <c r="AJ449" s="133"/>
      <c r="AK449" s="133"/>
      <c r="AL449" s="132"/>
      <c r="AM449" s="132"/>
      <c r="AN449" s="164"/>
      <c r="AO449" s="104"/>
      <c r="AP449" s="104"/>
    </row>
    <row r="450">
      <c r="A450" s="132"/>
      <c r="B450" s="132"/>
      <c r="C450" s="132"/>
      <c r="D450" s="132"/>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c r="AC450" s="133"/>
      <c r="AD450" s="133"/>
      <c r="AE450" s="133"/>
      <c r="AF450" s="133"/>
      <c r="AG450" s="133"/>
      <c r="AH450" s="133"/>
      <c r="AI450" s="133"/>
      <c r="AJ450" s="133"/>
      <c r="AK450" s="133"/>
      <c r="AL450" s="132"/>
      <c r="AM450" s="132"/>
      <c r="AN450" s="164"/>
      <c r="AO450" s="104"/>
      <c r="AP450" s="104"/>
    </row>
    <row r="451">
      <c r="A451" s="132"/>
      <c r="B451" s="132"/>
      <c r="C451" s="132"/>
      <c r="D451" s="132"/>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c r="AC451" s="133"/>
      <c r="AD451" s="133"/>
      <c r="AE451" s="133"/>
      <c r="AF451" s="133"/>
      <c r="AG451" s="133"/>
      <c r="AH451" s="133"/>
      <c r="AI451" s="133"/>
      <c r="AJ451" s="133"/>
      <c r="AK451" s="133"/>
      <c r="AL451" s="132"/>
      <c r="AM451" s="132"/>
      <c r="AN451" s="164"/>
      <c r="AO451" s="104"/>
      <c r="AP451" s="104"/>
    </row>
    <row r="452">
      <c r="A452" s="132"/>
      <c r="B452" s="132"/>
      <c r="C452" s="132"/>
      <c r="D452" s="132"/>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c r="AC452" s="133"/>
      <c r="AD452" s="133"/>
      <c r="AE452" s="133"/>
      <c r="AF452" s="133"/>
      <c r="AG452" s="133"/>
      <c r="AH452" s="133"/>
      <c r="AI452" s="133"/>
      <c r="AJ452" s="133"/>
      <c r="AK452" s="133"/>
      <c r="AL452" s="132"/>
      <c r="AM452" s="132"/>
      <c r="AN452" s="164"/>
      <c r="AO452" s="104"/>
      <c r="AP452" s="104"/>
    </row>
    <row r="453">
      <c r="A453" s="132"/>
      <c r="B453" s="132"/>
      <c r="C453" s="132"/>
      <c r="D453" s="132"/>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c r="AC453" s="133"/>
      <c r="AD453" s="133"/>
      <c r="AE453" s="133"/>
      <c r="AF453" s="133"/>
      <c r="AG453" s="133"/>
      <c r="AH453" s="133"/>
      <c r="AI453" s="133"/>
      <c r="AJ453" s="133"/>
      <c r="AK453" s="133"/>
      <c r="AL453" s="132"/>
      <c r="AM453" s="132"/>
      <c r="AN453" s="164"/>
      <c r="AO453" s="104"/>
      <c r="AP453" s="104"/>
    </row>
    <row r="454">
      <c r="A454" s="132"/>
      <c r="B454" s="132"/>
      <c r="C454" s="132"/>
      <c r="D454" s="132"/>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c r="AC454" s="133"/>
      <c r="AD454" s="133"/>
      <c r="AE454" s="133"/>
      <c r="AF454" s="133"/>
      <c r="AG454" s="133"/>
      <c r="AH454" s="133"/>
      <c r="AI454" s="133"/>
      <c r="AJ454" s="133"/>
      <c r="AK454" s="133"/>
      <c r="AL454" s="132"/>
      <c r="AM454" s="132"/>
      <c r="AN454" s="164"/>
      <c r="AO454" s="104"/>
      <c r="AP454" s="104"/>
    </row>
    <row r="455">
      <c r="A455" s="132"/>
      <c r="B455" s="132"/>
      <c r="C455" s="132"/>
      <c r="D455" s="132"/>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c r="AC455" s="133"/>
      <c r="AD455" s="133"/>
      <c r="AE455" s="133"/>
      <c r="AF455" s="133"/>
      <c r="AG455" s="133"/>
      <c r="AH455" s="133"/>
      <c r="AI455" s="133"/>
      <c r="AJ455" s="133"/>
      <c r="AK455" s="133"/>
      <c r="AL455" s="132"/>
      <c r="AM455" s="132"/>
      <c r="AN455" s="164"/>
      <c r="AO455" s="104"/>
      <c r="AP455" s="104"/>
    </row>
    <row r="456">
      <c r="A456" s="132"/>
      <c r="B456" s="132"/>
      <c r="C456" s="132"/>
      <c r="D456" s="132"/>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c r="AC456" s="133"/>
      <c r="AD456" s="133"/>
      <c r="AE456" s="133"/>
      <c r="AF456" s="133"/>
      <c r="AG456" s="133"/>
      <c r="AH456" s="133"/>
      <c r="AI456" s="133"/>
      <c r="AJ456" s="133"/>
      <c r="AK456" s="133"/>
      <c r="AL456" s="132"/>
      <c r="AM456" s="132"/>
      <c r="AN456" s="164"/>
      <c r="AO456" s="104"/>
      <c r="AP456" s="104"/>
    </row>
    <row r="457">
      <c r="A457" s="132"/>
      <c r="B457" s="132"/>
      <c r="C457" s="132"/>
      <c r="D457" s="132"/>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c r="AC457" s="133"/>
      <c r="AD457" s="133"/>
      <c r="AE457" s="133"/>
      <c r="AF457" s="133"/>
      <c r="AG457" s="133"/>
      <c r="AH457" s="133"/>
      <c r="AI457" s="133"/>
      <c r="AJ457" s="133"/>
      <c r="AK457" s="133"/>
      <c r="AL457" s="132"/>
      <c r="AM457" s="132"/>
      <c r="AN457" s="164"/>
      <c r="AO457" s="104"/>
      <c r="AP457" s="104"/>
    </row>
    <row r="458">
      <c r="A458" s="132"/>
      <c r="B458" s="132"/>
      <c r="C458" s="132"/>
      <c r="D458" s="132"/>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c r="AC458" s="133"/>
      <c r="AD458" s="133"/>
      <c r="AE458" s="133"/>
      <c r="AF458" s="133"/>
      <c r="AG458" s="133"/>
      <c r="AH458" s="133"/>
      <c r="AI458" s="133"/>
      <c r="AJ458" s="133"/>
      <c r="AK458" s="133"/>
      <c r="AL458" s="132"/>
      <c r="AM458" s="132"/>
      <c r="AN458" s="164"/>
      <c r="AO458" s="104"/>
      <c r="AP458" s="104"/>
    </row>
    <row r="459">
      <c r="A459" s="132"/>
      <c r="B459" s="132"/>
      <c r="C459" s="132"/>
      <c r="D459" s="132"/>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c r="AC459" s="133"/>
      <c r="AD459" s="133"/>
      <c r="AE459" s="133"/>
      <c r="AF459" s="133"/>
      <c r="AG459" s="133"/>
      <c r="AH459" s="133"/>
      <c r="AI459" s="133"/>
      <c r="AJ459" s="133"/>
      <c r="AK459" s="133"/>
      <c r="AL459" s="132"/>
      <c r="AM459" s="132"/>
      <c r="AN459" s="164"/>
      <c r="AO459" s="104"/>
      <c r="AP459" s="104"/>
    </row>
    <row r="460">
      <c r="A460" s="132"/>
      <c r="B460" s="132"/>
      <c r="C460" s="132"/>
      <c r="D460" s="132"/>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c r="AC460" s="133"/>
      <c r="AD460" s="133"/>
      <c r="AE460" s="133"/>
      <c r="AF460" s="133"/>
      <c r="AG460" s="133"/>
      <c r="AH460" s="133"/>
      <c r="AI460" s="133"/>
      <c r="AJ460" s="133"/>
      <c r="AK460" s="133"/>
      <c r="AL460" s="132"/>
      <c r="AM460" s="132"/>
      <c r="AN460" s="164"/>
      <c r="AO460" s="104"/>
      <c r="AP460" s="104"/>
    </row>
    <row r="461">
      <c r="A461" s="132"/>
      <c r="B461" s="132"/>
      <c r="C461" s="132"/>
      <c r="D461" s="132"/>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c r="AE461" s="133"/>
      <c r="AF461" s="133"/>
      <c r="AG461" s="133"/>
      <c r="AH461" s="133"/>
      <c r="AI461" s="133"/>
      <c r="AJ461" s="133"/>
      <c r="AK461" s="133"/>
      <c r="AL461" s="132"/>
      <c r="AM461" s="132"/>
      <c r="AN461" s="164"/>
      <c r="AO461" s="104"/>
      <c r="AP461" s="104"/>
    </row>
    <row r="462">
      <c r="A462" s="132"/>
      <c r="B462" s="132"/>
      <c r="C462" s="132"/>
      <c r="D462" s="132"/>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c r="AC462" s="133"/>
      <c r="AD462" s="133"/>
      <c r="AE462" s="133"/>
      <c r="AF462" s="133"/>
      <c r="AG462" s="133"/>
      <c r="AH462" s="133"/>
      <c r="AI462" s="133"/>
      <c r="AJ462" s="133"/>
      <c r="AK462" s="133"/>
      <c r="AL462" s="132"/>
      <c r="AM462" s="132"/>
      <c r="AN462" s="164"/>
      <c r="AO462" s="104"/>
      <c r="AP462" s="104"/>
    </row>
    <row r="463">
      <c r="A463" s="132"/>
      <c r="B463" s="132"/>
      <c r="C463" s="132"/>
      <c r="D463" s="132"/>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c r="AC463" s="133"/>
      <c r="AD463" s="133"/>
      <c r="AE463" s="133"/>
      <c r="AF463" s="133"/>
      <c r="AG463" s="133"/>
      <c r="AH463" s="133"/>
      <c r="AI463" s="133"/>
      <c r="AJ463" s="133"/>
      <c r="AK463" s="133"/>
      <c r="AL463" s="132"/>
      <c r="AM463" s="132"/>
      <c r="AN463" s="164"/>
      <c r="AO463" s="104"/>
      <c r="AP463" s="104"/>
    </row>
    <row r="464">
      <c r="A464" s="132"/>
      <c r="B464" s="132"/>
      <c r="C464" s="132"/>
      <c r="D464" s="132"/>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c r="AC464" s="133"/>
      <c r="AD464" s="133"/>
      <c r="AE464" s="133"/>
      <c r="AF464" s="133"/>
      <c r="AG464" s="133"/>
      <c r="AH464" s="133"/>
      <c r="AI464" s="133"/>
      <c r="AJ464" s="133"/>
      <c r="AK464" s="133"/>
      <c r="AL464" s="132"/>
      <c r="AM464" s="132"/>
      <c r="AN464" s="164"/>
      <c r="AO464" s="104"/>
      <c r="AP464" s="104"/>
    </row>
    <row r="465">
      <c r="A465" s="132"/>
      <c r="B465" s="132"/>
      <c r="C465" s="132"/>
      <c r="D465" s="132"/>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c r="AC465" s="133"/>
      <c r="AD465" s="133"/>
      <c r="AE465" s="133"/>
      <c r="AF465" s="133"/>
      <c r="AG465" s="133"/>
      <c r="AH465" s="133"/>
      <c r="AI465" s="133"/>
      <c r="AJ465" s="133"/>
      <c r="AK465" s="133"/>
      <c r="AL465" s="132"/>
      <c r="AM465" s="132"/>
      <c r="AN465" s="164"/>
      <c r="AO465" s="104"/>
      <c r="AP465" s="104"/>
    </row>
    <row r="466">
      <c r="A466" s="132"/>
      <c r="B466" s="132"/>
      <c r="C466" s="132"/>
      <c r="D466" s="132"/>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c r="AC466" s="133"/>
      <c r="AD466" s="133"/>
      <c r="AE466" s="133"/>
      <c r="AF466" s="133"/>
      <c r="AG466" s="133"/>
      <c r="AH466" s="133"/>
      <c r="AI466" s="133"/>
      <c r="AJ466" s="133"/>
      <c r="AK466" s="133"/>
      <c r="AL466" s="132"/>
      <c r="AM466" s="132"/>
      <c r="AN466" s="164"/>
      <c r="AO466" s="104"/>
      <c r="AP466" s="104"/>
    </row>
    <row r="467">
      <c r="A467" s="132"/>
      <c r="B467" s="132"/>
      <c r="C467" s="132"/>
      <c r="D467" s="132"/>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c r="AC467" s="133"/>
      <c r="AD467" s="133"/>
      <c r="AE467" s="133"/>
      <c r="AF467" s="133"/>
      <c r="AG467" s="133"/>
      <c r="AH467" s="133"/>
      <c r="AI467" s="133"/>
      <c r="AJ467" s="133"/>
      <c r="AK467" s="133"/>
      <c r="AL467" s="132"/>
      <c r="AM467" s="132"/>
      <c r="AN467" s="164"/>
      <c r="AO467" s="104"/>
      <c r="AP467" s="104"/>
    </row>
    <row r="468">
      <c r="A468" s="132"/>
      <c r="B468" s="132"/>
      <c r="C468" s="132"/>
      <c r="D468" s="132"/>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c r="AC468" s="133"/>
      <c r="AD468" s="133"/>
      <c r="AE468" s="133"/>
      <c r="AF468" s="133"/>
      <c r="AG468" s="133"/>
      <c r="AH468" s="133"/>
      <c r="AI468" s="133"/>
      <c r="AJ468" s="133"/>
      <c r="AK468" s="133"/>
      <c r="AL468" s="132"/>
      <c r="AM468" s="132"/>
      <c r="AN468" s="164"/>
      <c r="AO468" s="104"/>
      <c r="AP468" s="104"/>
    </row>
    <row r="469">
      <c r="A469" s="132"/>
      <c r="B469" s="132"/>
      <c r="C469" s="132"/>
      <c r="D469" s="132"/>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c r="AC469" s="133"/>
      <c r="AD469" s="133"/>
      <c r="AE469" s="133"/>
      <c r="AF469" s="133"/>
      <c r="AG469" s="133"/>
      <c r="AH469" s="133"/>
      <c r="AI469" s="133"/>
      <c r="AJ469" s="133"/>
      <c r="AK469" s="133"/>
      <c r="AL469" s="132"/>
      <c r="AM469" s="132"/>
      <c r="AN469" s="164"/>
      <c r="AO469" s="104"/>
      <c r="AP469" s="104"/>
    </row>
    <row r="470">
      <c r="A470" s="132"/>
      <c r="B470" s="132"/>
      <c r="C470" s="132"/>
      <c r="D470" s="132"/>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c r="AC470" s="133"/>
      <c r="AD470" s="133"/>
      <c r="AE470" s="133"/>
      <c r="AF470" s="133"/>
      <c r="AG470" s="133"/>
      <c r="AH470" s="133"/>
      <c r="AI470" s="133"/>
      <c r="AJ470" s="133"/>
      <c r="AK470" s="133"/>
      <c r="AL470" s="132"/>
      <c r="AM470" s="132"/>
      <c r="AN470" s="164"/>
      <c r="AO470" s="104"/>
      <c r="AP470" s="104"/>
    </row>
    <row r="471">
      <c r="A471" s="132"/>
      <c r="B471" s="132"/>
      <c r="C471" s="132"/>
      <c r="D471" s="132"/>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c r="AC471" s="133"/>
      <c r="AD471" s="133"/>
      <c r="AE471" s="133"/>
      <c r="AF471" s="133"/>
      <c r="AG471" s="133"/>
      <c r="AH471" s="133"/>
      <c r="AI471" s="133"/>
      <c r="AJ471" s="133"/>
      <c r="AK471" s="133"/>
      <c r="AL471" s="132"/>
      <c r="AM471" s="132"/>
      <c r="AN471" s="164"/>
      <c r="AO471" s="104"/>
      <c r="AP471" s="104"/>
    </row>
    <row r="472">
      <c r="A472" s="132"/>
      <c r="B472" s="132"/>
      <c r="C472" s="132"/>
      <c r="D472" s="132"/>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c r="AC472" s="133"/>
      <c r="AD472" s="133"/>
      <c r="AE472" s="133"/>
      <c r="AF472" s="133"/>
      <c r="AG472" s="133"/>
      <c r="AH472" s="133"/>
      <c r="AI472" s="133"/>
      <c r="AJ472" s="133"/>
      <c r="AK472" s="133"/>
      <c r="AL472" s="132"/>
      <c r="AM472" s="132"/>
      <c r="AN472" s="164"/>
      <c r="AO472" s="104"/>
      <c r="AP472" s="104"/>
    </row>
    <row r="473">
      <c r="A473" s="132"/>
      <c r="B473" s="132"/>
      <c r="C473" s="132"/>
      <c r="D473" s="132"/>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c r="AC473" s="133"/>
      <c r="AD473" s="133"/>
      <c r="AE473" s="133"/>
      <c r="AF473" s="133"/>
      <c r="AG473" s="133"/>
      <c r="AH473" s="133"/>
      <c r="AI473" s="133"/>
      <c r="AJ473" s="133"/>
      <c r="AK473" s="133"/>
      <c r="AL473" s="132"/>
      <c r="AM473" s="132"/>
      <c r="AN473" s="164"/>
      <c r="AO473" s="104"/>
      <c r="AP473" s="104"/>
    </row>
    <row r="474">
      <c r="A474" s="132"/>
      <c r="B474" s="132"/>
      <c r="C474" s="132"/>
      <c r="D474" s="132"/>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c r="AC474" s="133"/>
      <c r="AD474" s="133"/>
      <c r="AE474" s="133"/>
      <c r="AF474" s="133"/>
      <c r="AG474" s="133"/>
      <c r="AH474" s="133"/>
      <c r="AI474" s="133"/>
      <c r="AJ474" s="133"/>
      <c r="AK474" s="133"/>
      <c r="AL474" s="132"/>
      <c r="AM474" s="132"/>
      <c r="AN474" s="164"/>
      <c r="AO474" s="104"/>
      <c r="AP474" s="104"/>
    </row>
    <row r="475">
      <c r="A475" s="132"/>
      <c r="B475" s="132"/>
      <c r="C475" s="132"/>
      <c r="D475" s="132"/>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c r="AC475" s="133"/>
      <c r="AD475" s="133"/>
      <c r="AE475" s="133"/>
      <c r="AF475" s="133"/>
      <c r="AG475" s="133"/>
      <c r="AH475" s="133"/>
      <c r="AI475" s="133"/>
      <c r="AJ475" s="133"/>
      <c r="AK475" s="133"/>
      <c r="AL475" s="132"/>
      <c r="AM475" s="132"/>
      <c r="AN475" s="164"/>
      <c r="AO475" s="104"/>
      <c r="AP475" s="104"/>
    </row>
    <row r="476">
      <c r="A476" s="132"/>
      <c r="B476" s="132"/>
      <c r="C476" s="132"/>
      <c r="D476" s="132"/>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c r="AC476" s="133"/>
      <c r="AD476" s="133"/>
      <c r="AE476" s="133"/>
      <c r="AF476" s="133"/>
      <c r="AG476" s="133"/>
      <c r="AH476" s="133"/>
      <c r="AI476" s="133"/>
      <c r="AJ476" s="133"/>
      <c r="AK476" s="133"/>
      <c r="AL476" s="132"/>
      <c r="AM476" s="132"/>
      <c r="AN476" s="164"/>
      <c r="AO476" s="104"/>
      <c r="AP476" s="104"/>
    </row>
    <row r="477">
      <c r="A477" s="132"/>
      <c r="B477" s="132"/>
      <c r="C477" s="132"/>
      <c r="D477" s="132"/>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c r="AC477" s="133"/>
      <c r="AD477" s="133"/>
      <c r="AE477" s="133"/>
      <c r="AF477" s="133"/>
      <c r="AG477" s="133"/>
      <c r="AH477" s="133"/>
      <c r="AI477" s="133"/>
      <c r="AJ477" s="133"/>
      <c r="AK477" s="133"/>
      <c r="AL477" s="132"/>
      <c r="AM477" s="132"/>
      <c r="AN477" s="164"/>
      <c r="AO477" s="104"/>
      <c r="AP477" s="104"/>
    </row>
    <row r="478">
      <c r="A478" s="132"/>
      <c r="B478" s="132"/>
      <c r="C478" s="132"/>
      <c r="D478" s="132"/>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c r="AC478" s="133"/>
      <c r="AD478" s="133"/>
      <c r="AE478" s="133"/>
      <c r="AF478" s="133"/>
      <c r="AG478" s="133"/>
      <c r="AH478" s="133"/>
      <c r="AI478" s="133"/>
      <c r="AJ478" s="133"/>
      <c r="AK478" s="133"/>
      <c r="AL478" s="132"/>
      <c r="AM478" s="132"/>
      <c r="AN478" s="164"/>
      <c r="AO478" s="104"/>
      <c r="AP478" s="104"/>
    </row>
    <row r="479">
      <c r="A479" s="132"/>
      <c r="B479" s="132"/>
      <c r="C479" s="132"/>
      <c r="D479" s="132"/>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c r="AC479" s="133"/>
      <c r="AD479" s="133"/>
      <c r="AE479" s="133"/>
      <c r="AF479" s="133"/>
      <c r="AG479" s="133"/>
      <c r="AH479" s="133"/>
      <c r="AI479" s="133"/>
      <c r="AJ479" s="133"/>
      <c r="AK479" s="133"/>
      <c r="AL479" s="132"/>
      <c r="AM479" s="132"/>
      <c r="AN479" s="164"/>
      <c r="AO479" s="104"/>
      <c r="AP479" s="104"/>
    </row>
    <row r="480">
      <c r="A480" s="132"/>
      <c r="B480" s="132"/>
      <c r="C480" s="132"/>
      <c r="D480" s="132"/>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c r="AC480" s="133"/>
      <c r="AD480" s="133"/>
      <c r="AE480" s="133"/>
      <c r="AF480" s="133"/>
      <c r="AG480" s="133"/>
      <c r="AH480" s="133"/>
      <c r="AI480" s="133"/>
      <c r="AJ480" s="133"/>
      <c r="AK480" s="133"/>
      <c r="AL480" s="132"/>
      <c r="AM480" s="132"/>
      <c r="AN480" s="164"/>
      <c r="AO480" s="104"/>
      <c r="AP480" s="104"/>
    </row>
    <row r="481">
      <c r="A481" s="132"/>
      <c r="B481" s="132"/>
      <c r="C481" s="132"/>
      <c r="D481" s="132"/>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c r="AE481" s="133"/>
      <c r="AF481" s="133"/>
      <c r="AG481" s="133"/>
      <c r="AH481" s="133"/>
      <c r="AI481" s="133"/>
      <c r="AJ481" s="133"/>
      <c r="AK481" s="133"/>
      <c r="AL481" s="132"/>
      <c r="AM481" s="132"/>
      <c r="AN481" s="164"/>
      <c r="AO481" s="104"/>
      <c r="AP481" s="104"/>
    </row>
    <row r="482">
      <c r="A482" s="132"/>
      <c r="B482" s="132"/>
      <c r="C482" s="132"/>
      <c r="D482" s="132"/>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c r="AC482" s="133"/>
      <c r="AD482" s="133"/>
      <c r="AE482" s="133"/>
      <c r="AF482" s="133"/>
      <c r="AG482" s="133"/>
      <c r="AH482" s="133"/>
      <c r="AI482" s="133"/>
      <c r="AJ482" s="133"/>
      <c r="AK482" s="133"/>
      <c r="AL482" s="132"/>
      <c r="AM482" s="132"/>
      <c r="AN482" s="164"/>
      <c r="AO482" s="104"/>
      <c r="AP482" s="104"/>
    </row>
    <row r="483">
      <c r="A483" s="132"/>
      <c r="B483" s="132"/>
      <c r="C483" s="132"/>
      <c r="D483" s="132"/>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c r="AC483" s="133"/>
      <c r="AD483" s="133"/>
      <c r="AE483" s="133"/>
      <c r="AF483" s="133"/>
      <c r="AG483" s="133"/>
      <c r="AH483" s="133"/>
      <c r="AI483" s="133"/>
      <c r="AJ483" s="133"/>
      <c r="AK483" s="133"/>
      <c r="AL483" s="132"/>
      <c r="AM483" s="132"/>
      <c r="AN483" s="164"/>
      <c r="AO483" s="104"/>
      <c r="AP483" s="104"/>
    </row>
    <row r="484">
      <c r="A484" s="132"/>
      <c r="B484" s="132"/>
      <c r="C484" s="132"/>
      <c r="D484" s="132"/>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c r="AE484" s="133"/>
      <c r="AF484" s="133"/>
      <c r="AG484" s="133"/>
      <c r="AH484" s="133"/>
      <c r="AI484" s="133"/>
      <c r="AJ484" s="133"/>
      <c r="AK484" s="133"/>
      <c r="AL484" s="132"/>
      <c r="AM484" s="132"/>
      <c r="AN484" s="164"/>
      <c r="AO484" s="104"/>
      <c r="AP484" s="104"/>
    </row>
    <row r="485">
      <c r="A485" s="132"/>
      <c r="B485" s="132"/>
      <c r="C485" s="132"/>
      <c r="D485" s="132"/>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c r="AE485" s="133"/>
      <c r="AF485" s="133"/>
      <c r="AG485" s="133"/>
      <c r="AH485" s="133"/>
      <c r="AI485" s="133"/>
      <c r="AJ485" s="133"/>
      <c r="AK485" s="133"/>
      <c r="AL485" s="132"/>
      <c r="AM485" s="132"/>
      <c r="AN485" s="164"/>
      <c r="AO485" s="104"/>
      <c r="AP485" s="104"/>
    </row>
    <row r="486">
      <c r="A486" s="132"/>
      <c r="B486" s="132"/>
      <c r="C486" s="132"/>
      <c r="D486" s="132"/>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c r="AC486" s="133"/>
      <c r="AD486" s="133"/>
      <c r="AE486" s="133"/>
      <c r="AF486" s="133"/>
      <c r="AG486" s="133"/>
      <c r="AH486" s="133"/>
      <c r="AI486" s="133"/>
      <c r="AJ486" s="133"/>
      <c r="AK486" s="133"/>
      <c r="AL486" s="132"/>
      <c r="AM486" s="132"/>
      <c r="AN486" s="164"/>
      <c r="AO486" s="104"/>
      <c r="AP486" s="104"/>
    </row>
    <row r="487">
      <c r="A487" s="132"/>
      <c r="B487" s="132"/>
      <c r="C487" s="132"/>
      <c r="D487" s="132"/>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c r="AE487" s="133"/>
      <c r="AF487" s="133"/>
      <c r="AG487" s="133"/>
      <c r="AH487" s="133"/>
      <c r="AI487" s="133"/>
      <c r="AJ487" s="133"/>
      <c r="AK487" s="133"/>
      <c r="AL487" s="132"/>
      <c r="AM487" s="132"/>
      <c r="AN487" s="164"/>
      <c r="AO487" s="104"/>
      <c r="AP487" s="104"/>
    </row>
    <row r="488">
      <c r="A488" s="132"/>
      <c r="B488" s="132"/>
      <c r="C488" s="132"/>
      <c r="D488" s="132"/>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c r="AE488" s="133"/>
      <c r="AF488" s="133"/>
      <c r="AG488" s="133"/>
      <c r="AH488" s="133"/>
      <c r="AI488" s="133"/>
      <c r="AJ488" s="133"/>
      <c r="AK488" s="133"/>
      <c r="AL488" s="132"/>
      <c r="AM488" s="132"/>
      <c r="AN488" s="164"/>
      <c r="AO488" s="104"/>
      <c r="AP488" s="104"/>
    </row>
    <row r="489">
      <c r="A489" s="132"/>
      <c r="B489" s="132"/>
      <c r="C489" s="132"/>
      <c r="D489" s="132"/>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c r="AE489" s="133"/>
      <c r="AF489" s="133"/>
      <c r="AG489" s="133"/>
      <c r="AH489" s="133"/>
      <c r="AI489" s="133"/>
      <c r="AJ489" s="133"/>
      <c r="AK489" s="133"/>
      <c r="AL489" s="132"/>
      <c r="AM489" s="132"/>
      <c r="AN489" s="164"/>
      <c r="AO489" s="104"/>
      <c r="AP489" s="104"/>
    </row>
    <row r="490">
      <c r="A490" s="132"/>
      <c r="B490" s="132"/>
      <c r="C490" s="132"/>
      <c r="D490" s="132"/>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c r="AE490" s="133"/>
      <c r="AF490" s="133"/>
      <c r="AG490" s="133"/>
      <c r="AH490" s="133"/>
      <c r="AI490" s="133"/>
      <c r="AJ490" s="133"/>
      <c r="AK490" s="133"/>
      <c r="AL490" s="132"/>
      <c r="AM490" s="132"/>
      <c r="AN490" s="164"/>
      <c r="AO490" s="104"/>
      <c r="AP490" s="104"/>
    </row>
    <row r="491">
      <c r="A491" s="132"/>
      <c r="B491" s="132"/>
      <c r="C491" s="132"/>
      <c r="D491" s="132"/>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c r="AC491" s="133"/>
      <c r="AD491" s="133"/>
      <c r="AE491" s="133"/>
      <c r="AF491" s="133"/>
      <c r="AG491" s="133"/>
      <c r="AH491" s="133"/>
      <c r="AI491" s="133"/>
      <c r="AJ491" s="133"/>
      <c r="AK491" s="133"/>
      <c r="AL491" s="132"/>
      <c r="AM491" s="132"/>
      <c r="AN491" s="164"/>
      <c r="AO491" s="104"/>
      <c r="AP491" s="104"/>
    </row>
    <row r="492">
      <c r="A492" s="132"/>
      <c r="B492" s="132"/>
      <c r="C492" s="132"/>
      <c r="D492" s="132"/>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c r="AC492" s="133"/>
      <c r="AD492" s="133"/>
      <c r="AE492" s="133"/>
      <c r="AF492" s="133"/>
      <c r="AG492" s="133"/>
      <c r="AH492" s="133"/>
      <c r="AI492" s="133"/>
      <c r="AJ492" s="133"/>
      <c r="AK492" s="133"/>
      <c r="AL492" s="132"/>
      <c r="AM492" s="132"/>
      <c r="AN492" s="164"/>
      <c r="AO492" s="104"/>
      <c r="AP492" s="104"/>
    </row>
    <row r="493">
      <c r="A493" s="132"/>
      <c r="B493" s="132"/>
      <c r="C493" s="132"/>
      <c r="D493" s="132"/>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c r="AC493" s="133"/>
      <c r="AD493" s="133"/>
      <c r="AE493" s="133"/>
      <c r="AF493" s="133"/>
      <c r="AG493" s="133"/>
      <c r="AH493" s="133"/>
      <c r="AI493" s="133"/>
      <c r="AJ493" s="133"/>
      <c r="AK493" s="133"/>
      <c r="AL493" s="132"/>
      <c r="AM493" s="132"/>
      <c r="AN493" s="164"/>
      <c r="AO493" s="104"/>
      <c r="AP493" s="104"/>
    </row>
    <row r="494">
      <c r="A494" s="132"/>
      <c r="B494" s="132"/>
      <c r="C494" s="132"/>
      <c r="D494" s="132"/>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c r="AC494" s="133"/>
      <c r="AD494" s="133"/>
      <c r="AE494" s="133"/>
      <c r="AF494" s="133"/>
      <c r="AG494" s="133"/>
      <c r="AH494" s="133"/>
      <c r="AI494" s="133"/>
      <c r="AJ494" s="133"/>
      <c r="AK494" s="133"/>
      <c r="AL494" s="132"/>
      <c r="AM494" s="132"/>
      <c r="AN494" s="164"/>
      <c r="AO494" s="104"/>
      <c r="AP494" s="104"/>
    </row>
    <row r="495">
      <c r="A495" s="132"/>
      <c r="B495" s="132"/>
      <c r="C495" s="132"/>
      <c r="D495" s="132"/>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c r="AC495" s="133"/>
      <c r="AD495" s="133"/>
      <c r="AE495" s="133"/>
      <c r="AF495" s="133"/>
      <c r="AG495" s="133"/>
      <c r="AH495" s="133"/>
      <c r="AI495" s="133"/>
      <c r="AJ495" s="133"/>
      <c r="AK495" s="133"/>
      <c r="AL495" s="132"/>
      <c r="AM495" s="132"/>
      <c r="AN495" s="164"/>
      <c r="AO495" s="104"/>
      <c r="AP495" s="104"/>
    </row>
    <row r="496">
      <c r="A496" s="132"/>
      <c r="B496" s="132"/>
      <c r="C496" s="132"/>
      <c r="D496" s="132"/>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c r="AC496" s="133"/>
      <c r="AD496" s="133"/>
      <c r="AE496" s="133"/>
      <c r="AF496" s="133"/>
      <c r="AG496" s="133"/>
      <c r="AH496" s="133"/>
      <c r="AI496" s="133"/>
      <c r="AJ496" s="133"/>
      <c r="AK496" s="133"/>
      <c r="AL496" s="132"/>
      <c r="AM496" s="132"/>
      <c r="AN496" s="164"/>
      <c r="AO496" s="104"/>
      <c r="AP496" s="104"/>
    </row>
    <row r="497">
      <c r="A497" s="132"/>
      <c r="B497" s="132"/>
      <c r="C497" s="132"/>
      <c r="D497" s="132"/>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c r="AC497" s="133"/>
      <c r="AD497" s="133"/>
      <c r="AE497" s="133"/>
      <c r="AF497" s="133"/>
      <c r="AG497" s="133"/>
      <c r="AH497" s="133"/>
      <c r="AI497" s="133"/>
      <c r="AJ497" s="133"/>
      <c r="AK497" s="133"/>
      <c r="AL497" s="132"/>
      <c r="AM497" s="132"/>
      <c r="AN497" s="164"/>
      <c r="AO497" s="104"/>
      <c r="AP497" s="104"/>
    </row>
    <row r="498">
      <c r="A498" s="132"/>
      <c r="B498" s="132"/>
      <c r="C498" s="132"/>
      <c r="D498" s="132"/>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c r="AC498" s="133"/>
      <c r="AD498" s="133"/>
      <c r="AE498" s="133"/>
      <c r="AF498" s="133"/>
      <c r="AG498" s="133"/>
      <c r="AH498" s="133"/>
      <c r="AI498" s="133"/>
      <c r="AJ498" s="133"/>
      <c r="AK498" s="133"/>
      <c r="AL498" s="132"/>
      <c r="AM498" s="132"/>
      <c r="AN498" s="164"/>
      <c r="AO498" s="104"/>
      <c r="AP498" s="104"/>
    </row>
    <row r="499">
      <c r="A499" s="132"/>
      <c r="B499" s="132"/>
      <c r="C499" s="132"/>
      <c r="D499" s="132"/>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c r="AE499" s="133"/>
      <c r="AF499" s="133"/>
      <c r="AG499" s="133"/>
      <c r="AH499" s="133"/>
      <c r="AI499" s="133"/>
      <c r="AJ499" s="133"/>
      <c r="AK499" s="133"/>
      <c r="AL499" s="132"/>
      <c r="AM499" s="132"/>
      <c r="AN499" s="164"/>
      <c r="AO499" s="104"/>
      <c r="AP499" s="104"/>
    </row>
    <row r="500">
      <c r="A500" s="132"/>
      <c r="B500" s="132"/>
      <c r="C500" s="132"/>
      <c r="D500" s="132"/>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c r="AE500" s="133"/>
      <c r="AF500" s="133"/>
      <c r="AG500" s="133"/>
      <c r="AH500" s="133"/>
      <c r="AI500" s="133"/>
      <c r="AJ500" s="133"/>
      <c r="AK500" s="133"/>
      <c r="AL500" s="132"/>
      <c r="AM500" s="132"/>
      <c r="AN500" s="164"/>
      <c r="AO500" s="104"/>
      <c r="AP500" s="104"/>
    </row>
    <row r="501">
      <c r="A501" s="132"/>
      <c r="B501" s="132"/>
      <c r="C501" s="132"/>
      <c r="D501" s="132"/>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c r="AE501" s="133"/>
      <c r="AF501" s="133"/>
      <c r="AG501" s="133"/>
      <c r="AH501" s="133"/>
      <c r="AI501" s="133"/>
      <c r="AJ501" s="133"/>
      <c r="AK501" s="133"/>
      <c r="AL501" s="132"/>
      <c r="AM501" s="132"/>
      <c r="AN501" s="164"/>
      <c r="AO501" s="104"/>
      <c r="AP501" s="104"/>
    </row>
    <row r="502">
      <c r="A502" s="132"/>
      <c r="B502" s="132"/>
      <c r="C502" s="132"/>
      <c r="D502" s="132"/>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c r="AE502" s="133"/>
      <c r="AF502" s="133"/>
      <c r="AG502" s="133"/>
      <c r="AH502" s="133"/>
      <c r="AI502" s="133"/>
      <c r="AJ502" s="133"/>
      <c r="AK502" s="133"/>
      <c r="AL502" s="132"/>
      <c r="AM502" s="132"/>
      <c r="AN502" s="164"/>
      <c r="AO502" s="104"/>
      <c r="AP502" s="104"/>
    </row>
    <row r="503">
      <c r="A503" s="132"/>
      <c r="B503" s="132"/>
      <c r="C503" s="132"/>
      <c r="D503" s="132"/>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c r="AE503" s="133"/>
      <c r="AF503" s="133"/>
      <c r="AG503" s="133"/>
      <c r="AH503" s="133"/>
      <c r="AI503" s="133"/>
      <c r="AJ503" s="133"/>
      <c r="AK503" s="133"/>
      <c r="AL503" s="132"/>
      <c r="AM503" s="132"/>
      <c r="AN503" s="164"/>
      <c r="AO503" s="104"/>
      <c r="AP503" s="104"/>
    </row>
    <row r="504">
      <c r="A504" s="132"/>
      <c r="B504" s="132"/>
      <c r="C504" s="132"/>
      <c r="D504" s="132"/>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c r="AE504" s="133"/>
      <c r="AF504" s="133"/>
      <c r="AG504" s="133"/>
      <c r="AH504" s="133"/>
      <c r="AI504" s="133"/>
      <c r="AJ504" s="133"/>
      <c r="AK504" s="133"/>
      <c r="AL504" s="132"/>
      <c r="AM504" s="132"/>
      <c r="AN504" s="164"/>
      <c r="AO504" s="104"/>
      <c r="AP504" s="104"/>
    </row>
    <row r="505">
      <c r="A505" s="132"/>
      <c r="B505" s="132"/>
      <c r="C505" s="132"/>
      <c r="D505" s="132"/>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c r="AC505" s="133"/>
      <c r="AD505" s="133"/>
      <c r="AE505" s="133"/>
      <c r="AF505" s="133"/>
      <c r="AG505" s="133"/>
      <c r="AH505" s="133"/>
      <c r="AI505" s="133"/>
      <c r="AJ505" s="133"/>
      <c r="AK505" s="133"/>
      <c r="AL505" s="132"/>
      <c r="AM505" s="132"/>
      <c r="AN505" s="164"/>
      <c r="AO505" s="104"/>
      <c r="AP505" s="104"/>
    </row>
    <row r="506">
      <c r="A506" s="132"/>
      <c r="B506" s="132"/>
      <c r="C506" s="132"/>
      <c r="D506" s="132"/>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c r="AC506" s="133"/>
      <c r="AD506" s="133"/>
      <c r="AE506" s="133"/>
      <c r="AF506" s="133"/>
      <c r="AG506" s="133"/>
      <c r="AH506" s="133"/>
      <c r="AI506" s="133"/>
      <c r="AJ506" s="133"/>
      <c r="AK506" s="133"/>
      <c r="AL506" s="132"/>
      <c r="AM506" s="132"/>
      <c r="AN506" s="164"/>
      <c r="AO506" s="104"/>
      <c r="AP506" s="104"/>
    </row>
    <row r="507">
      <c r="A507" s="132"/>
      <c r="B507" s="132"/>
      <c r="C507" s="132"/>
      <c r="D507" s="132"/>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c r="AC507" s="133"/>
      <c r="AD507" s="133"/>
      <c r="AE507" s="133"/>
      <c r="AF507" s="133"/>
      <c r="AG507" s="133"/>
      <c r="AH507" s="133"/>
      <c r="AI507" s="133"/>
      <c r="AJ507" s="133"/>
      <c r="AK507" s="133"/>
      <c r="AL507" s="132"/>
      <c r="AM507" s="132"/>
      <c r="AN507" s="164"/>
      <c r="AO507" s="104"/>
      <c r="AP507" s="104"/>
    </row>
    <row r="508">
      <c r="A508" s="132"/>
      <c r="B508" s="132"/>
      <c r="C508" s="132"/>
      <c r="D508" s="132"/>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c r="AC508" s="133"/>
      <c r="AD508" s="133"/>
      <c r="AE508" s="133"/>
      <c r="AF508" s="133"/>
      <c r="AG508" s="133"/>
      <c r="AH508" s="133"/>
      <c r="AI508" s="133"/>
      <c r="AJ508" s="133"/>
      <c r="AK508" s="133"/>
      <c r="AL508" s="132"/>
      <c r="AM508" s="132"/>
      <c r="AN508" s="164"/>
      <c r="AO508" s="104"/>
      <c r="AP508" s="104"/>
    </row>
    <row r="509">
      <c r="A509" s="132"/>
      <c r="B509" s="132"/>
      <c r="C509" s="132"/>
      <c r="D509" s="132"/>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c r="AC509" s="133"/>
      <c r="AD509" s="133"/>
      <c r="AE509" s="133"/>
      <c r="AF509" s="133"/>
      <c r="AG509" s="133"/>
      <c r="AH509" s="133"/>
      <c r="AI509" s="133"/>
      <c r="AJ509" s="133"/>
      <c r="AK509" s="133"/>
      <c r="AL509" s="132"/>
      <c r="AM509" s="132"/>
      <c r="AN509" s="164"/>
      <c r="AO509" s="104"/>
      <c r="AP509" s="104"/>
    </row>
    <row r="510">
      <c r="A510" s="132"/>
      <c r="B510" s="132"/>
      <c r="C510" s="132"/>
      <c r="D510" s="132"/>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c r="AC510" s="133"/>
      <c r="AD510" s="133"/>
      <c r="AE510" s="133"/>
      <c r="AF510" s="133"/>
      <c r="AG510" s="133"/>
      <c r="AH510" s="133"/>
      <c r="AI510" s="133"/>
      <c r="AJ510" s="133"/>
      <c r="AK510" s="133"/>
      <c r="AL510" s="132"/>
      <c r="AM510" s="132"/>
      <c r="AN510" s="164"/>
      <c r="AO510" s="104"/>
      <c r="AP510" s="104"/>
    </row>
    <row r="511">
      <c r="A511" s="132"/>
      <c r="B511" s="132"/>
      <c r="C511" s="132"/>
      <c r="D511" s="132"/>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c r="AE511" s="133"/>
      <c r="AF511" s="133"/>
      <c r="AG511" s="133"/>
      <c r="AH511" s="133"/>
      <c r="AI511" s="133"/>
      <c r="AJ511" s="133"/>
      <c r="AK511" s="133"/>
      <c r="AL511" s="132"/>
      <c r="AM511" s="132"/>
      <c r="AN511" s="164"/>
      <c r="AO511" s="104"/>
      <c r="AP511" s="104"/>
    </row>
    <row r="512">
      <c r="A512" s="132"/>
      <c r="B512" s="132"/>
      <c r="C512" s="132"/>
      <c r="D512" s="132"/>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c r="AE512" s="133"/>
      <c r="AF512" s="133"/>
      <c r="AG512" s="133"/>
      <c r="AH512" s="133"/>
      <c r="AI512" s="133"/>
      <c r="AJ512" s="133"/>
      <c r="AK512" s="133"/>
      <c r="AL512" s="132"/>
      <c r="AM512" s="132"/>
      <c r="AN512" s="164"/>
      <c r="AO512" s="104"/>
      <c r="AP512" s="104"/>
    </row>
    <row r="513">
      <c r="A513" s="132"/>
      <c r="B513" s="132"/>
      <c r="C513" s="132"/>
      <c r="D513" s="132"/>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c r="AE513" s="133"/>
      <c r="AF513" s="133"/>
      <c r="AG513" s="133"/>
      <c r="AH513" s="133"/>
      <c r="AI513" s="133"/>
      <c r="AJ513" s="133"/>
      <c r="AK513" s="133"/>
      <c r="AL513" s="132"/>
      <c r="AM513" s="132"/>
      <c r="AN513" s="164"/>
      <c r="AO513" s="104"/>
      <c r="AP513" s="104"/>
    </row>
    <row r="514">
      <c r="A514" s="132"/>
      <c r="B514" s="132"/>
      <c r="C514" s="132"/>
      <c r="D514" s="132"/>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c r="AE514" s="133"/>
      <c r="AF514" s="133"/>
      <c r="AG514" s="133"/>
      <c r="AH514" s="133"/>
      <c r="AI514" s="133"/>
      <c r="AJ514" s="133"/>
      <c r="AK514" s="133"/>
      <c r="AL514" s="132"/>
      <c r="AM514" s="132"/>
      <c r="AN514" s="164"/>
      <c r="AO514" s="104"/>
      <c r="AP514" s="104"/>
    </row>
    <row r="515">
      <c r="A515" s="132"/>
      <c r="B515" s="132"/>
      <c r="C515" s="132"/>
      <c r="D515" s="132"/>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c r="AE515" s="133"/>
      <c r="AF515" s="133"/>
      <c r="AG515" s="133"/>
      <c r="AH515" s="133"/>
      <c r="AI515" s="133"/>
      <c r="AJ515" s="133"/>
      <c r="AK515" s="133"/>
      <c r="AL515" s="132"/>
      <c r="AM515" s="132"/>
      <c r="AN515" s="164"/>
      <c r="AO515" s="104"/>
      <c r="AP515" s="104"/>
    </row>
    <row r="516">
      <c r="A516" s="132"/>
      <c r="B516" s="132"/>
      <c r="C516" s="132"/>
      <c r="D516" s="132"/>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c r="AE516" s="133"/>
      <c r="AF516" s="133"/>
      <c r="AG516" s="133"/>
      <c r="AH516" s="133"/>
      <c r="AI516" s="133"/>
      <c r="AJ516" s="133"/>
      <c r="AK516" s="133"/>
      <c r="AL516" s="132"/>
      <c r="AM516" s="132"/>
      <c r="AN516" s="164"/>
      <c r="AO516" s="104"/>
      <c r="AP516" s="104"/>
    </row>
    <row r="517">
      <c r="A517" s="132"/>
      <c r="B517" s="132"/>
      <c r="C517" s="132"/>
      <c r="D517" s="132"/>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c r="AE517" s="133"/>
      <c r="AF517" s="133"/>
      <c r="AG517" s="133"/>
      <c r="AH517" s="133"/>
      <c r="AI517" s="133"/>
      <c r="AJ517" s="133"/>
      <c r="AK517" s="133"/>
      <c r="AL517" s="132"/>
      <c r="AM517" s="132"/>
      <c r="AN517" s="164"/>
      <c r="AO517" s="104"/>
      <c r="AP517" s="104"/>
    </row>
    <row r="518">
      <c r="A518" s="132"/>
      <c r="B518" s="132"/>
      <c r="C518" s="132"/>
      <c r="D518" s="132"/>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c r="AE518" s="133"/>
      <c r="AF518" s="133"/>
      <c r="AG518" s="133"/>
      <c r="AH518" s="133"/>
      <c r="AI518" s="133"/>
      <c r="AJ518" s="133"/>
      <c r="AK518" s="133"/>
      <c r="AL518" s="132"/>
      <c r="AM518" s="132"/>
      <c r="AN518" s="164"/>
      <c r="AO518" s="104"/>
      <c r="AP518" s="104"/>
    </row>
    <row r="519">
      <c r="A519" s="132"/>
      <c r="B519" s="132"/>
      <c r="C519" s="132"/>
      <c r="D519" s="132"/>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c r="AE519" s="133"/>
      <c r="AF519" s="133"/>
      <c r="AG519" s="133"/>
      <c r="AH519" s="133"/>
      <c r="AI519" s="133"/>
      <c r="AJ519" s="133"/>
      <c r="AK519" s="133"/>
      <c r="AL519" s="132"/>
      <c r="AM519" s="132"/>
      <c r="AN519" s="164"/>
      <c r="AO519" s="104"/>
      <c r="AP519" s="104"/>
    </row>
    <row r="520">
      <c r="A520" s="132"/>
      <c r="B520" s="132"/>
      <c r="C520" s="132"/>
      <c r="D520" s="132"/>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c r="AE520" s="133"/>
      <c r="AF520" s="133"/>
      <c r="AG520" s="133"/>
      <c r="AH520" s="133"/>
      <c r="AI520" s="133"/>
      <c r="AJ520" s="133"/>
      <c r="AK520" s="133"/>
      <c r="AL520" s="132"/>
      <c r="AM520" s="132"/>
      <c r="AN520" s="164"/>
      <c r="AO520" s="104"/>
      <c r="AP520" s="104"/>
    </row>
    <row r="521">
      <c r="A521" s="132"/>
      <c r="B521" s="132"/>
      <c r="C521" s="132"/>
      <c r="D521" s="132"/>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c r="AE521" s="133"/>
      <c r="AF521" s="133"/>
      <c r="AG521" s="133"/>
      <c r="AH521" s="133"/>
      <c r="AI521" s="133"/>
      <c r="AJ521" s="133"/>
      <c r="AK521" s="133"/>
      <c r="AL521" s="132"/>
      <c r="AM521" s="132"/>
      <c r="AN521" s="164"/>
      <c r="AO521" s="104"/>
      <c r="AP521" s="104"/>
    </row>
    <row r="522">
      <c r="A522" s="132"/>
      <c r="B522" s="132"/>
      <c r="C522" s="132"/>
      <c r="D522" s="132"/>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c r="AE522" s="133"/>
      <c r="AF522" s="133"/>
      <c r="AG522" s="133"/>
      <c r="AH522" s="133"/>
      <c r="AI522" s="133"/>
      <c r="AJ522" s="133"/>
      <c r="AK522" s="133"/>
      <c r="AL522" s="132"/>
      <c r="AM522" s="132"/>
      <c r="AN522" s="164"/>
      <c r="AO522" s="104"/>
      <c r="AP522" s="104"/>
    </row>
    <row r="523">
      <c r="A523" s="132"/>
      <c r="B523" s="132"/>
      <c r="C523" s="132"/>
      <c r="D523" s="132"/>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c r="AE523" s="133"/>
      <c r="AF523" s="133"/>
      <c r="AG523" s="133"/>
      <c r="AH523" s="133"/>
      <c r="AI523" s="133"/>
      <c r="AJ523" s="133"/>
      <c r="AK523" s="133"/>
      <c r="AL523" s="132"/>
      <c r="AM523" s="132"/>
      <c r="AN523" s="164"/>
      <c r="AO523" s="104"/>
      <c r="AP523" s="104"/>
    </row>
    <row r="524">
      <c r="A524" s="132"/>
      <c r="B524" s="132"/>
      <c r="C524" s="132"/>
      <c r="D524" s="132"/>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c r="AE524" s="133"/>
      <c r="AF524" s="133"/>
      <c r="AG524" s="133"/>
      <c r="AH524" s="133"/>
      <c r="AI524" s="133"/>
      <c r="AJ524" s="133"/>
      <c r="AK524" s="133"/>
      <c r="AL524" s="132"/>
      <c r="AM524" s="132"/>
      <c r="AN524" s="164"/>
      <c r="AO524" s="104"/>
      <c r="AP524" s="104"/>
    </row>
    <row r="525">
      <c r="A525" s="132"/>
      <c r="B525" s="132"/>
      <c r="C525" s="132"/>
      <c r="D525" s="132"/>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c r="AE525" s="133"/>
      <c r="AF525" s="133"/>
      <c r="AG525" s="133"/>
      <c r="AH525" s="133"/>
      <c r="AI525" s="133"/>
      <c r="AJ525" s="133"/>
      <c r="AK525" s="133"/>
      <c r="AL525" s="132"/>
      <c r="AM525" s="132"/>
      <c r="AN525" s="164"/>
      <c r="AO525" s="104"/>
      <c r="AP525" s="104"/>
    </row>
    <row r="526">
      <c r="A526" s="132"/>
      <c r="B526" s="132"/>
      <c r="C526" s="132"/>
      <c r="D526" s="132"/>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c r="AE526" s="133"/>
      <c r="AF526" s="133"/>
      <c r="AG526" s="133"/>
      <c r="AH526" s="133"/>
      <c r="AI526" s="133"/>
      <c r="AJ526" s="133"/>
      <c r="AK526" s="133"/>
      <c r="AL526" s="132"/>
      <c r="AM526" s="132"/>
      <c r="AN526" s="164"/>
      <c r="AO526" s="104"/>
      <c r="AP526" s="104"/>
    </row>
    <row r="527">
      <c r="A527" s="132"/>
      <c r="B527" s="132"/>
      <c r="C527" s="132"/>
      <c r="D527" s="132"/>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c r="AE527" s="133"/>
      <c r="AF527" s="133"/>
      <c r="AG527" s="133"/>
      <c r="AH527" s="133"/>
      <c r="AI527" s="133"/>
      <c r="AJ527" s="133"/>
      <c r="AK527" s="133"/>
      <c r="AL527" s="132"/>
      <c r="AM527" s="132"/>
      <c r="AN527" s="164"/>
      <c r="AO527" s="104"/>
      <c r="AP527" s="104"/>
    </row>
    <row r="528">
      <c r="A528" s="132"/>
      <c r="B528" s="132"/>
      <c r="C528" s="132"/>
      <c r="D528" s="132"/>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c r="AE528" s="133"/>
      <c r="AF528" s="133"/>
      <c r="AG528" s="133"/>
      <c r="AH528" s="133"/>
      <c r="AI528" s="133"/>
      <c r="AJ528" s="133"/>
      <c r="AK528" s="133"/>
      <c r="AL528" s="132"/>
      <c r="AM528" s="132"/>
      <c r="AN528" s="164"/>
      <c r="AO528" s="104"/>
      <c r="AP528" s="104"/>
    </row>
    <row r="529">
      <c r="A529" s="132"/>
      <c r="B529" s="132"/>
      <c r="C529" s="132"/>
      <c r="D529" s="132"/>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c r="AE529" s="133"/>
      <c r="AF529" s="133"/>
      <c r="AG529" s="133"/>
      <c r="AH529" s="133"/>
      <c r="AI529" s="133"/>
      <c r="AJ529" s="133"/>
      <c r="AK529" s="133"/>
      <c r="AL529" s="132"/>
      <c r="AM529" s="132"/>
      <c r="AN529" s="164"/>
      <c r="AO529" s="104"/>
      <c r="AP529" s="104"/>
    </row>
    <row r="530">
      <c r="A530" s="132"/>
      <c r="B530" s="132"/>
      <c r="C530" s="132"/>
      <c r="D530" s="132"/>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c r="AE530" s="133"/>
      <c r="AF530" s="133"/>
      <c r="AG530" s="133"/>
      <c r="AH530" s="133"/>
      <c r="AI530" s="133"/>
      <c r="AJ530" s="133"/>
      <c r="AK530" s="133"/>
      <c r="AL530" s="132"/>
      <c r="AM530" s="132"/>
      <c r="AN530" s="164"/>
      <c r="AO530" s="104"/>
      <c r="AP530" s="104"/>
    </row>
    <row r="531">
      <c r="A531" s="132"/>
      <c r="B531" s="132"/>
      <c r="C531" s="132"/>
      <c r="D531" s="132"/>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c r="AE531" s="133"/>
      <c r="AF531" s="133"/>
      <c r="AG531" s="133"/>
      <c r="AH531" s="133"/>
      <c r="AI531" s="133"/>
      <c r="AJ531" s="133"/>
      <c r="AK531" s="133"/>
      <c r="AL531" s="132"/>
      <c r="AM531" s="132"/>
      <c r="AN531" s="164"/>
      <c r="AO531" s="104"/>
      <c r="AP531" s="104"/>
    </row>
    <row r="532">
      <c r="A532" s="132"/>
      <c r="B532" s="132"/>
      <c r="C532" s="132"/>
      <c r="D532" s="132"/>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c r="AE532" s="133"/>
      <c r="AF532" s="133"/>
      <c r="AG532" s="133"/>
      <c r="AH532" s="133"/>
      <c r="AI532" s="133"/>
      <c r="AJ532" s="133"/>
      <c r="AK532" s="133"/>
      <c r="AL532" s="132"/>
      <c r="AM532" s="132"/>
      <c r="AN532" s="164"/>
      <c r="AO532" s="104"/>
      <c r="AP532" s="104"/>
    </row>
    <row r="533">
      <c r="A533" s="132"/>
      <c r="B533" s="132"/>
      <c r="C533" s="132"/>
      <c r="D533" s="132"/>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c r="AE533" s="133"/>
      <c r="AF533" s="133"/>
      <c r="AG533" s="133"/>
      <c r="AH533" s="133"/>
      <c r="AI533" s="133"/>
      <c r="AJ533" s="133"/>
      <c r="AK533" s="133"/>
      <c r="AL533" s="132"/>
      <c r="AM533" s="132"/>
      <c r="AN533" s="164"/>
      <c r="AO533" s="104"/>
      <c r="AP533" s="104"/>
    </row>
    <row r="534">
      <c r="A534" s="132"/>
      <c r="B534" s="132"/>
      <c r="C534" s="132"/>
      <c r="D534" s="132"/>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c r="AE534" s="133"/>
      <c r="AF534" s="133"/>
      <c r="AG534" s="133"/>
      <c r="AH534" s="133"/>
      <c r="AI534" s="133"/>
      <c r="AJ534" s="133"/>
      <c r="AK534" s="133"/>
      <c r="AL534" s="132"/>
      <c r="AM534" s="132"/>
      <c r="AN534" s="164"/>
      <c r="AO534" s="104"/>
      <c r="AP534" s="104"/>
    </row>
    <row r="535">
      <c r="A535" s="132"/>
      <c r="B535" s="132"/>
      <c r="C535" s="132"/>
      <c r="D535" s="132"/>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c r="AE535" s="133"/>
      <c r="AF535" s="133"/>
      <c r="AG535" s="133"/>
      <c r="AH535" s="133"/>
      <c r="AI535" s="133"/>
      <c r="AJ535" s="133"/>
      <c r="AK535" s="133"/>
      <c r="AL535" s="132"/>
      <c r="AM535" s="132"/>
      <c r="AN535" s="164"/>
      <c r="AO535" s="104"/>
      <c r="AP535" s="104"/>
    </row>
    <row r="536">
      <c r="A536" s="132"/>
      <c r="B536" s="132"/>
      <c r="C536" s="132"/>
      <c r="D536" s="132"/>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c r="AE536" s="133"/>
      <c r="AF536" s="133"/>
      <c r="AG536" s="133"/>
      <c r="AH536" s="133"/>
      <c r="AI536" s="133"/>
      <c r="AJ536" s="133"/>
      <c r="AK536" s="133"/>
      <c r="AL536" s="132"/>
      <c r="AM536" s="132"/>
      <c r="AN536" s="164"/>
      <c r="AO536" s="104"/>
      <c r="AP536" s="104"/>
    </row>
    <row r="537">
      <c r="A537" s="132"/>
      <c r="B537" s="132"/>
      <c r="C537" s="132"/>
      <c r="D537" s="132"/>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c r="AE537" s="133"/>
      <c r="AF537" s="133"/>
      <c r="AG537" s="133"/>
      <c r="AH537" s="133"/>
      <c r="AI537" s="133"/>
      <c r="AJ537" s="133"/>
      <c r="AK537" s="133"/>
      <c r="AL537" s="132"/>
      <c r="AM537" s="132"/>
      <c r="AN537" s="164"/>
      <c r="AO537" s="104"/>
      <c r="AP537" s="104"/>
    </row>
    <row r="538">
      <c r="A538" s="132"/>
      <c r="B538" s="132"/>
      <c r="C538" s="132"/>
      <c r="D538" s="132"/>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c r="AE538" s="133"/>
      <c r="AF538" s="133"/>
      <c r="AG538" s="133"/>
      <c r="AH538" s="133"/>
      <c r="AI538" s="133"/>
      <c r="AJ538" s="133"/>
      <c r="AK538" s="133"/>
      <c r="AL538" s="132"/>
      <c r="AM538" s="132"/>
      <c r="AN538" s="164"/>
      <c r="AO538" s="104"/>
      <c r="AP538" s="104"/>
    </row>
    <row r="539">
      <c r="A539" s="132"/>
      <c r="B539" s="132"/>
      <c r="C539" s="132"/>
      <c r="D539" s="132"/>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c r="AE539" s="133"/>
      <c r="AF539" s="133"/>
      <c r="AG539" s="133"/>
      <c r="AH539" s="133"/>
      <c r="AI539" s="133"/>
      <c r="AJ539" s="133"/>
      <c r="AK539" s="133"/>
      <c r="AL539" s="132"/>
      <c r="AM539" s="132"/>
      <c r="AN539" s="164"/>
      <c r="AO539" s="104"/>
      <c r="AP539" s="104"/>
    </row>
    <row r="540">
      <c r="A540" s="132"/>
      <c r="B540" s="132"/>
      <c r="C540" s="132"/>
      <c r="D540" s="132"/>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c r="AE540" s="133"/>
      <c r="AF540" s="133"/>
      <c r="AG540" s="133"/>
      <c r="AH540" s="133"/>
      <c r="AI540" s="133"/>
      <c r="AJ540" s="133"/>
      <c r="AK540" s="133"/>
      <c r="AL540" s="132"/>
      <c r="AM540" s="132"/>
      <c r="AN540" s="164"/>
      <c r="AO540" s="104"/>
      <c r="AP540" s="104"/>
    </row>
    <row r="541">
      <c r="A541" s="132"/>
      <c r="B541" s="132"/>
      <c r="C541" s="132"/>
      <c r="D541" s="132"/>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c r="AE541" s="133"/>
      <c r="AF541" s="133"/>
      <c r="AG541" s="133"/>
      <c r="AH541" s="133"/>
      <c r="AI541" s="133"/>
      <c r="AJ541" s="133"/>
      <c r="AK541" s="133"/>
      <c r="AL541" s="132"/>
      <c r="AM541" s="132"/>
      <c r="AN541" s="164"/>
      <c r="AO541" s="104"/>
      <c r="AP541" s="104"/>
    </row>
    <row r="542">
      <c r="A542" s="132"/>
      <c r="B542" s="132"/>
      <c r="C542" s="132"/>
      <c r="D542" s="132"/>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c r="AE542" s="133"/>
      <c r="AF542" s="133"/>
      <c r="AG542" s="133"/>
      <c r="AH542" s="133"/>
      <c r="AI542" s="133"/>
      <c r="AJ542" s="133"/>
      <c r="AK542" s="133"/>
      <c r="AL542" s="132"/>
      <c r="AM542" s="132"/>
      <c r="AN542" s="164"/>
      <c r="AO542" s="104"/>
      <c r="AP542" s="104"/>
    </row>
    <row r="543">
      <c r="A543" s="132"/>
      <c r="B543" s="132"/>
      <c r="C543" s="132"/>
      <c r="D543" s="132"/>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c r="AE543" s="133"/>
      <c r="AF543" s="133"/>
      <c r="AG543" s="133"/>
      <c r="AH543" s="133"/>
      <c r="AI543" s="133"/>
      <c r="AJ543" s="133"/>
      <c r="AK543" s="133"/>
      <c r="AL543" s="132"/>
      <c r="AM543" s="132"/>
      <c r="AN543" s="164"/>
      <c r="AO543" s="104"/>
      <c r="AP543" s="104"/>
    </row>
    <row r="544">
      <c r="A544" s="132"/>
      <c r="B544" s="132"/>
      <c r="C544" s="132"/>
      <c r="D544" s="132"/>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c r="AE544" s="133"/>
      <c r="AF544" s="133"/>
      <c r="AG544" s="133"/>
      <c r="AH544" s="133"/>
      <c r="AI544" s="133"/>
      <c r="AJ544" s="133"/>
      <c r="AK544" s="133"/>
      <c r="AL544" s="132"/>
      <c r="AM544" s="132"/>
      <c r="AN544" s="164"/>
      <c r="AO544" s="104"/>
      <c r="AP544" s="104"/>
    </row>
    <row r="545">
      <c r="A545" s="132"/>
      <c r="B545" s="132"/>
      <c r="C545" s="132"/>
      <c r="D545" s="132"/>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c r="AE545" s="133"/>
      <c r="AF545" s="133"/>
      <c r="AG545" s="133"/>
      <c r="AH545" s="133"/>
      <c r="AI545" s="133"/>
      <c r="AJ545" s="133"/>
      <c r="AK545" s="133"/>
      <c r="AL545" s="132"/>
      <c r="AM545" s="132"/>
      <c r="AN545" s="164"/>
      <c r="AO545" s="104"/>
      <c r="AP545" s="104"/>
    </row>
    <row r="546">
      <c r="A546" s="132"/>
      <c r="B546" s="132"/>
      <c r="C546" s="132"/>
      <c r="D546" s="132"/>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c r="AE546" s="133"/>
      <c r="AF546" s="133"/>
      <c r="AG546" s="133"/>
      <c r="AH546" s="133"/>
      <c r="AI546" s="133"/>
      <c r="AJ546" s="133"/>
      <c r="AK546" s="133"/>
      <c r="AL546" s="132"/>
      <c r="AM546" s="132"/>
      <c r="AN546" s="164"/>
      <c r="AO546" s="104"/>
      <c r="AP546" s="104"/>
    </row>
    <row r="547">
      <c r="A547" s="132"/>
      <c r="B547" s="132"/>
      <c r="C547" s="132"/>
      <c r="D547" s="132"/>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c r="AC547" s="133"/>
      <c r="AD547" s="133"/>
      <c r="AE547" s="133"/>
      <c r="AF547" s="133"/>
      <c r="AG547" s="133"/>
      <c r="AH547" s="133"/>
      <c r="AI547" s="133"/>
      <c r="AJ547" s="133"/>
      <c r="AK547" s="133"/>
      <c r="AL547" s="132"/>
      <c r="AM547" s="132"/>
      <c r="AN547" s="164"/>
      <c r="AO547" s="104"/>
      <c r="AP547" s="104"/>
    </row>
    <row r="548">
      <c r="A548" s="132"/>
      <c r="B548" s="132"/>
      <c r="C548" s="132"/>
      <c r="D548" s="132"/>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c r="AC548" s="133"/>
      <c r="AD548" s="133"/>
      <c r="AE548" s="133"/>
      <c r="AF548" s="133"/>
      <c r="AG548" s="133"/>
      <c r="AH548" s="133"/>
      <c r="AI548" s="133"/>
      <c r="AJ548" s="133"/>
      <c r="AK548" s="133"/>
      <c r="AL548" s="132"/>
      <c r="AM548" s="132"/>
      <c r="AN548" s="164"/>
      <c r="AO548" s="104"/>
      <c r="AP548" s="104"/>
    </row>
    <row r="549">
      <c r="A549" s="132"/>
      <c r="B549" s="132"/>
      <c r="C549" s="132"/>
      <c r="D549" s="132"/>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c r="AC549" s="133"/>
      <c r="AD549" s="133"/>
      <c r="AE549" s="133"/>
      <c r="AF549" s="133"/>
      <c r="AG549" s="133"/>
      <c r="AH549" s="133"/>
      <c r="AI549" s="133"/>
      <c r="AJ549" s="133"/>
      <c r="AK549" s="133"/>
      <c r="AL549" s="132"/>
      <c r="AM549" s="132"/>
      <c r="AN549" s="164"/>
      <c r="AO549" s="104"/>
      <c r="AP549" s="104"/>
    </row>
    <row r="550">
      <c r="A550" s="132"/>
      <c r="B550" s="132"/>
      <c r="C550" s="132"/>
      <c r="D550" s="132"/>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c r="AC550" s="133"/>
      <c r="AD550" s="133"/>
      <c r="AE550" s="133"/>
      <c r="AF550" s="133"/>
      <c r="AG550" s="133"/>
      <c r="AH550" s="133"/>
      <c r="AI550" s="133"/>
      <c r="AJ550" s="133"/>
      <c r="AK550" s="133"/>
      <c r="AL550" s="132"/>
      <c r="AM550" s="132"/>
      <c r="AN550" s="164"/>
      <c r="AO550" s="104"/>
      <c r="AP550" s="104"/>
    </row>
    <row r="551">
      <c r="A551" s="132"/>
      <c r="B551" s="132"/>
      <c r="C551" s="132"/>
      <c r="D551" s="132"/>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c r="AC551" s="133"/>
      <c r="AD551" s="133"/>
      <c r="AE551" s="133"/>
      <c r="AF551" s="133"/>
      <c r="AG551" s="133"/>
      <c r="AH551" s="133"/>
      <c r="AI551" s="133"/>
      <c r="AJ551" s="133"/>
      <c r="AK551" s="133"/>
      <c r="AL551" s="132"/>
      <c r="AM551" s="132"/>
      <c r="AN551" s="164"/>
      <c r="AO551" s="104"/>
      <c r="AP551" s="104"/>
    </row>
    <row r="552">
      <c r="A552" s="132"/>
      <c r="B552" s="132"/>
      <c r="C552" s="132"/>
      <c r="D552" s="132"/>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c r="AC552" s="133"/>
      <c r="AD552" s="133"/>
      <c r="AE552" s="133"/>
      <c r="AF552" s="133"/>
      <c r="AG552" s="133"/>
      <c r="AH552" s="133"/>
      <c r="AI552" s="133"/>
      <c r="AJ552" s="133"/>
      <c r="AK552" s="133"/>
      <c r="AL552" s="132"/>
      <c r="AM552" s="132"/>
      <c r="AN552" s="164"/>
      <c r="AO552" s="104"/>
      <c r="AP552" s="104"/>
    </row>
    <row r="553">
      <c r="A553" s="132"/>
      <c r="B553" s="132"/>
      <c r="C553" s="132"/>
      <c r="D553" s="132"/>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c r="AC553" s="133"/>
      <c r="AD553" s="133"/>
      <c r="AE553" s="133"/>
      <c r="AF553" s="133"/>
      <c r="AG553" s="133"/>
      <c r="AH553" s="133"/>
      <c r="AI553" s="133"/>
      <c r="AJ553" s="133"/>
      <c r="AK553" s="133"/>
      <c r="AL553" s="132"/>
      <c r="AM553" s="132"/>
      <c r="AN553" s="164"/>
      <c r="AO553" s="104"/>
      <c r="AP553" s="104"/>
    </row>
    <row r="554">
      <c r="A554" s="132"/>
      <c r="B554" s="132"/>
      <c r="C554" s="132"/>
      <c r="D554" s="132"/>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c r="AC554" s="133"/>
      <c r="AD554" s="133"/>
      <c r="AE554" s="133"/>
      <c r="AF554" s="133"/>
      <c r="AG554" s="133"/>
      <c r="AH554" s="133"/>
      <c r="AI554" s="133"/>
      <c r="AJ554" s="133"/>
      <c r="AK554" s="133"/>
      <c r="AL554" s="132"/>
      <c r="AM554" s="132"/>
      <c r="AN554" s="164"/>
      <c r="AO554" s="104"/>
      <c r="AP554" s="104"/>
    </row>
    <row r="555">
      <c r="A555" s="132"/>
      <c r="B555" s="132"/>
      <c r="C555" s="132"/>
      <c r="D555" s="132"/>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c r="AC555" s="133"/>
      <c r="AD555" s="133"/>
      <c r="AE555" s="133"/>
      <c r="AF555" s="133"/>
      <c r="AG555" s="133"/>
      <c r="AH555" s="133"/>
      <c r="AI555" s="133"/>
      <c r="AJ555" s="133"/>
      <c r="AK555" s="133"/>
      <c r="AL555" s="132"/>
      <c r="AM555" s="132"/>
      <c r="AN555" s="164"/>
      <c r="AO555" s="104"/>
      <c r="AP555" s="104"/>
    </row>
    <row r="556">
      <c r="A556" s="132"/>
      <c r="B556" s="132"/>
      <c r="C556" s="132"/>
      <c r="D556" s="132"/>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c r="AC556" s="133"/>
      <c r="AD556" s="133"/>
      <c r="AE556" s="133"/>
      <c r="AF556" s="133"/>
      <c r="AG556" s="133"/>
      <c r="AH556" s="133"/>
      <c r="AI556" s="133"/>
      <c r="AJ556" s="133"/>
      <c r="AK556" s="133"/>
      <c r="AL556" s="132"/>
      <c r="AM556" s="132"/>
      <c r="AN556" s="164"/>
      <c r="AO556" s="104"/>
      <c r="AP556" s="104"/>
    </row>
    <row r="557">
      <c r="A557" s="132"/>
      <c r="B557" s="132"/>
      <c r="C557" s="132"/>
      <c r="D557" s="132"/>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c r="AC557" s="133"/>
      <c r="AD557" s="133"/>
      <c r="AE557" s="133"/>
      <c r="AF557" s="133"/>
      <c r="AG557" s="133"/>
      <c r="AH557" s="133"/>
      <c r="AI557" s="133"/>
      <c r="AJ557" s="133"/>
      <c r="AK557" s="133"/>
      <c r="AL557" s="132"/>
      <c r="AM557" s="132"/>
      <c r="AN557" s="164"/>
      <c r="AO557" s="104"/>
      <c r="AP557" s="104"/>
    </row>
    <row r="558">
      <c r="A558" s="132"/>
      <c r="B558" s="132"/>
      <c r="C558" s="132"/>
      <c r="D558" s="132"/>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c r="AC558" s="133"/>
      <c r="AD558" s="133"/>
      <c r="AE558" s="133"/>
      <c r="AF558" s="133"/>
      <c r="AG558" s="133"/>
      <c r="AH558" s="133"/>
      <c r="AI558" s="133"/>
      <c r="AJ558" s="133"/>
      <c r="AK558" s="133"/>
      <c r="AL558" s="132"/>
      <c r="AM558" s="132"/>
      <c r="AN558" s="164"/>
      <c r="AO558" s="104"/>
      <c r="AP558" s="104"/>
    </row>
    <row r="559">
      <c r="A559" s="132"/>
      <c r="B559" s="132"/>
      <c r="C559" s="132"/>
      <c r="D559" s="132"/>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c r="AC559" s="133"/>
      <c r="AD559" s="133"/>
      <c r="AE559" s="133"/>
      <c r="AF559" s="133"/>
      <c r="AG559" s="133"/>
      <c r="AH559" s="133"/>
      <c r="AI559" s="133"/>
      <c r="AJ559" s="133"/>
      <c r="AK559" s="133"/>
      <c r="AL559" s="132"/>
      <c r="AM559" s="132"/>
      <c r="AN559" s="164"/>
      <c r="AO559" s="104"/>
      <c r="AP559" s="104"/>
    </row>
    <row r="560">
      <c r="A560" s="132"/>
      <c r="B560" s="132"/>
      <c r="C560" s="132"/>
      <c r="D560" s="132"/>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c r="AC560" s="133"/>
      <c r="AD560" s="133"/>
      <c r="AE560" s="133"/>
      <c r="AF560" s="133"/>
      <c r="AG560" s="133"/>
      <c r="AH560" s="133"/>
      <c r="AI560" s="133"/>
      <c r="AJ560" s="133"/>
      <c r="AK560" s="133"/>
      <c r="AL560" s="132"/>
      <c r="AM560" s="132"/>
      <c r="AN560" s="164"/>
      <c r="AO560" s="104"/>
      <c r="AP560" s="104"/>
    </row>
    <row r="561">
      <c r="A561" s="132"/>
      <c r="B561" s="132"/>
      <c r="C561" s="132"/>
      <c r="D561" s="132"/>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c r="AC561" s="133"/>
      <c r="AD561" s="133"/>
      <c r="AE561" s="133"/>
      <c r="AF561" s="133"/>
      <c r="AG561" s="133"/>
      <c r="AH561" s="133"/>
      <c r="AI561" s="133"/>
      <c r="AJ561" s="133"/>
      <c r="AK561" s="133"/>
      <c r="AL561" s="132"/>
      <c r="AM561" s="132"/>
      <c r="AN561" s="164"/>
      <c r="AO561" s="104"/>
      <c r="AP561" s="104"/>
    </row>
    <row r="562">
      <c r="A562" s="132"/>
      <c r="B562" s="132"/>
      <c r="C562" s="132"/>
      <c r="D562" s="132"/>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c r="AC562" s="133"/>
      <c r="AD562" s="133"/>
      <c r="AE562" s="133"/>
      <c r="AF562" s="133"/>
      <c r="AG562" s="133"/>
      <c r="AH562" s="133"/>
      <c r="AI562" s="133"/>
      <c r="AJ562" s="133"/>
      <c r="AK562" s="133"/>
      <c r="AL562" s="132"/>
      <c r="AM562" s="132"/>
      <c r="AN562" s="164"/>
      <c r="AO562" s="104"/>
      <c r="AP562" s="104"/>
    </row>
    <row r="563">
      <c r="A563" s="132"/>
      <c r="B563" s="132"/>
      <c r="C563" s="132"/>
      <c r="D563" s="132"/>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c r="AC563" s="133"/>
      <c r="AD563" s="133"/>
      <c r="AE563" s="133"/>
      <c r="AF563" s="133"/>
      <c r="AG563" s="133"/>
      <c r="AH563" s="133"/>
      <c r="AI563" s="133"/>
      <c r="AJ563" s="133"/>
      <c r="AK563" s="133"/>
      <c r="AL563" s="132"/>
      <c r="AM563" s="132"/>
      <c r="AN563" s="164"/>
      <c r="AO563" s="104"/>
      <c r="AP563" s="104"/>
    </row>
    <row r="564">
      <c r="A564" s="132"/>
      <c r="B564" s="132"/>
      <c r="C564" s="132"/>
      <c r="D564" s="132"/>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c r="AC564" s="133"/>
      <c r="AD564" s="133"/>
      <c r="AE564" s="133"/>
      <c r="AF564" s="133"/>
      <c r="AG564" s="133"/>
      <c r="AH564" s="133"/>
      <c r="AI564" s="133"/>
      <c r="AJ564" s="133"/>
      <c r="AK564" s="133"/>
      <c r="AL564" s="132"/>
      <c r="AM564" s="132"/>
      <c r="AN564" s="164"/>
      <c r="AO564" s="104"/>
      <c r="AP564" s="104"/>
    </row>
    <row r="565">
      <c r="A565" s="132"/>
      <c r="B565" s="132"/>
      <c r="C565" s="132"/>
      <c r="D565" s="132"/>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c r="AC565" s="133"/>
      <c r="AD565" s="133"/>
      <c r="AE565" s="133"/>
      <c r="AF565" s="133"/>
      <c r="AG565" s="133"/>
      <c r="AH565" s="133"/>
      <c r="AI565" s="133"/>
      <c r="AJ565" s="133"/>
      <c r="AK565" s="133"/>
      <c r="AL565" s="132"/>
      <c r="AM565" s="132"/>
      <c r="AN565" s="164"/>
      <c r="AO565" s="104"/>
      <c r="AP565" s="104"/>
    </row>
    <row r="566">
      <c r="A566" s="132"/>
      <c r="B566" s="132"/>
      <c r="C566" s="132"/>
      <c r="D566" s="132"/>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c r="AC566" s="133"/>
      <c r="AD566" s="133"/>
      <c r="AE566" s="133"/>
      <c r="AF566" s="133"/>
      <c r="AG566" s="133"/>
      <c r="AH566" s="133"/>
      <c r="AI566" s="133"/>
      <c r="AJ566" s="133"/>
      <c r="AK566" s="133"/>
      <c r="AL566" s="132"/>
      <c r="AM566" s="132"/>
      <c r="AN566" s="164"/>
      <c r="AO566" s="104"/>
      <c r="AP566" s="104"/>
    </row>
    <row r="567">
      <c r="A567" s="132"/>
      <c r="B567" s="132"/>
      <c r="C567" s="132"/>
      <c r="D567" s="132"/>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c r="AC567" s="133"/>
      <c r="AD567" s="133"/>
      <c r="AE567" s="133"/>
      <c r="AF567" s="133"/>
      <c r="AG567" s="133"/>
      <c r="AH567" s="133"/>
      <c r="AI567" s="133"/>
      <c r="AJ567" s="133"/>
      <c r="AK567" s="133"/>
      <c r="AL567" s="132"/>
      <c r="AM567" s="132"/>
      <c r="AN567" s="164"/>
      <c r="AO567" s="104"/>
      <c r="AP567" s="104"/>
    </row>
    <row r="568">
      <c r="A568" s="132"/>
      <c r="B568" s="132"/>
      <c r="C568" s="132"/>
      <c r="D568" s="132"/>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c r="AC568" s="133"/>
      <c r="AD568" s="133"/>
      <c r="AE568" s="133"/>
      <c r="AF568" s="133"/>
      <c r="AG568" s="133"/>
      <c r="AH568" s="133"/>
      <c r="AI568" s="133"/>
      <c r="AJ568" s="133"/>
      <c r="AK568" s="133"/>
      <c r="AL568" s="132"/>
      <c r="AM568" s="132"/>
      <c r="AN568" s="164"/>
      <c r="AO568" s="104"/>
      <c r="AP568" s="104"/>
    </row>
    <row r="569">
      <c r="A569" s="132"/>
      <c r="B569" s="132"/>
      <c r="C569" s="132"/>
      <c r="D569" s="132"/>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c r="AC569" s="133"/>
      <c r="AD569" s="133"/>
      <c r="AE569" s="133"/>
      <c r="AF569" s="133"/>
      <c r="AG569" s="133"/>
      <c r="AH569" s="133"/>
      <c r="AI569" s="133"/>
      <c r="AJ569" s="133"/>
      <c r="AK569" s="133"/>
      <c r="AL569" s="132"/>
      <c r="AM569" s="132"/>
      <c r="AN569" s="164"/>
      <c r="AO569" s="104"/>
      <c r="AP569" s="104"/>
    </row>
    <row r="570">
      <c r="A570" s="132"/>
      <c r="B570" s="132"/>
      <c r="C570" s="132"/>
      <c r="D570" s="132"/>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c r="AC570" s="133"/>
      <c r="AD570" s="133"/>
      <c r="AE570" s="133"/>
      <c r="AF570" s="133"/>
      <c r="AG570" s="133"/>
      <c r="AH570" s="133"/>
      <c r="AI570" s="133"/>
      <c r="AJ570" s="133"/>
      <c r="AK570" s="133"/>
      <c r="AL570" s="132"/>
      <c r="AM570" s="132"/>
      <c r="AN570" s="164"/>
      <c r="AO570" s="104"/>
      <c r="AP570" s="104"/>
    </row>
    <row r="571">
      <c r="A571" s="132"/>
      <c r="B571" s="132"/>
      <c r="C571" s="132"/>
      <c r="D571" s="132"/>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c r="AC571" s="133"/>
      <c r="AD571" s="133"/>
      <c r="AE571" s="133"/>
      <c r="AF571" s="133"/>
      <c r="AG571" s="133"/>
      <c r="AH571" s="133"/>
      <c r="AI571" s="133"/>
      <c r="AJ571" s="133"/>
      <c r="AK571" s="133"/>
      <c r="AL571" s="132"/>
      <c r="AM571" s="132"/>
      <c r="AN571" s="164"/>
      <c r="AO571" s="104"/>
      <c r="AP571" s="104"/>
    </row>
    <row r="572">
      <c r="A572" s="132"/>
      <c r="B572" s="132"/>
      <c r="C572" s="132"/>
      <c r="D572" s="132"/>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c r="AC572" s="133"/>
      <c r="AD572" s="133"/>
      <c r="AE572" s="133"/>
      <c r="AF572" s="133"/>
      <c r="AG572" s="133"/>
      <c r="AH572" s="133"/>
      <c r="AI572" s="133"/>
      <c r="AJ572" s="133"/>
      <c r="AK572" s="133"/>
      <c r="AL572" s="132"/>
      <c r="AM572" s="132"/>
      <c r="AN572" s="164"/>
      <c r="AO572" s="104"/>
      <c r="AP572" s="104"/>
    </row>
    <row r="573">
      <c r="A573" s="132"/>
      <c r="B573" s="132"/>
      <c r="C573" s="132"/>
      <c r="D573" s="132"/>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c r="AC573" s="133"/>
      <c r="AD573" s="133"/>
      <c r="AE573" s="133"/>
      <c r="AF573" s="133"/>
      <c r="AG573" s="133"/>
      <c r="AH573" s="133"/>
      <c r="AI573" s="133"/>
      <c r="AJ573" s="133"/>
      <c r="AK573" s="133"/>
      <c r="AL573" s="132"/>
      <c r="AM573" s="132"/>
      <c r="AN573" s="164"/>
      <c r="AO573" s="104"/>
      <c r="AP573" s="104"/>
    </row>
    <row r="574">
      <c r="A574" s="132"/>
      <c r="B574" s="132"/>
      <c r="C574" s="132"/>
      <c r="D574" s="132"/>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c r="AC574" s="133"/>
      <c r="AD574" s="133"/>
      <c r="AE574" s="133"/>
      <c r="AF574" s="133"/>
      <c r="AG574" s="133"/>
      <c r="AH574" s="133"/>
      <c r="AI574" s="133"/>
      <c r="AJ574" s="133"/>
      <c r="AK574" s="133"/>
      <c r="AL574" s="132"/>
      <c r="AM574" s="132"/>
      <c r="AN574" s="164"/>
      <c r="AO574" s="104"/>
      <c r="AP574" s="104"/>
    </row>
    <row r="575">
      <c r="A575" s="132"/>
      <c r="B575" s="132"/>
      <c r="C575" s="132"/>
      <c r="D575" s="132"/>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c r="AC575" s="133"/>
      <c r="AD575" s="133"/>
      <c r="AE575" s="133"/>
      <c r="AF575" s="133"/>
      <c r="AG575" s="133"/>
      <c r="AH575" s="133"/>
      <c r="AI575" s="133"/>
      <c r="AJ575" s="133"/>
      <c r="AK575" s="133"/>
      <c r="AL575" s="132"/>
      <c r="AM575" s="132"/>
      <c r="AN575" s="164"/>
      <c r="AO575" s="104"/>
      <c r="AP575" s="104"/>
    </row>
    <row r="576">
      <c r="A576" s="132"/>
      <c r="B576" s="132"/>
      <c r="C576" s="132"/>
      <c r="D576" s="132"/>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c r="AC576" s="133"/>
      <c r="AD576" s="133"/>
      <c r="AE576" s="133"/>
      <c r="AF576" s="133"/>
      <c r="AG576" s="133"/>
      <c r="AH576" s="133"/>
      <c r="AI576" s="133"/>
      <c r="AJ576" s="133"/>
      <c r="AK576" s="133"/>
      <c r="AL576" s="132"/>
      <c r="AM576" s="132"/>
      <c r="AN576" s="164"/>
      <c r="AO576" s="104"/>
      <c r="AP576" s="104"/>
    </row>
    <row r="577">
      <c r="A577" s="132"/>
      <c r="B577" s="132"/>
      <c r="C577" s="132"/>
      <c r="D577" s="132"/>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c r="AE577" s="133"/>
      <c r="AF577" s="133"/>
      <c r="AG577" s="133"/>
      <c r="AH577" s="133"/>
      <c r="AI577" s="133"/>
      <c r="AJ577" s="133"/>
      <c r="AK577" s="133"/>
      <c r="AL577" s="132"/>
      <c r="AM577" s="132"/>
      <c r="AN577" s="164"/>
      <c r="AO577" s="104"/>
      <c r="AP577" s="104"/>
    </row>
    <row r="578">
      <c r="A578" s="132"/>
      <c r="B578" s="132"/>
      <c r="C578" s="132"/>
      <c r="D578" s="132"/>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c r="AC578" s="133"/>
      <c r="AD578" s="133"/>
      <c r="AE578" s="133"/>
      <c r="AF578" s="133"/>
      <c r="AG578" s="133"/>
      <c r="AH578" s="133"/>
      <c r="AI578" s="133"/>
      <c r="AJ578" s="133"/>
      <c r="AK578" s="133"/>
      <c r="AL578" s="132"/>
      <c r="AM578" s="132"/>
      <c r="AN578" s="164"/>
      <c r="AO578" s="104"/>
      <c r="AP578" s="104"/>
    </row>
    <row r="579">
      <c r="A579" s="132"/>
      <c r="B579" s="132"/>
      <c r="C579" s="132"/>
      <c r="D579" s="132"/>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c r="AC579" s="133"/>
      <c r="AD579" s="133"/>
      <c r="AE579" s="133"/>
      <c r="AF579" s="133"/>
      <c r="AG579" s="133"/>
      <c r="AH579" s="133"/>
      <c r="AI579" s="133"/>
      <c r="AJ579" s="133"/>
      <c r="AK579" s="133"/>
      <c r="AL579" s="132"/>
      <c r="AM579" s="132"/>
      <c r="AN579" s="164"/>
      <c r="AO579" s="104"/>
      <c r="AP579" s="104"/>
    </row>
    <row r="580">
      <c r="A580" s="132"/>
      <c r="B580" s="132"/>
      <c r="C580" s="132"/>
      <c r="D580" s="132"/>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c r="AC580" s="133"/>
      <c r="AD580" s="133"/>
      <c r="AE580" s="133"/>
      <c r="AF580" s="133"/>
      <c r="AG580" s="133"/>
      <c r="AH580" s="133"/>
      <c r="AI580" s="133"/>
      <c r="AJ580" s="133"/>
      <c r="AK580" s="133"/>
      <c r="AL580" s="132"/>
      <c r="AM580" s="132"/>
      <c r="AN580" s="164"/>
      <c r="AO580" s="104"/>
      <c r="AP580" s="104"/>
    </row>
    <row r="581">
      <c r="A581" s="132"/>
      <c r="B581" s="132"/>
      <c r="C581" s="132"/>
      <c r="D581" s="132"/>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c r="AC581" s="133"/>
      <c r="AD581" s="133"/>
      <c r="AE581" s="133"/>
      <c r="AF581" s="133"/>
      <c r="AG581" s="133"/>
      <c r="AH581" s="133"/>
      <c r="AI581" s="133"/>
      <c r="AJ581" s="133"/>
      <c r="AK581" s="133"/>
      <c r="AL581" s="132"/>
      <c r="AM581" s="132"/>
      <c r="AN581" s="164"/>
      <c r="AO581" s="104"/>
      <c r="AP581" s="104"/>
    </row>
    <row r="582">
      <c r="A582" s="132"/>
      <c r="B582" s="132"/>
      <c r="C582" s="132"/>
      <c r="D582" s="132"/>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c r="AC582" s="133"/>
      <c r="AD582" s="133"/>
      <c r="AE582" s="133"/>
      <c r="AF582" s="133"/>
      <c r="AG582" s="133"/>
      <c r="AH582" s="133"/>
      <c r="AI582" s="133"/>
      <c r="AJ582" s="133"/>
      <c r="AK582" s="133"/>
      <c r="AL582" s="132"/>
      <c r="AM582" s="132"/>
      <c r="AN582" s="164"/>
      <c r="AO582" s="104"/>
      <c r="AP582" s="104"/>
    </row>
    <row r="583">
      <c r="A583" s="132"/>
      <c r="B583" s="132"/>
      <c r="C583" s="132"/>
      <c r="D583" s="132"/>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c r="AC583" s="133"/>
      <c r="AD583" s="133"/>
      <c r="AE583" s="133"/>
      <c r="AF583" s="133"/>
      <c r="AG583" s="133"/>
      <c r="AH583" s="133"/>
      <c r="AI583" s="133"/>
      <c r="AJ583" s="133"/>
      <c r="AK583" s="133"/>
      <c r="AL583" s="132"/>
      <c r="AM583" s="132"/>
      <c r="AN583" s="164"/>
      <c r="AO583" s="104"/>
      <c r="AP583" s="104"/>
    </row>
    <row r="584">
      <c r="A584" s="132"/>
      <c r="B584" s="132"/>
      <c r="C584" s="132"/>
      <c r="D584" s="132"/>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c r="AE584" s="133"/>
      <c r="AF584" s="133"/>
      <c r="AG584" s="133"/>
      <c r="AH584" s="133"/>
      <c r="AI584" s="133"/>
      <c r="AJ584" s="133"/>
      <c r="AK584" s="133"/>
      <c r="AL584" s="132"/>
      <c r="AM584" s="132"/>
      <c r="AN584" s="164"/>
      <c r="AO584" s="104"/>
      <c r="AP584" s="104"/>
    </row>
    <row r="585">
      <c r="A585" s="132"/>
      <c r="B585" s="132"/>
      <c r="C585" s="132"/>
      <c r="D585" s="132"/>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c r="AE585" s="133"/>
      <c r="AF585" s="133"/>
      <c r="AG585" s="133"/>
      <c r="AH585" s="133"/>
      <c r="AI585" s="133"/>
      <c r="AJ585" s="133"/>
      <c r="AK585" s="133"/>
      <c r="AL585" s="132"/>
      <c r="AM585" s="132"/>
      <c r="AN585" s="164"/>
      <c r="AO585" s="104"/>
      <c r="AP585" s="104"/>
    </row>
    <row r="586">
      <c r="A586" s="132"/>
      <c r="B586" s="132"/>
      <c r="C586" s="132"/>
      <c r="D586" s="132"/>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c r="AE586" s="133"/>
      <c r="AF586" s="133"/>
      <c r="AG586" s="133"/>
      <c r="AH586" s="133"/>
      <c r="AI586" s="133"/>
      <c r="AJ586" s="133"/>
      <c r="AK586" s="133"/>
      <c r="AL586" s="132"/>
      <c r="AM586" s="132"/>
      <c r="AN586" s="164"/>
      <c r="AO586" s="104"/>
      <c r="AP586" s="104"/>
    </row>
    <row r="587">
      <c r="A587" s="132"/>
      <c r="B587" s="132"/>
      <c r="C587" s="132"/>
      <c r="D587" s="132"/>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c r="AE587" s="133"/>
      <c r="AF587" s="133"/>
      <c r="AG587" s="133"/>
      <c r="AH587" s="133"/>
      <c r="AI587" s="133"/>
      <c r="AJ587" s="133"/>
      <c r="AK587" s="133"/>
      <c r="AL587" s="132"/>
      <c r="AM587" s="132"/>
      <c r="AN587" s="164"/>
      <c r="AO587" s="104"/>
      <c r="AP587" s="104"/>
    </row>
    <row r="588">
      <c r="A588" s="132"/>
      <c r="B588" s="132"/>
      <c r="C588" s="132"/>
      <c r="D588" s="132"/>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c r="AE588" s="133"/>
      <c r="AF588" s="133"/>
      <c r="AG588" s="133"/>
      <c r="AH588" s="133"/>
      <c r="AI588" s="133"/>
      <c r="AJ588" s="133"/>
      <c r="AK588" s="133"/>
      <c r="AL588" s="132"/>
      <c r="AM588" s="132"/>
      <c r="AN588" s="164"/>
      <c r="AO588" s="104"/>
      <c r="AP588" s="104"/>
    </row>
    <row r="589">
      <c r="A589" s="132"/>
      <c r="B589" s="132"/>
      <c r="C589" s="132"/>
      <c r="D589" s="132"/>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c r="AE589" s="133"/>
      <c r="AF589" s="133"/>
      <c r="AG589" s="133"/>
      <c r="AH589" s="133"/>
      <c r="AI589" s="133"/>
      <c r="AJ589" s="133"/>
      <c r="AK589" s="133"/>
      <c r="AL589" s="132"/>
      <c r="AM589" s="132"/>
      <c r="AN589" s="164"/>
      <c r="AO589" s="104"/>
      <c r="AP589" s="104"/>
    </row>
    <row r="590">
      <c r="A590" s="132"/>
      <c r="B590" s="132"/>
      <c r="C590" s="132"/>
      <c r="D590" s="132"/>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c r="AE590" s="133"/>
      <c r="AF590" s="133"/>
      <c r="AG590" s="133"/>
      <c r="AH590" s="133"/>
      <c r="AI590" s="133"/>
      <c r="AJ590" s="133"/>
      <c r="AK590" s="133"/>
      <c r="AL590" s="132"/>
      <c r="AM590" s="132"/>
      <c r="AN590" s="164"/>
      <c r="AO590" s="104"/>
      <c r="AP590" s="104"/>
    </row>
    <row r="591">
      <c r="A591" s="132"/>
      <c r="B591" s="132"/>
      <c r="C591" s="132"/>
      <c r="D591" s="132"/>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c r="AE591" s="133"/>
      <c r="AF591" s="133"/>
      <c r="AG591" s="133"/>
      <c r="AH591" s="133"/>
      <c r="AI591" s="133"/>
      <c r="AJ591" s="133"/>
      <c r="AK591" s="133"/>
      <c r="AL591" s="132"/>
      <c r="AM591" s="132"/>
      <c r="AN591" s="164"/>
      <c r="AO591" s="104"/>
      <c r="AP591" s="104"/>
    </row>
    <row r="592">
      <c r="A592" s="132"/>
      <c r="B592" s="132"/>
      <c r="C592" s="132"/>
      <c r="D592" s="132"/>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c r="AE592" s="133"/>
      <c r="AF592" s="133"/>
      <c r="AG592" s="133"/>
      <c r="AH592" s="133"/>
      <c r="AI592" s="133"/>
      <c r="AJ592" s="133"/>
      <c r="AK592" s="133"/>
      <c r="AL592" s="132"/>
      <c r="AM592" s="132"/>
      <c r="AN592" s="164"/>
      <c r="AO592" s="104"/>
      <c r="AP592" s="104"/>
    </row>
    <row r="593">
      <c r="A593" s="132"/>
      <c r="B593" s="132"/>
      <c r="C593" s="132"/>
      <c r="D593" s="132"/>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c r="AE593" s="133"/>
      <c r="AF593" s="133"/>
      <c r="AG593" s="133"/>
      <c r="AH593" s="133"/>
      <c r="AI593" s="133"/>
      <c r="AJ593" s="133"/>
      <c r="AK593" s="133"/>
      <c r="AL593" s="132"/>
      <c r="AM593" s="132"/>
      <c r="AN593" s="164"/>
      <c r="AO593" s="104"/>
      <c r="AP593" s="104"/>
    </row>
    <row r="594">
      <c r="A594" s="132"/>
      <c r="B594" s="132"/>
      <c r="C594" s="132"/>
      <c r="D594" s="132"/>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c r="AE594" s="133"/>
      <c r="AF594" s="133"/>
      <c r="AG594" s="133"/>
      <c r="AH594" s="133"/>
      <c r="AI594" s="133"/>
      <c r="AJ594" s="133"/>
      <c r="AK594" s="133"/>
      <c r="AL594" s="132"/>
      <c r="AM594" s="132"/>
      <c r="AN594" s="164"/>
      <c r="AO594" s="104"/>
      <c r="AP594" s="104"/>
    </row>
    <row r="595">
      <c r="A595" s="132"/>
      <c r="B595" s="132"/>
      <c r="C595" s="132"/>
      <c r="D595" s="132"/>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c r="AE595" s="133"/>
      <c r="AF595" s="133"/>
      <c r="AG595" s="133"/>
      <c r="AH595" s="133"/>
      <c r="AI595" s="133"/>
      <c r="AJ595" s="133"/>
      <c r="AK595" s="133"/>
      <c r="AL595" s="132"/>
      <c r="AM595" s="132"/>
      <c r="AN595" s="164"/>
      <c r="AO595" s="104"/>
      <c r="AP595" s="104"/>
    </row>
    <row r="596">
      <c r="A596" s="132"/>
      <c r="B596" s="132"/>
      <c r="C596" s="132"/>
      <c r="D596" s="132"/>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c r="AE596" s="133"/>
      <c r="AF596" s="133"/>
      <c r="AG596" s="133"/>
      <c r="AH596" s="133"/>
      <c r="AI596" s="133"/>
      <c r="AJ596" s="133"/>
      <c r="AK596" s="133"/>
      <c r="AL596" s="132"/>
      <c r="AM596" s="132"/>
      <c r="AN596" s="164"/>
      <c r="AO596" s="104"/>
      <c r="AP596" s="104"/>
    </row>
    <row r="597">
      <c r="A597" s="132"/>
      <c r="B597" s="132"/>
      <c r="C597" s="132"/>
      <c r="D597" s="132"/>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c r="AE597" s="133"/>
      <c r="AF597" s="133"/>
      <c r="AG597" s="133"/>
      <c r="AH597" s="133"/>
      <c r="AI597" s="133"/>
      <c r="AJ597" s="133"/>
      <c r="AK597" s="133"/>
      <c r="AL597" s="132"/>
      <c r="AM597" s="132"/>
      <c r="AN597" s="164"/>
      <c r="AO597" s="104"/>
      <c r="AP597" s="104"/>
    </row>
    <row r="598">
      <c r="A598" s="132"/>
      <c r="B598" s="132"/>
      <c r="C598" s="132"/>
      <c r="D598" s="132"/>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c r="AE598" s="133"/>
      <c r="AF598" s="133"/>
      <c r="AG598" s="133"/>
      <c r="AH598" s="133"/>
      <c r="AI598" s="133"/>
      <c r="AJ598" s="133"/>
      <c r="AK598" s="133"/>
      <c r="AL598" s="132"/>
      <c r="AM598" s="132"/>
      <c r="AN598" s="164"/>
      <c r="AO598" s="104"/>
      <c r="AP598" s="104"/>
    </row>
    <row r="599">
      <c r="A599" s="132"/>
      <c r="B599" s="132"/>
      <c r="C599" s="132"/>
      <c r="D599" s="132"/>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c r="AE599" s="133"/>
      <c r="AF599" s="133"/>
      <c r="AG599" s="133"/>
      <c r="AH599" s="133"/>
      <c r="AI599" s="133"/>
      <c r="AJ599" s="133"/>
      <c r="AK599" s="133"/>
      <c r="AL599" s="132"/>
      <c r="AM599" s="132"/>
      <c r="AN599" s="164"/>
      <c r="AO599" s="104"/>
      <c r="AP599" s="104"/>
    </row>
    <row r="600">
      <c r="A600" s="132"/>
      <c r="B600" s="132"/>
      <c r="C600" s="132"/>
      <c r="D600" s="132"/>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c r="AE600" s="133"/>
      <c r="AF600" s="133"/>
      <c r="AG600" s="133"/>
      <c r="AH600" s="133"/>
      <c r="AI600" s="133"/>
      <c r="AJ600" s="133"/>
      <c r="AK600" s="133"/>
      <c r="AL600" s="132"/>
      <c r="AM600" s="132"/>
      <c r="AN600" s="164"/>
      <c r="AO600" s="104"/>
      <c r="AP600" s="104"/>
    </row>
    <row r="601">
      <c r="A601" s="132"/>
      <c r="B601" s="132"/>
      <c r="C601" s="132"/>
      <c r="D601" s="132"/>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c r="AE601" s="133"/>
      <c r="AF601" s="133"/>
      <c r="AG601" s="133"/>
      <c r="AH601" s="133"/>
      <c r="AI601" s="133"/>
      <c r="AJ601" s="133"/>
      <c r="AK601" s="133"/>
      <c r="AL601" s="132"/>
      <c r="AM601" s="132"/>
      <c r="AN601" s="164"/>
      <c r="AO601" s="104"/>
      <c r="AP601" s="104"/>
    </row>
    <row r="602">
      <c r="A602" s="132"/>
      <c r="B602" s="132"/>
      <c r="C602" s="132"/>
      <c r="D602" s="132"/>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c r="AE602" s="133"/>
      <c r="AF602" s="133"/>
      <c r="AG602" s="133"/>
      <c r="AH602" s="133"/>
      <c r="AI602" s="133"/>
      <c r="AJ602" s="133"/>
      <c r="AK602" s="133"/>
      <c r="AL602" s="132"/>
      <c r="AM602" s="132"/>
      <c r="AN602" s="164"/>
      <c r="AO602" s="104"/>
      <c r="AP602" s="104"/>
    </row>
    <row r="603">
      <c r="A603" s="132"/>
      <c r="B603" s="132"/>
      <c r="C603" s="132"/>
      <c r="D603" s="132"/>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c r="AE603" s="133"/>
      <c r="AF603" s="133"/>
      <c r="AG603" s="133"/>
      <c r="AH603" s="133"/>
      <c r="AI603" s="133"/>
      <c r="AJ603" s="133"/>
      <c r="AK603" s="133"/>
      <c r="AL603" s="132"/>
      <c r="AM603" s="132"/>
      <c r="AN603" s="164"/>
      <c r="AO603" s="104"/>
      <c r="AP603" s="104"/>
    </row>
    <row r="604">
      <c r="A604" s="132"/>
      <c r="B604" s="132"/>
      <c r="C604" s="132"/>
      <c r="D604" s="132"/>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c r="AE604" s="133"/>
      <c r="AF604" s="133"/>
      <c r="AG604" s="133"/>
      <c r="AH604" s="133"/>
      <c r="AI604" s="133"/>
      <c r="AJ604" s="133"/>
      <c r="AK604" s="133"/>
      <c r="AL604" s="132"/>
      <c r="AM604" s="132"/>
      <c r="AN604" s="164"/>
      <c r="AO604" s="104"/>
      <c r="AP604" s="104"/>
    </row>
    <row r="605">
      <c r="A605" s="132"/>
      <c r="B605" s="132"/>
      <c r="C605" s="132"/>
      <c r="D605" s="132"/>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c r="AE605" s="133"/>
      <c r="AF605" s="133"/>
      <c r="AG605" s="133"/>
      <c r="AH605" s="133"/>
      <c r="AI605" s="133"/>
      <c r="AJ605" s="133"/>
      <c r="AK605" s="133"/>
      <c r="AL605" s="132"/>
      <c r="AM605" s="132"/>
      <c r="AN605" s="164"/>
      <c r="AO605" s="104"/>
      <c r="AP605" s="104"/>
    </row>
    <row r="606">
      <c r="A606" s="132"/>
      <c r="B606" s="132"/>
      <c r="C606" s="132"/>
      <c r="D606" s="132"/>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c r="AC606" s="133"/>
      <c r="AD606" s="133"/>
      <c r="AE606" s="133"/>
      <c r="AF606" s="133"/>
      <c r="AG606" s="133"/>
      <c r="AH606" s="133"/>
      <c r="AI606" s="133"/>
      <c r="AJ606" s="133"/>
      <c r="AK606" s="133"/>
      <c r="AL606" s="132"/>
      <c r="AM606" s="132"/>
      <c r="AN606" s="164"/>
      <c r="AO606" s="104"/>
      <c r="AP606" s="104"/>
    </row>
    <row r="607">
      <c r="A607" s="132"/>
      <c r="B607" s="132"/>
      <c r="C607" s="132"/>
      <c r="D607" s="132"/>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c r="AC607" s="133"/>
      <c r="AD607" s="133"/>
      <c r="AE607" s="133"/>
      <c r="AF607" s="133"/>
      <c r="AG607" s="133"/>
      <c r="AH607" s="133"/>
      <c r="AI607" s="133"/>
      <c r="AJ607" s="133"/>
      <c r="AK607" s="133"/>
      <c r="AL607" s="132"/>
      <c r="AM607" s="132"/>
      <c r="AN607" s="164"/>
      <c r="AO607" s="104"/>
      <c r="AP607" s="104"/>
    </row>
    <row r="608">
      <c r="A608" s="132"/>
      <c r="B608" s="132"/>
      <c r="C608" s="132"/>
      <c r="D608" s="132"/>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c r="AC608" s="133"/>
      <c r="AD608" s="133"/>
      <c r="AE608" s="133"/>
      <c r="AF608" s="133"/>
      <c r="AG608" s="133"/>
      <c r="AH608" s="133"/>
      <c r="AI608" s="133"/>
      <c r="AJ608" s="133"/>
      <c r="AK608" s="133"/>
      <c r="AL608" s="132"/>
      <c r="AM608" s="132"/>
      <c r="AN608" s="164"/>
      <c r="AO608" s="104"/>
      <c r="AP608" s="104"/>
    </row>
    <row r="609">
      <c r="A609" s="132"/>
      <c r="B609" s="132"/>
      <c r="C609" s="132"/>
      <c r="D609" s="132"/>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c r="AC609" s="133"/>
      <c r="AD609" s="133"/>
      <c r="AE609" s="133"/>
      <c r="AF609" s="133"/>
      <c r="AG609" s="133"/>
      <c r="AH609" s="133"/>
      <c r="AI609" s="133"/>
      <c r="AJ609" s="133"/>
      <c r="AK609" s="133"/>
      <c r="AL609" s="132"/>
      <c r="AM609" s="132"/>
      <c r="AN609" s="164"/>
      <c r="AO609" s="104"/>
      <c r="AP609" s="104"/>
    </row>
    <row r="610">
      <c r="A610" s="132"/>
      <c r="B610" s="132"/>
      <c r="C610" s="132"/>
      <c r="D610" s="132"/>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c r="AC610" s="133"/>
      <c r="AD610" s="133"/>
      <c r="AE610" s="133"/>
      <c r="AF610" s="133"/>
      <c r="AG610" s="133"/>
      <c r="AH610" s="133"/>
      <c r="AI610" s="133"/>
      <c r="AJ610" s="133"/>
      <c r="AK610" s="133"/>
      <c r="AL610" s="132"/>
      <c r="AM610" s="132"/>
      <c r="AN610" s="164"/>
      <c r="AO610" s="104"/>
      <c r="AP610" s="104"/>
    </row>
    <row r="611">
      <c r="A611" s="132"/>
      <c r="B611" s="132"/>
      <c r="C611" s="132"/>
      <c r="D611" s="132"/>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c r="AC611" s="133"/>
      <c r="AD611" s="133"/>
      <c r="AE611" s="133"/>
      <c r="AF611" s="133"/>
      <c r="AG611" s="133"/>
      <c r="AH611" s="133"/>
      <c r="AI611" s="133"/>
      <c r="AJ611" s="133"/>
      <c r="AK611" s="133"/>
      <c r="AL611" s="132"/>
      <c r="AM611" s="132"/>
      <c r="AN611" s="164"/>
      <c r="AO611" s="104"/>
      <c r="AP611" s="104"/>
    </row>
    <row r="612">
      <c r="A612" s="132"/>
      <c r="B612" s="132"/>
      <c r="C612" s="132"/>
      <c r="D612" s="132"/>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c r="AE612" s="133"/>
      <c r="AF612" s="133"/>
      <c r="AG612" s="133"/>
      <c r="AH612" s="133"/>
      <c r="AI612" s="133"/>
      <c r="AJ612" s="133"/>
      <c r="AK612" s="133"/>
      <c r="AL612" s="132"/>
      <c r="AM612" s="132"/>
      <c r="AN612" s="164"/>
      <c r="AO612" s="104"/>
      <c r="AP612" s="104"/>
    </row>
    <row r="613">
      <c r="A613" s="132"/>
      <c r="B613" s="132"/>
      <c r="C613" s="132"/>
      <c r="D613" s="132"/>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c r="AC613" s="133"/>
      <c r="AD613" s="133"/>
      <c r="AE613" s="133"/>
      <c r="AF613" s="133"/>
      <c r="AG613" s="133"/>
      <c r="AH613" s="133"/>
      <c r="AI613" s="133"/>
      <c r="AJ613" s="133"/>
      <c r="AK613" s="133"/>
      <c r="AL613" s="132"/>
      <c r="AM613" s="132"/>
      <c r="AN613" s="164"/>
      <c r="AO613" s="104"/>
      <c r="AP613" s="104"/>
    </row>
    <row r="614">
      <c r="A614" s="132"/>
      <c r="B614" s="132"/>
      <c r="C614" s="132"/>
      <c r="D614" s="132"/>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c r="AC614" s="133"/>
      <c r="AD614" s="133"/>
      <c r="AE614" s="133"/>
      <c r="AF614" s="133"/>
      <c r="AG614" s="133"/>
      <c r="AH614" s="133"/>
      <c r="AI614" s="133"/>
      <c r="AJ614" s="133"/>
      <c r="AK614" s="133"/>
      <c r="AL614" s="132"/>
      <c r="AM614" s="132"/>
      <c r="AN614" s="164"/>
      <c r="AO614" s="104"/>
      <c r="AP614" s="104"/>
    </row>
    <row r="615">
      <c r="A615" s="132"/>
      <c r="B615" s="132"/>
      <c r="C615" s="132"/>
      <c r="D615" s="132"/>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c r="AC615" s="133"/>
      <c r="AD615" s="133"/>
      <c r="AE615" s="133"/>
      <c r="AF615" s="133"/>
      <c r="AG615" s="133"/>
      <c r="AH615" s="133"/>
      <c r="AI615" s="133"/>
      <c r="AJ615" s="133"/>
      <c r="AK615" s="133"/>
      <c r="AL615" s="132"/>
      <c r="AM615" s="132"/>
      <c r="AN615" s="164"/>
      <c r="AO615" s="104"/>
      <c r="AP615" s="104"/>
    </row>
    <row r="616">
      <c r="A616" s="132"/>
      <c r="B616" s="132"/>
      <c r="C616" s="132"/>
      <c r="D616" s="132"/>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c r="AC616" s="133"/>
      <c r="AD616" s="133"/>
      <c r="AE616" s="133"/>
      <c r="AF616" s="133"/>
      <c r="AG616" s="133"/>
      <c r="AH616" s="133"/>
      <c r="AI616" s="133"/>
      <c r="AJ616" s="133"/>
      <c r="AK616" s="133"/>
      <c r="AL616" s="132"/>
      <c r="AM616" s="132"/>
      <c r="AN616" s="164"/>
      <c r="AO616" s="104"/>
      <c r="AP616" s="104"/>
    </row>
    <row r="617">
      <c r="A617" s="132"/>
      <c r="B617" s="132"/>
      <c r="C617" s="132"/>
      <c r="D617" s="132"/>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c r="AC617" s="133"/>
      <c r="AD617" s="133"/>
      <c r="AE617" s="133"/>
      <c r="AF617" s="133"/>
      <c r="AG617" s="133"/>
      <c r="AH617" s="133"/>
      <c r="AI617" s="133"/>
      <c r="AJ617" s="133"/>
      <c r="AK617" s="133"/>
      <c r="AL617" s="132"/>
      <c r="AM617" s="132"/>
      <c r="AN617" s="164"/>
      <c r="AO617" s="104"/>
      <c r="AP617" s="104"/>
    </row>
    <row r="618">
      <c r="A618" s="132"/>
      <c r="B618" s="132"/>
      <c r="C618" s="132"/>
      <c r="D618" s="132"/>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c r="AC618" s="133"/>
      <c r="AD618" s="133"/>
      <c r="AE618" s="133"/>
      <c r="AF618" s="133"/>
      <c r="AG618" s="133"/>
      <c r="AH618" s="133"/>
      <c r="AI618" s="133"/>
      <c r="AJ618" s="133"/>
      <c r="AK618" s="133"/>
      <c r="AL618" s="132"/>
      <c r="AM618" s="132"/>
      <c r="AN618" s="164"/>
      <c r="AO618" s="104"/>
      <c r="AP618" s="104"/>
    </row>
    <row r="619">
      <c r="A619" s="132"/>
      <c r="B619" s="132"/>
      <c r="C619" s="132"/>
      <c r="D619" s="132"/>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c r="AC619" s="133"/>
      <c r="AD619" s="133"/>
      <c r="AE619" s="133"/>
      <c r="AF619" s="133"/>
      <c r="AG619" s="133"/>
      <c r="AH619" s="133"/>
      <c r="AI619" s="133"/>
      <c r="AJ619" s="133"/>
      <c r="AK619" s="133"/>
      <c r="AL619" s="132"/>
      <c r="AM619" s="132"/>
      <c r="AN619" s="164"/>
      <c r="AO619" s="104"/>
      <c r="AP619" s="104"/>
    </row>
    <row r="620">
      <c r="A620" s="132"/>
      <c r="B620" s="132"/>
      <c r="C620" s="132"/>
      <c r="D620" s="132"/>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c r="AC620" s="133"/>
      <c r="AD620" s="133"/>
      <c r="AE620" s="133"/>
      <c r="AF620" s="133"/>
      <c r="AG620" s="133"/>
      <c r="AH620" s="133"/>
      <c r="AI620" s="133"/>
      <c r="AJ620" s="133"/>
      <c r="AK620" s="133"/>
      <c r="AL620" s="132"/>
      <c r="AM620" s="132"/>
      <c r="AN620" s="164"/>
      <c r="AO620" s="104"/>
      <c r="AP620" s="104"/>
    </row>
    <row r="621">
      <c r="A621" s="132"/>
      <c r="B621" s="132"/>
      <c r="C621" s="132"/>
      <c r="D621" s="132"/>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c r="AC621" s="133"/>
      <c r="AD621" s="133"/>
      <c r="AE621" s="133"/>
      <c r="AF621" s="133"/>
      <c r="AG621" s="133"/>
      <c r="AH621" s="133"/>
      <c r="AI621" s="133"/>
      <c r="AJ621" s="133"/>
      <c r="AK621" s="133"/>
      <c r="AL621" s="132"/>
      <c r="AM621" s="132"/>
      <c r="AN621" s="164"/>
      <c r="AO621" s="104"/>
      <c r="AP621" s="104"/>
    </row>
    <row r="622">
      <c r="A622" s="132"/>
      <c r="B622" s="132"/>
      <c r="C622" s="132"/>
      <c r="D622" s="132"/>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c r="AC622" s="133"/>
      <c r="AD622" s="133"/>
      <c r="AE622" s="133"/>
      <c r="AF622" s="133"/>
      <c r="AG622" s="133"/>
      <c r="AH622" s="133"/>
      <c r="AI622" s="133"/>
      <c r="AJ622" s="133"/>
      <c r="AK622" s="133"/>
      <c r="AL622" s="132"/>
      <c r="AM622" s="132"/>
      <c r="AN622" s="164"/>
      <c r="AO622" s="104"/>
      <c r="AP622" s="104"/>
    </row>
    <row r="623">
      <c r="A623" s="132"/>
      <c r="B623" s="132"/>
      <c r="C623" s="132"/>
      <c r="D623" s="132"/>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c r="AC623" s="133"/>
      <c r="AD623" s="133"/>
      <c r="AE623" s="133"/>
      <c r="AF623" s="133"/>
      <c r="AG623" s="133"/>
      <c r="AH623" s="133"/>
      <c r="AI623" s="133"/>
      <c r="AJ623" s="133"/>
      <c r="AK623" s="133"/>
      <c r="AL623" s="132"/>
      <c r="AM623" s="132"/>
      <c r="AN623" s="164"/>
      <c r="AO623" s="104"/>
      <c r="AP623" s="104"/>
    </row>
    <row r="624">
      <c r="A624" s="132"/>
      <c r="B624" s="132"/>
      <c r="C624" s="132"/>
      <c r="D624" s="132"/>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c r="AC624" s="133"/>
      <c r="AD624" s="133"/>
      <c r="AE624" s="133"/>
      <c r="AF624" s="133"/>
      <c r="AG624" s="133"/>
      <c r="AH624" s="133"/>
      <c r="AI624" s="133"/>
      <c r="AJ624" s="133"/>
      <c r="AK624" s="133"/>
      <c r="AL624" s="132"/>
      <c r="AM624" s="132"/>
      <c r="AN624" s="164"/>
      <c r="AO624" s="104"/>
      <c r="AP624" s="104"/>
    </row>
    <row r="625">
      <c r="A625" s="132"/>
      <c r="B625" s="132"/>
      <c r="C625" s="132"/>
      <c r="D625" s="132"/>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c r="AC625" s="133"/>
      <c r="AD625" s="133"/>
      <c r="AE625" s="133"/>
      <c r="AF625" s="133"/>
      <c r="AG625" s="133"/>
      <c r="AH625" s="133"/>
      <c r="AI625" s="133"/>
      <c r="AJ625" s="133"/>
      <c r="AK625" s="133"/>
      <c r="AL625" s="132"/>
      <c r="AM625" s="132"/>
      <c r="AN625" s="164"/>
      <c r="AO625" s="104"/>
      <c r="AP625" s="104"/>
    </row>
    <row r="626">
      <c r="A626" s="132"/>
      <c r="B626" s="132"/>
      <c r="C626" s="132"/>
      <c r="D626" s="132"/>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c r="AE626" s="133"/>
      <c r="AF626" s="133"/>
      <c r="AG626" s="133"/>
      <c r="AH626" s="133"/>
      <c r="AI626" s="133"/>
      <c r="AJ626" s="133"/>
      <c r="AK626" s="133"/>
      <c r="AL626" s="132"/>
      <c r="AM626" s="132"/>
      <c r="AN626" s="164"/>
      <c r="AO626" s="104"/>
      <c r="AP626" s="104"/>
    </row>
    <row r="627">
      <c r="A627" s="132"/>
      <c r="B627" s="132"/>
      <c r="C627" s="132"/>
      <c r="D627" s="132"/>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c r="AC627" s="133"/>
      <c r="AD627" s="133"/>
      <c r="AE627" s="133"/>
      <c r="AF627" s="133"/>
      <c r="AG627" s="133"/>
      <c r="AH627" s="133"/>
      <c r="AI627" s="133"/>
      <c r="AJ627" s="133"/>
      <c r="AK627" s="133"/>
      <c r="AL627" s="132"/>
      <c r="AM627" s="132"/>
      <c r="AN627" s="164"/>
      <c r="AO627" s="104"/>
      <c r="AP627" s="104"/>
    </row>
    <row r="628">
      <c r="A628" s="132"/>
      <c r="B628" s="132"/>
      <c r="C628" s="132"/>
      <c r="D628" s="132"/>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c r="AC628" s="133"/>
      <c r="AD628" s="133"/>
      <c r="AE628" s="133"/>
      <c r="AF628" s="133"/>
      <c r="AG628" s="133"/>
      <c r="AH628" s="133"/>
      <c r="AI628" s="133"/>
      <c r="AJ628" s="133"/>
      <c r="AK628" s="133"/>
      <c r="AL628" s="132"/>
      <c r="AM628" s="132"/>
      <c r="AN628" s="164"/>
      <c r="AO628" s="104"/>
      <c r="AP628" s="104"/>
    </row>
    <row r="629">
      <c r="A629" s="132"/>
      <c r="B629" s="132"/>
      <c r="C629" s="132"/>
      <c r="D629" s="132"/>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c r="AC629" s="133"/>
      <c r="AD629" s="133"/>
      <c r="AE629" s="133"/>
      <c r="AF629" s="133"/>
      <c r="AG629" s="133"/>
      <c r="AH629" s="133"/>
      <c r="AI629" s="133"/>
      <c r="AJ629" s="133"/>
      <c r="AK629" s="133"/>
      <c r="AL629" s="132"/>
      <c r="AM629" s="132"/>
      <c r="AN629" s="164"/>
      <c r="AO629" s="104"/>
      <c r="AP629" s="104"/>
    </row>
    <row r="630">
      <c r="A630" s="132"/>
      <c r="B630" s="132"/>
      <c r="C630" s="132"/>
      <c r="D630" s="132"/>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c r="AC630" s="133"/>
      <c r="AD630" s="133"/>
      <c r="AE630" s="133"/>
      <c r="AF630" s="133"/>
      <c r="AG630" s="133"/>
      <c r="AH630" s="133"/>
      <c r="AI630" s="133"/>
      <c r="AJ630" s="133"/>
      <c r="AK630" s="133"/>
      <c r="AL630" s="132"/>
      <c r="AM630" s="132"/>
      <c r="AN630" s="164"/>
      <c r="AO630" s="104"/>
      <c r="AP630" s="104"/>
    </row>
    <row r="631">
      <c r="A631" s="132"/>
      <c r="B631" s="132"/>
      <c r="C631" s="132"/>
      <c r="D631" s="132"/>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c r="AC631" s="133"/>
      <c r="AD631" s="133"/>
      <c r="AE631" s="133"/>
      <c r="AF631" s="133"/>
      <c r="AG631" s="133"/>
      <c r="AH631" s="133"/>
      <c r="AI631" s="133"/>
      <c r="AJ631" s="133"/>
      <c r="AK631" s="133"/>
      <c r="AL631" s="132"/>
      <c r="AM631" s="132"/>
      <c r="AN631" s="164"/>
      <c r="AO631" s="104"/>
      <c r="AP631" s="104"/>
    </row>
    <row r="632">
      <c r="A632" s="132"/>
      <c r="B632" s="132"/>
      <c r="C632" s="132"/>
      <c r="D632" s="132"/>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c r="AC632" s="133"/>
      <c r="AD632" s="133"/>
      <c r="AE632" s="133"/>
      <c r="AF632" s="133"/>
      <c r="AG632" s="133"/>
      <c r="AH632" s="133"/>
      <c r="AI632" s="133"/>
      <c r="AJ632" s="133"/>
      <c r="AK632" s="133"/>
      <c r="AL632" s="132"/>
      <c r="AM632" s="132"/>
      <c r="AN632" s="164"/>
      <c r="AO632" s="104"/>
      <c r="AP632" s="104"/>
    </row>
    <row r="633">
      <c r="A633" s="132"/>
      <c r="B633" s="132"/>
      <c r="C633" s="132"/>
      <c r="D633" s="132"/>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c r="AC633" s="133"/>
      <c r="AD633" s="133"/>
      <c r="AE633" s="133"/>
      <c r="AF633" s="133"/>
      <c r="AG633" s="133"/>
      <c r="AH633" s="133"/>
      <c r="AI633" s="133"/>
      <c r="AJ633" s="133"/>
      <c r="AK633" s="133"/>
      <c r="AL633" s="132"/>
      <c r="AM633" s="132"/>
      <c r="AN633" s="164"/>
      <c r="AO633" s="104"/>
      <c r="AP633" s="104"/>
    </row>
    <row r="634">
      <c r="A634" s="132"/>
      <c r="B634" s="132"/>
      <c r="C634" s="132"/>
      <c r="D634" s="132"/>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c r="AE634" s="133"/>
      <c r="AF634" s="133"/>
      <c r="AG634" s="133"/>
      <c r="AH634" s="133"/>
      <c r="AI634" s="133"/>
      <c r="AJ634" s="133"/>
      <c r="AK634" s="133"/>
      <c r="AL634" s="132"/>
      <c r="AM634" s="132"/>
      <c r="AN634" s="164"/>
      <c r="AO634" s="104"/>
      <c r="AP634" s="104"/>
    </row>
    <row r="635">
      <c r="A635" s="132"/>
      <c r="B635" s="132"/>
      <c r="C635" s="132"/>
      <c r="D635" s="132"/>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c r="AC635" s="133"/>
      <c r="AD635" s="133"/>
      <c r="AE635" s="133"/>
      <c r="AF635" s="133"/>
      <c r="AG635" s="133"/>
      <c r="AH635" s="133"/>
      <c r="AI635" s="133"/>
      <c r="AJ635" s="133"/>
      <c r="AK635" s="133"/>
      <c r="AL635" s="132"/>
      <c r="AM635" s="132"/>
      <c r="AN635" s="164"/>
      <c r="AO635" s="104"/>
      <c r="AP635" s="104"/>
    </row>
    <row r="636">
      <c r="A636" s="132"/>
      <c r="B636" s="132"/>
      <c r="C636" s="132"/>
      <c r="D636" s="132"/>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c r="AC636" s="133"/>
      <c r="AD636" s="133"/>
      <c r="AE636" s="133"/>
      <c r="AF636" s="133"/>
      <c r="AG636" s="133"/>
      <c r="AH636" s="133"/>
      <c r="AI636" s="133"/>
      <c r="AJ636" s="133"/>
      <c r="AK636" s="133"/>
      <c r="AL636" s="132"/>
      <c r="AM636" s="132"/>
      <c r="AN636" s="164"/>
      <c r="AO636" s="104"/>
      <c r="AP636" s="104"/>
    </row>
    <row r="637">
      <c r="A637" s="132"/>
      <c r="B637" s="132"/>
      <c r="C637" s="132"/>
      <c r="D637" s="132"/>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c r="AC637" s="133"/>
      <c r="AD637" s="133"/>
      <c r="AE637" s="133"/>
      <c r="AF637" s="133"/>
      <c r="AG637" s="133"/>
      <c r="AH637" s="133"/>
      <c r="AI637" s="133"/>
      <c r="AJ637" s="133"/>
      <c r="AK637" s="133"/>
      <c r="AL637" s="132"/>
      <c r="AM637" s="132"/>
      <c r="AN637" s="164"/>
      <c r="AO637" s="104"/>
      <c r="AP637" s="104"/>
    </row>
    <row r="638">
      <c r="A638" s="132"/>
      <c r="B638" s="132"/>
      <c r="C638" s="132"/>
      <c r="D638" s="132"/>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c r="AC638" s="133"/>
      <c r="AD638" s="133"/>
      <c r="AE638" s="133"/>
      <c r="AF638" s="133"/>
      <c r="AG638" s="133"/>
      <c r="AH638" s="133"/>
      <c r="AI638" s="133"/>
      <c r="AJ638" s="133"/>
      <c r="AK638" s="133"/>
      <c r="AL638" s="132"/>
      <c r="AM638" s="132"/>
      <c r="AN638" s="164"/>
      <c r="AO638" s="104"/>
      <c r="AP638" s="104"/>
    </row>
    <row r="639">
      <c r="A639" s="132"/>
      <c r="B639" s="132"/>
      <c r="C639" s="132"/>
      <c r="D639" s="132"/>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c r="AC639" s="133"/>
      <c r="AD639" s="133"/>
      <c r="AE639" s="133"/>
      <c r="AF639" s="133"/>
      <c r="AG639" s="133"/>
      <c r="AH639" s="133"/>
      <c r="AI639" s="133"/>
      <c r="AJ639" s="133"/>
      <c r="AK639" s="133"/>
      <c r="AL639" s="132"/>
      <c r="AM639" s="132"/>
      <c r="AN639" s="164"/>
      <c r="AO639" s="104"/>
      <c r="AP639" s="104"/>
    </row>
    <row r="640">
      <c r="A640" s="132"/>
      <c r="B640" s="132"/>
      <c r="C640" s="132"/>
      <c r="D640" s="132"/>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c r="AC640" s="133"/>
      <c r="AD640" s="133"/>
      <c r="AE640" s="133"/>
      <c r="AF640" s="133"/>
      <c r="AG640" s="133"/>
      <c r="AH640" s="133"/>
      <c r="AI640" s="133"/>
      <c r="AJ640" s="133"/>
      <c r="AK640" s="133"/>
      <c r="AL640" s="132"/>
      <c r="AM640" s="132"/>
      <c r="AN640" s="164"/>
      <c r="AO640" s="104"/>
      <c r="AP640" s="104"/>
    </row>
    <row r="641">
      <c r="A641" s="132"/>
      <c r="B641" s="132"/>
      <c r="C641" s="132"/>
      <c r="D641" s="132"/>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c r="AC641" s="133"/>
      <c r="AD641" s="133"/>
      <c r="AE641" s="133"/>
      <c r="AF641" s="133"/>
      <c r="AG641" s="133"/>
      <c r="AH641" s="133"/>
      <c r="AI641" s="133"/>
      <c r="AJ641" s="133"/>
      <c r="AK641" s="133"/>
      <c r="AL641" s="132"/>
      <c r="AM641" s="132"/>
      <c r="AN641" s="164"/>
      <c r="AO641" s="104"/>
      <c r="AP641" s="104"/>
    </row>
    <row r="642">
      <c r="A642" s="132"/>
      <c r="B642" s="132"/>
      <c r="C642" s="132"/>
      <c r="D642" s="132"/>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c r="AC642" s="133"/>
      <c r="AD642" s="133"/>
      <c r="AE642" s="133"/>
      <c r="AF642" s="133"/>
      <c r="AG642" s="133"/>
      <c r="AH642" s="133"/>
      <c r="AI642" s="133"/>
      <c r="AJ642" s="133"/>
      <c r="AK642" s="133"/>
      <c r="AL642" s="132"/>
      <c r="AM642" s="132"/>
      <c r="AN642" s="164"/>
      <c r="AO642" s="104"/>
      <c r="AP642" s="104"/>
    </row>
    <row r="643">
      <c r="A643" s="132"/>
      <c r="B643" s="132"/>
      <c r="C643" s="132"/>
      <c r="D643" s="132"/>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c r="AC643" s="133"/>
      <c r="AD643" s="133"/>
      <c r="AE643" s="133"/>
      <c r="AF643" s="133"/>
      <c r="AG643" s="133"/>
      <c r="AH643" s="133"/>
      <c r="AI643" s="133"/>
      <c r="AJ643" s="133"/>
      <c r="AK643" s="133"/>
      <c r="AL643" s="132"/>
      <c r="AM643" s="132"/>
      <c r="AN643" s="164"/>
      <c r="AO643" s="104"/>
      <c r="AP643" s="104"/>
    </row>
    <row r="644">
      <c r="A644" s="132"/>
      <c r="B644" s="132"/>
      <c r="C644" s="132"/>
      <c r="D644" s="132"/>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c r="AC644" s="133"/>
      <c r="AD644" s="133"/>
      <c r="AE644" s="133"/>
      <c r="AF644" s="133"/>
      <c r="AG644" s="133"/>
      <c r="AH644" s="133"/>
      <c r="AI644" s="133"/>
      <c r="AJ644" s="133"/>
      <c r="AK644" s="133"/>
      <c r="AL644" s="132"/>
      <c r="AM644" s="132"/>
      <c r="AN644" s="164"/>
      <c r="AO644" s="104"/>
      <c r="AP644" s="104"/>
    </row>
    <row r="645">
      <c r="A645" s="132"/>
      <c r="B645" s="132"/>
      <c r="C645" s="132"/>
      <c r="D645" s="132"/>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c r="AE645" s="133"/>
      <c r="AF645" s="133"/>
      <c r="AG645" s="133"/>
      <c r="AH645" s="133"/>
      <c r="AI645" s="133"/>
      <c r="AJ645" s="133"/>
      <c r="AK645" s="133"/>
      <c r="AL645" s="132"/>
      <c r="AM645" s="132"/>
      <c r="AN645" s="164"/>
      <c r="AO645" s="104"/>
      <c r="AP645" s="104"/>
    </row>
    <row r="646">
      <c r="A646" s="132"/>
      <c r="B646" s="132"/>
      <c r="C646" s="132"/>
      <c r="D646" s="132"/>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c r="AC646" s="133"/>
      <c r="AD646" s="133"/>
      <c r="AE646" s="133"/>
      <c r="AF646" s="133"/>
      <c r="AG646" s="133"/>
      <c r="AH646" s="133"/>
      <c r="AI646" s="133"/>
      <c r="AJ646" s="133"/>
      <c r="AK646" s="133"/>
      <c r="AL646" s="132"/>
      <c r="AM646" s="132"/>
      <c r="AN646" s="164"/>
      <c r="AO646" s="104"/>
      <c r="AP646" s="104"/>
    </row>
    <row r="647">
      <c r="A647" s="132"/>
      <c r="B647" s="132"/>
      <c r="C647" s="132"/>
      <c r="D647" s="132"/>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c r="AC647" s="133"/>
      <c r="AD647" s="133"/>
      <c r="AE647" s="133"/>
      <c r="AF647" s="133"/>
      <c r="AG647" s="133"/>
      <c r="AH647" s="133"/>
      <c r="AI647" s="133"/>
      <c r="AJ647" s="133"/>
      <c r="AK647" s="133"/>
      <c r="AL647" s="132"/>
      <c r="AM647" s="132"/>
      <c r="AN647" s="164"/>
      <c r="AO647" s="104"/>
      <c r="AP647" s="104"/>
    </row>
    <row r="648">
      <c r="A648" s="132"/>
      <c r="B648" s="132"/>
      <c r="C648" s="132"/>
      <c r="D648" s="132"/>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c r="AE648" s="133"/>
      <c r="AF648" s="133"/>
      <c r="AG648" s="133"/>
      <c r="AH648" s="133"/>
      <c r="AI648" s="133"/>
      <c r="AJ648" s="133"/>
      <c r="AK648" s="133"/>
      <c r="AL648" s="132"/>
      <c r="AM648" s="132"/>
      <c r="AN648" s="164"/>
      <c r="AO648" s="104"/>
      <c r="AP648" s="104"/>
    </row>
    <row r="649">
      <c r="A649" s="132"/>
      <c r="B649" s="132"/>
      <c r="C649" s="132"/>
      <c r="D649" s="132"/>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c r="AE649" s="133"/>
      <c r="AF649" s="133"/>
      <c r="AG649" s="133"/>
      <c r="AH649" s="133"/>
      <c r="AI649" s="133"/>
      <c r="AJ649" s="133"/>
      <c r="AK649" s="133"/>
      <c r="AL649" s="132"/>
      <c r="AM649" s="132"/>
      <c r="AN649" s="164"/>
      <c r="AO649" s="104"/>
      <c r="AP649" s="104"/>
    </row>
    <row r="650">
      <c r="A650" s="132"/>
      <c r="B650" s="132"/>
      <c r="C650" s="132"/>
      <c r="D650" s="132"/>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c r="AE650" s="133"/>
      <c r="AF650" s="133"/>
      <c r="AG650" s="133"/>
      <c r="AH650" s="133"/>
      <c r="AI650" s="133"/>
      <c r="AJ650" s="133"/>
      <c r="AK650" s="133"/>
      <c r="AL650" s="132"/>
      <c r="AM650" s="132"/>
      <c r="AN650" s="164"/>
      <c r="AO650" s="104"/>
      <c r="AP650" s="104"/>
    </row>
    <row r="651">
      <c r="A651" s="132"/>
      <c r="B651" s="132"/>
      <c r="C651" s="132"/>
      <c r="D651" s="132"/>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c r="AE651" s="133"/>
      <c r="AF651" s="133"/>
      <c r="AG651" s="133"/>
      <c r="AH651" s="133"/>
      <c r="AI651" s="133"/>
      <c r="AJ651" s="133"/>
      <c r="AK651" s="133"/>
      <c r="AL651" s="132"/>
      <c r="AM651" s="132"/>
      <c r="AN651" s="164"/>
      <c r="AO651" s="104"/>
      <c r="AP651" s="104"/>
    </row>
    <row r="652">
      <c r="A652" s="132"/>
      <c r="B652" s="132"/>
      <c r="C652" s="132"/>
      <c r="D652" s="132"/>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c r="AE652" s="133"/>
      <c r="AF652" s="133"/>
      <c r="AG652" s="133"/>
      <c r="AH652" s="133"/>
      <c r="AI652" s="133"/>
      <c r="AJ652" s="133"/>
      <c r="AK652" s="133"/>
      <c r="AL652" s="132"/>
      <c r="AM652" s="132"/>
      <c r="AN652" s="164"/>
      <c r="AO652" s="104"/>
      <c r="AP652" s="104"/>
    </row>
    <row r="653">
      <c r="A653" s="132"/>
      <c r="B653" s="132"/>
      <c r="C653" s="132"/>
      <c r="D653" s="132"/>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c r="AE653" s="133"/>
      <c r="AF653" s="133"/>
      <c r="AG653" s="133"/>
      <c r="AH653" s="133"/>
      <c r="AI653" s="133"/>
      <c r="AJ653" s="133"/>
      <c r="AK653" s="133"/>
      <c r="AL653" s="132"/>
      <c r="AM653" s="132"/>
      <c r="AN653" s="164"/>
      <c r="AO653" s="104"/>
      <c r="AP653" s="104"/>
    </row>
    <row r="654">
      <c r="A654" s="132"/>
      <c r="B654" s="132"/>
      <c r="C654" s="132"/>
      <c r="D654" s="132"/>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c r="AE654" s="133"/>
      <c r="AF654" s="133"/>
      <c r="AG654" s="133"/>
      <c r="AH654" s="133"/>
      <c r="AI654" s="133"/>
      <c r="AJ654" s="133"/>
      <c r="AK654" s="133"/>
      <c r="AL654" s="132"/>
      <c r="AM654" s="132"/>
      <c r="AN654" s="164"/>
      <c r="AO654" s="104"/>
      <c r="AP654" s="104"/>
    </row>
    <row r="655">
      <c r="A655" s="132"/>
      <c r="B655" s="132"/>
      <c r="C655" s="132"/>
      <c r="D655" s="132"/>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c r="AE655" s="133"/>
      <c r="AF655" s="133"/>
      <c r="AG655" s="133"/>
      <c r="AH655" s="133"/>
      <c r="AI655" s="133"/>
      <c r="AJ655" s="133"/>
      <c r="AK655" s="133"/>
      <c r="AL655" s="132"/>
      <c r="AM655" s="132"/>
      <c r="AN655" s="164"/>
      <c r="AO655" s="104"/>
      <c r="AP655" s="104"/>
    </row>
    <row r="656">
      <c r="A656" s="132"/>
      <c r="B656" s="132"/>
      <c r="C656" s="132"/>
      <c r="D656" s="132"/>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c r="AE656" s="133"/>
      <c r="AF656" s="133"/>
      <c r="AG656" s="133"/>
      <c r="AH656" s="133"/>
      <c r="AI656" s="133"/>
      <c r="AJ656" s="133"/>
      <c r="AK656" s="133"/>
      <c r="AL656" s="132"/>
      <c r="AM656" s="132"/>
      <c r="AN656" s="164"/>
      <c r="AO656" s="104"/>
      <c r="AP656" s="104"/>
    </row>
    <row r="657">
      <c r="A657" s="132"/>
      <c r="B657" s="132"/>
      <c r="C657" s="132"/>
      <c r="D657" s="132"/>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c r="AE657" s="133"/>
      <c r="AF657" s="133"/>
      <c r="AG657" s="133"/>
      <c r="AH657" s="133"/>
      <c r="AI657" s="133"/>
      <c r="AJ657" s="133"/>
      <c r="AK657" s="133"/>
      <c r="AL657" s="132"/>
      <c r="AM657" s="132"/>
      <c r="AN657" s="164"/>
      <c r="AO657" s="104"/>
      <c r="AP657" s="104"/>
    </row>
    <row r="658">
      <c r="A658" s="132"/>
      <c r="B658" s="132"/>
      <c r="C658" s="132"/>
      <c r="D658" s="132"/>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c r="AE658" s="133"/>
      <c r="AF658" s="133"/>
      <c r="AG658" s="133"/>
      <c r="AH658" s="133"/>
      <c r="AI658" s="133"/>
      <c r="AJ658" s="133"/>
      <c r="AK658" s="133"/>
      <c r="AL658" s="132"/>
      <c r="AM658" s="132"/>
      <c r="AN658" s="164"/>
      <c r="AO658" s="104"/>
      <c r="AP658" s="104"/>
    </row>
    <row r="659">
      <c r="A659" s="132"/>
      <c r="B659" s="132"/>
      <c r="C659" s="132"/>
      <c r="D659" s="132"/>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c r="AE659" s="133"/>
      <c r="AF659" s="133"/>
      <c r="AG659" s="133"/>
      <c r="AH659" s="133"/>
      <c r="AI659" s="133"/>
      <c r="AJ659" s="133"/>
      <c r="AK659" s="133"/>
      <c r="AL659" s="132"/>
      <c r="AM659" s="132"/>
      <c r="AN659" s="164"/>
      <c r="AO659" s="104"/>
      <c r="AP659" s="104"/>
    </row>
    <row r="660">
      <c r="A660" s="132"/>
      <c r="B660" s="132"/>
      <c r="C660" s="132"/>
      <c r="D660" s="132"/>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c r="AE660" s="133"/>
      <c r="AF660" s="133"/>
      <c r="AG660" s="133"/>
      <c r="AH660" s="133"/>
      <c r="AI660" s="133"/>
      <c r="AJ660" s="133"/>
      <c r="AK660" s="133"/>
      <c r="AL660" s="132"/>
      <c r="AM660" s="132"/>
      <c r="AN660" s="164"/>
      <c r="AO660" s="104"/>
      <c r="AP660" s="104"/>
    </row>
    <row r="661">
      <c r="A661" s="132"/>
      <c r="B661" s="132"/>
      <c r="C661" s="132"/>
      <c r="D661" s="132"/>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c r="AE661" s="133"/>
      <c r="AF661" s="133"/>
      <c r="AG661" s="133"/>
      <c r="AH661" s="133"/>
      <c r="AI661" s="133"/>
      <c r="AJ661" s="133"/>
      <c r="AK661" s="133"/>
      <c r="AL661" s="132"/>
      <c r="AM661" s="132"/>
      <c r="AN661" s="164"/>
      <c r="AO661" s="104"/>
      <c r="AP661" s="104"/>
    </row>
    <row r="662">
      <c r="A662" s="132"/>
      <c r="B662" s="132"/>
      <c r="C662" s="132"/>
      <c r="D662" s="132"/>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c r="AE662" s="133"/>
      <c r="AF662" s="133"/>
      <c r="AG662" s="133"/>
      <c r="AH662" s="133"/>
      <c r="AI662" s="133"/>
      <c r="AJ662" s="133"/>
      <c r="AK662" s="133"/>
      <c r="AL662" s="132"/>
      <c r="AM662" s="132"/>
      <c r="AN662" s="164"/>
      <c r="AO662" s="104"/>
      <c r="AP662" s="104"/>
    </row>
    <row r="663">
      <c r="A663" s="132"/>
      <c r="B663" s="132"/>
      <c r="C663" s="132"/>
      <c r="D663" s="132"/>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c r="AE663" s="133"/>
      <c r="AF663" s="133"/>
      <c r="AG663" s="133"/>
      <c r="AH663" s="133"/>
      <c r="AI663" s="133"/>
      <c r="AJ663" s="133"/>
      <c r="AK663" s="133"/>
      <c r="AL663" s="132"/>
      <c r="AM663" s="132"/>
      <c r="AN663" s="164"/>
      <c r="AO663" s="104"/>
      <c r="AP663" s="104"/>
    </row>
    <row r="664">
      <c r="A664" s="132"/>
      <c r="B664" s="132"/>
      <c r="C664" s="132"/>
      <c r="D664" s="132"/>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c r="AE664" s="133"/>
      <c r="AF664" s="133"/>
      <c r="AG664" s="133"/>
      <c r="AH664" s="133"/>
      <c r="AI664" s="133"/>
      <c r="AJ664" s="133"/>
      <c r="AK664" s="133"/>
      <c r="AL664" s="132"/>
      <c r="AM664" s="132"/>
      <c r="AN664" s="164"/>
      <c r="AO664" s="104"/>
      <c r="AP664" s="104"/>
    </row>
    <row r="665">
      <c r="A665" s="132"/>
      <c r="B665" s="132"/>
      <c r="C665" s="132"/>
      <c r="D665" s="132"/>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c r="AE665" s="133"/>
      <c r="AF665" s="133"/>
      <c r="AG665" s="133"/>
      <c r="AH665" s="133"/>
      <c r="AI665" s="133"/>
      <c r="AJ665" s="133"/>
      <c r="AK665" s="133"/>
      <c r="AL665" s="132"/>
      <c r="AM665" s="132"/>
      <c r="AN665" s="164"/>
      <c r="AO665" s="104"/>
      <c r="AP665" s="104"/>
    </row>
    <row r="666">
      <c r="A666" s="132"/>
      <c r="B666" s="132"/>
      <c r="C666" s="132"/>
      <c r="D666" s="132"/>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c r="AE666" s="133"/>
      <c r="AF666" s="133"/>
      <c r="AG666" s="133"/>
      <c r="AH666" s="133"/>
      <c r="AI666" s="133"/>
      <c r="AJ666" s="133"/>
      <c r="AK666" s="133"/>
      <c r="AL666" s="132"/>
      <c r="AM666" s="132"/>
      <c r="AN666" s="164"/>
      <c r="AO666" s="104"/>
      <c r="AP666" s="104"/>
    </row>
    <row r="667">
      <c r="A667" s="132"/>
      <c r="B667" s="132"/>
      <c r="C667" s="132"/>
      <c r="D667" s="132"/>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c r="AE667" s="133"/>
      <c r="AF667" s="133"/>
      <c r="AG667" s="133"/>
      <c r="AH667" s="133"/>
      <c r="AI667" s="133"/>
      <c r="AJ667" s="133"/>
      <c r="AK667" s="133"/>
      <c r="AL667" s="132"/>
      <c r="AM667" s="132"/>
      <c r="AN667" s="164"/>
      <c r="AO667" s="104"/>
      <c r="AP667" s="104"/>
    </row>
    <row r="668">
      <c r="A668" s="132"/>
      <c r="B668" s="132"/>
      <c r="C668" s="132"/>
      <c r="D668" s="132"/>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c r="AE668" s="133"/>
      <c r="AF668" s="133"/>
      <c r="AG668" s="133"/>
      <c r="AH668" s="133"/>
      <c r="AI668" s="133"/>
      <c r="AJ668" s="133"/>
      <c r="AK668" s="133"/>
      <c r="AL668" s="132"/>
      <c r="AM668" s="132"/>
      <c r="AN668" s="164"/>
      <c r="AO668" s="104"/>
      <c r="AP668" s="104"/>
    </row>
    <row r="669">
      <c r="A669" s="132"/>
      <c r="B669" s="132"/>
      <c r="C669" s="132"/>
      <c r="D669" s="132"/>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c r="AE669" s="133"/>
      <c r="AF669" s="133"/>
      <c r="AG669" s="133"/>
      <c r="AH669" s="133"/>
      <c r="AI669" s="133"/>
      <c r="AJ669" s="133"/>
      <c r="AK669" s="133"/>
      <c r="AL669" s="132"/>
      <c r="AM669" s="132"/>
      <c r="AN669" s="164"/>
      <c r="AO669" s="104"/>
      <c r="AP669" s="104"/>
    </row>
    <row r="670">
      <c r="A670" s="132"/>
      <c r="B670" s="132"/>
      <c r="C670" s="132"/>
      <c r="D670" s="132"/>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c r="AE670" s="133"/>
      <c r="AF670" s="133"/>
      <c r="AG670" s="133"/>
      <c r="AH670" s="133"/>
      <c r="AI670" s="133"/>
      <c r="AJ670" s="133"/>
      <c r="AK670" s="133"/>
      <c r="AL670" s="132"/>
      <c r="AM670" s="132"/>
      <c r="AN670" s="164"/>
      <c r="AO670" s="104"/>
      <c r="AP670" s="104"/>
    </row>
    <row r="671">
      <c r="A671" s="132"/>
      <c r="B671" s="132"/>
      <c r="C671" s="132"/>
      <c r="D671" s="132"/>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c r="AE671" s="133"/>
      <c r="AF671" s="133"/>
      <c r="AG671" s="133"/>
      <c r="AH671" s="133"/>
      <c r="AI671" s="133"/>
      <c r="AJ671" s="133"/>
      <c r="AK671" s="133"/>
      <c r="AL671" s="132"/>
      <c r="AM671" s="132"/>
      <c r="AN671" s="164"/>
      <c r="AO671" s="104"/>
      <c r="AP671" s="104"/>
    </row>
    <row r="672">
      <c r="A672" s="132"/>
      <c r="B672" s="132"/>
      <c r="C672" s="132"/>
      <c r="D672" s="132"/>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c r="AE672" s="133"/>
      <c r="AF672" s="133"/>
      <c r="AG672" s="133"/>
      <c r="AH672" s="133"/>
      <c r="AI672" s="133"/>
      <c r="AJ672" s="133"/>
      <c r="AK672" s="133"/>
      <c r="AL672" s="132"/>
      <c r="AM672" s="132"/>
      <c r="AN672" s="164"/>
      <c r="AO672" s="104"/>
      <c r="AP672" s="104"/>
    </row>
    <row r="673">
      <c r="A673" s="132"/>
      <c r="B673" s="132"/>
      <c r="C673" s="132"/>
      <c r="D673" s="132"/>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c r="AE673" s="133"/>
      <c r="AF673" s="133"/>
      <c r="AG673" s="133"/>
      <c r="AH673" s="133"/>
      <c r="AI673" s="133"/>
      <c r="AJ673" s="133"/>
      <c r="AK673" s="133"/>
      <c r="AL673" s="132"/>
      <c r="AM673" s="132"/>
      <c r="AN673" s="164"/>
      <c r="AO673" s="104"/>
      <c r="AP673" s="104"/>
    </row>
    <row r="674">
      <c r="A674" s="132"/>
      <c r="B674" s="132"/>
      <c r="C674" s="132"/>
      <c r="D674" s="132"/>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c r="AC674" s="133"/>
      <c r="AD674" s="133"/>
      <c r="AE674" s="133"/>
      <c r="AF674" s="133"/>
      <c r="AG674" s="133"/>
      <c r="AH674" s="133"/>
      <c r="AI674" s="133"/>
      <c r="AJ674" s="133"/>
      <c r="AK674" s="133"/>
      <c r="AL674" s="132"/>
      <c r="AM674" s="132"/>
      <c r="AN674" s="164"/>
      <c r="AO674" s="104"/>
      <c r="AP674" s="104"/>
    </row>
    <row r="675">
      <c r="A675" s="132"/>
      <c r="B675" s="132"/>
      <c r="C675" s="132"/>
      <c r="D675" s="132"/>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c r="AC675" s="133"/>
      <c r="AD675" s="133"/>
      <c r="AE675" s="133"/>
      <c r="AF675" s="133"/>
      <c r="AG675" s="133"/>
      <c r="AH675" s="133"/>
      <c r="AI675" s="133"/>
      <c r="AJ675" s="133"/>
      <c r="AK675" s="133"/>
      <c r="AL675" s="132"/>
      <c r="AM675" s="132"/>
      <c r="AN675" s="164"/>
      <c r="AO675" s="104"/>
      <c r="AP675" s="104"/>
    </row>
    <row r="676">
      <c r="A676" s="132"/>
      <c r="B676" s="132"/>
      <c r="C676" s="132"/>
      <c r="D676" s="132"/>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c r="AE676" s="133"/>
      <c r="AF676" s="133"/>
      <c r="AG676" s="133"/>
      <c r="AH676" s="133"/>
      <c r="AI676" s="133"/>
      <c r="AJ676" s="133"/>
      <c r="AK676" s="133"/>
      <c r="AL676" s="132"/>
      <c r="AM676" s="132"/>
      <c r="AN676" s="164"/>
      <c r="AO676" s="104"/>
      <c r="AP676" s="104"/>
    </row>
    <row r="677">
      <c r="A677" s="132"/>
      <c r="B677" s="132"/>
      <c r="C677" s="132"/>
      <c r="D677" s="132"/>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c r="AC677" s="133"/>
      <c r="AD677" s="133"/>
      <c r="AE677" s="133"/>
      <c r="AF677" s="133"/>
      <c r="AG677" s="133"/>
      <c r="AH677" s="133"/>
      <c r="AI677" s="133"/>
      <c r="AJ677" s="133"/>
      <c r="AK677" s="133"/>
      <c r="AL677" s="132"/>
      <c r="AM677" s="132"/>
      <c r="AN677" s="164"/>
      <c r="AO677" s="104"/>
      <c r="AP677" s="104"/>
    </row>
    <row r="678">
      <c r="A678" s="132"/>
      <c r="B678" s="132"/>
      <c r="C678" s="132"/>
      <c r="D678" s="132"/>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c r="AC678" s="133"/>
      <c r="AD678" s="133"/>
      <c r="AE678" s="133"/>
      <c r="AF678" s="133"/>
      <c r="AG678" s="133"/>
      <c r="AH678" s="133"/>
      <c r="AI678" s="133"/>
      <c r="AJ678" s="133"/>
      <c r="AK678" s="133"/>
      <c r="AL678" s="132"/>
      <c r="AM678" s="132"/>
      <c r="AN678" s="164"/>
      <c r="AO678" s="104"/>
      <c r="AP678" s="104"/>
    </row>
    <row r="679">
      <c r="A679" s="132"/>
      <c r="B679" s="132"/>
      <c r="C679" s="132"/>
      <c r="D679" s="132"/>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c r="AC679" s="133"/>
      <c r="AD679" s="133"/>
      <c r="AE679" s="133"/>
      <c r="AF679" s="133"/>
      <c r="AG679" s="133"/>
      <c r="AH679" s="133"/>
      <c r="AI679" s="133"/>
      <c r="AJ679" s="133"/>
      <c r="AK679" s="133"/>
      <c r="AL679" s="132"/>
      <c r="AM679" s="132"/>
      <c r="AN679" s="164"/>
      <c r="AO679" s="104"/>
      <c r="AP679" s="104"/>
    </row>
    <row r="680">
      <c r="A680" s="132"/>
      <c r="B680" s="132"/>
      <c r="C680" s="132"/>
      <c r="D680" s="132"/>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c r="AC680" s="133"/>
      <c r="AD680" s="133"/>
      <c r="AE680" s="133"/>
      <c r="AF680" s="133"/>
      <c r="AG680" s="133"/>
      <c r="AH680" s="133"/>
      <c r="AI680" s="133"/>
      <c r="AJ680" s="133"/>
      <c r="AK680" s="133"/>
      <c r="AL680" s="132"/>
      <c r="AM680" s="132"/>
      <c r="AN680" s="164"/>
      <c r="AO680" s="104"/>
      <c r="AP680" s="104"/>
    </row>
    <row r="681">
      <c r="A681" s="132"/>
      <c r="B681" s="132"/>
      <c r="C681" s="132"/>
      <c r="D681" s="132"/>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c r="AE681" s="133"/>
      <c r="AF681" s="133"/>
      <c r="AG681" s="133"/>
      <c r="AH681" s="133"/>
      <c r="AI681" s="133"/>
      <c r="AJ681" s="133"/>
      <c r="AK681" s="133"/>
      <c r="AL681" s="132"/>
      <c r="AM681" s="132"/>
      <c r="AN681" s="164"/>
      <c r="AO681" s="104"/>
      <c r="AP681" s="104"/>
    </row>
    <row r="682">
      <c r="A682" s="132"/>
      <c r="B682" s="132"/>
      <c r="C682" s="132"/>
      <c r="D682" s="132"/>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c r="AC682" s="133"/>
      <c r="AD682" s="133"/>
      <c r="AE682" s="133"/>
      <c r="AF682" s="133"/>
      <c r="AG682" s="133"/>
      <c r="AH682" s="133"/>
      <c r="AI682" s="133"/>
      <c r="AJ682" s="133"/>
      <c r="AK682" s="133"/>
      <c r="AL682" s="132"/>
      <c r="AM682" s="132"/>
      <c r="AN682" s="164"/>
      <c r="AO682" s="104"/>
      <c r="AP682" s="104"/>
    </row>
    <row r="683">
      <c r="A683" s="132"/>
      <c r="B683" s="132"/>
      <c r="C683" s="132"/>
      <c r="D683" s="132"/>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c r="AC683" s="133"/>
      <c r="AD683" s="133"/>
      <c r="AE683" s="133"/>
      <c r="AF683" s="133"/>
      <c r="AG683" s="133"/>
      <c r="AH683" s="133"/>
      <c r="AI683" s="133"/>
      <c r="AJ683" s="133"/>
      <c r="AK683" s="133"/>
      <c r="AL683" s="132"/>
      <c r="AM683" s="132"/>
      <c r="AN683" s="164"/>
      <c r="AO683" s="104"/>
      <c r="AP683" s="104"/>
    </row>
    <row r="684">
      <c r="A684" s="132"/>
      <c r="B684" s="132"/>
      <c r="C684" s="132"/>
      <c r="D684" s="132"/>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c r="AC684" s="133"/>
      <c r="AD684" s="133"/>
      <c r="AE684" s="133"/>
      <c r="AF684" s="133"/>
      <c r="AG684" s="133"/>
      <c r="AH684" s="133"/>
      <c r="AI684" s="133"/>
      <c r="AJ684" s="133"/>
      <c r="AK684" s="133"/>
      <c r="AL684" s="132"/>
      <c r="AM684" s="132"/>
      <c r="AN684" s="164"/>
      <c r="AO684" s="104"/>
      <c r="AP684" s="104"/>
    </row>
    <row r="685">
      <c r="A685" s="132"/>
      <c r="B685" s="132"/>
      <c r="C685" s="132"/>
      <c r="D685" s="132"/>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c r="AC685" s="133"/>
      <c r="AD685" s="133"/>
      <c r="AE685" s="133"/>
      <c r="AF685" s="133"/>
      <c r="AG685" s="133"/>
      <c r="AH685" s="133"/>
      <c r="AI685" s="133"/>
      <c r="AJ685" s="133"/>
      <c r="AK685" s="133"/>
      <c r="AL685" s="132"/>
      <c r="AM685" s="132"/>
      <c r="AN685" s="164"/>
      <c r="AO685" s="104"/>
      <c r="AP685" s="104"/>
    </row>
    <row r="686">
      <c r="A686" s="132"/>
      <c r="B686" s="132"/>
      <c r="C686" s="132"/>
      <c r="D686" s="132"/>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c r="AC686" s="133"/>
      <c r="AD686" s="133"/>
      <c r="AE686" s="133"/>
      <c r="AF686" s="133"/>
      <c r="AG686" s="133"/>
      <c r="AH686" s="133"/>
      <c r="AI686" s="133"/>
      <c r="AJ686" s="133"/>
      <c r="AK686" s="133"/>
      <c r="AL686" s="132"/>
      <c r="AM686" s="132"/>
      <c r="AN686" s="164"/>
      <c r="AO686" s="104"/>
      <c r="AP686" s="104"/>
    </row>
    <row r="687">
      <c r="A687" s="132"/>
      <c r="B687" s="132"/>
      <c r="C687" s="132"/>
      <c r="D687" s="132"/>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c r="AC687" s="133"/>
      <c r="AD687" s="133"/>
      <c r="AE687" s="133"/>
      <c r="AF687" s="133"/>
      <c r="AG687" s="133"/>
      <c r="AH687" s="133"/>
      <c r="AI687" s="133"/>
      <c r="AJ687" s="133"/>
      <c r="AK687" s="133"/>
      <c r="AL687" s="132"/>
      <c r="AM687" s="132"/>
      <c r="AN687" s="164"/>
      <c r="AO687" s="104"/>
      <c r="AP687" s="104"/>
    </row>
    <row r="688">
      <c r="A688" s="132"/>
      <c r="B688" s="132"/>
      <c r="C688" s="132"/>
      <c r="D688" s="132"/>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c r="AC688" s="133"/>
      <c r="AD688" s="133"/>
      <c r="AE688" s="133"/>
      <c r="AF688" s="133"/>
      <c r="AG688" s="133"/>
      <c r="AH688" s="133"/>
      <c r="AI688" s="133"/>
      <c r="AJ688" s="133"/>
      <c r="AK688" s="133"/>
      <c r="AL688" s="132"/>
      <c r="AM688" s="132"/>
      <c r="AN688" s="164"/>
      <c r="AO688" s="104"/>
      <c r="AP688" s="104"/>
    </row>
    <row r="689">
      <c r="A689" s="132"/>
      <c r="B689" s="132"/>
      <c r="C689" s="132"/>
      <c r="D689" s="132"/>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c r="AC689" s="133"/>
      <c r="AD689" s="133"/>
      <c r="AE689" s="133"/>
      <c r="AF689" s="133"/>
      <c r="AG689" s="133"/>
      <c r="AH689" s="133"/>
      <c r="AI689" s="133"/>
      <c r="AJ689" s="133"/>
      <c r="AK689" s="133"/>
      <c r="AL689" s="132"/>
      <c r="AM689" s="132"/>
      <c r="AN689" s="164"/>
      <c r="AO689" s="104"/>
      <c r="AP689" s="104"/>
    </row>
    <row r="690">
      <c r="A690" s="132"/>
      <c r="B690" s="132"/>
      <c r="C690" s="132"/>
      <c r="D690" s="132"/>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c r="AE690" s="133"/>
      <c r="AF690" s="133"/>
      <c r="AG690" s="133"/>
      <c r="AH690" s="133"/>
      <c r="AI690" s="133"/>
      <c r="AJ690" s="133"/>
      <c r="AK690" s="133"/>
      <c r="AL690" s="132"/>
      <c r="AM690" s="132"/>
      <c r="AN690" s="164"/>
      <c r="AO690" s="104"/>
      <c r="AP690" s="104"/>
    </row>
    <row r="691">
      <c r="A691" s="132"/>
      <c r="B691" s="132"/>
      <c r="C691" s="132"/>
      <c r="D691" s="132"/>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c r="AC691" s="133"/>
      <c r="AD691" s="133"/>
      <c r="AE691" s="133"/>
      <c r="AF691" s="133"/>
      <c r="AG691" s="133"/>
      <c r="AH691" s="133"/>
      <c r="AI691" s="133"/>
      <c r="AJ691" s="133"/>
      <c r="AK691" s="133"/>
      <c r="AL691" s="132"/>
      <c r="AM691" s="132"/>
      <c r="AN691" s="164"/>
      <c r="AO691" s="104"/>
      <c r="AP691" s="104"/>
    </row>
    <row r="692">
      <c r="A692" s="132"/>
      <c r="B692" s="132"/>
      <c r="C692" s="132"/>
      <c r="D692" s="132"/>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c r="AE692" s="133"/>
      <c r="AF692" s="133"/>
      <c r="AG692" s="133"/>
      <c r="AH692" s="133"/>
      <c r="AI692" s="133"/>
      <c r="AJ692" s="133"/>
      <c r="AK692" s="133"/>
      <c r="AL692" s="132"/>
      <c r="AM692" s="132"/>
      <c r="AN692" s="164"/>
      <c r="AO692" s="104"/>
      <c r="AP692" s="104"/>
    </row>
    <row r="693">
      <c r="A693" s="132"/>
      <c r="B693" s="132"/>
      <c r="C693" s="132"/>
      <c r="D693" s="132"/>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c r="AE693" s="133"/>
      <c r="AF693" s="133"/>
      <c r="AG693" s="133"/>
      <c r="AH693" s="133"/>
      <c r="AI693" s="133"/>
      <c r="AJ693" s="133"/>
      <c r="AK693" s="133"/>
      <c r="AL693" s="132"/>
      <c r="AM693" s="132"/>
      <c r="AN693" s="164"/>
      <c r="AO693" s="104"/>
      <c r="AP693" s="104"/>
    </row>
    <row r="694">
      <c r="A694" s="132"/>
      <c r="B694" s="132"/>
      <c r="C694" s="132"/>
      <c r="D694" s="132"/>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c r="AE694" s="133"/>
      <c r="AF694" s="133"/>
      <c r="AG694" s="133"/>
      <c r="AH694" s="133"/>
      <c r="AI694" s="133"/>
      <c r="AJ694" s="133"/>
      <c r="AK694" s="133"/>
      <c r="AL694" s="132"/>
      <c r="AM694" s="132"/>
      <c r="AN694" s="164"/>
      <c r="AO694" s="104"/>
      <c r="AP694" s="104"/>
    </row>
    <row r="695">
      <c r="A695" s="132"/>
      <c r="B695" s="132"/>
      <c r="C695" s="132"/>
      <c r="D695" s="132"/>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c r="AE695" s="133"/>
      <c r="AF695" s="133"/>
      <c r="AG695" s="133"/>
      <c r="AH695" s="133"/>
      <c r="AI695" s="133"/>
      <c r="AJ695" s="133"/>
      <c r="AK695" s="133"/>
      <c r="AL695" s="132"/>
      <c r="AM695" s="132"/>
      <c r="AN695" s="164"/>
      <c r="AO695" s="104"/>
      <c r="AP695" s="104"/>
    </row>
    <row r="696">
      <c r="A696" s="132"/>
      <c r="B696" s="132"/>
      <c r="C696" s="132"/>
      <c r="D696" s="132"/>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c r="AE696" s="133"/>
      <c r="AF696" s="133"/>
      <c r="AG696" s="133"/>
      <c r="AH696" s="133"/>
      <c r="AI696" s="133"/>
      <c r="AJ696" s="133"/>
      <c r="AK696" s="133"/>
      <c r="AL696" s="132"/>
      <c r="AM696" s="132"/>
      <c r="AN696" s="164"/>
      <c r="AO696" s="104"/>
      <c r="AP696" s="104"/>
    </row>
    <row r="697">
      <c r="A697" s="132"/>
      <c r="B697" s="132"/>
      <c r="C697" s="132"/>
      <c r="D697" s="132"/>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c r="AE697" s="133"/>
      <c r="AF697" s="133"/>
      <c r="AG697" s="133"/>
      <c r="AH697" s="133"/>
      <c r="AI697" s="133"/>
      <c r="AJ697" s="133"/>
      <c r="AK697" s="133"/>
      <c r="AL697" s="132"/>
      <c r="AM697" s="132"/>
      <c r="AN697" s="164"/>
      <c r="AO697" s="104"/>
      <c r="AP697" s="104"/>
    </row>
    <row r="698">
      <c r="A698" s="132"/>
      <c r="B698" s="132"/>
      <c r="C698" s="132"/>
      <c r="D698" s="132"/>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c r="AE698" s="133"/>
      <c r="AF698" s="133"/>
      <c r="AG698" s="133"/>
      <c r="AH698" s="133"/>
      <c r="AI698" s="133"/>
      <c r="AJ698" s="133"/>
      <c r="AK698" s="133"/>
      <c r="AL698" s="132"/>
      <c r="AM698" s="132"/>
      <c r="AN698" s="164"/>
      <c r="AO698" s="104"/>
      <c r="AP698" s="104"/>
    </row>
    <row r="699">
      <c r="A699" s="132"/>
      <c r="B699" s="132"/>
      <c r="C699" s="132"/>
      <c r="D699" s="132"/>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c r="AE699" s="133"/>
      <c r="AF699" s="133"/>
      <c r="AG699" s="133"/>
      <c r="AH699" s="133"/>
      <c r="AI699" s="133"/>
      <c r="AJ699" s="133"/>
      <c r="AK699" s="133"/>
      <c r="AL699" s="132"/>
      <c r="AM699" s="132"/>
      <c r="AN699" s="164"/>
      <c r="AO699" s="104"/>
      <c r="AP699" s="104"/>
    </row>
    <row r="700">
      <c r="A700" s="132"/>
      <c r="B700" s="132"/>
      <c r="C700" s="132"/>
      <c r="D700" s="132"/>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c r="AE700" s="133"/>
      <c r="AF700" s="133"/>
      <c r="AG700" s="133"/>
      <c r="AH700" s="133"/>
      <c r="AI700" s="133"/>
      <c r="AJ700" s="133"/>
      <c r="AK700" s="133"/>
      <c r="AL700" s="132"/>
      <c r="AM700" s="132"/>
      <c r="AN700" s="164"/>
      <c r="AO700" s="104"/>
      <c r="AP700" s="104"/>
    </row>
    <row r="701">
      <c r="A701" s="132"/>
      <c r="B701" s="132"/>
      <c r="C701" s="132"/>
      <c r="D701" s="132"/>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c r="AE701" s="133"/>
      <c r="AF701" s="133"/>
      <c r="AG701" s="133"/>
      <c r="AH701" s="133"/>
      <c r="AI701" s="133"/>
      <c r="AJ701" s="133"/>
      <c r="AK701" s="133"/>
      <c r="AL701" s="132"/>
      <c r="AM701" s="132"/>
      <c r="AN701" s="164"/>
      <c r="AO701" s="104"/>
      <c r="AP701" s="104"/>
    </row>
    <row r="702">
      <c r="A702" s="132"/>
      <c r="B702" s="132"/>
      <c r="C702" s="132"/>
      <c r="D702" s="132"/>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c r="AE702" s="133"/>
      <c r="AF702" s="133"/>
      <c r="AG702" s="133"/>
      <c r="AH702" s="133"/>
      <c r="AI702" s="133"/>
      <c r="AJ702" s="133"/>
      <c r="AK702" s="133"/>
      <c r="AL702" s="132"/>
      <c r="AM702" s="132"/>
      <c r="AN702" s="164"/>
      <c r="AO702" s="104"/>
      <c r="AP702" s="104"/>
    </row>
    <row r="703">
      <c r="A703" s="132"/>
      <c r="B703" s="132"/>
      <c r="C703" s="132"/>
      <c r="D703" s="132"/>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c r="AE703" s="133"/>
      <c r="AF703" s="133"/>
      <c r="AG703" s="133"/>
      <c r="AH703" s="133"/>
      <c r="AI703" s="133"/>
      <c r="AJ703" s="133"/>
      <c r="AK703" s="133"/>
      <c r="AL703" s="132"/>
      <c r="AM703" s="132"/>
      <c r="AN703" s="164"/>
      <c r="AO703" s="104"/>
      <c r="AP703" s="104"/>
    </row>
    <row r="704">
      <c r="A704" s="132"/>
      <c r="B704" s="132"/>
      <c r="C704" s="132"/>
      <c r="D704" s="132"/>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c r="AE704" s="133"/>
      <c r="AF704" s="133"/>
      <c r="AG704" s="133"/>
      <c r="AH704" s="133"/>
      <c r="AI704" s="133"/>
      <c r="AJ704" s="133"/>
      <c r="AK704" s="133"/>
      <c r="AL704" s="132"/>
      <c r="AM704" s="132"/>
      <c r="AN704" s="164"/>
      <c r="AO704" s="104"/>
      <c r="AP704" s="104"/>
    </row>
    <row r="705">
      <c r="A705" s="132"/>
      <c r="B705" s="132"/>
      <c r="C705" s="132"/>
      <c r="D705" s="132"/>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c r="AE705" s="133"/>
      <c r="AF705" s="133"/>
      <c r="AG705" s="133"/>
      <c r="AH705" s="133"/>
      <c r="AI705" s="133"/>
      <c r="AJ705" s="133"/>
      <c r="AK705" s="133"/>
      <c r="AL705" s="132"/>
      <c r="AM705" s="132"/>
      <c r="AN705" s="164"/>
      <c r="AO705" s="104"/>
      <c r="AP705" s="104"/>
    </row>
    <row r="706">
      <c r="A706" s="132"/>
      <c r="B706" s="132"/>
      <c r="C706" s="132"/>
      <c r="D706" s="132"/>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c r="AC706" s="133"/>
      <c r="AD706" s="133"/>
      <c r="AE706" s="133"/>
      <c r="AF706" s="133"/>
      <c r="AG706" s="133"/>
      <c r="AH706" s="133"/>
      <c r="AI706" s="133"/>
      <c r="AJ706" s="133"/>
      <c r="AK706" s="133"/>
      <c r="AL706" s="132"/>
      <c r="AM706" s="132"/>
      <c r="AN706" s="164"/>
      <c r="AO706" s="104"/>
      <c r="AP706" s="104"/>
    </row>
    <row r="707">
      <c r="A707" s="132"/>
      <c r="B707" s="132"/>
      <c r="C707" s="132"/>
      <c r="D707" s="132"/>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c r="AE707" s="133"/>
      <c r="AF707" s="133"/>
      <c r="AG707" s="133"/>
      <c r="AH707" s="133"/>
      <c r="AI707" s="133"/>
      <c r="AJ707" s="133"/>
      <c r="AK707" s="133"/>
      <c r="AL707" s="132"/>
      <c r="AM707" s="132"/>
      <c r="AN707" s="164"/>
      <c r="AO707" s="104"/>
      <c r="AP707" s="104"/>
    </row>
    <row r="708">
      <c r="A708" s="132"/>
      <c r="B708" s="132"/>
      <c r="C708" s="132"/>
      <c r="D708" s="132"/>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c r="AC708" s="133"/>
      <c r="AD708" s="133"/>
      <c r="AE708" s="133"/>
      <c r="AF708" s="133"/>
      <c r="AG708" s="133"/>
      <c r="AH708" s="133"/>
      <c r="AI708" s="133"/>
      <c r="AJ708" s="133"/>
      <c r="AK708" s="133"/>
      <c r="AL708" s="132"/>
      <c r="AM708" s="132"/>
      <c r="AN708" s="164"/>
      <c r="AO708" s="104"/>
      <c r="AP708" s="104"/>
    </row>
    <row r="709">
      <c r="A709" s="132"/>
      <c r="B709" s="132"/>
      <c r="C709" s="132"/>
      <c r="D709" s="132"/>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c r="AC709" s="133"/>
      <c r="AD709" s="133"/>
      <c r="AE709" s="133"/>
      <c r="AF709" s="133"/>
      <c r="AG709" s="133"/>
      <c r="AH709" s="133"/>
      <c r="AI709" s="133"/>
      <c r="AJ709" s="133"/>
      <c r="AK709" s="133"/>
      <c r="AL709" s="132"/>
      <c r="AM709" s="132"/>
      <c r="AN709" s="164"/>
      <c r="AO709" s="104"/>
      <c r="AP709" s="104"/>
    </row>
    <row r="710">
      <c r="A710" s="132"/>
      <c r="B710" s="132"/>
      <c r="C710" s="132"/>
      <c r="D710" s="132"/>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c r="AC710" s="133"/>
      <c r="AD710" s="133"/>
      <c r="AE710" s="133"/>
      <c r="AF710" s="133"/>
      <c r="AG710" s="133"/>
      <c r="AH710" s="133"/>
      <c r="AI710" s="133"/>
      <c r="AJ710" s="133"/>
      <c r="AK710" s="133"/>
      <c r="AL710" s="132"/>
      <c r="AM710" s="132"/>
      <c r="AN710" s="164"/>
      <c r="AO710" s="104"/>
      <c r="AP710" s="104"/>
    </row>
    <row r="711">
      <c r="A711" s="132"/>
      <c r="B711" s="132"/>
      <c r="C711" s="132"/>
      <c r="D711" s="132"/>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c r="AC711" s="133"/>
      <c r="AD711" s="133"/>
      <c r="AE711" s="133"/>
      <c r="AF711" s="133"/>
      <c r="AG711" s="133"/>
      <c r="AH711" s="133"/>
      <c r="AI711" s="133"/>
      <c r="AJ711" s="133"/>
      <c r="AK711" s="133"/>
      <c r="AL711" s="132"/>
      <c r="AM711" s="132"/>
      <c r="AN711" s="164"/>
      <c r="AO711" s="104"/>
      <c r="AP711" s="104"/>
    </row>
    <row r="712">
      <c r="A712" s="132"/>
      <c r="B712" s="132"/>
      <c r="C712" s="132"/>
      <c r="D712" s="132"/>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c r="AE712" s="133"/>
      <c r="AF712" s="133"/>
      <c r="AG712" s="133"/>
      <c r="AH712" s="133"/>
      <c r="AI712" s="133"/>
      <c r="AJ712" s="133"/>
      <c r="AK712" s="133"/>
      <c r="AL712" s="132"/>
      <c r="AM712" s="132"/>
      <c r="AN712" s="164"/>
      <c r="AO712" s="104"/>
      <c r="AP712" s="104"/>
    </row>
    <row r="713">
      <c r="A713" s="132"/>
      <c r="B713" s="132"/>
      <c r="C713" s="132"/>
      <c r="D713" s="132"/>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c r="AC713" s="133"/>
      <c r="AD713" s="133"/>
      <c r="AE713" s="133"/>
      <c r="AF713" s="133"/>
      <c r="AG713" s="133"/>
      <c r="AH713" s="133"/>
      <c r="AI713" s="133"/>
      <c r="AJ713" s="133"/>
      <c r="AK713" s="133"/>
      <c r="AL713" s="132"/>
      <c r="AM713" s="132"/>
      <c r="AN713" s="164"/>
      <c r="AO713" s="104"/>
      <c r="AP713" s="104"/>
    </row>
    <row r="714">
      <c r="A714" s="132"/>
      <c r="B714" s="132"/>
      <c r="C714" s="132"/>
      <c r="D714" s="132"/>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c r="AC714" s="133"/>
      <c r="AD714" s="133"/>
      <c r="AE714" s="133"/>
      <c r="AF714" s="133"/>
      <c r="AG714" s="133"/>
      <c r="AH714" s="133"/>
      <c r="AI714" s="133"/>
      <c r="AJ714" s="133"/>
      <c r="AK714" s="133"/>
      <c r="AL714" s="132"/>
      <c r="AM714" s="132"/>
      <c r="AN714" s="164"/>
      <c r="AO714" s="104"/>
      <c r="AP714" s="104"/>
    </row>
    <row r="715">
      <c r="A715" s="132"/>
      <c r="B715" s="132"/>
      <c r="C715" s="132"/>
      <c r="D715" s="132"/>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c r="AC715" s="133"/>
      <c r="AD715" s="133"/>
      <c r="AE715" s="133"/>
      <c r="AF715" s="133"/>
      <c r="AG715" s="133"/>
      <c r="AH715" s="133"/>
      <c r="AI715" s="133"/>
      <c r="AJ715" s="133"/>
      <c r="AK715" s="133"/>
      <c r="AL715" s="132"/>
      <c r="AM715" s="132"/>
      <c r="AN715" s="164"/>
      <c r="AO715" s="104"/>
      <c r="AP715" s="104"/>
    </row>
    <row r="716">
      <c r="A716" s="132"/>
      <c r="B716" s="132"/>
      <c r="C716" s="132"/>
      <c r="D716" s="132"/>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c r="AE716" s="133"/>
      <c r="AF716" s="133"/>
      <c r="AG716" s="133"/>
      <c r="AH716" s="133"/>
      <c r="AI716" s="133"/>
      <c r="AJ716" s="133"/>
      <c r="AK716" s="133"/>
      <c r="AL716" s="132"/>
      <c r="AM716" s="132"/>
      <c r="AN716" s="164"/>
      <c r="AO716" s="104"/>
      <c r="AP716" s="104"/>
    </row>
    <row r="717">
      <c r="A717" s="132"/>
      <c r="B717" s="132"/>
      <c r="C717" s="132"/>
      <c r="D717" s="132"/>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c r="AC717" s="133"/>
      <c r="AD717" s="133"/>
      <c r="AE717" s="133"/>
      <c r="AF717" s="133"/>
      <c r="AG717" s="133"/>
      <c r="AH717" s="133"/>
      <c r="AI717" s="133"/>
      <c r="AJ717" s="133"/>
      <c r="AK717" s="133"/>
      <c r="AL717" s="132"/>
      <c r="AM717" s="132"/>
      <c r="AN717" s="164"/>
      <c r="AO717" s="104"/>
      <c r="AP717" s="104"/>
    </row>
    <row r="718">
      <c r="A718" s="132"/>
      <c r="B718" s="132"/>
      <c r="C718" s="132"/>
      <c r="D718" s="132"/>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c r="AC718" s="133"/>
      <c r="AD718" s="133"/>
      <c r="AE718" s="133"/>
      <c r="AF718" s="133"/>
      <c r="AG718" s="133"/>
      <c r="AH718" s="133"/>
      <c r="AI718" s="133"/>
      <c r="AJ718" s="133"/>
      <c r="AK718" s="133"/>
      <c r="AL718" s="132"/>
      <c r="AM718" s="132"/>
      <c r="AN718" s="164"/>
      <c r="AO718" s="104"/>
      <c r="AP718" s="104"/>
    </row>
    <row r="719">
      <c r="A719" s="132"/>
      <c r="B719" s="132"/>
      <c r="C719" s="132"/>
      <c r="D719" s="132"/>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c r="AC719" s="133"/>
      <c r="AD719" s="133"/>
      <c r="AE719" s="133"/>
      <c r="AF719" s="133"/>
      <c r="AG719" s="133"/>
      <c r="AH719" s="133"/>
      <c r="AI719" s="133"/>
      <c r="AJ719" s="133"/>
      <c r="AK719" s="133"/>
      <c r="AL719" s="132"/>
      <c r="AM719" s="132"/>
      <c r="AN719" s="164"/>
      <c r="AO719" s="104"/>
      <c r="AP719" s="104"/>
    </row>
    <row r="720">
      <c r="A720" s="132"/>
      <c r="B720" s="132"/>
      <c r="C720" s="132"/>
      <c r="D720" s="132"/>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c r="AC720" s="133"/>
      <c r="AD720" s="133"/>
      <c r="AE720" s="133"/>
      <c r="AF720" s="133"/>
      <c r="AG720" s="133"/>
      <c r="AH720" s="133"/>
      <c r="AI720" s="133"/>
      <c r="AJ720" s="133"/>
      <c r="AK720" s="133"/>
      <c r="AL720" s="132"/>
      <c r="AM720" s="132"/>
      <c r="AN720" s="164"/>
      <c r="AO720" s="104"/>
      <c r="AP720" s="104"/>
    </row>
    <row r="721">
      <c r="A721" s="132"/>
      <c r="B721" s="132"/>
      <c r="C721" s="132"/>
      <c r="D721" s="132"/>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c r="AC721" s="133"/>
      <c r="AD721" s="133"/>
      <c r="AE721" s="133"/>
      <c r="AF721" s="133"/>
      <c r="AG721" s="133"/>
      <c r="AH721" s="133"/>
      <c r="AI721" s="133"/>
      <c r="AJ721" s="133"/>
      <c r="AK721" s="133"/>
      <c r="AL721" s="132"/>
      <c r="AM721" s="132"/>
      <c r="AN721" s="164"/>
      <c r="AO721" s="104"/>
      <c r="AP721" s="104"/>
    </row>
    <row r="722">
      <c r="A722" s="132"/>
      <c r="B722" s="132"/>
      <c r="C722" s="132"/>
      <c r="D722" s="132"/>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c r="AC722" s="133"/>
      <c r="AD722" s="133"/>
      <c r="AE722" s="133"/>
      <c r="AF722" s="133"/>
      <c r="AG722" s="133"/>
      <c r="AH722" s="133"/>
      <c r="AI722" s="133"/>
      <c r="AJ722" s="133"/>
      <c r="AK722" s="133"/>
      <c r="AL722" s="132"/>
      <c r="AM722" s="132"/>
      <c r="AN722" s="164"/>
      <c r="AO722" s="104"/>
      <c r="AP722" s="104"/>
    </row>
    <row r="723">
      <c r="A723" s="132"/>
      <c r="B723" s="132"/>
      <c r="C723" s="132"/>
      <c r="D723" s="132"/>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c r="AC723" s="133"/>
      <c r="AD723" s="133"/>
      <c r="AE723" s="133"/>
      <c r="AF723" s="133"/>
      <c r="AG723" s="133"/>
      <c r="AH723" s="133"/>
      <c r="AI723" s="133"/>
      <c r="AJ723" s="133"/>
      <c r="AK723" s="133"/>
      <c r="AL723" s="132"/>
      <c r="AM723" s="132"/>
      <c r="AN723" s="164"/>
      <c r="AO723" s="104"/>
      <c r="AP723" s="104"/>
    </row>
    <row r="724">
      <c r="A724" s="132"/>
      <c r="B724" s="132"/>
      <c r="C724" s="132"/>
      <c r="D724" s="132"/>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c r="AC724" s="133"/>
      <c r="AD724" s="133"/>
      <c r="AE724" s="133"/>
      <c r="AF724" s="133"/>
      <c r="AG724" s="133"/>
      <c r="AH724" s="133"/>
      <c r="AI724" s="133"/>
      <c r="AJ724" s="133"/>
      <c r="AK724" s="133"/>
      <c r="AL724" s="132"/>
      <c r="AM724" s="132"/>
      <c r="AN724" s="164"/>
      <c r="AO724" s="104"/>
      <c r="AP724" s="104"/>
    </row>
    <row r="725">
      <c r="A725" s="132"/>
      <c r="B725" s="132"/>
      <c r="C725" s="132"/>
      <c r="D725" s="132"/>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c r="AC725" s="133"/>
      <c r="AD725" s="133"/>
      <c r="AE725" s="133"/>
      <c r="AF725" s="133"/>
      <c r="AG725" s="133"/>
      <c r="AH725" s="133"/>
      <c r="AI725" s="133"/>
      <c r="AJ725" s="133"/>
      <c r="AK725" s="133"/>
      <c r="AL725" s="132"/>
      <c r="AM725" s="132"/>
      <c r="AN725" s="164"/>
      <c r="AO725" s="104"/>
      <c r="AP725" s="104"/>
    </row>
    <row r="726">
      <c r="A726" s="132"/>
      <c r="B726" s="132"/>
      <c r="C726" s="132"/>
      <c r="D726" s="132"/>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c r="AC726" s="133"/>
      <c r="AD726" s="133"/>
      <c r="AE726" s="133"/>
      <c r="AF726" s="133"/>
      <c r="AG726" s="133"/>
      <c r="AH726" s="133"/>
      <c r="AI726" s="133"/>
      <c r="AJ726" s="133"/>
      <c r="AK726" s="133"/>
      <c r="AL726" s="132"/>
      <c r="AM726" s="132"/>
      <c r="AN726" s="164"/>
      <c r="AO726" s="104"/>
      <c r="AP726" s="104"/>
    </row>
    <row r="727">
      <c r="A727" s="132"/>
      <c r="B727" s="132"/>
      <c r="C727" s="132"/>
      <c r="D727" s="132"/>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c r="AC727" s="133"/>
      <c r="AD727" s="133"/>
      <c r="AE727" s="133"/>
      <c r="AF727" s="133"/>
      <c r="AG727" s="133"/>
      <c r="AH727" s="133"/>
      <c r="AI727" s="133"/>
      <c r="AJ727" s="133"/>
      <c r="AK727" s="133"/>
      <c r="AL727" s="132"/>
      <c r="AM727" s="132"/>
      <c r="AN727" s="164"/>
      <c r="AO727" s="104"/>
      <c r="AP727" s="104"/>
    </row>
    <row r="728">
      <c r="A728" s="132"/>
      <c r="B728" s="132"/>
      <c r="C728" s="132"/>
      <c r="D728" s="132"/>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c r="AC728" s="133"/>
      <c r="AD728" s="133"/>
      <c r="AE728" s="133"/>
      <c r="AF728" s="133"/>
      <c r="AG728" s="133"/>
      <c r="AH728" s="133"/>
      <c r="AI728" s="133"/>
      <c r="AJ728" s="133"/>
      <c r="AK728" s="133"/>
      <c r="AL728" s="132"/>
      <c r="AM728" s="132"/>
      <c r="AN728" s="164"/>
      <c r="AO728" s="104"/>
      <c r="AP728" s="104"/>
    </row>
    <row r="729">
      <c r="A729" s="132"/>
      <c r="B729" s="132"/>
      <c r="C729" s="132"/>
      <c r="D729" s="132"/>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c r="AC729" s="133"/>
      <c r="AD729" s="133"/>
      <c r="AE729" s="133"/>
      <c r="AF729" s="133"/>
      <c r="AG729" s="133"/>
      <c r="AH729" s="133"/>
      <c r="AI729" s="133"/>
      <c r="AJ729" s="133"/>
      <c r="AK729" s="133"/>
      <c r="AL729" s="132"/>
      <c r="AM729" s="132"/>
      <c r="AN729" s="164"/>
      <c r="AO729" s="104"/>
      <c r="AP729" s="104"/>
    </row>
    <row r="730">
      <c r="A730" s="132"/>
      <c r="B730" s="132"/>
      <c r="C730" s="132"/>
      <c r="D730" s="132"/>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c r="AC730" s="133"/>
      <c r="AD730" s="133"/>
      <c r="AE730" s="133"/>
      <c r="AF730" s="133"/>
      <c r="AG730" s="133"/>
      <c r="AH730" s="133"/>
      <c r="AI730" s="133"/>
      <c r="AJ730" s="133"/>
      <c r="AK730" s="133"/>
      <c r="AL730" s="132"/>
      <c r="AM730" s="132"/>
      <c r="AN730" s="164"/>
      <c r="AO730" s="104"/>
      <c r="AP730" s="104"/>
    </row>
    <row r="731">
      <c r="A731" s="132"/>
      <c r="B731" s="132"/>
      <c r="C731" s="132"/>
      <c r="D731" s="132"/>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c r="AC731" s="133"/>
      <c r="AD731" s="133"/>
      <c r="AE731" s="133"/>
      <c r="AF731" s="133"/>
      <c r="AG731" s="133"/>
      <c r="AH731" s="133"/>
      <c r="AI731" s="133"/>
      <c r="AJ731" s="133"/>
      <c r="AK731" s="133"/>
      <c r="AL731" s="132"/>
      <c r="AM731" s="132"/>
      <c r="AN731" s="164"/>
      <c r="AO731" s="104"/>
      <c r="AP731" s="104"/>
    </row>
    <row r="732">
      <c r="A732" s="132"/>
      <c r="B732" s="132"/>
      <c r="C732" s="132"/>
      <c r="D732" s="132"/>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c r="AC732" s="133"/>
      <c r="AD732" s="133"/>
      <c r="AE732" s="133"/>
      <c r="AF732" s="133"/>
      <c r="AG732" s="133"/>
      <c r="AH732" s="133"/>
      <c r="AI732" s="133"/>
      <c r="AJ732" s="133"/>
      <c r="AK732" s="133"/>
      <c r="AL732" s="132"/>
      <c r="AM732" s="132"/>
      <c r="AN732" s="164"/>
      <c r="AO732" s="104"/>
      <c r="AP732" s="104"/>
    </row>
    <row r="733">
      <c r="A733" s="132"/>
      <c r="B733" s="132"/>
      <c r="C733" s="132"/>
      <c r="D733" s="132"/>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c r="AC733" s="133"/>
      <c r="AD733" s="133"/>
      <c r="AE733" s="133"/>
      <c r="AF733" s="133"/>
      <c r="AG733" s="133"/>
      <c r="AH733" s="133"/>
      <c r="AI733" s="133"/>
      <c r="AJ733" s="133"/>
      <c r="AK733" s="133"/>
      <c r="AL733" s="132"/>
      <c r="AM733" s="132"/>
      <c r="AN733" s="164"/>
      <c r="AO733" s="104"/>
      <c r="AP733" s="104"/>
    </row>
    <row r="734">
      <c r="A734" s="132"/>
      <c r="B734" s="132"/>
      <c r="C734" s="132"/>
      <c r="D734" s="132"/>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c r="AC734" s="133"/>
      <c r="AD734" s="133"/>
      <c r="AE734" s="133"/>
      <c r="AF734" s="133"/>
      <c r="AG734" s="133"/>
      <c r="AH734" s="133"/>
      <c r="AI734" s="133"/>
      <c r="AJ734" s="133"/>
      <c r="AK734" s="133"/>
      <c r="AL734" s="132"/>
      <c r="AM734" s="132"/>
      <c r="AN734" s="164"/>
      <c r="AO734" s="104"/>
      <c r="AP734" s="104"/>
    </row>
    <row r="735">
      <c r="A735" s="132"/>
      <c r="B735" s="132"/>
      <c r="C735" s="132"/>
      <c r="D735" s="132"/>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c r="AC735" s="133"/>
      <c r="AD735" s="133"/>
      <c r="AE735" s="133"/>
      <c r="AF735" s="133"/>
      <c r="AG735" s="133"/>
      <c r="AH735" s="133"/>
      <c r="AI735" s="133"/>
      <c r="AJ735" s="133"/>
      <c r="AK735" s="133"/>
      <c r="AL735" s="132"/>
      <c r="AM735" s="132"/>
      <c r="AN735" s="164"/>
      <c r="AO735" s="104"/>
      <c r="AP735" s="104"/>
    </row>
    <row r="736">
      <c r="A736" s="132"/>
      <c r="B736" s="132"/>
      <c r="C736" s="132"/>
      <c r="D736" s="132"/>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c r="AC736" s="133"/>
      <c r="AD736" s="133"/>
      <c r="AE736" s="133"/>
      <c r="AF736" s="133"/>
      <c r="AG736" s="133"/>
      <c r="AH736" s="133"/>
      <c r="AI736" s="133"/>
      <c r="AJ736" s="133"/>
      <c r="AK736" s="133"/>
      <c r="AL736" s="132"/>
      <c r="AM736" s="132"/>
      <c r="AN736" s="164"/>
      <c r="AO736" s="104"/>
      <c r="AP736" s="104"/>
    </row>
    <row r="737">
      <c r="A737" s="132"/>
      <c r="B737" s="132"/>
      <c r="C737" s="132"/>
      <c r="D737" s="132"/>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c r="AE737" s="133"/>
      <c r="AF737" s="133"/>
      <c r="AG737" s="133"/>
      <c r="AH737" s="133"/>
      <c r="AI737" s="133"/>
      <c r="AJ737" s="133"/>
      <c r="AK737" s="133"/>
      <c r="AL737" s="132"/>
      <c r="AM737" s="132"/>
      <c r="AN737" s="164"/>
      <c r="AO737" s="104"/>
      <c r="AP737" s="104"/>
    </row>
    <row r="738">
      <c r="A738" s="132"/>
      <c r="B738" s="132"/>
      <c r="C738" s="132"/>
      <c r="D738" s="132"/>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c r="AE738" s="133"/>
      <c r="AF738" s="133"/>
      <c r="AG738" s="133"/>
      <c r="AH738" s="133"/>
      <c r="AI738" s="133"/>
      <c r="AJ738" s="133"/>
      <c r="AK738" s="133"/>
      <c r="AL738" s="132"/>
      <c r="AM738" s="132"/>
      <c r="AN738" s="164"/>
      <c r="AO738" s="104"/>
      <c r="AP738" s="104"/>
    </row>
    <row r="739">
      <c r="A739" s="132"/>
      <c r="B739" s="132"/>
      <c r="C739" s="132"/>
      <c r="D739" s="132"/>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c r="AE739" s="133"/>
      <c r="AF739" s="133"/>
      <c r="AG739" s="133"/>
      <c r="AH739" s="133"/>
      <c r="AI739" s="133"/>
      <c r="AJ739" s="133"/>
      <c r="AK739" s="133"/>
      <c r="AL739" s="132"/>
      <c r="AM739" s="132"/>
      <c r="AN739" s="164"/>
      <c r="AO739" s="104"/>
      <c r="AP739" s="104"/>
    </row>
    <row r="740">
      <c r="A740" s="132"/>
      <c r="B740" s="132"/>
      <c r="C740" s="132"/>
      <c r="D740" s="132"/>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c r="AE740" s="133"/>
      <c r="AF740" s="133"/>
      <c r="AG740" s="133"/>
      <c r="AH740" s="133"/>
      <c r="AI740" s="133"/>
      <c r="AJ740" s="133"/>
      <c r="AK740" s="133"/>
      <c r="AL740" s="132"/>
      <c r="AM740" s="132"/>
      <c r="AN740" s="164"/>
      <c r="AO740" s="104"/>
      <c r="AP740" s="104"/>
    </row>
    <row r="741">
      <c r="A741" s="132"/>
      <c r="B741" s="132"/>
      <c r="C741" s="132"/>
      <c r="D741" s="132"/>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c r="AE741" s="133"/>
      <c r="AF741" s="133"/>
      <c r="AG741" s="133"/>
      <c r="AH741" s="133"/>
      <c r="AI741" s="133"/>
      <c r="AJ741" s="133"/>
      <c r="AK741" s="133"/>
      <c r="AL741" s="132"/>
      <c r="AM741" s="132"/>
      <c r="AN741" s="164"/>
      <c r="AO741" s="104"/>
      <c r="AP741" s="104"/>
    </row>
    <row r="742">
      <c r="A742" s="132"/>
      <c r="B742" s="132"/>
      <c r="C742" s="132"/>
      <c r="D742" s="132"/>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c r="AE742" s="133"/>
      <c r="AF742" s="133"/>
      <c r="AG742" s="133"/>
      <c r="AH742" s="133"/>
      <c r="AI742" s="133"/>
      <c r="AJ742" s="133"/>
      <c r="AK742" s="133"/>
      <c r="AL742" s="132"/>
      <c r="AM742" s="132"/>
      <c r="AN742" s="164"/>
      <c r="AO742" s="104"/>
      <c r="AP742" s="104"/>
    </row>
    <row r="743">
      <c r="A743" s="132"/>
      <c r="B743" s="132"/>
      <c r="C743" s="132"/>
      <c r="D743" s="132"/>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c r="AE743" s="133"/>
      <c r="AF743" s="133"/>
      <c r="AG743" s="133"/>
      <c r="AH743" s="133"/>
      <c r="AI743" s="133"/>
      <c r="AJ743" s="133"/>
      <c r="AK743" s="133"/>
      <c r="AL743" s="132"/>
      <c r="AM743" s="132"/>
      <c r="AN743" s="164"/>
      <c r="AO743" s="104"/>
      <c r="AP743" s="104"/>
    </row>
    <row r="744">
      <c r="A744" s="132"/>
      <c r="B744" s="132"/>
      <c r="C744" s="132"/>
      <c r="D744" s="132"/>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c r="AE744" s="133"/>
      <c r="AF744" s="133"/>
      <c r="AG744" s="133"/>
      <c r="AH744" s="133"/>
      <c r="AI744" s="133"/>
      <c r="AJ744" s="133"/>
      <c r="AK744" s="133"/>
      <c r="AL744" s="132"/>
      <c r="AM744" s="132"/>
      <c r="AN744" s="164"/>
      <c r="AO744" s="104"/>
      <c r="AP744" s="104"/>
    </row>
    <row r="745">
      <c r="A745" s="132"/>
      <c r="B745" s="132"/>
      <c r="C745" s="132"/>
      <c r="D745" s="132"/>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c r="AE745" s="133"/>
      <c r="AF745" s="133"/>
      <c r="AG745" s="133"/>
      <c r="AH745" s="133"/>
      <c r="AI745" s="133"/>
      <c r="AJ745" s="133"/>
      <c r="AK745" s="133"/>
      <c r="AL745" s="132"/>
      <c r="AM745" s="132"/>
      <c r="AN745" s="164"/>
      <c r="AO745" s="104"/>
      <c r="AP745" s="104"/>
    </row>
    <row r="746">
      <c r="A746" s="132"/>
      <c r="B746" s="132"/>
      <c r="C746" s="132"/>
      <c r="D746" s="132"/>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c r="AE746" s="133"/>
      <c r="AF746" s="133"/>
      <c r="AG746" s="133"/>
      <c r="AH746" s="133"/>
      <c r="AI746" s="133"/>
      <c r="AJ746" s="133"/>
      <c r="AK746" s="133"/>
      <c r="AL746" s="132"/>
      <c r="AM746" s="132"/>
      <c r="AN746" s="164"/>
      <c r="AO746" s="104"/>
      <c r="AP746" s="104"/>
    </row>
    <row r="747">
      <c r="A747" s="132"/>
      <c r="B747" s="132"/>
      <c r="C747" s="132"/>
      <c r="D747" s="132"/>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c r="AE747" s="133"/>
      <c r="AF747" s="133"/>
      <c r="AG747" s="133"/>
      <c r="AH747" s="133"/>
      <c r="AI747" s="133"/>
      <c r="AJ747" s="133"/>
      <c r="AK747" s="133"/>
      <c r="AL747" s="132"/>
      <c r="AM747" s="132"/>
      <c r="AN747" s="164"/>
      <c r="AO747" s="104"/>
      <c r="AP747" s="104"/>
    </row>
    <row r="748">
      <c r="A748" s="132"/>
      <c r="B748" s="132"/>
      <c r="C748" s="132"/>
      <c r="D748" s="132"/>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c r="AE748" s="133"/>
      <c r="AF748" s="133"/>
      <c r="AG748" s="133"/>
      <c r="AH748" s="133"/>
      <c r="AI748" s="133"/>
      <c r="AJ748" s="133"/>
      <c r="AK748" s="133"/>
      <c r="AL748" s="132"/>
      <c r="AM748" s="132"/>
      <c r="AN748" s="164"/>
      <c r="AO748" s="104"/>
      <c r="AP748" s="104"/>
    </row>
    <row r="749">
      <c r="A749" s="132"/>
      <c r="B749" s="132"/>
      <c r="C749" s="132"/>
      <c r="D749" s="132"/>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c r="AE749" s="133"/>
      <c r="AF749" s="133"/>
      <c r="AG749" s="133"/>
      <c r="AH749" s="133"/>
      <c r="AI749" s="133"/>
      <c r="AJ749" s="133"/>
      <c r="AK749" s="133"/>
      <c r="AL749" s="132"/>
      <c r="AM749" s="132"/>
      <c r="AN749" s="164"/>
      <c r="AO749" s="104"/>
      <c r="AP749" s="104"/>
    </row>
    <row r="750">
      <c r="A750" s="132"/>
      <c r="B750" s="132"/>
      <c r="C750" s="132"/>
      <c r="D750" s="132"/>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c r="AE750" s="133"/>
      <c r="AF750" s="133"/>
      <c r="AG750" s="133"/>
      <c r="AH750" s="133"/>
      <c r="AI750" s="133"/>
      <c r="AJ750" s="133"/>
      <c r="AK750" s="133"/>
      <c r="AL750" s="132"/>
      <c r="AM750" s="132"/>
      <c r="AN750" s="164"/>
      <c r="AO750" s="104"/>
      <c r="AP750" s="104"/>
    </row>
    <row r="751">
      <c r="A751" s="132"/>
      <c r="B751" s="132"/>
      <c r="C751" s="132"/>
      <c r="D751" s="132"/>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c r="AE751" s="133"/>
      <c r="AF751" s="133"/>
      <c r="AG751" s="133"/>
      <c r="AH751" s="133"/>
      <c r="AI751" s="133"/>
      <c r="AJ751" s="133"/>
      <c r="AK751" s="133"/>
      <c r="AL751" s="132"/>
      <c r="AM751" s="132"/>
      <c r="AN751" s="164"/>
      <c r="AO751" s="104"/>
      <c r="AP751" s="104"/>
    </row>
    <row r="752">
      <c r="A752" s="132"/>
      <c r="B752" s="132"/>
      <c r="C752" s="132"/>
      <c r="D752" s="132"/>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c r="AE752" s="133"/>
      <c r="AF752" s="133"/>
      <c r="AG752" s="133"/>
      <c r="AH752" s="133"/>
      <c r="AI752" s="133"/>
      <c r="AJ752" s="133"/>
      <c r="AK752" s="133"/>
      <c r="AL752" s="132"/>
      <c r="AM752" s="132"/>
      <c r="AN752" s="164"/>
      <c r="AO752" s="104"/>
      <c r="AP752" s="104"/>
    </row>
    <row r="753">
      <c r="A753" s="132"/>
      <c r="B753" s="132"/>
      <c r="C753" s="132"/>
      <c r="D753" s="132"/>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c r="AE753" s="133"/>
      <c r="AF753" s="133"/>
      <c r="AG753" s="133"/>
      <c r="AH753" s="133"/>
      <c r="AI753" s="133"/>
      <c r="AJ753" s="133"/>
      <c r="AK753" s="133"/>
      <c r="AL753" s="132"/>
      <c r="AM753" s="132"/>
      <c r="AN753" s="164"/>
      <c r="AO753" s="104"/>
      <c r="AP753" s="104"/>
    </row>
    <row r="754">
      <c r="A754" s="132"/>
      <c r="B754" s="132"/>
      <c r="C754" s="132"/>
      <c r="D754" s="132"/>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c r="AE754" s="133"/>
      <c r="AF754" s="133"/>
      <c r="AG754" s="133"/>
      <c r="AH754" s="133"/>
      <c r="AI754" s="133"/>
      <c r="AJ754" s="133"/>
      <c r="AK754" s="133"/>
      <c r="AL754" s="132"/>
      <c r="AM754" s="132"/>
      <c r="AN754" s="164"/>
      <c r="AO754" s="104"/>
      <c r="AP754" s="104"/>
    </row>
    <row r="755">
      <c r="A755" s="132"/>
      <c r="B755" s="132"/>
      <c r="C755" s="132"/>
      <c r="D755" s="132"/>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c r="AE755" s="133"/>
      <c r="AF755" s="133"/>
      <c r="AG755" s="133"/>
      <c r="AH755" s="133"/>
      <c r="AI755" s="133"/>
      <c r="AJ755" s="133"/>
      <c r="AK755" s="133"/>
      <c r="AL755" s="132"/>
      <c r="AM755" s="132"/>
      <c r="AN755" s="164"/>
      <c r="AO755" s="104"/>
      <c r="AP755" s="104"/>
    </row>
    <row r="756">
      <c r="A756" s="132"/>
      <c r="B756" s="132"/>
      <c r="C756" s="132"/>
      <c r="D756" s="132"/>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c r="AE756" s="133"/>
      <c r="AF756" s="133"/>
      <c r="AG756" s="133"/>
      <c r="AH756" s="133"/>
      <c r="AI756" s="133"/>
      <c r="AJ756" s="133"/>
      <c r="AK756" s="133"/>
      <c r="AL756" s="132"/>
      <c r="AM756" s="132"/>
      <c r="AN756" s="164"/>
      <c r="AO756" s="104"/>
      <c r="AP756" s="104"/>
    </row>
    <row r="757">
      <c r="A757" s="132"/>
      <c r="B757" s="132"/>
      <c r="C757" s="132"/>
      <c r="D757" s="132"/>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c r="AE757" s="133"/>
      <c r="AF757" s="133"/>
      <c r="AG757" s="133"/>
      <c r="AH757" s="133"/>
      <c r="AI757" s="133"/>
      <c r="AJ757" s="133"/>
      <c r="AK757" s="133"/>
      <c r="AL757" s="132"/>
      <c r="AM757" s="132"/>
      <c r="AN757" s="164"/>
      <c r="AO757" s="104"/>
      <c r="AP757" s="104"/>
    </row>
    <row r="758">
      <c r="A758" s="132"/>
      <c r="B758" s="132"/>
      <c r="C758" s="132"/>
      <c r="D758" s="132"/>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c r="AE758" s="133"/>
      <c r="AF758" s="133"/>
      <c r="AG758" s="133"/>
      <c r="AH758" s="133"/>
      <c r="AI758" s="133"/>
      <c r="AJ758" s="133"/>
      <c r="AK758" s="133"/>
      <c r="AL758" s="132"/>
      <c r="AM758" s="132"/>
      <c r="AN758" s="164"/>
      <c r="AO758" s="104"/>
      <c r="AP758" s="104"/>
    </row>
    <row r="759">
      <c r="A759" s="132"/>
      <c r="B759" s="132"/>
      <c r="C759" s="132"/>
      <c r="D759" s="132"/>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c r="AE759" s="133"/>
      <c r="AF759" s="133"/>
      <c r="AG759" s="133"/>
      <c r="AH759" s="133"/>
      <c r="AI759" s="133"/>
      <c r="AJ759" s="133"/>
      <c r="AK759" s="133"/>
      <c r="AL759" s="132"/>
      <c r="AM759" s="132"/>
      <c r="AN759" s="164"/>
      <c r="AO759" s="104"/>
      <c r="AP759" s="104"/>
    </row>
    <row r="760">
      <c r="A760" s="132"/>
      <c r="B760" s="132"/>
      <c r="C760" s="132"/>
      <c r="D760" s="132"/>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c r="AE760" s="133"/>
      <c r="AF760" s="133"/>
      <c r="AG760" s="133"/>
      <c r="AH760" s="133"/>
      <c r="AI760" s="133"/>
      <c r="AJ760" s="133"/>
      <c r="AK760" s="133"/>
      <c r="AL760" s="132"/>
      <c r="AM760" s="132"/>
      <c r="AN760" s="164"/>
      <c r="AO760" s="104"/>
      <c r="AP760" s="104"/>
    </row>
    <row r="761">
      <c r="A761" s="132"/>
      <c r="B761" s="132"/>
      <c r="C761" s="132"/>
      <c r="D761" s="132"/>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c r="AE761" s="133"/>
      <c r="AF761" s="133"/>
      <c r="AG761" s="133"/>
      <c r="AH761" s="133"/>
      <c r="AI761" s="133"/>
      <c r="AJ761" s="133"/>
      <c r="AK761" s="133"/>
      <c r="AL761" s="132"/>
      <c r="AM761" s="132"/>
      <c r="AN761" s="164"/>
      <c r="AO761" s="104"/>
      <c r="AP761" s="104"/>
    </row>
    <row r="762">
      <c r="A762" s="132"/>
      <c r="B762" s="132"/>
      <c r="C762" s="132"/>
      <c r="D762" s="132"/>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c r="AE762" s="133"/>
      <c r="AF762" s="133"/>
      <c r="AG762" s="133"/>
      <c r="AH762" s="133"/>
      <c r="AI762" s="133"/>
      <c r="AJ762" s="133"/>
      <c r="AK762" s="133"/>
      <c r="AL762" s="132"/>
      <c r="AM762" s="132"/>
      <c r="AN762" s="164"/>
      <c r="AO762" s="104"/>
      <c r="AP762" s="104"/>
    </row>
    <row r="763">
      <c r="A763" s="132"/>
      <c r="B763" s="132"/>
      <c r="C763" s="132"/>
      <c r="D763" s="132"/>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c r="AE763" s="133"/>
      <c r="AF763" s="133"/>
      <c r="AG763" s="133"/>
      <c r="AH763" s="133"/>
      <c r="AI763" s="133"/>
      <c r="AJ763" s="133"/>
      <c r="AK763" s="133"/>
      <c r="AL763" s="132"/>
      <c r="AM763" s="132"/>
      <c r="AN763" s="164"/>
      <c r="AO763" s="104"/>
      <c r="AP763" s="104"/>
    </row>
    <row r="764">
      <c r="A764" s="132"/>
      <c r="B764" s="132"/>
      <c r="C764" s="132"/>
      <c r="D764" s="132"/>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c r="AE764" s="133"/>
      <c r="AF764" s="133"/>
      <c r="AG764" s="133"/>
      <c r="AH764" s="133"/>
      <c r="AI764" s="133"/>
      <c r="AJ764" s="133"/>
      <c r="AK764" s="133"/>
      <c r="AL764" s="132"/>
      <c r="AM764" s="132"/>
      <c r="AN764" s="164"/>
      <c r="AO764" s="104"/>
      <c r="AP764" s="104"/>
    </row>
    <row r="765">
      <c r="A765" s="132"/>
      <c r="B765" s="132"/>
      <c r="C765" s="132"/>
      <c r="D765" s="132"/>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c r="AC765" s="133"/>
      <c r="AD765" s="133"/>
      <c r="AE765" s="133"/>
      <c r="AF765" s="133"/>
      <c r="AG765" s="133"/>
      <c r="AH765" s="133"/>
      <c r="AI765" s="133"/>
      <c r="AJ765" s="133"/>
      <c r="AK765" s="133"/>
      <c r="AL765" s="132"/>
      <c r="AM765" s="132"/>
      <c r="AN765" s="164"/>
      <c r="AO765" s="104"/>
      <c r="AP765" s="104"/>
    </row>
    <row r="766">
      <c r="A766" s="132"/>
      <c r="B766" s="132"/>
      <c r="C766" s="132"/>
      <c r="D766" s="132"/>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c r="AC766" s="133"/>
      <c r="AD766" s="133"/>
      <c r="AE766" s="133"/>
      <c r="AF766" s="133"/>
      <c r="AG766" s="133"/>
      <c r="AH766" s="133"/>
      <c r="AI766" s="133"/>
      <c r="AJ766" s="133"/>
      <c r="AK766" s="133"/>
      <c r="AL766" s="132"/>
      <c r="AM766" s="132"/>
      <c r="AN766" s="164"/>
      <c r="AO766" s="104"/>
      <c r="AP766" s="104"/>
    </row>
    <row r="767">
      <c r="A767" s="132"/>
      <c r="B767" s="132"/>
      <c r="C767" s="132"/>
      <c r="D767" s="132"/>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c r="AC767" s="133"/>
      <c r="AD767" s="133"/>
      <c r="AE767" s="133"/>
      <c r="AF767" s="133"/>
      <c r="AG767" s="133"/>
      <c r="AH767" s="133"/>
      <c r="AI767" s="133"/>
      <c r="AJ767" s="133"/>
      <c r="AK767" s="133"/>
      <c r="AL767" s="132"/>
      <c r="AM767" s="132"/>
      <c r="AN767" s="164"/>
      <c r="AO767" s="104"/>
      <c r="AP767" s="104"/>
    </row>
    <row r="768">
      <c r="A768" s="132"/>
      <c r="B768" s="132"/>
      <c r="C768" s="132"/>
      <c r="D768" s="132"/>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c r="AC768" s="133"/>
      <c r="AD768" s="133"/>
      <c r="AE768" s="133"/>
      <c r="AF768" s="133"/>
      <c r="AG768" s="133"/>
      <c r="AH768" s="133"/>
      <c r="AI768" s="133"/>
      <c r="AJ768" s="133"/>
      <c r="AK768" s="133"/>
      <c r="AL768" s="132"/>
      <c r="AM768" s="132"/>
      <c r="AN768" s="164"/>
      <c r="AO768" s="104"/>
      <c r="AP768" s="104"/>
    </row>
    <row r="769">
      <c r="A769" s="132"/>
      <c r="B769" s="132"/>
      <c r="C769" s="132"/>
      <c r="D769" s="132"/>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c r="AC769" s="133"/>
      <c r="AD769" s="133"/>
      <c r="AE769" s="133"/>
      <c r="AF769" s="133"/>
      <c r="AG769" s="133"/>
      <c r="AH769" s="133"/>
      <c r="AI769" s="133"/>
      <c r="AJ769" s="133"/>
      <c r="AK769" s="133"/>
      <c r="AL769" s="132"/>
      <c r="AM769" s="132"/>
      <c r="AN769" s="164"/>
      <c r="AO769" s="104"/>
      <c r="AP769" s="104"/>
    </row>
    <row r="770">
      <c r="A770" s="132"/>
      <c r="B770" s="132"/>
      <c r="C770" s="132"/>
      <c r="D770" s="132"/>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c r="AC770" s="133"/>
      <c r="AD770" s="133"/>
      <c r="AE770" s="133"/>
      <c r="AF770" s="133"/>
      <c r="AG770" s="133"/>
      <c r="AH770" s="133"/>
      <c r="AI770" s="133"/>
      <c r="AJ770" s="133"/>
      <c r="AK770" s="133"/>
      <c r="AL770" s="132"/>
      <c r="AM770" s="132"/>
      <c r="AN770" s="164"/>
      <c r="AO770" s="104"/>
      <c r="AP770" s="104"/>
    </row>
    <row r="771">
      <c r="A771" s="132"/>
      <c r="B771" s="132"/>
      <c r="C771" s="132"/>
      <c r="D771" s="132"/>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c r="AC771" s="133"/>
      <c r="AD771" s="133"/>
      <c r="AE771" s="133"/>
      <c r="AF771" s="133"/>
      <c r="AG771" s="133"/>
      <c r="AH771" s="133"/>
      <c r="AI771" s="133"/>
      <c r="AJ771" s="133"/>
      <c r="AK771" s="133"/>
      <c r="AL771" s="132"/>
      <c r="AM771" s="132"/>
      <c r="AN771" s="164"/>
      <c r="AO771" s="104"/>
      <c r="AP771" s="104"/>
    </row>
    <row r="772">
      <c r="A772" s="132"/>
      <c r="B772" s="132"/>
      <c r="C772" s="132"/>
      <c r="D772" s="132"/>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c r="AC772" s="133"/>
      <c r="AD772" s="133"/>
      <c r="AE772" s="133"/>
      <c r="AF772" s="133"/>
      <c r="AG772" s="133"/>
      <c r="AH772" s="133"/>
      <c r="AI772" s="133"/>
      <c r="AJ772" s="133"/>
      <c r="AK772" s="133"/>
      <c r="AL772" s="132"/>
      <c r="AM772" s="132"/>
      <c r="AN772" s="164"/>
      <c r="AO772" s="104"/>
      <c r="AP772" s="104"/>
    </row>
    <row r="773">
      <c r="A773" s="132"/>
      <c r="B773" s="132"/>
      <c r="C773" s="132"/>
      <c r="D773" s="132"/>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c r="AC773" s="133"/>
      <c r="AD773" s="133"/>
      <c r="AE773" s="133"/>
      <c r="AF773" s="133"/>
      <c r="AG773" s="133"/>
      <c r="AH773" s="133"/>
      <c r="AI773" s="133"/>
      <c r="AJ773" s="133"/>
      <c r="AK773" s="133"/>
      <c r="AL773" s="132"/>
      <c r="AM773" s="132"/>
      <c r="AN773" s="164"/>
      <c r="AO773" s="104"/>
      <c r="AP773" s="104"/>
    </row>
    <row r="774">
      <c r="A774" s="132"/>
      <c r="B774" s="132"/>
      <c r="C774" s="132"/>
      <c r="D774" s="132"/>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c r="AC774" s="133"/>
      <c r="AD774" s="133"/>
      <c r="AE774" s="133"/>
      <c r="AF774" s="133"/>
      <c r="AG774" s="133"/>
      <c r="AH774" s="133"/>
      <c r="AI774" s="133"/>
      <c r="AJ774" s="133"/>
      <c r="AK774" s="133"/>
      <c r="AL774" s="132"/>
      <c r="AM774" s="132"/>
      <c r="AN774" s="164"/>
      <c r="AO774" s="104"/>
      <c r="AP774" s="104"/>
    </row>
    <row r="775">
      <c r="A775" s="132"/>
      <c r="B775" s="132"/>
      <c r="C775" s="132"/>
      <c r="D775" s="132"/>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c r="AE775" s="133"/>
      <c r="AF775" s="133"/>
      <c r="AG775" s="133"/>
      <c r="AH775" s="133"/>
      <c r="AI775" s="133"/>
      <c r="AJ775" s="133"/>
      <c r="AK775" s="133"/>
      <c r="AL775" s="132"/>
      <c r="AM775" s="132"/>
      <c r="AN775" s="164"/>
      <c r="AO775" s="104"/>
      <c r="AP775" s="104"/>
    </row>
    <row r="776">
      <c r="A776" s="132"/>
      <c r="B776" s="132"/>
      <c r="C776" s="132"/>
      <c r="D776" s="132"/>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c r="AE776" s="133"/>
      <c r="AF776" s="133"/>
      <c r="AG776" s="133"/>
      <c r="AH776" s="133"/>
      <c r="AI776" s="133"/>
      <c r="AJ776" s="133"/>
      <c r="AK776" s="133"/>
      <c r="AL776" s="132"/>
      <c r="AM776" s="132"/>
      <c r="AN776" s="164"/>
      <c r="AO776" s="104"/>
      <c r="AP776" s="104"/>
    </row>
    <row r="777">
      <c r="A777" s="132"/>
      <c r="B777" s="132"/>
      <c r="C777" s="132"/>
      <c r="D777" s="132"/>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c r="AE777" s="133"/>
      <c r="AF777" s="133"/>
      <c r="AG777" s="133"/>
      <c r="AH777" s="133"/>
      <c r="AI777" s="133"/>
      <c r="AJ777" s="133"/>
      <c r="AK777" s="133"/>
      <c r="AL777" s="132"/>
      <c r="AM777" s="132"/>
      <c r="AN777" s="164"/>
      <c r="AO777" s="104"/>
      <c r="AP777" s="104"/>
    </row>
    <row r="778">
      <c r="A778" s="132"/>
      <c r="B778" s="132"/>
      <c r="C778" s="132"/>
      <c r="D778" s="132"/>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c r="AE778" s="133"/>
      <c r="AF778" s="133"/>
      <c r="AG778" s="133"/>
      <c r="AH778" s="133"/>
      <c r="AI778" s="133"/>
      <c r="AJ778" s="133"/>
      <c r="AK778" s="133"/>
      <c r="AL778" s="132"/>
      <c r="AM778" s="132"/>
      <c r="AN778" s="164"/>
      <c r="AO778" s="104"/>
      <c r="AP778" s="104"/>
    </row>
    <row r="779">
      <c r="A779" s="132"/>
      <c r="B779" s="132"/>
      <c r="C779" s="132"/>
      <c r="D779" s="132"/>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c r="AE779" s="133"/>
      <c r="AF779" s="133"/>
      <c r="AG779" s="133"/>
      <c r="AH779" s="133"/>
      <c r="AI779" s="133"/>
      <c r="AJ779" s="133"/>
      <c r="AK779" s="133"/>
      <c r="AL779" s="132"/>
      <c r="AM779" s="132"/>
      <c r="AN779" s="164"/>
      <c r="AO779" s="104"/>
      <c r="AP779" s="104"/>
    </row>
    <row r="780">
      <c r="A780" s="132"/>
      <c r="B780" s="132"/>
      <c r="C780" s="132"/>
      <c r="D780" s="132"/>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c r="AE780" s="133"/>
      <c r="AF780" s="133"/>
      <c r="AG780" s="133"/>
      <c r="AH780" s="133"/>
      <c r="AI780" s="133"/>
      <c r="AJ780" s="133"/>
      <c r="AK780" s="133"/>
      <c r="AL780" s="132"/>
      <c r="AM780" s="132"/>
      <c r="AN780" s="164"/>
      <c r="AO780" s="104"/>
      <c r="AP780" s="104"/>
    </row>
    <row r="781">
      <c r="A781" s="132"/>
      <c r="B781" s="132"/>
      <c r="C781" s="132"/>
      <c r="D781" s="132"/>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c r="AC781" s="133"/>
      <c r="AD781" s="133"/>
      <c r="AE781" s="133"/>
      <c r="AF781" s="133"/>
      <c r="AG781" s="133"/>
      <c r="AH781" s="133"/>
      <c r="AI781" s="133"/>
      <c r="AJ781" s="133"/>
      <c r="AK781" s="133"/>
      <c r="AL781" s="132"/>
      <c r="AM781" s="132"/>
      <c r="AN781" s="164"/>
      <c r="AO781" s="104"/>
      <c r="AP781" s="104"/>
    </row>
    <row r="782">
      <c r="A782" s="132"/>
      <c r="B782" s="132"/>
      <c r="C782" s="132"/>
      <c r="D782" s="132"/>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c r="AC782" s="133"/>
      <c r="AD782" s="133"/>
      <c r="AE782" s="133"/>
      <c r="AF782" s="133"/>
      <c r="AG782" s="133"/>
      <c r="AH782" s="133"/>
      <c r="AI782" s="133"/>
      <c r="AJ782" s="133"/>
      <c r="AK782" s="133"/>
      <c r="AL782" s="132"/>
      <c r="AM782" s="132"/>
      <c r="AN782" s="164"/>
      <c r="AO782" s="104"/>
      <c r="AP782" s="104"/>
    </row>
    <row r="783">
      <c r="A783" s="132"/>
      <c r="B783" s="132"/>
      <c r="C783" s="132"/>
      <c r="D783" s="132"/>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c r="AC783" s="133"/>
      <c r="AD783" s="133"/>
      <c r="AE783" s="133"/>
      <c r="AF783" s="133"/>
      <c r="AG783" s="133"/>
      <c r="AH783" s="133"/>
      <c r="AI783" s="133"/>
      <c r="AJ783" s="133"/>
      <c r="AK783" s="133"/>
      <c r="AL783" s="132"/>
      <c r="AM783" s="132"/>
      <c r="AN783" s="164"/>
      <c r="AO783" s="104"/>
      <c r="AP783" s="104"/>
    </row>
    <row r="784">
      <c r="A784" s="132"/>
      <c r="B784" s="132"/>
      <c r="C784" s="132"/>
      <c r="D784" s="132"/>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c r="AC784" s="133"/>
      <c r="AD784" s="133"/>
      <c r="AE784" s="133"/>
      <c r="AF784" s="133"/>
      <c r="AG784" s="133"/>
      <c r="AH784" s="133"/>
      <c r="AI784" s="133"/>
      <c r="AJ784" s="133"/>
      <c r="AK784" s="133"/>
      <c r="AL784" s="132"/>
      <c r="AM784" s="132"/>
      <c r="AN784" s="164"/>
      <c r="AO784" s="104"/>
      <c r="AP784" s="104"/>
    </row>
    <row r="785">
      <c r="A785" s="132"/>
      <c r="B785" s="132"/>
      <c r="C785" s="132"/>
      <c r="D785" s="132"/>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c r="AC785" s="133"/>
      <c r="AD785" s="133"/>
      <c r="AE785" s="133"/>
      <c r="AF785" s="133"/>
      <c r="AG785" s="133"/>
      <c r="AH785" s="133"/>
      <c r="AI785" s="133"/>
      <c r="AJ785" s="133"/>
      <c r="AK785" s="133"/>
      <c r="AL785" s="132"/>
      <c r="AM785" s="132"/>
      <c r="AN785" s="164"/>
      <c r="AO785" s="104"/>
      <c r="AP785" s="104"/>
    </row>
    <row r="786">
      <c r="A786" s="132"/>
      <c r="B786" s="132"/>
      <c r="C786" s="132"/>
      <c r="D786" s="132"/>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c r="AE786" s="133"/>
      <c r="AF786" s="133"/>
      <c r="AG786" s="133"/>
      <c r="AH786" s="133"/>
      <c r="AI786" s="133"/>
      <c r="AJ786" s="133"/>
      <c r="AK786" s="133"/>
      <c r="AL786" s="132"/>
      <c r="AM786" s="132"/>
      <c r="AN786" s="164"/>
      <c r="AO786" s="104"/>
      <c r="AP786" s="104"/>
    </row>
    <row r="787">
      <c r="A787" s="132"/>
      <c r="B787" s="132"/>
      <c r="C787" s="132"/>
      <c r="D787" s="132"/>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c r="AC787" s="133"/>
      <c r="AD787" s="133"/>
      <c r="AE787" s="133"/>
      <c r="AF787" s="133"/>
      <c r="AG787" s="133"/>
      <c r="AH787" s="133"/>
      <c r="AI787" s="133"/>
      <c r="AJ787" s="133"/>
      <c r="AK787" s="133"/>
      <c r="AL787" s="132"/>
      <c r="AM787" s="132"/>
      <c r="AN787" s="164"/>
      <c r="AO787" s="104"/>
      <c r="AP787" s="104"/>
    </row>
    <row r="788">
      <c r="A788" s="132"/>
      <c r="B788" s="132"/>
      <c r="C788" s="132"/>
      <c r="D788" s="132"/>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c r="AC788" s="133"/>
      <c r="AD788" s="133"/>
      <c r="AE788" s="133"/>
      <c r="AF788" s="133"/>
      <c r="AG788" s="133"/>
      <c r="AH788" s="133"/>
      <c r="AI788" s="133"/>
      <c r="AJ788" s="133"/>
      <c r="AK788" s="133"/>
      <c r="AL788" s="132"/>
      <c r="AM788" s="132"/>
      <c r="AN788" s="164"/>
      <c r="AO788" s="104"/>
      <c r="AP788" s="104"/>
    </row>
    <row r="789">
      <c r="A789" s="132"/>
      <c r="B789" s="132"/>
      <c r="C789" s="132"/>
      <c r="D789" s="132"/>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c r="AC789" s="133"/>
      <c r="AD789" s="133"/>
      <c r="AE789" s="133"/>
      <c r="AF789" s="133"/>
      <c r="AG789" s="133"/>
      <c r="AH789" s="133"/>
      <c r="AI789" s="133"/>
      <c r="AJ789" s="133"/>
      <c r="AK789" s="133"/>
      <c r="AL789" s="132"/>
      <c r="AM789" s="132"/>
      <c r="AN789" s="164"/>
      <c r="AO789" s="104"/>
      <c r="AP789" s="104"/>
    </row>
    <row r="790">
      <c r="A790" s="132"/>
      <c r="B790" s="132"/>
      <c r="C790" s="132"/>
      <c r="D790" s="132"/>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c r="AC790" s="133"/>
      <c r="AD790" s="133"/>
      <c r="AE790" s="133"/>
      <c r="AF790" s="133"/>
      <c r="AG790" s="133"/>
      <c r="AH790" s="133"/>
      <c r="AI790" s="133"/>
      <c r="AJ790" s="133"/>
      <c r="AK790" s="133"/>
      <c r="AL790" s="132"/>
      <c r="AM790" s="132"/>
      <c r="AN790" s="164"/>
      <c r="AO790" s="104"/>
      <c r="AP790" s="104"/>
    </row>
    <row r="791">
      <c r="A791" s="132"/>
      <c r="B791" s="132"/>
      <c r="C791" s="132"/>
      <c r="D791" s="132"/>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c r="AC791" s="133"/>
      <c r="AD791" s="133"/>
      <c r="AE791" s="133"/>
      <c r="AF791" s="133"/>
      <c r="AG791" s="133"/>
      <c r="AH791" s="133"/>
      <c r="AI791" s="133"/>
      <c r="AJ791" s="133"/>
      <c r="AK791" s="133"/>
      <c r="AL791" s="132"/>
      <c r="AM791" s="132"/>
      <c r="AN791" s="164"/>
      <c r="AO791" s="104"/>
      <c r="AP791" s="104"/>
    </row>
    <row r="792">
      <c r="A792" s="132"/>
      <c r="B792" s="132"/>
      <c r="C792" s="132"/>
      <c r="D792" s="132"/>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c r="AC792" s="133"/>
      <c r="AD792" s="133"/>
      <c r="AE792" s="133"/>
      <c r="AF792" s="133"/>
      <c r="AG792" s="133"/>
      <c r="AH792" s="133"/>
      <c r="AI792" s="133"/>
      <c r="AJ792" s="133"/>
      <c r="AK792" s="133"/>
      <c r="AL792" s="132"/>
      <c r="AM792" s="132"/>
      <c r="AN792" s="164"/>
      <c r="AO792" s="104"/>
      <c r="AP792" s="104"/>
    </row>
    <row r="793">
      <c r="A793" s="132"/>
      <c r="B793" s="132"/>
      <c r="C793" s="132"/>
      <c r="D793" s="132"/>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c r="AC793" s="133"/>
      <c r="AD793" s="133"/>
      <c r="AE793" s="133"/>
      <c r="AF793" s="133"/>
      <c r="AG793" s="133"/>
      <c r="AH793" s="133"/>
      <c r="AI793" s="133"/>
      <c r="AJ793" s="133"/>
      <c r="AK793" s="133"/>
      <c r="AL793" s="132"/>
      <c r="AM793" s="132"/>
      <c r="AN793" s="164"/>
      <c r="AO793" s="104"/>
      <c r="AP793" s="104"/>
    </row>
    <row r="794">
      <c r="A794" s="132"/>
      <c r="B794" s="132"/>
      <c r="C794" s="132"/>
      <c r="D794" s="132"/>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c r="AC794" s="133"/>
      <c r="AD794" s="133"/>
      <c r="AE794" s="133"/>
      <c r="AF794" s="133"/>
      <c r="AG794" s="133"/>
      <c r="AH794" s="133"/>
      <c r="AI794" s="133"/>
      <c r="AJ794" s="133"/>
      <c r="AK794" s="133"/>
      <c r="AL794" s="132"/>
      <c r="AM794" s="132"/>
      <c r="AN794" s="164"/>
      <c r="AO794" s="104"/>
      <c r="AP794" s="104"/>
    </row>
    <row r="795">
      <c r="A795" s="132"/>
      <c r="B795" s="132"/>
      <c r="C795" s="132"/>
      <c r="D795" s="132"/>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c r="AC795" s="133"/>
      <c r="AD795" s="133"/>
      <c r="AE795" s="133"/>
      <c r="AF795" s="133"/>
      <c r="AG795" s="133"/>
      <c r="AH795" s="133"/>
      <c r="AI795" s="133"/>
      <c r="AJ795" s="133"/>
      <c r="AK795" s="133"/>
      <c r="AL795" s="132"/>
      <c r="AM795" s="132"/>
      <c r="AN795" s="164"/>
      <c r="AO795" s="104"/>
      <c r="AP795" s="104"/>
    </row>
    <row r="796">
      <c r="A796" s="132"/>
      <c r="B796" s="132"/>
      <c r="C796" s="132"/>
      <c r="D796" s="132"/>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c r="AC796" s="133"/>
      <c r="AD796" s="133"/>
      <c r="AE796" s="133"/>
      <c r="AF796" s="133"/>
      <c r="AG796" s="133"/>
      <c r="AH796" s="133"/>
      <c r="AI796" s="133"/>
      <c r="AJ796" s="133"/>
      <c r="AK796" s="133"/>
      <c r="AL796" s="132"/>
      <c r="AM796" s="132"/>
      <c r="AN796" s="164"/>
      <c r="AO796" s="104"/>
      <c r="AP796" s="104"/>
    </row>
    <row r="797">
      <c r="A797" s="132"/>
      <c r="B797" s="132"/>
      <c r="C797" s="132"/>
      <c r="D797" s="132"/>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c r="AC797" s="133"/>
      <c r="AD797" s="133"/>
      <c r="AE797" s="133"/>
      <c r="AF797" s="133"/>
      <c r="AG797" s="133"/>
      <c r="AH797" s="133"/>
      <c r="AI797" s="133"/>
      <c r="AJ797" s="133"/>
      <c r="AK797" s="133"/>
      <c r="AL797" s="132"/>
      <c r="AM797" s="132"/>
      <c r="AN797" s="164"/>
      <c r="AO797" s="104"/>
      <c r="AP797" s="104"/>
    </row>
    <row r="798">
      <c r="A798" s="132"/>
      <c r="B798" s="132"/>
      <c r="C798" s="132"/>
      <c r="D798" s="132"/>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c r="AE798" s="133"/>
      <c r="AF798" s="133"/>
      <c r="AG798" s="133"/>
      <c r="AH798" s="133"/>
      <c r="AI798" s="133"/>
      <c r="AJ798" s="133"/>
      <c r="AK798" s="133"/>
      <c r="AL798" s="132"/>
      <c r="AM798" s="132"/>
      <c r="AN798" s="164"/>
      <c r="AO798" s="104"/>
      <c r="AP798" s="104"/>
    </row>
    <row r="799">
      <c r="A799" s="132"/>
      <c r="B799" s="132"/>
      <c r="C799" s="132"/>
      <c r="D799" s="132"/>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c r="AC799" s="133"/>
      <c r="AD799" s="133"/>
      <c r="AE799" s="133"/>
      <c r="AF799" s="133"/>
      <c r="AG799" s="133"/>
      <c r="AH799" s="133"/>
      <c r="AI799" s="133"/>
      <c r="AJ799" s="133"/>
      <c r="AK799" s="133"/>
      <c r="AL799" s="132"/>
      <c r="AM799" s="132"/>
      <c r="AN799" s="164"/>
      <c r="AO799" s="104"/>
      <c r="AP799" s="104"/>
    </row>
    <row r="800">
      <c r="A800" s="132"/>
      <c r="B800" s="132"/>
      <c r="C800" s="132"/>
      <c r="D800" s="132"/>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c r="AC800" s="133"/>
      <c r="AD800" s="133"/>
      <c r="AE800" s="133"/>
      <c r="AF800" s="133"/>
      <c r="AG800" s="133"/>
      <c r="AH800" s="133"/>
      <c r="AI800" s="133"/>
      <c r="AJ800" s="133"/>
      <c r="AK800" s="133"/>
      <c r="AL800" s="132"/>
      <c r="AM800" s="132"/>
      <c r="AN800" s="164"/>
      <c r="AO800" s="104"/>
      <c r="AP800" s="104"/>
    </row>
    <row r="801">
      <c r="A801" s="132"/>
      <c r="B801" s="132"/>
      <c r="C801" s="132"/>
      <c r="D801" s="132"/>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c r="AC801" s="133"/>
      <c r="AD801" s="133"/>
      <c r="AE801" s="133"/>
      <c r="AF801" s="133"/>
      <c r="AG801" s="133"/>
      <c r="AH801" s="133"/>
      <c r="AI801" s="133"/>
      <c r="AJ801" s="133"/>
      <c r="AK801" s="133"/>
      <c r="AL801" s="132"/>
      <c r="AM801" s="132"/>
      <c r="AN801" s="164"/>
      <c r="AO801" s="104"/>
      <c r="AP801" s="104"/>
    </row>
    <row r="802">
      <c r="A802" s="132"/>
      <c r="B802" s="132"/>
      <c r="C802" s="132"/>
      <c r="D802" s="132"/>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c r="AE802" s="133"/>
      <c r="AF802" s="133"/>
      <c r="AG802" s="133"/>
      <c r="AH802" s="133"/>
      <c r="AI802" s="133"/>
      <c r="AJ802" s="133"/>
      <c r="AK802" s="133"/>
      <c r="AL802" s="132"/>
      <c r="AM802" s="132"/>
      <c r="AN802" s="164"/>
      <c r="AO802" s="104"/>
      <c r="AP802" s="104"/>
    </row>
    <row r="803">
      <c r="A803" s="132"/>
      <c r="B803" s="132"/>
      <c r="C803" s="132"/>
      <c r="D803" s="132"/>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c r="AE803" s="133"/>
      <c r="AF803" s="133"/>
      <c r="AG803" s="133"/>
      <c r="AH803" s="133"/>
      <c r="AI803" s="133"/>
      <c r="AJ803" s="133"/>
      <c r="AK803" s="133"/>
      <c r="AL803" s="132"/>
      <c r="AM803" s="132"/>
      <c r="AN803" s="164"/>
      <c r="AO803" s="104"/>
      <c r="AP803" s="104"/>
    </row>
    <row r="804">
      <c r="A804" s="132"/>
      <c r="B804" s="132"/>
      <c r="C804" s="132"/>
      <c r="D804" s="132"/>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c r="AG804" s="133"/>
      <c r="AH804" s="133"/>
      <c r="AI804" s="133"/>
      <c r="AJ804" s="133"/>
      <c r="AK804" s="133"/>
      <c r="AL804" s="132"/>
      <c r="AM804" s="132"/>
      <c r="AN804" s="164"/>
      <c r="AO804" s="104"/>
      <c r="AP804" s="104"/>
    </row>
    <row r="805">
      <c r="A805" s="132"/>
      <c r="B805" s="132"/>
      <c r="C805" s="132"/>
      <c r="D805" s="132"/>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c r="AE805" s="133"/>
      <c r="AF805" s="133"/>
      <c r="AG805" s="133"/>
      <c r="AH805" s="133"/>
      <c r="AI805" s="133"/>
      <c r="AJ805" s="133"/>
      <c r="AK805" s="133"/>
      <c r="AL805" s="132"/>
      <c r="AM805" s="132"/>
      <c r="AN805" s="164"/>
      <c r="AO805" s="104"/>
      <c r="AP805" s="104"/>
    </row>
    <row r="806">
      <c r="A806" s="132"/>
      <c r="B806" s="132"/>
      <c r="C806" s="132"/>
      <c r="D806" s="132"/>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c r="AE806" s="133"/>
      <c r="AF806" s="133"/>
      <c r="AG806" s="133"/>
      <c r="AH806" s="133"/>
      <c r="AI806" s="133"/>
      <c r="AJ806" s="133"/>
      <c r="AK806" s="133"/>
      <c r="AL806" s="132"/>
      <c r="AM806" s="132"/>
      <c r="AN806" s="164"/>
      <c r="AO806" s="104"/>
      <c r="AP806" s="104"/>
    </row>
    <row r="807">
      <c r="A807" s="132"/>
      <c r="B807" s="132"/>
      <c r="C807" s="132"/>
      <c r="D807" s="132"/>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c r="AE807" s="133"/>
      <c r="AF807" s="133"/>
      <c r="AG807" s="133"/>
      <c r="AH807" s="133"/>
      <c r="AI807" s="133"/>
      <c r="AJ807" s="133"/>
      <c r="AK807" s="133"/>
      <c r="AL807" s="132"/>
      <c r="AM807" s="132"/>
      <c r="AN807" s="164"/>
      <c r="AO807" s="104"/>
      <c r="AP807" s="104"/>
    </row>
    <row r="808">
      <c r="A808" s="132"/>
      <c r="B808" s="132"/>
      <c r="C808" s="132"/>
      <c r="D808" s="132"/>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c r="AE808" s="133"/>
      <c r="AF808" s="133"/>
      <c r="AG808" s="133"/>
      <c r="AH808" s="133"/>
      <c r="AI808" s="133"/>
      <c r="AJ808" s="133"/>
      <c r="AK808" s="133"/>
      <c r="AL808" s="132"/>
      <c r="AM808" s="132"/>
      <c r="AN808" s="164"/>
      <c r="AO808" s="104"/>
      <c r="AP808" s="104"/>
    </row>
    <row r="809">
      <c r="A809" s="132"/>
      <c r="B809" s="132"/>
      <c r="C809" s="132"/>
      <c r="D809" s="132"/>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c r="AE809" s="133"/>
      <c r="AF809" s="133"/>
      <c r="AG809" s="133"/>
      <c r="AH809" s="133"/>
      <c r="AI809" s="133"/>
      <c r="AJ809" s="133"/>
      <c r="AK809" s="133"/>
      <c r="AL809" s="132"/>
      <c r="AM809" s="132"/>
      <c r="AN809" s="164"/>
      <c r="AO809" s="104"/>
      <c r="AP809" s="104"/>
    </row>
    <row r="810">
      <c r="A810" s="132"/>
      <c r="B810" s="132"/>
      <c r="C810" s="132"/>
      <c r="D810" s="132"/>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c r="AE810" s="133"/>
      <c r="AF810" s="133"/>
      <c r="AG810" s="133"/>
      <c r="AH810" s="133"/>
      <c r="AI810" s="133"/>
      <c r="AJ810" s="133"/>
      <c r="AK810" s="133"/>
      <c r="AL810" s="132"/>
      <c r="AM810" s="132"/>
      <c r="AN810" s="164"/>
      <c r="AO810" s="104"/>
      <c r="AP810" s="104"/>
    </row>
    <row r="811">
      <c r="A811" s="132"/>
      <c r="B811" s="132"/>
      <c r="C811" s="132"/>
      <c r="D811" s="132"/>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c r="AE811" s="133"/>
      <c r="AF811" s="133"/>
      <c r="AG811" s="133"/>
      <c r="AH811" s="133"/>
      <c r="AI811" s="133"/>
      <c r="AJ811" s="133"/>
      <c r="AK811" s="133"/>
      <c r="AL811" s="132"/>
      <c r="AM811" s="132"/>
      <c r="AN811" s="164"/>
      <c r="AO811" s="104"/>
      <c r="AP811" s="104"/>
    </row>
    <row r="812">
      <c r="A812" s="132"/>
      <c r="B812" s="132"/>
      <c r="C812" s="132"/>
      <c r="D812" s="132"/>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c r="AE812" s="133"/>
      <c r="AF812" s="133"/>
      <c r="AG812" s="133"/>
      <c r="AH812" s="133"/>
      <c r="AI812" s="133"/>
      <c r="AJ812" s="133"/>
      <c r="AK812" s="133"/>
      <c r="AL812" s="132"/>
      <c r="AM812" s="132"/>
      <c r="AN812" s="164"/>
      <c r="AO812" s="104"/>
      <c r="AP812" s="104"/>
    </row>
    <row r="813">
      <c r="A813" s="132"/>
      <c r="B813" s="132"/>
      <c r="C813" s="132"/>
      <c r="D813" s="132"/>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c r="AC813" s="133"/>
      <c r="AD813" s="133"/>
      <c r="AE813" s="133"/>
      <c r="AF813" s="133"/>
      <c r="AG813" s="133"/>
      <c r="AH813" s="133"/>
      <c r="AI813" s="133"/>
      <c r="AJ813" s="133"/>
      <c r="AK813" s="133"/>
      <c r="AL813" s="132"/>
      <c r="AM813" s="132"/>
      <c r="AN813" s="164"/>
      <c r="AO813" s="104"/>
      <c r="AP813" s="104"/>
    </row>
    <row r="814">
      <c r="A814" s="132"/>
      <c r="B814" s="132"/>
      <c r="C814" s="132"/>
      <c r="D814" s="132"/>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c r="AC814" s="133"/>
      <c r="AD814" s="133"/>
      <c r="AE814" s="133"/>
      <c r="AF814" s="133"/>
      <c r="AG814" s="133"/>
      <c r="AH814" s="133"/>
      <c r="AI814" s="133"/>
      <c r="AJ814" s="133"/>
      <c r="AK814" s="133"/>
      <c r="AL814" s="132"/>
      <c r="AM814" s="132"/>
      <c r="AN814" s="164"/>
      <c r="AO814" s="104"/>
      <c r="AP814" s="104"/>
    </row>
    <row r="815">
      <c r="A815" s="132"/>
      <c r="B815" s="132"/>
      <c r="C815" s="132"/>
      <c r="D815" s="132"/>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c r="AC815" s="133"/>
      <c r="AD815" s="133"/>
      <c r="AE815" s="133"/>
      <c r="AF815" s="133"/>
      <c r="AG815" s="133"/>
      <c r="AH815" s="133"/>
      <c r="AI815" s="133"/>
      <c r="AJ815" s="133"/>
      <c r="AK815" s="133"/>
      <c r="AL815" s="132"/>
      <c r="AM815" s="132"/>
      <c r="AN815" s="164"/>
      <c r="AO815" s="104"/>
      <c r="AP815" s="104"/>
    </row>
    <row r="816">
      <c r="A816" s="132"/>
      <c r="B816" s="132"/>
      <c r="C816" s="132"/>
      <c r="D816" s="132"/>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c r="AC816" s="133"/>
      <c r="AD816" s="133"/>
      <c r="AE816" s="133"/>
      <c r="AF816" s="133"/>
      <c r="AG816" s="133"/>
      <c r="AH816" s="133"/>
      <c r="AI816" s="133"/>
      <c r="AJ816" s="133"/>
      <c r="AK816" s="133"/>
      <c r="AL816" s="132"/>
      <c r="AM816" s="132"/>
      <c r="AN816" s="164"/>
      <c r="AO816" s="104"/>
      <c r="AP816" s="104"/>
    </row>
    <row r="817">
      <c r="A817" s="132"/>
      <c r="B817" s="132"/>
      <c r="C817" s="132"/>
      <c r="D817" s="132"/>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c r="AC817" s="133"/>
      <c r="AD817" s="133"/>
      <c r="AE817" s="133"/>
      <c r="AF817" s="133"/>
      <c r="AG817" s="133"/>
      <c r="AH817" s="133"/>
      <c r="AI817" s="133"/>
      <c r="AJ817" s="133"/>
      <c r="AK817" s="133"/>
      <c r="AL817" s="132"/>
      <c r="AM817" s="132"/>
      <c r="AN817" s="164"/>
      <c r="AO817" s="104"/>
      <c r="AP817" s="104"/>
    </row>
    <row r="818">
      <c r="A818" s="132"/>
      <c r="B818" s="132"/>
      <c r="C818" s="132"/>
      <c r="D818" s="132"/>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c r="AC818" s="133"/>
      <c r="AD818" s="133"/>
      <c r="AE818" s="133"/>
      <c r="AF818" s="133"/>
      <c r="AG818" s="133"/>
      <c r="AH818" s="133"/>
      <c r="AI818" s="133"/>
      <c r="AJ818" s="133"/>
      <c r="AK818" s="133"/>
      <c r="AL818" s="132"/>
      <c r="AM818" s="132"/>
      <c r="AN818" s="164"/>
      <c r="AO818" s="104"/>
      <c r="AP818" s="104"/>
    </row>
    <row r="819">
      <c r="A819" s="132"/>
      <c r="B819" s="132"/>
      <c r="C819" s="132"/>
      <c r="D819" s="132"/>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c r="AC819" s="133"/>
      <c r="AD819" s="133"/>
      <c r="AE819" s="133"/>
      <c r="AF819" s="133"/>
      <c r="AG819" s="133"/>
      <c r="AH819" s="133"/>
      <c r="AI819" s="133"/>
      <c r="AJ819" s="133"/>
      <c r="AK819" s="133"/>
      <c r="AL819" s="132"/>
      <c r="AM819" s="132"/>
      <c r="AN819" s="164"/>
      <c r="AO819" s="104"/>
      <c r="AP819" s="104"/>
    </row>
    <row r="820">
      <c r="A820" s="132"/>
      <c r="B820" s="132"/>
      <c r="C820" s="132"/>
      <c r="D820" s="132"/>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c r="AC820" s="133"/>
      <c r="AD820" s="133"/>
      <c r="AE820" s="133"/>
      <c r="AF820" s="133"/>
      <c r="AG820" s="133"/>
      <c r="AH820" s="133"/>
      <c r="AI820" s="133"/>
      <c r="AJ820" s="133"/>
      <c r="AK820" s="133"/>
      <c r="AL820" s="132"/>
      <c r="AM820" s="132"/>
      <c r="AN820" s="164"/>
      <c r="AO820" s="104"/>
      <c r="AP820" s="104"/>
    </row>
    <row r="821">
      <c r="A821" s="132"/>
      <c r="B821" s="132"/>
      <c r="C821" s="132"/>
      <c r="D821" s="132"/>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c r="AE821" s="133"/>
      <c r="AF821" s="133"/>
      <c r="AG821" s="133"/>
      <c r="AH821" s="133"/>
      <c r="AI821" s="133"/>
      <c r="AJ821" s="133"/>
      <c r="AK821" s="133"/>
      <c r="AL821" s="132"/>
      <c r="AM821" s="132"/>
      <c r="AN821" s="164"/>
      <c r="AO821" s="104"/>
      <c r="AP821" s="104"/>
    </row>
    <row r="822">
      <c r="A822" s="132"/>
      <c r="B822" s="132"/>
      <c r="C822" s="132"/>
      <c r="D822" s="132"/>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c r="AE822" s="133"/>
      <c r="AF822" s="133"/>
      <c r="AG822" s="133"/>
      <c r="AH822" s="133"/>
      <c r="AI822" s="133"/>
      <c r="AJ822" s="133"/>
      <c r="AK822" s="133"/>
      <c r="AL822" s="132"/>
      <c r="AM822" s="132"/>
      <c r="AN822" s="164"/>
      <c r="AO822" s="104"/>
      <c r="AP822" s="104"/>
    </row>
    <row r="823">
      <c r="A823" s="132"/>
      <c r="B823" s="132"/>
      <c r="C823" s="132"/>
      <c r="D823" s="132"/>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c r="AC823" s="133"/>
      <c r="AD823" s="133"/>
      <c r="AE823" s="133"/>
      <c r="AF823" s="133"/>
      <c r="AG823" s="133"/>
      <c r="AH823" s="133"/>
      <c r="AI823" s="133"/>
      <c r="AJ823" s="133"/>
      <c r="AK823" s="133"/>
      <c r="AL823" s="132"/>
      <c r="AM823" s="132"/>
      <c r="AN823" s="164"/>
      <c r="AO823" s="104"/>
      <c r="AP823" s="104"/>
    </row>
    <row r="824">
      <c r="A824" s="132"/>
      <c r="B824" s="132"/>
      <c r="C824" s="132"/>
      <c r="D824" s="132"/>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c r="AC824" s="133"/>
      <c r="AD824" s="133"/>
      <c r="AE824" s="133"/>
      <c r="AF824" s="133"/>
      <c r="AG824" s="133"/>
      <c r="AH824" s="133"/>
      <c r="AI824" s="133"/>
      <c r="AJ824" s="133"/>
      <c r="AK824" s="133"/>
      <c r="AL824" s="132"/>
      <c r="AM824" s="132"/>
      <c r="AN824" s="164"/>
      <c r="AO824" s="104"/>
      <c r="AP824" s="104"/>
    </row>
    <row r="825">
      <c r="A825" s="132"/>
      <c r="B825" s="132"/>
      <c r="C825" s="132"/>
      <c r="D825" s="132"/>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c r="AC825" s="133"/>
      <c r="AD825" s="133"/>
      <c r="AE825" s="133"/>
      <c r="AF825" s="133"/>
      <c r="AG825" s="133"/>
      <c r="AH825" s="133"/>
      <c r="AI825" s="133"/>
      <c r="AJ825" s="133"/>
      <c r="AK825" s="133"/>
      <c r="AL825" s="132"/>
      <c r="AM825" s="132"/>
      <c r="AN825" s="164"/>
      <c r="AO825" s="104"/>
      <c r="AP825" s="104"/>
    </row>
    <row r="826">
      <c r="A826" s="132"/>
      <c r="B826" s="132"/>
      <c r="C826" s="132"/>
      <c r="D826" s="132"/>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c r="AC826" s="133"/>
      <c r="AD826" s="133"/>
      <c r="AE826" s="133"/>
      <c r="AF826" s="133"/>
      <c r="AG826" s="133"/>
      <c r="AH826" s="133"/>
      <c r="AI826" s="133"/>
      <c r="AJ826" s="133"/>
      <c r="AK826" s="133"/>
      <c r="AL826" s="132"/>
      <c r="AM826" s="132"/>
      <c r="AN826" s="164"/>
      <c r="AO826" s="104"/>
      <c r="AP826" s="104"/>
    </row>
    <row r="827">
      <c r="A827" s="132"/>
      <c r="B827" s="132"/>
      <c r="C827" s="132"/>
      <c r="D827" s="132"/>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c r="AC827" s="133"/>
      <c r="AD827" s="133"/>
      <c r="AE827" s="133"/>
      <c r="AF827" s="133"/>
      <c r="AG827" s="133"/>
      <c r="AH827" s="133"/>
      <c r="AI827" s="133"/>
      <c r="AJ827" s="133"/>
      <c r="AK827" s="133"/>
      <c r="AL827" s="132"/>
      <c r="AM827" s="132"/>
      <c r="AN827" s="164"/>
      <c r="AO827" s="104"/>
      <c r="AP827" s="104"/>
    </row>
    <row r="828">
      <c r="A828" s="132"/>
      <c r="B828" s="132"/>
      <c r="C828" s="132"/>
      <c r="D828" s="132"/>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c r="AC828" s="133"/>
      <c r="AD828" s="133"/>
      <c r="AE828" s="133"/>
      <c r="AF828" s="133"/>
      <c r="AG828" s="133"/>
      <c r="AH828" s="133"/>
      <c r="AI828" s="133"/>
      <c r="AJ828" s="133"/>
      <c r="AK828" s="133"/>
      <c r="AL828" s="132"/>
      <c r="AM828" s="132"/>
      <c r="AN828" s="164"/>
      <c r="AO828" s="104"/>
      <c r="AP828" s="104"/>
    </row>
    <row r="829">
      <c r="A829" s="132"/>
      <c r="B829" s="132"/>
      <c r="C829" s="132"/>
      <c r="D829" s="132"/>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c r="AC829" s="133"/>
      <c r="AD829" s="133"/>
      <c r="AE829" s="133"/>
      <c r="AF829" s="133"/>
      <c r="AG829" s="133"/>
      <c r="AH829" s="133"/>
      <c r="AI829" s="133"/>
      <c r="AJ829" s="133"/>
      <c r="AK829" s="133"/>
      <c r="AL829" s="132"/>
      <c r="AM829" s="132"/>
      <c r="AN829" s="164"/>
      <c r="AO829" s="104"/>
      <c r="AP829" s="104"/>
    </row>
    <row r="830">
      <c r="A830" s="132"/>
      <c r="B830" s="132"/>
      <c r="C830" s="132"/>
      <c r="D830" s="132"/>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c r="AC830" s="133"/>
      <c r="AD830" s="133"/>
      <c r="AE830" s="133"/>
      <c r="AF830" s="133"/>
      <c r="AG830" s="133"/>
      <c r="AH830" s="133"/>
      <c r="AI830" s="133"/>
      <c r="AJ830" s="133"/>
      <c r="AK830" s="133"/>
      <c r="AL830" s="132"/>
      <c r="AM830" s="132"/>
      <c r="AN830" s="164"/>
      <c r="AO830" s="104"/>
      <c r="AP830" s="104"/>
    </row>
    <row r="831">
      <c r="A831" s="132"/>
      <c r="B831" s="132"/>
      <c r="C831" s="132"/>
      <c r="D831" s="132"/>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c r="AC831" s="133"/>
      <c r="AD831" s="133"/>
      <c r="AE831" s="133"/>
      <c r="AF831" s="133"/>
      <c r="AG831" s="133"/>
      <c r="AH831" s="133"/>
      <c r="AI831" s="133"/>
      <c r="AJ831" s="133"/>
      <c r="AK831" s="133"/>
      <c r="AL831" s="132"/>
      <c r="AM831" s="132"/>
      <c r="AN831" s="164"/>
      <c r="AO831" s="104"/>
      <c r="AP831" s="104"/>
    </row>
    <row r="832">
      <c r="A832" s="132"/>
      <c r="B832" s="132"/>
      <c r="C832" s="132"/>
      <c r="D832" s="132"/>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c r="AC832" s="133"/>
      <c r="AD832" s="133"/>
      <c r="AE832" s="133"/>
      <c r="AF832" s="133"/>
      <c r="AG832" s="133"/>
      <c r="AH832" s="133"/>
      <c r="AI832" s="133"/>
      <c r="AJ832" s="133"/>
      <c r="AK832" s="133"/>
      <c r="AL832" s="132"/>
      <c r="AM832" s="132"/>
      <c r="AN832" s="164"/>
      <c r="AO832" s="104"/>
      <c r="AP832" s="104"/>
    </row>
    <row r="833">
      <c r="A833" s="132"/>
      <c r="B833" s="132"/>
      <c r="C833" s="132"/>
      <c r="D833" s="132"/>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c r="AC833" s="133"/>
      <c r="AD833" s="133"/>
      <c r="AE833" s="133"/>
      <c r="AF833" s="133"/>
      <c r="AG833" s="133"/>
      <c r="AH833" s="133"/>
      <c r="AI833" s="133"/>
      <c r="AJ833" s="133"/>
      <c r="AK833" s="133"/>
      <c r="AL833" s="132"/>
      <c r="AM833" s="132"/>
      <c r="AN833" s="164"/>
      <c r="AO833" s="104"/>
      <c r="AP833" s="104"/>
    </row>
    <row r="834">
      <c r="A834" s="132"/>
      <c r="B834" s="132"/>
      <c r="C834" s="132"/>
      <c r="D834" s="132"/>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c r="AC834" s="133"/>
      <c r="AD834" s="133"/>
      <c r="AE834" s="133"/>
      <c r="AF834" s="133"/>
      <c r="AG834" s="133"/>
      <c r="AH834" s="133"/>
      <c r="AI834" s="133"/>
      <c r="AJ834" s="133"/>
      <c r="AK834" s="133"/>
      <c r="AL834" s="132"/>
      <c r="AM834" s="132"/>
      <c r="AN834" s="164"/>
      <c r="AO834" s="104"/>
      <c r="AP834" s="104"/>
    </row>
    <row r="835">
      <c r="A835" s="132"/>
      <c r="B835" s="132"/>
      <c r="C835" s="132"/>
      <c r="D835" s="132"/>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c r="AC835" s="133"/>
      <c r="AD835" s="133"/>
      <c r="AE835" s="133"/>
      <c r="AF835" s="133"/>
      <c r="AG835" s="133"/>
      <c r="AH835" s="133"/>
      <c r="AI835" s="133"/>
      <c r="AJ835" s="133"/>
      <c r="AK835" s="133"/>
      <c r="AL835" s="132"/>
      <c r="AM835" s="132"/>
      <c r="AN835" s="164"/>
      <c r="AO835" s="104"/>
      <c r="AP835" s="104"/>
    </row>
    <row r="836">
      <c r="A836" s="132"/>
      <c r="B836" s="132"/>
      <c r="C836" s="132"/>
      <c r="D836" s="132"/>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c r="AC836" s="133"/>
      <c r="AD836" s="133"/>
      <c r="AE836" s="133"/>
      <c r="AF836" s="133"/>
      <c r="AG836" s="133"/>
      <c r="AH836" s="133"/>
      <c r="AI836" s="133"/>
      <c r="AJ836" s="133"/>
      <c r="AK836" s="133"/>
      <c r="AL836" s="132"/>
      <c r="AM836" s="132"/>
      <c r="AN836" s="164"/>
      <c r="AO836" s="104"/>
      <c r="AP836" s="104"/>
    </row>
    <row r="837">
      <c r="A837" s="132"/>
      <c r="B837" s="132"/>
      <c r="C837" s="132"/>
      <c r="D837" s="132"/>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c r="AC837" s="133"/>
      <c r="AD837" s="133"/>
      <c r="AE837" s="133"/>
      <c r="AF837" s="133"/>
      <c r="AG837" s="133"/>
      <c r="AH837" s="133"/>
      <c r="AI837" s="133"/>
      <c r="AJ837" s="133"/>
      <c r="AK837" s="133"/>
      <c r="AL837" s="132"/>
      <c r="AM837" s="132"/>
      <c r="AN837" s="164"/>
      <c r="AO837" s="104"/>
      <c r="AP837" s="104"/>
    </row>
    <row r="838">
      <c r="A838" s="132"/>
      <c r="B838" s="132"/>
      <c r="C838" s="132"/>
      <c r="D838" s="132"/>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c r="AC838" s="133"/>
      <c r="AD838" s="133"/>
      <c r="AE838" s="133"/>
      <c r="AF838" s="133"/>
      <c r="AG838" s="133"/>
      <c r="AH838" s="133"/>
      <c r="AI838" s="133"/>
      <c r="AJ838" s="133"/>
      <c r="AK838" s="133"/>
      <c r="AL838" s="132"/>
      <c r="AM838" s="132"/>
      <c r="AN838" s="164"/>
      <c r="AO838" s="104"/>
      <c r="AP838" s="104"/>
    </row>
    <row r="839">
      <c r="A839" s="132"/>
      <c r="B839" s="132"/>
      <c r="C839" s="132"/>
      <c r="D839" s="132"/>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c r="AC839" s="133"/>
      <c r="AD839" s="133"/>
      <c r="AE839" s="133"/>
      <c r="AF839" s="133"/>
      <c r="AG839" s="133"/>
      <c r="AH839" s="133"/>
      <c r="AI839" s="133"/>
      <c r="AJ839" s="133"/>
      <c r="AK839" s="133"/>
      <c r="AL839" s="132"/>
      <c r="AM839" s="132"/>
      <c r="AN839" s="164"/>
      <c r="AO839" s="104"/>
      <c r="AP839" s="104"/>
    </row>
    <row r="840">
      <c r="A840" s="132"/>
      <c r="B840" s="132"/>
      <c r="C840" s="132"/>
      <c r="D840" s="132"/>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c r="AC840" s="133"/>
      <c r="AD840" s="133"/>
      <c r="AE840" s="133"/>
      <c r="AF840" s="133"/>
      <c r="AG840" s="133"/>
      <c r="AH840" s="133"/>
      <c r="AI840" s="133"/>
      <c r="AJ840" s="133"/>
      <c r="AK840" s="133"/>
      <c r="AL840" s="132"/>
      <c r="AM840" s="132"/>
      <c r="AN840" s="164"/>
      <c r="AO840" s="104"/>
      <c r="AP840" s="104"/>
    </row>
    <row r="841">
      <c r="A841" s="132"/>
      <c r="B841" s="132"/>
      <c r="C841" s="132"/>
      <c r="D841" s="132"/>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c r="AC841" s="133"/>
      <c r="AD841" s="133"/>
      <c r="AE841" s="133"/>
      <c r="AF841" s="133"/>
      <c r="AG841" s="133"/>
      <c r="AH841" s="133"/>
      <c r="AI841" s="133"/>
      <c r="AJ841" s="133"/>
      <c r="AK841" s="133"/>
      <c r="AL841" s="132"/>
      <c r="AM841" s="132"/>
      <c r="AN841" s="164"/>
      <c r="AO841" s="104"/>
      <c r="AP841" s="104"/>
    </row>
    <row r="842">
      <c r="A842" s="132"/>
      <c r="B842" s="132"/>
      <c r="C842" s="132"/>
      <c r="D842" s="132"/>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c r="AC842" s="133"/>
      <c r="AD842" s="133"/>
      <c r="AE842" s="133"/>
      <c r="AF842" s="133"/>
      <c r="AG842" s="133"/>
      <c r="AH842" s="133"/>
      <c r="AI842" s="133"/>
      <c r="AJ842" s="133"/>
      <c r="AK842" s="133"/>
      <c r="AL842" s="132"/>
      <c r="AM842" s="132"/>
      <c r="AN842" s="164"/>
      <c r="AO842" s="104"/>
      <c r="AP842" s="104"/>
    </row>
    <row r="843">
      <c r="A843" s="132"/>
      <c r="B843" s="132"/>
      <c r="C843" s="132"/>
      <c r="D843" s="132"/>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c r="AC843" s="133"/>
      <c r="AD843" s="133"/>
      <c r="AE843" s="133"/>
      <c r="AF843" s="133"/>
      <c r="AG843" s="133"/>
      <c r="AH843" s="133"/>
      <c r="AI843" s="133"/>
      <c r="AJ843" s="133"/>
      <c r="AK843" s="133"/>
      <c r="AL843" s="132"/>
      <c r="AM843" s="132"/>
      <c r="AN843" s="164"/>
      <c r="AO843" s="104"/>
      <c r="AP843" s="104"/>
    </row>
    <row r="844">
      <c r="A844" s="132"/>
      <c r="B844" s="132"/>
      <c r="C844" s="132"/>
      <c r="D844" s="132"/>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c r="AE844" s="133"/>
      <c r="AF844" s="133"/>
      <c r="AG844" s="133"/>
      <c r="AH844" s="133"/>
      <c r="AI844" s="133"/>
      <c r="AJ844" s="133"/>
      <c r="AK844" s="133"/>
      <c r="AL844" s="132"/>
      <c r="AM844" s="132"/>
      <c r="AN844" s="164"/>
      <c r="AO844" s="104"/>
      <c r="AP844" s="104"/>
    </row>
    <row r="845">
      <c r="A845" s="132"/>
      <c r="B845" s="132"/>
      <c r="C845" s="132"/>
      <c r="D845" s="132"/>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c r="AE845" s="133"/>
      <c r="AF845" s="133"/>
      <c r="AG845" s="133"/>
      <c r="AH845" s="133"/>
      <c r="AI845" s="133"/>
      <c r="AJ845" s="133"/>
      <c r="AK845" s="133"/>
      <c r="AL845" s="132"/>
      <c r="AM845" s="132"/>
      <c r="AN845" s="164"/>
      <c r="AO845" s="104"/>
      <c r="AP845" s="104"/>
    </row>
    <row r="846">
      <c r="A846" s="132"/>
      <c r="B846" s="132"/>
      <c r="C846" s="132"/>
      <c r="D846" s="132"/>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c r="AE846" s="133"/>
      <c r="AF846" s="133"/>
      <c r="AG846" s="133"/>
      <c r="AH846" s="133"/>
      <c r="AI846" s="133"/>
      <c r="AJ846" s="133"/>
      <c r="AK846" s="133"/>
      <c r="AL846" s="132"/>
      <c r="AM846" s="132"/>
      <c r="AN846" s="164"/>
      <c r="AO846" s="104"/>
      <c r="AP846" s="104"/>
    </row>
    <row r="847">
      <c r="A847" s="132"/>
      <c r="B847" s="132"/>
      <c r="C847" s="132"/>
      <c r="D847" s="132"/>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c r="AE847" s="133"/>
      <c r="AF847" s="133"/>
      <c r="AG847" s="133"/>
      <c r="AH847" s="133"/>
      <c r="AI847" s="133"/>
      <c r="AJ847" s="133"/>
      <c r="AK847" s="133"/>
      <c r="AL847" s="132"/>
      <c r="AM847" s="132"/>
      <c r="AN847" s="164"/>
      <c r="AO847" s="104"/>
      <c r="AP847" s="104"/>
    </row>
    <row r="848">
      <c r="A848" s="132"/>
      <c r="B848" s="132"/>
      <c r="C848" s="132"/>
      <c r="D848" s="132"/>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c r="AE848" s="133"/>
      <c r="AF848" s="133"/>
      <c r="AG848" s="133"/>
      <c r="AH848" s="133"/>
      <c r="AI848" s="133"/>
      <c r="AJ848" s="133"/>
      <c r="AK848" s="133"/>
      <c r="AL848" s="132"/>
      <c r="AM848" s="132"/>
      <c r="AN848" s="164"/>
      <c r="AO848" s="104"/>
      <c r="AP848" s="104"/>
    </row>
    <row r="849">
      <c r="A849" s="132"/>
      <c r="B849" s="132"/>
      <c r="C849" s="132"/>
      <c r="D849" s="132"/>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c r="AC849" s="133"/>
      <c r="AD849" s="133"/>
      <c r="AE849" s="133"/>
      <c r="AF849" s="133"/>
      <c r="AG849" s="133"/>
      <c r="AH849" s="133"/>
      <c r="AI849" s="133"/>
      <c r="AJ849" s="133"/>
      <c r="AK849" s="133"/>
      <c r="AL849" s="132"/>
      <c r="AM849" s="132"/>
      <c r="AN849" s="164"/>
      <c r="AO849" s="104"/>
      <c r="AP849" s="104"/>
    </row>
    <row r="850">
      <c r="A850" s="132"/>
      <c r="B850" s="132"/>
      <c r="C850" s="132"/>
      <c r="D850" s="132"/>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c r="AC850" s="133"/>
      <c r="AD850" s="133"/>
      <c r="AE850" s="133"/>
      <c r="AF850" s="133"/>
      <c r="AG850" s="133"/>
      <c r="AH850" s="133"/>
      <c r="AI850" s="133"/>
      <c r="AJ850" s="133"/>
      <c r="AK850" s="133"/>
      <c r="AL850" s="132"/>
      <c r="AM850" s="132"/>
      <c r="AN850" s="164"/>
      <c r="AO850" s="104"/>
      <c r="AP850" s="104"/>
    </row>
    <row r="851">
      <c r="A851" s="132"/>
      <c r="B851" s="132"/>
      <c r="C851" s="132"/>
      <c r="D851" s="132"/>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c r="AC851" s="133"/>
      <c r="AD851" s="133"/>
      <c r="AE851" s="133"/>
      <c r="AF851" s="133"/>
      <c r="AG851" s="133"/>
      <c r="AH851" s="133"/>
      <c r="AI851" s="133"/>
      <c r="AJ851" s="133"/>
      <c r="AK851" s="133"/>
      <c r="AL851" s="132"/>
      <c r="AM851" s="132"/>
      <c r="AN851" s="164"/>
      <c r="AO851" s="104"/>
      <c r="AP851" s="104"/>
    </row>
    <row r="852">
      <c r="A852" s="132"/>
      <c r="B852" s="132"/>
      <c r="C852" s="132"/>
      <c r="D852" s="132"/>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c r="AC852" s="133"/>
      <c r="AD852" s="133"/>
      <c r="AE852" s="133"/>
      <c r="AF852" s="133"/>
      <c r="AG852" s="133"/>
      <c r="AH852" s="133"/>
      <c r="AI852" s="133"/>
      <c r="AJ852" s="133"/>
      <c r="AK852" s="133"/>
      <c r="AL852" s="132"/>
      <c r="AM852" s="132"/>
      <c r="AN852" s="164"/>
      <c r="AO852" s="104"/>
      <c r="AP852" s="104"/>
    </row>
    <row r="853">
      <c r="A853" s="132"/>
      <c r="B853" s="132"/>
      <c r="C853" s="132"/>
      <c r="D853" s="132"/>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c r="AC853" s="133"/>
      <c r="AD853" s="133"/>
      <c r="AE853" s="133"/>
      <c r="AF853" s="133"/>
      <c r="AG853" s="133"/>
      <c r="AH853" s="133"/>
      <c r="AI853" s="133"/>
      <c r="AJ853" s="133"/>
      <c r="AK853" s="133"/>
      <c r="AL853" s="132"/>
      <c r="AM853" s="132"/>
      <c r="AN853" s="164"/>
      <c r="AO853" s="104"/>
      <c r="AP853" s="104"/>
    </row>
    <row r="854">
      <c r="A854" s="132"/>
      <c r="B854" s="132"/>
      <c r="C854" s="132"/>
      <c r="D854" s="132"/>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c r="AC854" s="133"/>
      <c r="AD854" s="133"/>
      <c r="AE854" s="133"/>
      <c r="AF854" s="133"/>
      <c r="AG854" s="133"/>
      <c r="AH854" s="133"/>
      <c r="AI854" s="133"/>
      <c r="AJ854" s="133"/>
      <c r="AK854" s="133"/>
      <c r="AL854" s="132"/>
      <c r="AM854" s="132"/>
      <c r="AN854" s="164"/>
      <c r="AO854" s="104"/>
      <c r="AP854" s="104"/>
    </row>
    <row r="855">
      <c r="A855" s="132"/>
      <c r="B855" s="132"/>
      <c r="C855" s="132"/>
      <c r="D855" s="132"/>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c r="AC855" s="133"/>
      <c r="AD855" s="133"/>
      <c r="AE855" s="133"/>
      <c r="AF855" s="133"/>
      <c r="AG855" s="133"/>
      <c r="AH855" s="133"/>
      <c r="AI855" s="133"/>
      <c r="AJ855" s="133"/>
      <c r="AK855" s="133"/>
      <c r="AL855" s="132"/>
      <c r="AM855" s="132"/>
      <c r="AN855" s="164"/>
      <c r="AO855" s="104"/>
      <c r="AP855" s="104"/>
    </row>
    <row r="856">
      <c r="A856" s="132"/>
      <c r="B856" s="132"/>
      <c r="C856" s="132"/>
      <c r="D856" s="132"/>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c r="AC856" s="133"/>
      <c r="AD856" s="133"/>
      <c r="AE856" s="133"/>
      <c r="AF856" s="133"/>
      <c r="AG856" s="133"/>
      <c r="AH856" s="133"/>
      <c r="AI856" s="133"/>
      <c r="AJ856" s="133"/>
      <c r="AK856" s="133"/>
      <c r="AL856" s="132"/>
      <c r="AM856" s="132"/>
      <c r="AN856" s="164"/>
      <c r="AO856" s="104"/>
      <c r="AP856" s="104"/>
    </row>
    <row r="857">
      <c r="A857" s="132"/>
      <c r="B857" s="132"/>
      <c r="C857" s="132"/>
      <c r="D857" s="132"/>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c r="AC857" s="133"/>
      <c r="AD857" s="133"/>
      <c r="AE857" s="133"/>
      <c r="AF857" s="133"/>
      <c r="AG857" s="133"/>
      <c r="AH857" s="133"/>
      <c r="AI857" s="133"/>
      <c r="AJ857" s="133"/>
      <c r="AK857" s="133"/>
      <c r="AL857" s="132"/>
      <c r="AM857" s="132"/>
      <c r="AN857" s="164"/>
      <c r="AO857" s="104"/>
      <c r="AP857" s="104"/>
    </row>
    <row r="858">
      <c r="A858" s="132"/>
      <c r="B858" s="132"/>
      <c r="C858" s="132"/>
      <c r="D858" s="132"/>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c r="AC858" s="133"/>
      <c r="AD858" s="133"/>
      <c r="AE858" s="133"/>
      <c r="AF858" s="133"/>
      <c r="AG858" s="133"/>
      <c r="AH858" s="133"/>
      <c r="AI858" s="133"/>
      <c r="AJ858" s="133"/>
      <c r="AK858" s="133"/>
      <c r="AL858" s="132"/>
      <c r="AM858" s="132"/>
      <c r="AN858" s="164"/>
      <c r="AO858" s="104"/>
      <c r="AP858" s="104"/>
    </row>
    <row r="859">
      <c r="A859" s="132"/>
      <c r="B859" s="132"/>
      <c r="C859" s="132"/>
      <c r="D859" s="132"/>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c r="AC859" s="133"/>
      <c r="AD859" s="133"/>
      <c r="AE859" s="133"/>
      <c r="AF859" s="133"/>
      <c r="AG859" s="133"/>
      <c r="AH859" s="133"/>
      <c r="AI859" s="133"/>
      <c r="AJ859" s="133"/>
      <c r="AK859" s="133"/>
      <c r="AL859" s="132"/>
      <c r="AM859" s="132"/>
      <c r="AN859" s="164"/>
      <c r="AO859" s="104"/>
      <c r="AP859" s="104"/>
    </row>
    <row r="860">
      <c r="A860" s="132"/>
      <c r="B860" s="132"/>
      <c r="C860" s="132"/>
      <c r="D860" s="132"/>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c r="AC860" s="133"/>
      <c r="AD860" s="133"/>
      <c r="AE860" s="133"/>
      <c r="AF860" s="133"/>
      <c r="AG860" s="133"/>
      <c r="AH860" s="133"/>
      <c r="AI860" s="133"/>
      <c r="AJ860" s="133"/>
      <c r="AK860" s="133"/>
      <c r="AL860" s="132"/>
      <c r="AM860" s="132"/>
      <c r="AN860" s="164"/>
      <c r="AO860" s="104"/>
      <c r="AP860" s="104"/>
    </row>
    <row r="861">
      <c r="A861" s="132"/>
      <c r="B861" s="132"/>
      <c r="C861" s="132"/>
      <c r="D861" s="132"/>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c r="AC861" s="133"/>
      <c r="AD861" s="133"/>
      <c r="AE861" s="133"/>
      <c r="AF861" s="133"/>
      <c r="AG861" s="133"/>
      <c r="AH861" s="133"/>
      <c r="AI861" s="133"/>
      <c r="AJ861" s="133"/>
      <c r="AK861" s="133"/>
      <c r="AL861" s="132"/>
      <c r="AM861" s="132"/>
      <c r="AN861" s="164"/>
      <c r="AO861" s="104"/>
      <c r="AP861" s="104"/>
    </row>
    <row r="862">
      <c r="A862" s="132"/>
      <c r="B862" s="132"/>
      <c r="C862" s="132"/>
      <c r="D862" s="132"/>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c r="AC862" s="133"/>
      <c r="AD862" s="133"/>
      <c r="AE862" s="133"/>
      <c r="AF862" s="133"/>
      <c r="AG862" s="133"/>
      <c r="AH862" s="133"/>
      <c r="AI862" s="133"/>
      <c r="AJ862" s="133"/>
      <c r="AK862" s="133"/>
      <c r="AL862" s="132"/>
      <c r="AM862" s="132"/>
      <c r="AN862" s="164"/>
      <c r="AO862" s="104"/>
      <c r="AP862" s="104"/>
    </row>
    <row r="863">
      <c r="A863" s="132"/>
      <c r="B863" s="132"/>
      <c r="C863" s="132"/>
      <c r="D863" s="132"/>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c r="AC863" s="133"/>
      <c r="AD863" s="133"/>
      <c r="AE863" s="133"/>
      <c r="AF863" s="133"/>
      <c r="AG863" s="133"/>
      <c r="AH863" s="133"/>
      <c r="AI863" s="133"/>
      <c r="AJ863" s="133"/>
      <c r="AK863" s="133"/>
      <c r="AL863" s="132"/>
      <c r="AM863" s="132"/>
      <c r="AN863" s="164"/>
      <c r="AO863" s="104"/>
      <c r="AP863" s="104"/>
    </row>
    <row r="864">
      <c r="A864" s="132"/>
      <c r="B864" s="132"/>
      <c r="C864" s="132"/>
      <c r="D864" s="132"/>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c r="AC864" s="133"/>
      <c r="AD864" s="133"/>
      <c r="AE864" s="133"/>
      <c r="AF864" s="133"/>
      <c r="AG864" s="133"/>
      <c r="AH864" s="133"/>
      <c r="AI864" s="133"/>
      <c r="AJ864" s="133"/>
      <c r="AK864" s="133"/>
      <c r="AL864" s="132"/>
      <c r="AM864" s="132"/>
      <c r="AN864" s="164"/>
      <c r="AO864" s="104"/>
      <c r="AP864" s="104"/>
    </row>
    <row r="865">
      <c r="A865" s="132"/>
      <c r="B865" s="132"/>
      <c r="C865" s="132"/>
      <c r="D865" s="132"/>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c r="AC865" s="133"/>
      <c r="AD865" s="133"/>
      <c r="AE865" s="133"/>
      <c r="AF865" s="133"/>
      <c r="AG865" s="133"/>
      <c r="AH865" s="133"/>
      <c r="AI865" s="133"/>
      <c r="AJ865" s="133"/>
      <c r="AK865" s="133"/>
      <c r="AL865" s="132"/>
      <c r="AM865" s="132"/>
      <c r="AN865" s="164"/>
      <c r="AO865" s="104"/>
      <c r="AP865" s="104"/>
    </row>
    <row r="866">
      <c r="A866" s="132"/>
      <c r="B866" s="132"/>
      <c r="C866" s="132"/>
      <c r="D866" s="132"/>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c r="AA866" s="133"/>
      <c r="AB866" s="133"/>
      <c r="AC866" s="133"/>
      <c r="AD866" s="133"/>
      <c r="AE866" s="133"/>
      <c r="AF866" s="133"/>
      <c r="AG866" s="133"/>
      <c r="AH866" s="133"/>
      <c r="AI866" s="133"/>
      <c r="AJ866" s="133"/>
      <c r="AK866" s="133"/>
      <c r="AL866" s="132"/>
      <c r="AM866" s="132"/>
      <c r="AN866" s="164"/>
      <c r="AO866" s="104"/>
      <c r="AP866" s="104"/>
    </row>
    <row r="867">
      <c r="A867" s="132"/>
      <c r="B867" s="132"/>
      <c r="C867" s="132"/>
      <c r="D867" s="132"/>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c r="AA867" s="133"/>
      <c r="AB867" s="133"/>
      <c r="AC867" s="133"/>
      <c r="AD867" s="133"/>
      <c r="AE867" s="133"/>
      <c r="AF867" s="133"/>
      <c r="AG867" s="133"/>
      <c r="AH867" s="133"/>
      <c r="AI867" s="133"/>
      <c r="AJ867" s="133"/>
      <c r="AK867" s="133"/>
      <c r="AL867" s="132"/>
      <c r="AM867" s="132"/>
      <c r="AN867" s="164"/>
      <c r="AO867" s="104"/>
      <c r="AP867" s="104"/>
    </row>
    <row r="868">
      <c r="A868" s="132"/>
      <c r="B868" s="132"/>
      <c r="C868" s="132"/>
      <c r="D868" s="132"/>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c r="AA868" s="133"/>
      <c r="AB868" s="133"/>
      <c r="AC868" s="133"/>
      <c r="AD868" s="133"/>
      <c r="AE868" s="133"/>
      <c r="AF868" s="133"/>
      <c r="AG868" s="133"/>
      <c r="AH868" s="133"/>
      <c r="AI868" s="133"/>
      <c r="AJ868" s="133"/>
      <c r="AK868" s="133"/>
      <c r="AL868" s="132"/>
      <c r="AM868" s="132"/>
      <c r="AN868" s="164"/>
      <c r="AO868" s="104"/>
      <c r="AP868" s="104"/>
    </row>
    <row r="869">
      <c r="A869" s="132"/>
      <c r="B869" s="132"/>
      <c r="C869" s="132"/>
      <c r="D869" s="132"/>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c r="AA869" s="133"/>
      <c r="AB869" s="133"/>
      <c r="AC869" s="133"/>
      <c r="AD869" s="133"/>
      <c r="AE869" s="133"/>
      <c r="AF869" s="133"/>
      <c r="AG869" s="133"/>
      <c r="AH869" s="133"/>
      <c r="AI869" s="133"/>
      <c r="AJ869" s="133"/>
      <c r="AK869" s="133"/>
      <c r="AL869" s="132"/>
      <c r="AM869" s="132"/>
      <c r="AN869" s="164"/>
      <c r="AO869" s="104"/>
      <c r="AP869" s="104"/>
    </row>
    <row r="870">
      <c r="A870" s="132"/>
      <c r="B870" s="132"/>
      <c r="C870" s="132"/>
      <c r="D870" s="132"/>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c r="AA870" s="133"/>
      <c r="AB870" s="133"/>
      <c r="AC870" s="133"/>
      <c r="AD870" s="133"/>
      <c r="AE870" s="133"/>
      <c r="AF870" s="133"/>
      <c r="AG870" s="133"/>
      <c r="AH870" s="133"/>
      <c r="AI870" s="133"/>
      <c r="AJ870" s="133"/>
      <c r="AK870" s="133"/>
      <c r="AL870" s="132"/>
      <c r="AM870" s="132"/>
      <c r="AN870" s="164"/>
      <c r="AO870" s="104"/>
      <c r="AP870" s="104"/>
    </row>
    <row r="871">
      <c r="A871" s="132"/>
      <c r="B871" s="132"/>
      <c r="C871" s="132"/>
      <c r="D871" s="132"/>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c r="AA871" s="133"/>
      <c r="AB871" s="133"/>
      <c r="AC871" s="133"/>
      <c r="AD871" s="133"/>
      <c r="AE871" s="133"/>
      <c r="AF871" s="133"/>
      <c r="AG871" s="133"/>
      <c r="AH871" s="133"/>
      <c r="AI871" s="133"/>
      <c r="AJ871" s="133"/>
      <c r="AK871" s="133"/>
      <c r="AL871" s="132"/>
      <c r="AM871" s="132"/>
      <c r="AN871" s="164"/>
      <c r="AO871" s="104"/>
      <c r="AP871" s="104"/>
    </row>
    <row r="872">
      <c r="A872" s="132"/>
      <c r="B872" s="132"/>
      <c r="C872" s="132"/>
      <c r="D872" s="132"/>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c r="AA872" s="133"/>
      <c r="AB872" s="133"/>
      <c r="AC872" s="133"/>
      <c r="AD872" s="133"/>
      <c r="AE872" s="133"/>
      <c r="AF872" s="133"/>
      <c r="AG872" s="133"/>
      <c r="AH872" s="133"/>
      <c r="AI872" s="133"/>
      <c r="AJ872" s="133"/>
      <c r="AK872" s="133"/>
      <c r="AL872" s="132"/>
      <c r="AM872" s="132"/>
      <c r="AN872" s="164"/>
      <c r="AO872" s="104"/>
      <c r="AP872" s="104"/>
    </row>
    <row r="873">
      <c r="A873" s="132"/>
      <c r="B873" s="132"/>
      <c r="C873" s="132"/>
      <c r="D873" s="132"/>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c r="AA873" s="133"/>
      <c r="AB873" s="133"/>
      <c r="AC873" s="133"/>
      <c r="AD873" s="133"/>
      <c r="AE873" s="133"/>
      <c r="AF873" s="133"/>
      <c r="AG873" s="133"/>
      <c r="AH873" s="133"/>
      <c r="AI873" s="133"/>
      <c r="AJ873" s="133"/>
      <c r="AK873" s="133"/>
      <c r="AL873" s="132"/>
      <c r="AM873" s="132"/>
      <c r="AN873" s="164"/>
      <c r="AO873" s="104"/>
      <c r="AP873" s="104"/>
    </row>
    <row r="874">
      <c r="A874" s="132"/>
      <c r="B874" s="132"/>
      <c r="C874" s="132"/>
      <c r="D874" s="132"/>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c r="AC874" s="133"/>
      <c r="AD874" s="133"/>
      <c r="AE874" s="133"/>
      <c r="AF874" s="133"/>
      <c r="AG874" s="133"/>
      <c r="AH874" s="133"/>
      <c r="AI874" s="133"/>
      <c r="AJ874" s="133"/>
      <c r="AK874" s="133"/>
      <c r="AL874" s="132"/>
      <c r="AM874" s="132"/>
      <c r="AN874" s="164"/>
      <c r="AO874" s="104"/>
      <c r="AP874" s="104"/>
    </row>
    <row r="875">
      <c r="A875" s="132"/>
      <c r="B875" s="132"/>
      <c r="C875" s="132"/>
      <c r="D875" s="132"/>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c r="AA875" s="133"/>
      <c r="AB875" s="133"/>
      <c r="AC875" s="133"/>
      <c r="AD875" s="133"/>
      <c r="AE875" s="133"/>
      <c r="AF875" s="133"/>
      <c r="AG875" s="133"/>
      <c r="AH875" s="133"/>
      <c r="AI875" s="133"/>
      <c r="AJ875" s="133"/>
      <c r="AK875" s="133"/>
      <c r="AL875" s="132"/>
      <c r="AM875" s="132"/>
      <c r="AN875" s="164"/>
      <c r="AO875" s="104"/>
      <c r="AP875" s="104"/>
    </row>
    <row r="876">
      <c r="A876" s="132"/>
      <c r="B876" s="132"/>
      <c r="C876" s="132"/>
      <c r="D876" s="132"/>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c r="AA876" s="133"/>
      <c r="AB876" s="133"/>
      <c r="AC876" s="133"/>
      <c r="AD876" s="133"/>
      <c r="AE876" s="133"/>
      <c r="AF876" s="133"/>
      <c r="AG876" s="133"/>
      <c r="AH876" s="133"/>
      <c r="AI876" s="133"/>
      <c r="AJ876" s="133"/>
      <c r="AK876" s="133"/>
      <c r="AL876" s="132"/>
      <c r="AM876" s="132"/>
      <c r="AN876" s="164"/>
      <c r="AO876" s="104"/>
      <c r="AP876" s="104"/>
    </row>
    <row r="877">
      <c r="A877" s="132"/>
      <c r="B877" s="132"/>
      <c r="C877" s="132"/>
      <c r="D877" s="132"/>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c r="AA877" s="133"/>
      <c r="AB877" s="133"/>
      <c r="AC877" s="133"/>
      <c r="AD877" s="133"/>
      <c r="AE877" s="133"/>
      <c r="AF877" s="133"/>
      <c r="AG877" s="133"/>
      <c r="AH877" s="133"/>
      <c r="AI877" s="133"/>
      <c r="AJ877" s="133"/>
      <c r="AK877" s="133"/>
      <c r="AL877" s="132"/>
      <c r="AM877" s="132"/>
      <c r="AN877" s="164"/>
      <c r="AO877" s="104"/>
      <c r="AP877" s="104"/>
    </row>
    <row r="878">
      <c r="A878" s="132"/>
      <c r="B878" s="132"/>
      <c r="C878" s="132"/>
      <c r="D878" s="132"/>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c r="AA878" s="133"/>
      <c r="AB878" s="133"/>
      <c r="AC878" s="133"/>
      <c r="AD878" s="133"/>
      <c r="AE878" s="133"/>
      <c r="AF878" s="133"/>
      <c r="AG878" s="133"/>
      <c r="AH878" s="133"/>
      <c r="AI878" s="133"/>
      <c r="AJ878" s="133"/>
      <c r="AK878" s="133"/>
      <c r="AL878" s="132"/>
      <c r="AM878" s="132"/>
      <c r="AN878" s="164"/>
      <c r="AO878" s="104"/>
      <c r="AP878" s="104"/>
    </row>
    <row r="879">
      <c r="A879" s="132"/>
      <c r="B879" s="132"/>
      <c r="C879" s="132"/>
      <c r="D879" s="132"/>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c r="AA879" s="133"/>
      <c r="AB879" s="133"/>
      <c r="AC879" s="133"/>
      <c r="AD879" s="133"/>
      <c r="AE879" s="133"/>
      <c r="AF879" s="133"/>
      <c r="AG879" s="133"/>
      <c r="AH879" s="133"/>
      <c r="AI879" s="133"/>
      <c r="AJ879" s="133"/>
      <c r="AK879" s="133"/>
      <c r="AL879" s="132"/>
      <c r="AM879" s="132"/>
      <c r="AN879" s="164"/>
      <c r="AO879" s="104"/>
      <c r="AP879" s="104"/>
    </row>
    <row r="880">
      <c r="A880" s="132"/>
      <c r="B880" s="132"/>
      <c r="C880" s="132"/>
      <c r="D880" s="132"/>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c r="AA880" s="133"/>
      <c r="AB880" s="133"/>
      <c r="AC880" s="133"/>
      <c r="AD880" s="133"/>
      <c r="AE880" s="133"/>
      <c r="AF880" s="133"/>
      <c r="AG880" s="133"/>
      <c r="AH880" s="133"/>
      <c r="AI880" s="133"/>
      <c r="AJ880" s="133"/>
      <c r="AK880" s="133"/>
      <c r="AL880" s="132"/>
      <c r="AM880" s="132"/>
      <c r="AN880" s="164"/>
      <c r="AO880" s="104"/>
      <c r="AP880" s="104"/>
    </row>
    <row r="881">
      <c r="A881" s="132"/>
      <c r="B881" s="132"/>
      <c r="C881" s="132"/>
      <c r="D881" s="132"/>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c r="AA881" s="133"/>
      <c r="AB881" s="133"/>
      <c r="AC881" s="133"/>
      <c r="AD881" s="133"/>
      <c r="AE881" s="133"/>
      <c r="AF881" s="133"/>
      <c r="AG881" s="133"/>
      <c r="AH881" s="133"/>
      <c r="AI881" s="133"/>
      <c r="AJ881" s="133"/>
      <c r="AK881" s="133"/>
      <c r="AL881" s="132"/>
      <c r="AM881" s="132"/>
      <c r="AN881" s="164"/>
      <c r="AO881" s="104"/>
      <c r="AP881" s="104"/>
    </row>
    <row r="882">
      <c r="A882" s="132"/>
      <c r="B882" s="132"/>
      <c r="C882" s="132"/>
      <c r="D882" s="132"/>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c r="AA882" s="133"/>
      <c r="AB882" s="133"/>
      <c r="AC882" s="133"/>
      <c r="AD882" s="133"/>
      <c r="AE882" s="133"/>
      <c r="AF882" s="133"/>
      <c r="AG882" s="133"/>
      <c r="AH882" s="133"/>
      <c r="AI882" s="133"/>
      <c r="AJ882" s="133"/>
      <c r="AK882" s="133"/>
      <c r="AL882" s="132"/>
      <c r="AM882" s="132"/>
      <c r="AN882" s="164"/>
      <c r="AO882" s="104"/>
      <c r="AP882" s="104"/>
    </row>
    <row r="883">
      <c r="A883" s="132"/>
      <c r="B883" s="132"/>
      <c r="C883" s="132"/>
      <c r="D883" s="132"/>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c r="AA883" s="133"/>
      <c r="AB883" s="133"/>
      <c r="AC883" s="133"/>
      <c r="AD883" s="133"/>
      <c r="AE883" s="133"/>
      <c r="AF883" s="133"/>
      <c r="AG883" s="133"/>
      <c r="AH883" s="133"/>
      <c r="AI883" s="133"/>
      <c r="AJ883" s="133"/>
      <c r="AK883" s="133"/>
      <c r="AL883" s="132"/>
      <c r="AM883" s="132"/>
      <c r="AN883" s="164"/>
      <c r="AO883" s="104"/>
      <c r="AP883" s="104"/>
    </row>
    <row r="884">
      <c r="A884" s="132"/>
      <c r="B884" s="132"/>
      <c r="C884" s="132"/>
      <c r="D884" s="132"/>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c r="AA884" s="133"/>
      <c r="AB884" s="133"/>
      <c r="AC884" s="133"/>
      <c r="AD884" s="133"/>
      <c r="AE884" s="133"/>
      <c r="AF884" s="133"/>
      <c r="AG884" s="133"/>
      <c r="AH884" s="133"/>
      <c r="AI884" s="133"/>
      <c r="AJ884" s="133"/>
      <c r="AK884" s="133"/>
      <c r="AL884" s="132"/>
      <c r="AM884" s="132"/>
      <c r="AN884" s="164"/>
      <c r="AO884" s="104"/>
      <c r="AP884" s="104"/>
    </row>
    <row r="885">
      <c r="A885" s="132"/>
      <c r="B885" s="132"/>
      <c r="C885" s="132"/>
      <c r="D885" s="132"/>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c r="AA885" s="133"/>
      <c r="AB885" s="133"/>
      <c r="AC885" s="133"/>
      <c r="AD885" s="133"/>
      <c r="AE885" s="133"/>
      <c r="AF885" s="133"/>
      <c r="AG885" s="133"/>
      <c r="AH885" s="133"/>
      <c r="AI885" s="133"/>
      <c r="AJ885" s="133"/>
      <c r="AK885" s="133"/>
      <c r="AL885" s="132"/>
      <c r="AM885" s="132"/>
      <c r="AN885" s="164"/>
      <c r="AO885" s="104"/>
      <c r="AP885" s="104"/>
    </row>
    <row r="886">
      <c r="A886" s="132"/>
      <c r="B886" s="132"/>
      <c r="C886" s="132"/>
      <c r="D886" s="132"/>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c r="AA886" s="133"/>
      <c r="AB886" s="133"/>
      <c r="AC886" s="133"/>
      <c r="AD886" s="133"/>
      <c r="AE886" s="133"/>
      <c r="AF886" s="133"/>
      <c r="AG886" s="133"/>
      <c r="AH886" s="133"/>
      <c r="AI886" s="133"/>
      <c r="AJ886" s="133"/>
      <c r="AK886" s="133"/>
      <c r="AL886" s="132"/>
      <c r="AM886" s="132"/>
      <c r="AN886" s="164"/>
      <c r="AO886" s="104"/>
      <c r="AP886" s="104"/>
    </row>
    <row r="887">
      <c r="A887" s="132"/>
      <c r="B887" s="132"/>
      <c r="C887" s="132"/>
      <c r="D887" s="132"/>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c r="AC887" s="133"/>
      <c r="AD887" s="133"/>
      <c r="AE887" s="133"/>
      <c r="AF887" s="133"/>
      <c r="AG887" s="133"/>
      <c r="AH887" s="133"/>
      <c r="AI887" s="133"/>
      <c r="AJ887" s="133"/>
      <c r="AK887" s="133"/>
      <c r="AL887" s="132"/>
      <c r="AM887" s="132"/>
      <c r="AN887" s="164"/>
      <c r="AO887" s="104"/>
      <c r="AP887" s="104"/>
    </row>
    <row r="888">
      <c r="A888" s="132"/>
      <c r="B888" s="132"/>
      <c r="C888" s="132"/>
      <c r="D888" s="132"/>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c r="AA888" s="133"/>
      <c r="AB888" s="133"/>
      <c r="AC888" s="133"/>
      <c r="AD888" s="133"/>
      <c r="AE888" s="133"/>
      <c r="AF888" s="133"/>
      <c r="AG888" s="133"/>
      <c r="AH888" s="133"/>
      <c r="AI888" s="133"/>
      <c r="AJ888" s="133"/>
      <c r="AK888" s="133"/>
      <c r="AL888" s="132"/>
      <c r="AM888" s="132"/>
      <c r="AN888" s="164"/>
      <c r="AO888" s="104"/>
      <c r="AP888" s="104"/>
    </row>
    <row r="889">
      <c r="A889" s="132"/>
      <c r="B889" s="132"/>
      <c r="C889" s="132"/>
      <c r="D889" s="132"/>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c r="AA889" s="133"/>
      <c r="AB889" s="133"/>
      <c r="AC889" s="133"/>
      <c r="AD889" s="133"/>
      <c r="AE889" s="133"/>
      <c r="AF889" s="133"/>
      <c r="AG889" s="133"/>
      <c r="AH889" s="133"/>
      <c r="AI889" s="133"/>
      <c r="AJ889" s="133"/>
      <c r="AK889" s="133"/>
      <c r="AL889" s="132"/>
      <c r="AM889" s="132"/>
      <c r="AN889" s="164"/>
      <c r="AO889" s="104"/>
      <c r="AP889" s="104"/>
    </row>
    <row r="890">
      <c r="A890" s="132"/>
      <c r="B890" s="132"/>
      <c r="C890" s="132"/>
      <c r="D890" s="132"/>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c r="AA890" s="133"/>
      <c r="AB890" s="133"/>
      <c r="AC890" s="133"/>
      <c r="AD890" s="133"/>
      <c r="AE890" s="133"/>
      <c r="AF890" s="133"/>
      <c r="AG890" s="133"/>
      <c r="AH890" s="133"/>
      <c r="AI890" s="133"/>
      <c r="AJ890" s="133"/>
      <c r="AK890" s="133"/>
      <c r="AL890" s="132"/>
      <c r="AM890" s="132"/>
      <c r="AN890" s="164"/>
      <c r="AO890" s="104"/>
      <c r="AP890" s="104"/>
    </row>
    <row r="891">
      <c r="A891" s="132"/>
      <c r="B891" s="132"/>
      <c r="C891" s="132"/>
      <c r="D891" s="132"/>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c r="AC891" s="133"/>
      <c r="AD891" s="133"/>
      <c r="AE891" s="133"/>
      <c r="AF891" s="133"/>
      <c r="AG891" s="133"/>
      <c r="AH891" s="133"/>
      <c r="AI891" s="133"/>
      <c r="AJ891" s="133"/>
      <c r="AK891" s="133"/>
      <c r="AL891" s="132"/>
      <c r="AM891" s="132"/>
      <c r="AN891" s="164"/>
      <c r="AO891" s="104"/>
      <c r="AP891" s="104"/>
    </row>
    <row r="892">
      <c r="A892" s="132"/>
      <c r="B892" s="132"/>
      <c r="C892" s="132"/>
      <c r="D892" s="132"/>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c r="AA892" s="133"/>
      <c r="AB892" s="133"/>
      <c r="AC892" s="133"/>
      <c r="AD892" s="133"/>
      <c r="AE892" s="133"/>
      <c r="AF892" s="133"/>
      <c r="AG892" s="133"/>
      <c r="AH892" s="133"/>
      <c r="AI892" s="133"/>
      <c r="AJ892" s="133"/>
      <c r="AK892" s="133"/>
      <c r="AL892" s="132"/>
      <c r="AM892" s="132"/>
      <c r="AN892" s="164"/>
      <c r="AO892" s="104"/>
      <c r="AP892" s="104"/>
    </row>
    <row r="893">
      <c r="A893" s="132"/>
      <c r="B893" s="132"/>
      <c r="C893" s="132"/>
      <c r="D893" s="132"/>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c r="AA893" s="133"/>
      <c r="AB893" s="133"/>
      <c r="AC893" s="133"/>
      <c r="AD893" s="133"/>
      <c r="AE893" s="133"/>
      <c r="AF893" s="133"/>
      <c r="AG893" s="133"/>
      <c r="AH893" s="133"/>
      <c r="AI893" s="133"/>
      <c r="AJ893" s="133"/>
      <c r="AK893" s="133"/>
      <c r="AL893" s="132"/>
      <c r="AM893" s="132"/>
      <c r="AN893" s="164"/>
      <c r="AO893" s="104"/>
      <c r="AP893" s="104"/>
    </row>
    <row r="894">
      <c r="A894" s="132"/>
      <c r="B894" s="132"/>
      <c r="C894" s="132"/>
      <c r="D894" s="132"/>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c r="AA894" s="133"/>
      <c r="AB894" s="133"/>
      <c r="AC894" s="133"/>
      <c r="AD894" s="133"/>
      <c r="AE894" s="133"/>
      <c r="AF894" s="133"/>
      <c r="AG894" s="133"/>
      <c r="AH894" s="133"/>
      <c r="AI894" s="133"/>
      <c r="AJ894" s="133"/>
      <c r="AK894" s="133"/>
      <c r="AL894" s="132"/>
      <c r="AM894" s="132"/>
      <c r="AN894" s="164"/>
      <c r="AO894" s="104"/>
      <c r="AP894" s="104"/>
    </row>
    <row r="895">
      <c r="A895" s="132"/>
      <c r="B895" s="132"/>
      <c r="C895" s="132"/>
      <c r="D895" s="132"/>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c r="AA895" s="133"/>
      <c r="AB895" s="133"/>
      <c r="AC895" s="133"/>
      <c r="AD895" s="133"/>
      <c r="AE895" s="133"/>
      <c r="AF895" s="133"/>
      <c r="AG895" s="133"/>
      <c r="AH895" s="133"/>
      <c r="AI895" s="133"/>
      <c r="AJ895" s="133"/>
      <c r="AK895" s="133"/>
      <c r="AL895" s="132"/>
      <c r="AM895" s="132"/>
      <c r="AN895" s="164"/>
      <c r="AO895" s="104"/>
      <c r="AP895" s="104"/>
    </row>
    <row r="896">
      <c r="A896" s="132"/>
      <c r="B896" s="132"/>
      <c r="C896" s="132"/>
      <c r="D896" s="132"/>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c r="AA896" s="133"/>
      <c r="AB896" s="133"/>
      <c r="AC896" s="133"/>
      <c r="AD896" s="133"/>
      <c r="AE896" s="133"/>
      <c r="AF896" s="133"/>
      <c r="AG896" s="133"/>
      <c r="AH896" s="133"/>
      <c r="AI896" s="133"/>
      <c r="AJ896" s="133"/>
      <c r="AK896" s="133"/>
      <c r="AL896" s="132"/>
      <c r="AM896" s="132"/>
      <c r="AN896" s="164"/>
      <c r="AO896" s="104"/>
      <c r="AP896" s="104"/>
    </row>
    <row r="897">
      <c r="A897" s="132"/>
      <c r="B897" s="132"/>
      <c r="C897" s="132"/>
      <c r="D897" s="132"/>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c r="AA897" s="133"/>
      <c r="AB897" s="133"/>
      <c r="AC897" s="133"/>
      <c r="AD897" s="133"/>
      <c r="AE897" s="133"/>
      <c r="AF897" s="133"/>
      <c r="AG897" s="133"/>
      <c r="AH897" s="133"/>
      <c r="AI897" s="133"/>
      <c r="AJ897" s="133"/>
      <c r="AK897" s="133"/>
      <c r="AL897" s="132"/>
      <c r="AM897" s="132"/>
      <c r="AN897" s="164"/>
      <c r="AO897" s="104"/>
      <c r="AP897" s="104"/>
    </row>
    <row r="898">
      <c r="A898" s="132"/>
      <c r="B898" s="132"/>
      <c r="C898" s="132"/>
      <c r="D898" s="132"/>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c r="AA898" s="133"/>
      <c r="AB898" s="133"/>
      <c r="AC898" s="133"/>
      <c r="AD898" s="133"/>
      <c r="AE898" s="133"/>
      <c r="AF898" s="133"/>
      <c r="AG898" s="133"/>
      <c r="AH898" s="133"/>
      <c r="AI898" s="133"/>
      <c r="AJ898" s="133"/>
      <c r="AK898" s="133"/>
      <c r="AL898" s="132"/>
      <c r="AM898" s="132"/>
      <c r="AN898" s="164"/>
      <c r="AO898" s="104"/>
      <c r="AP898" s="104"/>
    </row>
    <row r="899">
      <c r="A899" s="132"/>
      <c r="B899" s="132"/>
      <c r="C899" s="132"/>
      <c r="D899" s="132"/>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c r="AA899" s="133"/>
      <c r="AB899" s="133"/>
      <c r="AC899" s="133"/>
      <c r="AD899" s="133"/>
      <c r="AE899" s="133"/>
      <c r="AF899" s="133"/>
      <c r="AG899" s="133"/>
      <c r="AH899" s="133"/>
      <c r="AI899" s="133"/>
      <c r="AJ899" s="133"/>
      <c r="AK899" s="133"/>
      <c r="AL899" s="132"/>
      <c r="AM899" s="132"/>
      <c r="AN899" s="164"/>
      <c r="AO899" s="104"/>
      <c r="AP899" s="104"/>
    </row>
    <row r="900">
      <c r="A900" s="132"/>
      <c r="B900" s="132"/>
      <c r="C900" s="132"/>
      <c r="D900" s="132"/>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c r="AC900" s="133"/>
      <c r="AD900" s="133"/>
      <c r="AE900" s="133"/>
      <c r="AF900" s="133"/>
      <c r="AG900" s="133"/>
      <c r="AH900" s="133"/>
      <c r="AI900" s="133"/>
      <c r="AJ900" s="133"/>
      <c r="AK900" s="133"/>
      <c r="AL900" s="132"/>
      <c r="AM900" s="132"/>
      <c r="AN900" s="164"/>
      <c r="AO900" s="104"/>
      <c r="AP900" s="104"/>
    </row>
    <row r="901">
      <c r="A901" s="132"/>
      <c r="B901" s="132"/>
      <c r="C901" s="132"/>
      <c r="D901" s="132"/>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c r="AC901" s="133"/>
      <c r="AD901" s="133"/>
      <c r="AE901" s="133"/>
      <c r="AF901" s="133"/>
      <c r="AG901" s="133"/>
      <c r="AH901" s="133"/>
      <c r="AI901" s="133"/>
      <c r="AJ901" s="133"/>
      <c r="AK901" s="133"/>
      <c r="AL901" s="132"/>
      <c r="AM901" s="132"/>
      <c r="AN901" s="164"/>
      <c r="AO901" s="104"/>
      <c r="AP901" s="104"/>
    </row>
    <row r="902">
      <c r="A902" s="132"/>
      <c r="B902" s="132"/>
      <c r="C902" s="132"/>
      <c r="D902" s="132"/>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c r="AC902" s="133"/>
      <c r="AD902" s="133"/>
      <c r="AE902" s="133"/>
      <c r="AF902" s="133"/>
      <c r="AG902" s="133"/>
      <c r="AH902" s="133"/>
      <c r="AI902" s="133"/>
      <c r="AJ902" s="133"/>
      <c r="AK902" s="133"/>
      <c r="AL902" s="132"/>
      <c r="AM902" s="132"/>
      <c r="AN902" s="164"/>
      <c r="AO902" s="104"/>
      <c r="AP902" s="104"/>
    </row>
    <row r="903">
      <c r="A903" s="132"/>
      <c r="B903" s="132"/>
      <c r="C903" s="132"/>
      <c r="D903" s="132"/>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c r="AC903" s="133"/>
      <c r="AD903" s="133"/>
      <c r="AE903" s="133"/>
      <c r="AF903" s="133"/>
      <c r="AG903" s="133"/>
      <c r="AH903" s="133"/>
      <c r="AI903" s="133"/>
      <c r="AJ903" s="133"/>
      <c r="AK903" s="133"/>
      <c r="AL903" s="132"/>
      <c r="AM903" s="132"/>
      <c r="AN903" s="164"/>
      <c r="AO903" s="104"/>
      <c r="AP903" s="104"/>
    </row>
    <row r="904">
      <c r="A904" s="132"/>
      <c r="B904" s="132"/>
      <c r="C904" s="132"/>
      <c r="D904" s="132"/>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c r="AC904" s="133"/>
      <c r="AD904" s="133"/>
      <c r="AE904" s="133"/>
      <c r="AF904" s="133"/>
      <c r="AG904" s="133"/>
      <c r="AH904" s="133"/>
      <c r="AI904" s="133"/>
      <c r="AJ904" s="133"/>
      <c r="AK904" s="133"/>
      <c r="AL904" s="132"/>
      <c r="AM904" s="132"/>
      <c r="AN904" s="164"/>
      <c r="AO904" s="104"/>
      <c r="AP904" s="104"/>
    </row>
    <row r="905">
      <c r="A905" s="132"/>
      <c r="B905" s="132"/>
      <c r="C905" s="132"/>
      <c r="D905" s="132"/>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c r="AC905" s="133"/>
      <c r="AD905" s="133"/>
      <c r="AE905" s="133"/>
      <c r="AF905" s="133"/>
      <c r="AG905" s="133"/>
      <c r="AH905" s="133"/>
      <c r="AI905" s="133"/>
      <c r="AJ905" s="133"/>
      <c r="AK905" s="133"/>
      <c r="AL905" s="132"/>
      <c r="AM905" s="132"/>
      <c r="AN905" s="164"/>
      <c r="AO905" s="104"/>
      <c r="AP905" s="104"/>
    </row>
    <row r="906">
      <c r="A906" s="132"/>
      <c r="B906" s="132"/>
      <c r="C906" s="132"/>
      <c r="D906" s="132"/>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c r="AG906" s="133"/>
      <c r="AH906" s="133"/>
      <c r="AI906" s="133"/>
      <c r="AJ906" s="133"/>
      <c r="AK906" s="133"/>
      <c r="AL906" s="132"/>
      <c r="AM906" s="132"/>
      <c r="AN906" s="164"/>
      <c r="AO906" s="104"/>
      <c r="AP906" s="104"/>
    </row>
    <row r="907">
      <c r="A907" s="132"/>
      <c r="B907" s="132"/>
      <c r="C907" s="132"/>
      <c r="D907" s="132"/>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c r="AC907" s="133"/>
      <c r="AD907" s="133"/>
      <c r="AE907" s="133"/>
      <c r="AF907" s="133"/>
      <c r="AG907" s="133"/>
      <c r="AH907" s="133"/>
      <c r="AI907" s="133"/>
      <c r="AJ907" s="133"/>
      <c r="AK907" s="133"/>
      <c r="AL907" s="132"/>
      <c r="AM907" s="132"/>
      <c r="AN907" s="164"/>
      <c r="AO907" s="104"/>
      <c r="AP907" s="104"/>
    </row>
    <row r="908">
      <c r="A908" s="132"/>
      <c r="B908" s="132"/>
      <c r="C908" s="132"/>
      <c r="D908" s="132"/>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c r="AC908" s="133"/>
      <c r="AD908" s="133"/>
      <c r="AE908" s="133"/>
      <c r="AF908" s="133"/>
      <c r="AG908" s="133"/>
      <c r="AH908" s="133"/>
      <c r="AI908" s="133"/>
      <c r="AJ908" s="133"/>
      <c r="AK908" s="133"/>
      <c r="AL908" s="132"/>
      <c r="AM908" s="132"/>
      <c r="AN908" s="164"/>
      <c r="AO908" s="104"/>
      <c r="AP908" s="104"/>
    </row>
    <row r="909">
      <c r="A909" s="132"/>
      <c r="B909" s="132"/>
      <c r="C909" s="132"/>
      <c r="D909" s="132"/>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c r="AC909" s="133"/>
      <c r="AD909" s="133"/>
      <c r="AE909" s="133"/>
      <c r="AF909" s="133"/>
      <c r="AG909" s="133"/>
      <c r="AH909" s="133"/>
      <c r="AI909" s="133"/>
      <c r="AJ909" s="133"/>
      <c r="AK909" s="133"/>
      <c r="AL909" s="132"/>
      <c r="AM909" s="132"/>
      <c r="AN909" s="164"/>
      <c r="AO909" s="104"/>
      <c r="AP909" s="104"/>
    </row>
    <row r="910">
      <c r="A910" s="132"/>
      <c r="B910" s="132"/>
      <c r="C910" s="132"/>
      <c r="D910" s="132"/>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c r="AC910" s="133"/>
      <c r="AD910" s="133"/>
      <c r="AE910" s="133"/>
      <c r="AF910" s="133"/>
      <c r="AG910" s="133"/>
      <c r="AH910" s="133"/>
      <c r="AI910" s="133"/>
      <c r="AJ910" s="133"/>
      <c r="AK910" s="133"/>
      <c r="AL910" s="132"/>
      <c r="AM910" s="132"/>
      <c r="AN910" s="164"/>
      <c r="AO910" s="104"/>
      <c r="AP910" s="104"/>
    </row>
    <row r="911">
      <c r="A911" s="132"/>
      <c r="B911" s="132"/>
      <c r="C911" s="132"/>
      <c r="D911" s="132"/>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c r="AC911" s="133"/>
      <c r="AD911" s="133"/>
      <c r="AE911" s="133"/>
      <c r="AF911" s="133"/>
      <c r="AG911" s="133"/>
      <c r="AH911" s="133"/>
      <c r="AI911" s="133"/>
      <c r="AJ911" s="133"/>
      <c r="AK911" s="133"/>
      <c r="AL911" s="132"/>
      <c r="AM911" s="132"/>
      <c r="AN911" s="164"/>
      <c r="AO911" s="104"/>
      <c r="AP911" s="104"/>
    </row>
    <row r="912">
      <c r="A912" s="132"/>
      <c r="B912" s="132"/>
      <c r="C912" s="132"/>
      <c r="D912" s="132"/>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c r="AC912" s="133"/>
      <c r="AD912" s="133"/>
      <c r="AE912" s="133"/>
      <c r="AF912" s="133"/>
      <c r="AG912" s="133"/>
      <c r="AH912" s="133"/>
      <c r="AI912" s="133"/>
      <c r="AJ912" s="133"/>
      <c r="AK912" s="133"/>
      <c r="AL912" s="132"/>
      <c r="AM912" s="132"/>
      <c r="AN912" s="164"/>
      <c r="AO912" s="104"/>
      <c r="AP912" s="104"/>
    </row>
    <row r="913">
      <c r="A913" s="132"/>
      <c r="B913" s="132"/>
      <c r="C913" s="132"/>
      <c r="D913" s="132"/>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c r="AC913" s="133"/>
      <c r="AD913" s="133"/>
      <c r="AE913" s="133"/>
      <c r="AF913" s="133"/>
      <c r="AG913" s="133"/>
      <c r="AH913" s="133"/>
      <c r="AI913" s="133"/>
      <c r="AJ913" s="133"/>
      <c r="AK913" s="133"/>
      <c r="AL913" s="132"/>
      <c r="AM913" s="132"/>
      <c r="AN913" s="164"/>
      <c r="AO913" s="104"/>
      <c r="AP913" s="104"/>
    </row>
    <row r="914">
      <c r="A914" s="132"/>
      <c r="B914" s="132"/>
      <c r="C914" s="132"/>
      <c r="D914" s="132"/>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c r="AC914" s="133"/>
      <c r="AD914" s="133"/>
      <c r="AE914" s="133"/>
      <c r="AF914" s="133"/>
      <c r="AG914" s="133"/>
      <c r="AH914" s="133"/>
      <c r="AI914" s="133"/>
      <c r="AJ914" s="133"/>
      <c r="AK914" s="133"/>
      <c r="AL914" s="132"/>
      <c r="AM914" s="132"/>
      <c r="AN914" s="164"/>
      <c r="AO914" s="104"/>
      <c r="AP914" s="104"/>
    </row>
    <row r="915">
      <c r="A915" s="132"/>
      <c r="B915" s="132"/>
      <c r="C915" s="132"/>
      <c r="D915" s="132"/>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c r="AC915" s="133"/>
      <c r="AD915" s="133"/>
      <c r="AE915" s="133"/>
      <c r="AF915" s="133"/>
      <c r="AG915" s="133"/>
      <c r="AH915" s="133"/>
      <c r="AI915" s="133"/>
      <c r="AJ915" s="133"/>
      <c r="AK915" s="133"/>
      <c r="AL915" s="132"/>
      <c r="AM915" s="132"/>
      <c r="AN915" s="164"/>
      <c r="AO915" s="104"/>
      <c r="AP915" s="104"/>
    </row>
    <row r="916">
      <c r="A916" s="132"/>
      <c r="B916" s="132"/>
      <c r="C916" s="132"/>
      <c r="D916" s="132"/>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c r="AC916" s="133"/>
      <c r="AD916" s="133"/>
      <c r="AE916" s="133"/>
      <c r="AF916" s="133"/>
      <c r="AG916" s="133"/>
      <c r="AH916" s="133"/>
      <c r="AI916" s="133"/>
      <c r="AJ916" s="133"/>
      <c r="AK916" s="133"/>
      <c r="AL916" s="132"/>
      <c r="AM916" s="132"/>
      <c r="AN916" s="164"/>
      <c r="AO916" s="104"/>
      <c r="AP916" s="104"/>
    </row>
    <row r="917">
      <c r="A917" s="132"/>
      <c r="B917" s="132"/>
      <c r="C917" s="132"/>
      <c r="D917" s="132"/>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c r="AC917" s="133"/>
      <c r="AD917" s="133"/>
      <c r="AE917" s="133"/>
      <c r="AF917" s="133"/>
      <c r="AG917" s="133"/>
      <c r="AH917" s="133"/>
      <c r="AI917" s="133"/>
      <c r="AJ917" s="133"/>
      <c r="AK917" s="133"/>
      <c r="AL917" s="132"/>
      <c r="AM917" s="132"/>
      <c r="AN917" s="164"/>
      <c r="AO917" s="104"/>
      <c r="AP917" s="104"/>
    </row>
    <row r="918">
      <c r="A918" s="132"/>
      <c r="B918" s="132"/>
      <c r="C918" s="132"/>
      <c r="D918" s="132"/>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c r="AC918" s="133"/>
      <c r="AD918" s="133"/>
      <c r="AE918" s="133"/>
      <c r="AF918" s="133"/>
      <c r="AG918" s="133"/>
      <c r="AH918" s="133"/>
      <c r="AI918" s="133"/>
      <c r="AJ918" s="133"/>
      <c r="AK918" s="133"/>
      <c r="AL918" s="132"/>
      <c r="AM918" s="132"/>
      <c r="AN918" s="164"/>
      <c r="AO918" s="104"/>
      <c r="AP918" s="104"/>
    </row>
    <row r="919">
      <c r="A919" s="132"/>
      <c r="B919" s="132"/>
      <c r="C919" s="132"/>
      <c r="D919" s="132"/>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c r="AC919" s="133"/>
      <c r="AD919" s="133"/>
      <c r="AE919" s="133"/>
      <c r="AF919" s="133"/>
      <c r="AG919" s="133"/>
      <c r="AH919" s="133"/>
      <c r="AI919" s="133"/>
      <c r="AJ919" s="133"/>
      <c r="AK919" s="133"/>
      <c r="AL919" s="132"/>
      <c r="AM919" s="132"/>
      <c r="AN919" s="164"/>
      <c r="AO919" s="104"/>
      <c r="AP919" s="104"/>
    </row>
    <row r="920">
      <c r="A920" s="132"/>
      <c r="B920" s="132"/>
      <c r="C920" s="132"/>
      <c r="D920" s="132"/>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c r="AC920" s="133"/>
      <c r="AD920" s="133"/>
      <c r="AE920" s="133"/>
      <c r="AF920" s="133"/>
      <c r="AG920" s="133"/>
      <c r="AH920" s="133"/>
      <c r="AI920" s="133"/>
      <c r="AJ920" s="133"/>
      <c r="AK920" s="133"/>
      <c r="AL920" s="132"/>
      <c r="AM920" s="132"/>
      <c r="AN920" s="164"/>
      <c r="AO920" s="104"/>
      <c r="AP920" s="104"/>
    </row>
    <row r="921">
      <c r="A921" s="132"/>
      <c r="B921" s="132"/>
      <c r="C921" s="132"/>
      <c r="D921" s="132"/>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c r="AC921" s="133"/>
      <c r="AD921" s="133"/>
      <c r="AE921" s="133"/>
      <c r="AF921" s="133"/>
      <c r="AG921" s="133"/>
      <c r="AH921" s="133"/>
      <c r="AI921" s="133"/>
      <c r="AJ921" s="133"/>
      <c r="AK921" s="133"/>
      <c r="AL921" s="132"/>
      <c r="AM921" s="132"/>
      <c r="AN921" s="164"/>
      <c r="AO921" s="104"/>
      <c r="AP921" s="104"/>
    </row>
    <row r="922">
      <c r="A922" s="132"/>
      <c r="B922" s="132"/>
      <c r="C922" s="132"/>
      <c r="D922" s="132"/>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c r="AC922" s="133"/>
      <c r="AD922" s="133"/>
      <c r="AE922" s="133"/>
      <c r="AF922" s="133"/>
      <c r="AG922" s="133"/>
      <c r="AH922" s="133"/>
      <c r="AI922" s="133"/>
      <c r="AJ922" s="133"/>
      <c r="AK922" s="133"/>
      <c r="AL922" s="132"/>
      <c r="AM922" s="132"/>
      <c r="AN922" s="164"/>
      <c r="AO922" s="104"/>
      <c r="AP922" s="104"/>
    </row>
    <row r="923">
      <c r="A923" s="132"/>
      <c r="B923" s="132"/>
      <c r="C923" s="132"/>
      <c r="D923" s="132"/>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c r="AC923" s="133"/>
      <c r="AD923" s="133"/>
      <c r="AE923" s="133"/>
      <c r="AF923" s="133"/>
      <c r="AG923" s="133"/>
      <c r="AH923" s="133"/>
      <c r="AI923" s="133"/>
      <c r="AJ923" s="133"/>
      <c r="AK923" s="133"/>
      <c r="AL923" s="132"/>
      <c r="AM923" s="132"/>
      <c r="AN923" s="164"/>
      <c r="AO923" s="104"/>
      <c r="AP923" s="104"/>
    </row>
    <row r="924">
      <c r="A924" s="132"/>
      <c r="B924" s="132"/>
      <c r="C924" s="132"/>
      <c r="D924" s="132"/>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c r="AC924" s="133"/>
      <c r="AD924" s="133"/>
      <c r="AE924" s="133"/>
      <c r="AF924" s="133"/>
      <c r="AG924" s="133"/>
      <c r="AH924" s="133"/>
      <c r="AI924" s="133"/>
      <c r="AJ924" s="133"/>
      <c r="AK924" s="133"/>
      <c r="AL924" s="132"/>
      <c r="AM924" s="132"/>
      <c r="AN924" s="164"/>
      <c r="AO924" s="104"/>
      <c r="AP924" s="104"/>
    </row>
    <row r="925">
      <c r="A925" s="132"/>
      <c r="B925" s="132"/>
      <c r="C925" s="132"/>
      <c r="D925" s="132"/>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c r="AC925" s="133"/>
      <c r="AD925" s="133"/>
      <c r="AE925" s="133"/>
      <c r="AF925" s="133"/>
      <c r="AG925" s="133"/>
      <c r="AH925" s="133"/>
      <c r="AI925" s="133"/>
      <c r="AJ925" s="133"/>
      <c r="AK925" s="133"/>
      <c r="AL925" s="132"/>
      <c r="AM925" s="132"/>
      <c r="AN925" s="164"/>
      <c r="AO925" s="104"/>
      <c r="AP925" s="104"/>
    </row>
    <row r="926">
      <c r="A926" s="132"/>
      <c r="B926" s="132"/>
      <c r="C926" s="132"/>
      <c r="D926" s="132"/>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c r="AC926" s="133"/>
      <c r="AD926" s="133"/>
      <c r="AE926" s="133"/>
      <c r="AF926" s="133"/>
      <c r="AG926" s="133"/>
      <c r="AH926" s="133"/>
      <c r="AI926" s="133"/>
      <c r="AJ926" s="133"/>
      <c r="AK926" s="133"/>
      <c r="AL926" s="132"/>
      <c r="AM926" s="132"/>
      <c r="AN926" s="164"/>
      <c r="AO926" s="104"/>
      <c r="AP926" s="104"/>
    </row>
    <row r="927">
      <c r="A927" s="132"/>
      <c r="B927" s="132"/>
      <c r="C927" s="132"/>
      <c r="D927" s="132"/>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c r="AC927" s="133"/>
      <c r="AD927" s="133"/>
      <c r="AE927" s="133"/>
      <c r="AF927" s="133"/>
      <c r="AG927" s="133"/>
      <c r="AH927" s="133"/>
      <c r="AI927" s="133"/>
      <c r="AJ927" s="133"/>
      <c r="AK927" s="133"/>
      <c r="AL927" s="132"/>
      <c r="AM927" s="132"/>
      <c r="AN927" s="164"/>
      <c r="AO927" s="104"/>
      <c r="AP927" s="104"/>
    </row>
    <row r="928">
      <c r="A928" s="132"/>
      <c r="B928" s="132"/>
      <c r="C928" s="132"/>
      <c r="D928" s="132"/>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c r="AC928" s="133"/>
      <c r="AD928" s="133"/>
      <c r="AE928" s="133"/>
      <c r="AF928" s="133"/>
      <c r="AG928" s="133"/>
      <c r="AH928" s="133"/>
      <c r="AI928" s="133"/>
      <c r="AJ928" s="133"/>
      <c r="AK928" s="133"/>
      <c r="AL928" s="132"/>
      <c r="AM928" s="132"/>
      <c r="AN928" s="164"/>
      <c r="AO928" s="104"/>
      <c r="AP928" s="104"/>
    </row>
    <row r="929">
      <c r="A929" s="132"/>
      <c r="B929" s="132"/>
      <c r="C929" s="132"/>
      <c r="D929" s="132"/>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c r="AC929" s="133"/>
      <c r="AD929" s="133"/>
      <c r="AE929" s="133"/>
      <c r="AF929" s="133"/>
      <c r="AG929" s="133"/>
      <c r="AH929" s="133"/>
      <c r="AI929" s="133"/>
      <c r="AJ929" s="133"/>
      <c r="AK929" s="133"/>
      <c r="AL929" s="132"/>
      <c r="AM929" s="132"/>
      <c r="AN929" s="164"/>
      <c r="AO929" s="104"/>
      <c r="AP929" s="104"/>
    </row>
    <row r="930">
      <c r="A930" s="132"/>
      <c r="B930" s="132"/>
      <c r="C930" s="132"/>
      <c r="D930" s="132"/>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c r="AA930" s="133"/>
      <c r="AB930" s="133"/>
      <c r="AC930" s="133"/>
      <c r="AD930" s="133"/>
      <c r="AE930" s="133"/>
      <c r="AF930" s="133"/>
      <c r="AG930" s="133"/>
      <c r="AH930" s="133"/>
      <c r="AI930" s="133"/>
      <c r="AJ930" s="133"/>
      <c r="AK930" s="133"/>
      <c r="AL930" s="132"/>
      <c r="AM930" s="132"/>
      <c r="AN930" s="164"/>
      <c r="AO930" s="104"/>
      <c r="AP930" s="104"/>
    </row>
    <row r="931">
      <c r="A931" s="132"/>
      <c r="B931" s="132"/>
      <c r="C931" s="132"/>
      <c r="D931" s="132"/>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c r="AA931" s="133"/>
      <c r="AB931" s="133"/>
      <c r="AC931" s="133"/>
      <c r="AD931" s="133"/>
      <c r="AE931" s="133"/>
      <c r="AF931" s="133"/>
      <c r="AG931" s="133"/>
      <c r="AH931" s="133"/>
      <c r="AI931" s="133"/>
      <c r="AJ931" s="133"/>
      <c r="AK931" s="133"/>
      <c r="AL931" s="132"/>
      <c r="AM931" s="132"/>
      <c r="AN931" s="164"/>
      <c r="AO931" s="104"/>
      <c r="AP931" s="104"/>
    </row>
    <row r="932">
      <c r="A932" s="132"/>
      <c r="B932" s="132"/>
      <c r="C932" s="132"/>
      <c r="D932" s="132"/>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c r="AA932" s="133"/>
      <c r="AB932" s="133"/>
      <c r="AC932" s="133"/>
      <c r="AD932" s="133"/>
      <c r="AE932" s="133"/>
      <c r="AF932" s="133"/>
      <c r="AG932" s="133"/>
      <c r="AH932" s="133"/>
      <c r="AI932" s="133"/>
      <c r="AJ932" s="133"/>
      <c r="AK932" s="133"/>
      <c r="AL932" s="132"/>
      <c r="AM932" s="132"/>
      <c r="AN932" s="164"/>
      <c r="AO932" s="104"/>
      <c r="AP932" s="104"/>
    </row>
    <row r="933">
      <c r="A933" s="132"/>
      <c r="B933" s="132"/>
      <c r="C933" s="132"/>
      <c r="D933" s="132"/>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c r="AA933" s="133"/>
      <c r="AB933" s="133"/>
      <c r="AC933" s="133"/>
      <c r="AD933" s="133"/>
      <c r="AE933" s="133"/>
      <c r="AF933" s="133"/>
      <c r="AG933" s="133"/>
      <c r="AH933" s="133"/>
      <c r="AI933" s="133"/>
      <c r="AJ933" s="133"/>
      <c r="AK933" s="133"/>
      <c r="AL933" s="132"/>
      <c r="AM933" s="132"/>
      <c r="AN933" s="164"/>
      <c r="AO933" s="104"/>
      <c r="AP933" s="104"/>
    </row>
    <row r="934">
      <c r="A934" s="132"/>
      <c r="B934" s="132"/>
      <c r="C934" s="132"/>
      <c r="D934" s="132"/>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c r="AA934" s="133"/>
      <c r="AB934" s="133"/>
      <c r="AC934" s="133"/>
      <c r="AD934" s="133"/>
      <c r="AE934" s="133"/>
      <c r="AF934" s="133"/>
      <c r="AG934" s="133"/>
      <c r="AH934" s="133"/>
      <c r="AI934" s="133"/>
      <c r="AJ934" s="133"/>
      <c r="AK934" s="133"/>
      <c r="AL934" s="132"/>
      <c r="AM934" s="132"/>
      <c r="AN934" s="164"/>
      <c r="AO934" s="104"/>
      <c r="AP934" s="104"/>
    </row>
    <row r="935">
      <c r="A935" s="132"/>
      <c r="B935" s="132"/>
      <c r="C935" s="132"/>
      <c r="D935" s="132"/>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c r="AA935" s="133"/>
      <c r="AB935" s="133"/>
      <c r="AC935" s="133"/>
      <c r="AD935" s="133"/>
      <c r="AE935" s="133"/>
      <c r="AF935" s="133"/>
      <c r="AG935" s="133"/>
      <c r="AH935" s="133"/>
      <c r="AI935" s="133"/>
      <c r="AJ935" s="133"/>
      <c r="AK935" s="133"/>
      <c r="AL935" s="132"/>
      <c r="AM935" s="132"/>
      <c r="AN935" s="164"/>
      <c r="AO935" s="104"/>
      <c r="AP935" s="104"/>
    </row>
    <row r="936">
      <c r="A936" s="132"/>
      <c r="B936" s="132"/>
      <c r="C936" s="132"/>
      <c r="D936" s="132"/>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c r="AA936" s="133"/>
      <c r="AB936" s="133"/>
      <c r="AC936" s="133"/>
      <c r="AD936" s="133"/>
      <c r="AE936" s="133"/>
      <c r="AF936" s="133"/>
      <c r="AG936" s="133"/>
      <c r="AH936" s="133"/>
      <c r="AI936" s="133"/>
      <c r="AJ936" s="133"/>
      <c r="AK936" s="133"/>
      <c r="AL936" s="132"/>
      <c r="AM936" s="132"/>
      <c r="AN936" s="164"/>
      <c r="AO936" s="104"/>
      <c r="AP936" s="104"/>
    </row>
    <row r="937">
      <c r="A937" s="132"/>
      <c r="B937" s="132"/>
      <c r="C937" s="132"/>
      <c r="D937" s="132"/>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c r="AA937" s="133"/>
      <c r="AB937" s="133"/>
      <c r="AC937" s="133"/>
      <c r="AD937" s="133"/>
      <c r="AE937" s="133"/>
      <c r="AF937" s="133"/>
      <c r="AG937" s="133"/>
      <c r="AH937" s="133"/>
      <c r="AI937" s="133"/>
      <c r="AJ937" s="133"/>
      <c r="AK937" s="133"/>
      <c r="AL937" s="132"/>
      <c r="AM937" s="132"/>
      <c r="AN937" s="164"/>
      <c r="AO937" s="104"/>
      <c r="AP937" s="104"/>
    </row>
    <row r="938">
      <c r="A938" s="132"/>
      <c r="B938" s="132"/>
      <c r="C938" s="132"/>
      <c r="D938" s="132"/>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c r="AC938" s="133"/>
      <c r="AD938" s="133"/>
      <c r="AE938" s="133"/>
      <c r="AF938" s="133"/>
      <c r="AG938" s="133"/>
      <c r="AH938" s="133"/>
      <c r="AI938" s="133"/>
      <c r="AJ938" s="133"/>
      <c r="AK938" s="133"/>
      <c r="AL938" s="132"/>
      <c r="AM938" s="132"/>
      <c r="AN938" s="164"/>
      <c r="AO938" s="104"/>
      <c r="AP938" s="104"/>
    </row>
    <row r="939">
      <c r="A939" s="132"/>
      <c r="B939" s="132"/>
      <c r="C939" s="132"/>
      <c r="D939" s="132"/>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c r="AA939" s="133"/>
      <c r="AB939" s="133"/>
      <c r="AC939" s="133"/>
      <c r="AD939" s="133"/>
      <c r="AE939" s="133"/>
      <c r="AF939" s="133"/>
      <c r="AG939" s="133"/>
      <c r="AH939" s="133"/>
      <c r="AI939" s="133"/>
      <c r="AJ939" s="133"/>
      <c r="AK939" s="133"/>
      <c r="AL939" s="132"/>
      <c r="AM939" s="132"/>
      <c r="AN939" s="164"/>
      <c r="AO939" s="104"/>
      <c r="AP939" s="104"/>
    </row>
    <row r="940">
      <c r="A940" s="132"/>
      <c r="B940" s="132"/>
      <c r="C940" s="132"/>
      <c r="D940" s="132"/>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c r="AC940" s="133"/>
      <c r="AD940" s="133"/>
      <c r="AE940" s="133"/>
      <c r="AF940" s="133"/>
      <c r="AG940" s="133"/>
      <c r="AH940" s="133"/>
      <c r="AI940" s="133"/>
      <c r="AJ940" s="133"/>
      <c r="AK940" s="133"/>
      <c r="AL940" s="132"/>
      <c r="AM940" s="132"/>
      <c r="AN940" s="164"/>
      <c r="AO940" s="104"/>
      <c r="AP940" s="104"/>
    </row>
    <row r="941">
      <c r="A941" s="132"/>
      <c r="B941" s="132"/>
      <c r="C941" s="132"/>
      <c r="D941" s="132"/>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c r="AA941" s="133"/>
      <c r="AB941" s="133"/>
      <c r="AC941" s="133"/>
      <c r="AD941" s="133"/>
      <c r="AE941" s="133"/>
      <c r="AF941" s="133"/>
      <c r="AG941" s="133"/>
      <c r="AH941" s="133"/>
      <c r="AI941" s="133"/>
      <c r="AJ941" s="133"/>
      <c r="AK941" s="133"/>
      <c r="AL941" s="132"/>
      <c r="AM941" s="132"/>
      <c r="AN941" s="164"/>
      <c r="AO941" s="104"/>
      <c r="AP941" s="104"/>
    </row>
    <row r="942">
      <c r="A942" s="132"/>
      <c r="B942" s="132"/>
      <c r="C942" s="132"/>
      <c r="D942" s="132"/>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c r="AA942" s="133"/>
      <c r="AB942" s="133"/>
      <c r="AC942" s="133"/>
      <c r="AD942" s="133"/>
      <c r="AE942" s="133"/>
      <c r="AF942" s="133"/>
      <c r="AG942" s="133"/>
      <c r="AH942" s="133"/>
      <c r="AI942" s="133"/>
      <c r="AJ942" s="133"/>
      <c r="AK942" s="133"/>
      <c r="AL942" s="132"/>
      <c r="AM942" s="132"/>
      <c r="AN942" s="164"/>
      <c r="AO942" s="104"/>
      <c r="AP942" s="104"/>
    </row>
    <row r="943">
      <c r="A943" s="132"/>
      <c r="B943" s="132"/>
      <c r="C943" s="132"/>
      <c r="D943" s="132"/>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c r="AA943" s="133"/>
      <c r="AB943" s="133"/>
      <c r="AC943" s="133"/>
      <c r="AD943" s="133"/>
      <c r="AE943" s="133"/>
      <c r="AF943" s="133"/>
      <c r="AG943" s="133"/>
      <c r="AH943" s="133"/>
      <c r="AI943" s="133"/>
      <c r="AJ943" s="133"/>
      <c r="AK943" s="133"/>
      <c r="AL943" s="132"/>
      <c r="AM943" s="132"/>
      <c r="AN943" s="164"/>
      <c r="AO943" s="104"/>
      <c r="AP943" s="104"/>
    </row>
    <row r="944">
      <c r="A944" s="132"/>
      <c r="B944" s="132"/>
      <c r="C944" s="132"/>
      <c r="D944" s="132"/>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c r="AA944" s="133"/>
      <c r="AB944" s="133"/>
      <c r="AC944" s="133"/>
      <c r="AD944" s="133"/>
      <c r="AE944" s="133"/>
      <c r="AF944" s="133"/>
      <c r="AG944" s="133"/>
      <c r="AH944" s="133"/>
      <c r="AI944" s="133"/>
      <c r="AJ944" s="133"/>
      <c r="AK944" s="133"/>
      <c r="AL944" s="132"/>
      <c r="AM944" s="132"/>
      <c r="AN944" s="164"/>
      <c r="AO944" s="104"/>
      <c r="AP944" s="104"/>
    </row>
    <row r="945">
      <c r="A945" s="132"/>
      <c r="B945" s="132"/>
      <c r="C945" s="132"/>
      <c r="D945" s="132"/>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c r="AA945" s="133"/>
      <c r="AB945" s="133"/>
      <c r="AC945" s="133"/>
      <c r="AD945" s="133"/>
      <c r="AE945" s="133"/>
      <c r="AF945" s="133"/>
      <c r="AG945" s="133"/>
      <c r="AH945" s="133"/>
      <c r="AI945" s="133"/>
      <c r="AJ945" s="133"/>
      <c r="AK945" s="133"/>
      <c r="AL945" s="132"/>
      <c r="AM945" s="132"/>
      <c r="AN945" s="164"/>
      <c r="AO945" s="104"/>
      <c r="AP945" s="104"/>
    </row>
    <row r="946">
      <c r="A946" s="132"/>
      <c r="B946" s="132"/>
      <c r="C946" s="132"/>
      <c r="D946" s="132"/>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c r="AA946" s="133"/>
      <c r="AB946" s="133"/>
      <c r="AC946" s="133"/>
      <c r="AD946" s="133"/>
      <c r="AE946" s="133"/>
      <c r="AF946" s="133"/>
      <c r="AG946" s="133"/>
      <c r="AH946" s="133"/>
      <c r="AI946" s="133"/>
      <c r="AJ946" s="133"/>
      <c r="AK946" s="133"/>
      <c r="AL946" s="132"/>
      <c r="AM946" s="132"/>
      <c r="AN946" s="164"/>
      <c r="AO946" s="104"/>
      <c r="AP946" s="104"/>
    </row>
    <row r="947">
      <c r="A947" s="132"/>
      <c r="B947" s="132"/>
      <c r="C947" s="132"/>
      <c r="D947" s="132"/>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c r="AA947" s="133"/>
      <c r="AB947" s="133"/>
      <c r="AC947" s="133"/>
      <c r="AD947" s="133"/>
      <c r="AE947" s="133"/>
      <c r="AF947" s="133"/>
      <c r="AG947" s="133"/>
      <c r="AH947" s="133"/>
      <c r="AI947" s="133"/>
      <c r="AJ947" s="133"/>
      <c r="AK947" s="133"/>
      <c r="AL947" s="132"/>
      <c r="AM947" s="132"/>
      <c r="AN947" s="164"/>
      <c r="AO947" s="104"/>
      <c r="AP947" s="104"/>
    </row>
    <row r="948">
      <c r="A948" s="132"/>
      <c r="B948" s="132"/>
      <c r="C948" s="132"/>
      <c r="D948" s="132"/>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c r="AA948" s="133"/>
      <c r="AB948" s="133"/>
      <c r="AC948" s="133"/>
      <c r="AD948" s="133"/>
      <c r="AE948" s="133"/>
      <c r="AF948" s="133"/>
      <c r="AG948" s="133"/>
      <c r="AH948" s="133"/>
      <c r="AI948" s="133"/>
      <c r="AJ948" s="133"/>
      <c r="AK948" s="133"/>
      <c r="AL948" s="132"/>
      <c r="AM948" s="132"/>
      <c r="AN948" s="164"/>
      <c r="AO948" s="104"/>
      <c r="AP948" s="104"/>
    </row>
    <row r="949">
      <c r="A949" s="132"/>
      <c r="B949" s="132"/>
      <c r="C949" s="132"/>
      <c r="D949" s="132"/>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c r="AA949" s="133"/>
      <c r="AB949" s="133"/>
      <c r="AC949" s="133"/>
      <c r="AD949" s="133"/>
      <c r="AE949" s="133"/>
      <c r="AF949" s="133"/>
      <c r="AG949" s="133"/>
      <c r="AH949" s="133"/>
      <c r="AI949" s="133"/>
      <c r="AJ949" s="133"/>
      <c r="AK949" s="133"/>
      <c r="AL949" s="132"/>
      <c r="AM949" s="132"/>
      <c r="AN949" s="164"/>
      <c r="AO949" s="104"/>
      <c r="AP949" s="104"/>
    </row>
    <row r="950">
      <c r="A950" s="132"/>
      <c r="B950" s="132"/>
      <c r="C950" s="132"/>
      <c r="D950" s="132"/>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c r="AA950" s="133"/>
      <c r="AB950" s="133"/>
      <c r="AC950" s="133"/>
      <c r="AD950" s="133"/>
      <c r="AE950" s="133"/>
      <c r="AF950" s="133"/>
      <c r="AG950" s="133"/>
      <c r="AH950" s="133"/>
      <c r="AI950" s="133"/>
      <c r="AJ950" s="133"/>
      <c r="AK950" s="133"/>
      <c r="AL950" s="132"/>
      <c r="AM950" s="132"/>
      <c r="AN950" s="164"/>
      <c r="AO950" s="104"/>
      <c r="AP950" s="104"/>
    </row>
    <row r="951">
      <c r="A951" s="132"/>
      <c r="B951" s="132"/>
      <c r="C951" s="132"/>
      <c r="D951" s="132"/>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c r="AA951" s="133"/>
      <c r="AB951" s="133"/>
      <c r="AC951" s="133"/>
      <c r="AD951" s="133"/>
      <c r="AE951" s="133"/>
      <c r="AF951" s="133"/>
      <c r="AG951" s="133"/>
      <c r="AH951" s="133"/>
      <c r="AI951" s="133"/>
      <c r="AJ951" s="133"/>
      <c r="AK951" s="133"/>
      <c r="AL951" s="132"/>
      <c r="AM951" s="132"/>
      <c r="AN951" s="164"/>
      <c r="AO951" s="104"/>
      <c r="AP951" s="104"/>
    </row>
    <row r="952">
      <c r="A952" s="132"/>
      <c r="B952" s="132"/>
      <c r="C952" s="132"/>
      <c r="D952" s="132"/>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c r="AA952" s="133"/>
      <c r="AB952" s="133"/>
      <c r="AC952" s="133"/>
      <c r="AD952" s="133"/>
      <c r="AE952" s="133"/>
      <c r="AF952" s="133"/>
      <c r="AG952" s="133"/>
      <c r="AH952" s="133"/>
      <c r="AI952" s="133"/>
      <c r="AJ952" s="133"/>
      <c r="AK952" s="133"/>
      <c r="AL952" s="132"/>
      <c r="AM952" s="132"/>
      <c r="AN952" s="164"/>
      <c r="AO952" s="104"/>
      <c r="AP952" s="104"/>
    </row>
    <row r="953">
      <c r="A953" s="132"/>
      <c r="B953" s="132"/>
      <c r="C953" s="132"/>
      <c r="D953" s="132"/>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c r="AA953" s="133"/>
      <c r="AB953" s="133"/>
      <c r="AC953" s="133"/>
      <c r="AD953" s="133"/>
      <c r="AE953" s="133"/>
      <c r="AF953" s="133"/>
      <c r="AG953" s="133"/>
      <c r="AH953" s="133"/>
      <c r="AI953" s="133"/>
      <c r="AJ953" s="133"/>
      <c r="AK953" s="133"/>
      <c r="AL953" s="132"/>
      <c r="AM953" s="132"/>
      <c r="AN953" s="164"/>
      <c r="AO953" s="104"/>
      <c r="AP953" s="104"/>
    </row>
    <row r="954">
      <c r="A954" s="132"/>
      <c r="B954" s="132"/>
      <c r="C954" s="132"/>
      <c r="D954" s="132"/>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c r="AA954" s="133"/>
      <c r="AB954" s="133"/>
      <c r="AC954" s="133"/>
      <c r="AD954" s="133"/>
      <c r="AE954" s="133"/>
      <c r="AF954" s="133"/>
      <c r="AG954" s="133"/>
      <c r="AH954" s="133"/>
      <c r="AI954" s="133"/>
      <c r="AJ954" s="133"/>
      <c r="AK954" s="133"/>
      <c r="AL954" s="132"/>
      <c r="AM954" s="132"/>
      <c r="AN954" s="164"/>
      <c r="AO954" s="104"/>
      <c r="AP954" s="104"/>
    </row>
    <row r="955">
      <c r="A955" s="132"/>
      <c r="B955" s="132"/>
      <c r="C955" s="132"/>
      <c r="D955" s="132"/>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c r="AA955" s="133"/>
      <c r="AB955" s="133"/>
      <c r="AC955" s="133"/>
      <c r="AD955" s="133"/>
      <c r="AE955" s="133"/>
      <c r="AF955" s="133"/>
      <c r="AG955" s="133"/>
      <c r="AH955" s="133"/>
      <c r="AI955" s="133"/>
      <c r="AJ955" s="133"/>
      <c r="AK955" s="133"/>
      <c r="AL955" s="132"/>
      <c r="AM955" s="132"/>
      <c r="AN955" s="164"/>
      <c r="AO955" s="104"/>
      <c r="AP955" s="104"/>
    </row>
    <row r="956">
      <c r="A956" s="132"/>
      <c r="B956" s="132"/>
      <c r="C956" s="132"/>
      <c r="D956" s="132"/>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c r="AA956" s="133"/>
      <c r="AB956" s="133"/>
      <c r="AC956" s="133"/>
      <c r="AD956" s="133"/>
      <c r="AE956" s="133"/>
      <c r="AF956" s="133"/>
      <c r="AG956" s="133"/>
      <c r="AH956" s="133"/>
      <c r="AI956" s="133"/>
      <c r="AJ956" s="133"/>
      <c r="AK956" s="133"/>
      <c r="AL956" s="132"/>
      <c r="AM956" s="132"/>
      <c r="AN956" s="164"/>
      <c r="AO956" s="104"/>
      <c r="AP956" s="104"/>
    </row>
    <row r="957">
      <c r="A957" s="132"/>
      <c r="B957" s="132"/>
      <c r="C957" s="132"/>
      <c r="D957" s="132"/>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c r="AA957" s="133"/>
      <c r="AB957" s="133"/>
      <c r="AC957" s="133"/>
      <c r="AD957" s="133"/>
      <c r="AE957" s="133"/>
      <c r="AF957" s="133"/>
      <c r="AG957" s="133"/>
      <c r="AH957" s="133"/>
      <c r="AI957" s="133"/>
      <c r="AJ957" s="133"/>
      <c r="AK957" s="133"/>
      <c r="AL957" s="132"/>
      <c r="AM957" s="132"/>
      <c r="AN957" s="164"/>
      <c r="AO957" s="104"/>
      <c r="AP957" s="104"/>
    </row>
    <row r="958">
      <c r="A958" s="132"/>
      <c r="B958" s="132"/>
      <c r="C958" s="132"/>
      <c r="D958" s="132"/>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c r="AA958" s="133"/>
      <c r="AB958" s="133"/>
      <c r="AC958" s="133"/>
      <c r="AD958" s="133"/>
      <c r="AE958" s="133"/>
      <c r="AF958" s="133"/>
      <c r="AG958" s="133"/>
      <c r="AH958" s="133"/>
      <c r="AI958" s="133"/>
      <c r="AJ958" s="133"/>
      <c r="AK958" s="133"/>
      <c r="AL958" s="132"/>
      <c r="AM958" s="132"/>
      <c r="AN958" s="164"/>
      <c r="AO958" s="104"/>
      <c r="AP958" s="104"/>
    </row>
    <row r="959">
      <c r="A959" s="132"/>
      <c r="B959" s="132"/>
      <c r="C959" s="132"/>
      <c r="D959" s="132"/>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c r="AA959" s="133"/>
      <c r="AB959" s="133"/>
      <c r="AC959" s="133"/>
      <c r="AD959" s="133"/>
      <c r="AE959" s="133"/>
      <c r="AF959" s="133"/>
      <c r="AG959" s="133"/>
      <c r="AH959" s="133"/>
      <c r="AI959" s="133"/>
      <c r="AJ959" s="133"/>
      <c r="AK959" s="133"/>
      <c r="AL959" s="132"/>
      <c r="AM959" s="132"/>
      <c r="AN959" s="164"/>
      <c r="AO959" s="104"/>
      <c r="AP959" s="104"/>
    </row>
    <row r="960">
      <c r="A960" s="132"/>
      <c r="B960" s="132"/>
      <c r="C960" s="132"/>
      <c r="D960" s="132"/>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c r="AA960" s="133"/>
      <c r="AB960" s="133"/>
      <c r="AC960" s="133"/>
      <c r="AD960" s="133"/>
      <c r="AE960" s="133"/>
      <c r="AF960" s="133"/>
      <c r="AG960" s="133"/>
      <c r="AH960" s="133"/>
      <c r="AI960" s="133"/>
      <c r="AJ960" s="133"/>
      <c r="AK960" s="133"/>
      <c r="AL960" s="132"/>
      <c r="AM960" s="132"/>
      <c r="AN960" s="164"/>
      <c r="AO960" s="104"/>
      <c r="AP960" s="104"/>
    </row>
    <row r="961">
      <c r="A961" s="132"/>
      <c r="B961" s="132"/>
      <c r="C961" s="132"/>
      <c r="D961" s="132"/>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c r="AA961" s="133"/>
      <c r="AB961" s="133"/>
      <c r="AC961" s="133"/>
      <c r="AD961" s="133"/>
      <c r="AE961" s="133"/>
      <c r="AF961" s="133"/>
      <c r="AG961" s="133"/>
      <c r="AH961" s="133"/>
      <c r="AI961" s="133"/>
      <c r="AJ961" s="133"/>
      <c r="AK961" s="133"/>
      <c r="AL961" s="132"/>
      <c r="AM961" s="132"/>
      <c r="AN961" s="164"/>
      <c r="AO961" s="104"/>
      <c r="AP961" s="104"/>
    </row>
    <row r="962">
      <c r="A962" s="132"/>
      <c r="B962" s="132"/>
      <c r="C962" s="132"/>
      <c r="D962" s="132"/>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c r="AA962" s="133"/>
      <c r="AB962" s="133"/>
      <c r="AC962" s="133"/>
      <c r="AD962" s="133"/>
      <c r="AE962" s="133"/>
      <c r="AF962" s="133"/>
      <c r="AG962" s="133"/>
      <c r="AH962" s="133"/>
      <c r="AI962" s="133"/>
      <c r="AJ962" s="133"/>
      <c r="AK962" s="133"/>
      <c r="AL962" s="132"/>
      <c r="AM962" s="132"/>
      <c r="AN962" s="164"/>
      <c r="AO962" s="104"/>
      <c r="AP962" s="104"/>
    </row>
    <row r="963">
      <c r="A963" s="132"/>
      <c r="B963" s="132"/>
      <c r="C963" s="132"/>
      <c r="D963" s="132"/>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c r="AA963" s="133"/>
      <c r="AB963" s="133"/>
      <c r="AC963" s="133"/>
      <c r="AD963" s="133"/>
      <c r="AE963" s="133"/>
      <c r="AF963" s="133"/>
      <c r="AG963" s="133"/>
      <c r="AH963" s="133"/>
      <c r="AI963" s="133"/>
      <c r="AJ963" s="133"/>
      <c r="AK963" s="133"/>
      <c r="AL963" s="132"/>
      <c r="AM963" s="132"/>
      <c r="AN963" s="164"/>
      <c r="AO963" s="104"/>
      <c r="AP963" s="104"/>
    </row>
    <row r="964">
      <c r="A964" s="132"/>
      <c r="B964" s="132"/>
      <c r="C964" s="132"/>
      <c r="D964" s="132"/>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c r="AA964" s="133"/>
      <c r="AB964" s="133"/>
      <c r="AC964" s="133"/>
      <c r="AD964" s="133"/>
      <c r="AE964" s="133"/>
      <c r="AF964" s="133"/>
      <c r="AG964" s="133"/>
      <c r="AH964" s="133"/>
      <c r="AI964" s="133"/>
      <c r="AJ964" s="133"/>
      <c r="AK964" s="133"/>
      <c r="AL964" s="132"/>
      <c r="AM964" s="132"/>
      <c r="AN964" s="164"/>
      <c r="AO964" s="104"/>
      <c r="AP964" s="104"/>
    </row>
    <row r="965">
      <c r="A965" s="132"/>
      <c r="B965" s="132"/>
      <c r="C965" s="132"/>
      <c r="D965" s="132"/>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c r="AA965" s="133"/>
      <c r="AB965" s="133"/>
      <c r="AC965" s="133"/>
      <c r="AD965" s="133"/>
      <c r="AE965" s="133"/>
      <c r="AF965" s="133"/>
      <c r="AG965" s="133"/>
      <c r="AH965" s="133"/>
      <c r="AI965" s="133"/>
      <c r="AJ965" s="133"/>
      <c r="AK965" s="133"/>
      <c r="AL965" s="132"/>
      <c r="AM965" s="132"/>
      <c r="AN965" s="164"/>
      <c r="AO965" s="104"/>
      <c r="AP965" s="104"/>
    </row>
    <row r="966">
      <c r="A966" s="132"/>
      <c r="B966" s="132"/>
      <c r="C966" s="132"/>
      <c r="D966" s="132"/>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c r="AA966" s="133"/>
      <c r="AB966" s="133"/>
      <c r="AC966" s="133"/>
      <c r="AD966" s="133"/>
      <c r="AE966" s="133"/>
      <c r="AF966" s="133"/>
      <c r="AG966" s="133"/>
      <c r="AH966" s="133"/>
      <c r="AI966" s="133"/>
      <c r="AJ966" s="133"/>
      <c r="AK966" s="133"/>
      <c r="AL966" s="132"/>
      <c r="AM966" s="132"/>
      <c r="AN966" s="164"/>
      <c r="AO966" s="104"/>
      <c r="AP966" s="104"/>
    </row>
    <row r="967">
      <c r="A967" s="132"/>
      <c r="B967" s="132"/>
      <c r="C967" s="132"/>
      <c r="D967" s="132"/>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c r="AA967" s="133"/>
      <c r="AB967" s="133"/>
      <c r="AC967" s="133"/>
      <c r="AD967" s="133"/>
      <c r="AE967" s="133"/>
      <c r="AF967" s="133"/>
      <c r="AG967" s="133"/>
      <c r="AH967" s="133"/>
      <c r="AI967" s="133"/>
      <c r="AJ967" s="133"/>
      <c r="AK967" s="133"/>
      <c r="AL967" s="132"/>
      <c r="AM967" s="132"/>
      <c r="AN967" s="164"/>
      <c r="AO967" s="104"/>
      <c r="AP967" s="104"/>
    </row>
    <row r="968">
      <c r="A968" s="132"/>
      <c r="B968" s="132"/>
      <c r="C968" s="132"/>
      <c r="D968" s="132"/>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c r="AA968" s="133"/>
      <c r="AB968" s="133"/>
      <c r="AC968" s="133"/>
      <c r="AD968" s="133"/>
      <c r="AE968" s="133"/>
      <c r="AF968" s="133"/>
      <c r="AG968" s="133"/>
      <c r="AH968" s="133"/>
      <c r="AI968" s="133"/>
      <c r="AJ968" s="133"/>
      <c r="AK968" s="133"/>
      <c r="AL968" s="132"/>
      <c r="AM968" s="132"/>
      <c r="AN968" s="164"/>
      <c r="AO968" s="104"/>
      <c r="AP968" s="104"/>
    </row>
    <row r="969">
      <c r="A969" s="132"/>
      <c r="B969" s="132"/>
      <c r="C969" s="132"/>
      <c r="D969" s="132"/>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c r="AA969" s="133"/>
      <c r="AB969" s="133"/>
      <c r="AC969" s="133"/>
      <c r="AD969" s="133"/>
      <c r="AE969" s="133"/>
      <c r="AF969" s="133"/>
      <c r="AG969" s="133"/>
      <c r="AH969" s="133"/>
      <c r="AI969" s="133"/>
      <c r="AJ969" s="133"/>
      <c r="AK969" s="133"/>
      <c r="AL969" s="132"/>
      <c r="AM969" s="132"/>
      <c r="AN969" s="164"/>
      <c r="AO969" s="104"/>
      <c r="AP969" s="104"/>
    </row>
    <row r="970">
      <c r="A970" s="132"/>
      <c r="B970" s="132"/>
      <c r="C970" s="132"/>
      <c r="D970" s="132"/>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c r="AA970" s="133"/>
      <c r="AB970" s="133"/>
      <c r="AC970" s="133"/>
      <c r="AD970" s="133"/>
      <c r="AE970" s="133"/>
      <c r="AF970" s="133"/>
      <c r="AG970" s="133"/>
      <c r="AH970" s="133"/>
      <c r="AI970" s="133"/>
      <c r="AJ970" s="133"/>
      <c r="AK970" s="133"/>
      <c r="AL970" s="132"/>
      <c r="AM970" s="132"/>
      <c r="AN970" s="164"/>
      <c r="AO970" s="104"/>
      <c r="AP970" s="104"/>
    </row>
    <row r="971">
      <c r="A971" s="132"/>
      <c r="B971" s="132"/>
      <c r="C971" s="132"/>
      <c r="D971" s="132"/>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c r="AA971" s="133"/>
      <c r="AB971" s="133"/>
      <c r="AC971" s="133"/>
      <c r="AD971" s="133"/>
      <c r="AE971" s="133"/>
      <c r="AF971" s="133"/>
      <c r="AG971" s="133"/>
      <c r="AH971" s="133"/>
      <c r="AI971" s="133"/>
      <c r="AJ971" s="133"/>
      <c r="AK971" s="133"/>
      <c r="AL971" s="132"/>
      <c r="AM971" s="132"/>
      <c r="AN971" s="164"/>
      <c r="AO971" s="104"/>
      <c r="AP971" s="104"/>
    </row>
    <row r="972">
      <c r="A972" s="132"/>
      <c r="B972" s="132"/>
      <c r="C972" s="132"/>
      <c r="D972" s="132"/>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c r="AA972" s="133"/>
      <c r="AB972" s="133"/>
      <c r="AC972" s="133"/>
      <c r="AD972" s="133"/>
      <c r="AE972" s="133"/>
      <c r="AF972" s="133"/>
      <c r="AG972" s="133"/>
      <c r="AH972" s="133"/>
      <c r="AI972" s="133"/>
      <c r="AJ972" s="133"/>
      <c r="AK972" s="133"/>
      <c r="AL972" s="132"/>
      <c r="AM972" s="132"/>
      <c r="AN972" s="164"/>
      <c r="AO972" s="104"/>
      <c r="AP972" s="104"/>
    </row>
    <row r="973">
      <c r="A973" s="132"/>
      <c r="B973" s="132"/>
      <c r="C973" s="132"/>
      <c r="D973" s="132"/>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c r="AA973" s="133"/>
      <c r="AB973" s="133"/>
      <c r="AC973" s="133"/>
      <c r="AD973" s="133"/>
      <c r="AE973" s="133"/>
      <c r="AF973" s="133"/>
      <c r="AG973" s="133"/>
      <c r="AH973" s="133"/>
      <c r="AI973" s="133"/>
      <c r="AJ973" s="133"/>
      <c r="AK973" s="133"/>
      <c r="AL973" s="132"/>
      <c r="AM973" s="132"/>
      <c r="AN973" s="164"/>
      <c r="AO973" s="104"/>
      <c r="AP973" s="104"/>
    </row>
    <row r="974">
      <c r="A974" s="132"/>
      <c r="B974" s="132"/>
      <c r="C974" s="132"/>
      <c r="D974" s="132"/>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c r="AA974" s="133"/>
      <c r="AB974" s="133"/>
      <c r="AC974" s="133"/>
      <c r="AD974" s="133"/>
      <c r="AE974" s="133"/>
      <c r="AF974" s="133"/>
      <c r="AG974" s="133"/>
      <c r="AH974" s="133"/>
      <c r="AI974" s="133"/>
      <c r="AJ974" s="133"/>
      <c r="AK974" s="133"/>
      <c r="AL974" s="132"/>
      <c r="AM974" s="132"/>
      <c r="AN974" s="164"/>
      <c r="AO974" s="104"/>
      <c r="AP974" s="104"/>
    </row>
    <row r="975">
      <c r="A975" s="132"/>
      <c r="B975" s="132"/>
      <c r="C975" s="132"/>
      <c r="D975" s="132"/>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c r="AA975" s="133"/>
      <c r="AB975" s="133"/>
      <c r="AC975" s="133"/>
      <c r="AD975" s="133"/>
      <c r="AE975" s="133"/>
      <c r="AF975" s="133"/>
      <c r="AG975" s="133"/>
      <c r="AH975" s="133"/>
      <c r="AI975" s="133"/>
      <c r="AJ975" s="133"/>
      <c r="AK975" s="133"/>
      <c r="AL975" s="132"/>
      <c r="AM975" s="132"/>
      <c r="AN975" s="164"/>
      <c r="AO975" s="104"/>
      <c r="AP975" s="104"/>
    </row>
    <row r="976">
      <c r="A976" s="132"/>
      <c r="B976" s="132"/>
      <c r="C976" s="132"/>
      <c r="D976" s="132"/>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c r="AA976" s="133"/>
      <c r="AB976" s="133"/>
      <c r="AC976" s="133"/>
      <c r="AD976" s="133"/>
      <c r="AE976" s="133"/>
      <c r="AF976" s="133"/>
      <c r="AG976" s="133"/>
      <c r="AH976" s="133"/>
      <c r="AI976" s="133"/>
      <c r="AJ976" s="133"/>
      <c r="AK976" s="133"/>
      <c r="AL976" s="132"/>
      <c r="AM976" s="132"/>
      <c r="AN976" s="164"/>
      <c r="AO976" s="104"/>
      <c r="AP976" s="104"/>
    </row>
    <row r="977">
      <c r="A977" s="132"/>
      <c r="B977" s="132"/>
      <c r="C977" s="132"/>
      <c r="D977" s="132"/>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c r="AA977" s="133"/>
      <c r="AB977" s="133"/>
      <c r="AC977" s="133"/>
      <c r="AD977" s="133"/>
      <c r="AE977" s="133"/>
      <c r="AF977" s="133"/>
      <c r="AG977" s="133"/>
      <c r="AH977" s="133"/>
      <c r="AI977" s="133"/>
      <c r="AJ977" s="133"/>
      <c r="AK977" s="133"/>
      <c r="AL977" s="132"/>
      <c r="AM977" s="132"/>
      <c r="AN977" s="164"/>
      <c r="AO977" s="104"/>
      <c r="AP977" s="104"/>
    </row>
    <row r="978">
      <c r="A978" s="132"/>
      <c r="B978" s="132"/>
      <c r="C978" s="132"/>
      <c r="D978" s="132"/>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c r="AA978" s="133"/>
      <c r="AB978" s="133"/>
      <c r="AC978" s="133"/>
      <c r="AD978" s="133"/>
      <c r="AE978" s="133"/>
      <c r="AF978" s="133"/>
      <c r="AG978" s="133"/>
      <c r="AH978" s="133"/>
      <c r="AI978" s="133"/>
      <c r="AJ978" s="133"/>
      <c r="AK978" s="133"/>
      <c r="AL978" s="132"/>
      <c r="AM978" s="132"/>
      <c r="AN978" s="164"/>
      <c r="AO978" s="104"/>
      <c r="AP978" s="104"/>
    </row>
    <row r="979">
      <c r="A979" s="132"/>
      <c r="B979" s="132"/>
      <c r="C979" s="132"/>
      <c r="D979" s="132"/>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c r="AA979" s="133"/>
      <c r="AB979" s="133"/>
      <c r="AC979" s="133"/>
      <c r="AD979" s="133"/>
      <c r="AE979" s="133"/>
      <c r="AF979" s="133"/>
      <c r="AG979" s="133"/>
      <c r="AH979" s="133"/>
      <c r="AI979" s="133"/>
      <c r="AJ979" s="133"/>
      <c r="AK979" s="133"/>
      <c r="AL979" s="132"/>
      <c r="AM979" s="132"/>
      <c r="AN979" s="164"/>
      <c r="AO979" s="104"/>
      <c r="AP979" s="104"/>
    </row>
    <row r="980">
      <c r="A980" s="132"/>
      <c r="B980" s="132"/>
      <c r="C980" s="132"/>
      <c r="D980" s="132"/>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c r="AA980" s="133"/>
      <c r="AB980" s="133"/>
      <c r="AC980" s="133"/>
      <c r="AD980" s="133"/>
      <c r="AE980" s="133"/>
      <c r="AF980" s="133"/>
      <c r="AG980" s="133"/>
      <c r="AH980" s="133"/>
      <c r="AI980" s="133"/>
      <c r="AJ980" s="133"/>
      <c r="AK980" s="133"/>
      <c r="AL980" s="132"/>
      <c r="AM980" s="132"/>
      <c r="AN980" s="164"/>
      <c r="AO980" s="104"/>
      <c r="AP980" s="104"/>
    </row>
    <row r="981">
      <c r="A981" s="132"/>
      <c r="B981" s="132"/>
      <c r="C981" s="132"/>
      <c r="D981" s="132"/>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c r="AA981" s="133"/>
      <c r="AB981" s="133"/>
      <c r="AC981" s="133"/>
      <c r="AD981" s="133"/>
      <c r="AE981" s="133"/>
      <c r="AF981" s="133"/>
      <c r="AG981" s="133"/>
      <c r="AH981" s="133"/>
      <c r="AI981" s="133"/>
      <c r="AJ981" s="133"/>
      <c r="AK981" s="133"/>
      <c r="AL981" s="132"/>
      <c r="AM981" s="132"/>
      <c r="AN981" s="164"/>
      <c r="AO981" s="104"/>
      <c r="AP981" s="104"/>
    </row>
    <row r="982">
      <c r="A982" s="132"/>
      <c r="B982" s="132"/>
      <c r="C982" s="132"/>
      <c r="D982" s="132"/>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c r="AA982" s="133"/>
      <c r="AB982" s="133"/>
      <c r="AC982" s="133"/>
      <c r="AD982" s="133"/>
      <c r="AE982" s="133"/>
      <c r="AF982" s="133"/>
      <c r="AG982" s="133"/>
      <c r="AH982" s="133"/>
      <c r="AI982" s="133"/>
      <c r="AJ982" s="133"/>
      <c r="AK982" s="133"/>
      <c r="AL982" s="132"/>
      <c r="AM982" s="132"/>
      <c r="AN982" s="164"/>
      <c r="AO982" s="104"/>
      <c r="AP982" s="104"/>
    </row>
    <row r="983">
      <c r="A983" s="132"/>
      <c r="B983" s="132"/>
      <c r="C983" s="132"/>
      <c r="D983" s="132"/>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c r="AA983" s="133"/>
      <c r="AB983" s="133"/>
      <c r="AC983" s="133"/>
      <c r="AD983" s="133"/>
      <c r="AE983" s="133"/>
      <c r="AF983" s="133"/>
      <c r="AG983" s="133"/>
      <c r="AH983" s="133"/>
      <c r="AI983" s="133"/>
      <c r="AJ983" s="133"/>
      <c r="AK983" s="133"/>
      <c r="AL983" s="132"/>
      <c r="AM983" s="132"/>
      <c r="AN983" s="164"/>
      <c r="AO983" s="104"/>
      <c r="AP983" s="104"/>
    </row>
    <row r="984">
      <c r="A984" s="132"/>
      <c r="B984" s="132"/>
      <c r="C984" s="132"/>
      <c r="D984" s="132"/>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c r="AA984" s="133"/>
      <c r="AB984" s="133"/>
      <c r="AC984" s="133"/>
      <c r="AD984" s="133"/>
      <c r="AE984" s="133"/>
      <c r="AF984" s="133"/>
      <c r="AG984" s="133"/>
      <c r="AH984" s="133"/>
      <c r="AI984" s="133"/>
      <c r="AJ984" s="133"/>
      <c r="AK984" s="133"/>
      <c r="AL984" s="132"/>
      <c r="AM984" s="132"/>
      <c r="AN984" s="164"/>
      <c r="AO984" s="104"/>
      <c r="AP984" s="104"/>
    </row>
    <row r="985">
      <c r="A985" s="132"/>
      <c r="B985" s="132"/>
      <c r="C985" s="132"/>
      <c r="D985" s="132"/>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c r="AA985" s="133"/>
      <c r="AB985" s="133"/>
      <c r="AC985" s="133"/>
      <c r="AD985" s="133"/>
      <c r="AE985" s="133"/>
      <c r="AF985" s="133"/>
      <c r="AG985" s="133"/>
      <c r="AH985" s="133"/>
      <c r="AI985" s="133"/>
      <c r="AJ985" s="133"/>
      <c r="AK985" s="133"/>
      <c r="AL985" s="132"/>
      <c r="AM985" s="132"/>
      <c r="AN985" s="164"/>
      <c r="AO985" s="104"/>
      <c r="AP985" s="104"/>
    </row>
    <row r="986">
      <c r="A986" s="132"/>
      <c r="B986" s="132"/>
      <c r="C986" s="132"/>
      <c r="D986" s="132"/>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c r="AA986" s="133"/>
      <c r="AB986" s="133"/>
      <c r="AC986" s="133"/>
      <c r="AD986" s="133"/>
      <c r="AE986" s="133"/>
      <c r="AF986" s="133"/>
      <c r="AG986" s="133"/>
      <c r="AH986" s="133"/>
      <c r="AI986" s="133"/>
      <c r="AJ986" s="133"/>
      <c r="AK986" s="133"/>
      <c r="AL986" s="132"/>
      <c r="AM986" s="132"/>
      <c r="AN986" s="164"/>
      <c r="AO986" s="104"/>
      <c r="AP986" s="104"/>
    </row>
    <row r="987">
      <c r="A987" s="132"/>
      <c r="B987" s="132"/>
      <c r="C987" s="132"/>
      <c r="D987" s="132"/>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c r="AA987" s="133"/>
      <c r="AB987" s="133"/>
      <c r="AC987" s="133"/>
      <c r="AD987" s="133"/>
      <c r="AE987" s="133"/>
      <c r="AF987" s="133"/>
      <c r="AG987" s="133"/>
      <c r="AH987" s="133"/>
      <c r="AI987" s="133"/>
      <c r="AJ987" s="133"/>
      <c r="AK987" s="133"/>
      <c r="AL987" s="132"/>
      <c r="AM987" s="132"/>
      <c r="AN987" s="164"/>
      <c r="AO987" s="104"/>
      <c r="AP987" s="104"/>
    </row>
    <row r="988">
      <c r="A988" s="132"/>
      <c r="B988" s="132"/>
      <c r="C988" s="132"/>
      <c r="D988" s="132"/>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c r="AA988" s="133"/>
      <c r="AB988" s="133"/>
      <c r="AC988" s="133"/>
      <c r="AD988" s="133"/>
      <c r="AE988" s="133"/>
      <c r="AF988" s="133"/>
      <c r="AG988" s="133"/>
      <c r="AH988" s="133"/>
      <c r="AI988" s="133"/>
      <c r="AJ988" s="133"/>
      <c r="AK988" s="133"/>
      <c r="AL988" s="132"/>
      <c r="AM988" s="132"/>
      <c r="AN988" s="164"/>
      <c r="AO988" s="104"/>
      <c r="AP988" s="104"/>
    </row>
    <row r="989">
      <c r="A989" s="132"/>
      <c r="B989" s="132"/>
      <c r="C989" s="132"/>
      <c r="D989" s="132"/>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c r="AA989" s="133"/>
      <c r="AB989" s="133"/>
      <c r="AC989" s="133"/>
      <c r="AD989" s="133"/>
      <c r="AE989" s="133"/>
      <c r="AF989" s="133"/>
      <c r="AG989" s="133"/>
      <c r="AH989" s="133"/>
      <c r="AI989" s="133"/>
      <c r="AJ989" s="133"/>
      <c r="AK989" s="133"/>
      <c r="AL989" s="132"/>
      <c r="AM989" s="132"/>
      <c r="AN989" s="164"/>
      <c r="AO989" s="104"/>
      <c r="AP989" s="104"/>
    </row>
    <row r="990">
      <c r="A990" s="132"/>
      <c r="B990" s="132"/>
      <c r="C990" s="132"/>
      <c r="D990" s="132"/>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c r="AA990" s="133"/>
      <c r="AB990" s="133"/>
      <c r="AC990" s="133"/>
      <c r="AD990" s="133"/>
      <c r="AE990" s="133"/>
      <c r="AF990" s="133"/>
      <c r="AG990" s="133"/>
      <c r="AH990" s="133"/>
      <c r="AI990" s="133"/>
      <c r="AJ990" s="133"/>
      <c r="AK990" s="133"/>
      <c r="AL990" s="132"/>
      <c r="AM990" s="132"/>
      <c r="AN990" s="164"/>
      <c r="AO990" s="104"/>
      <c r="AP990" s="104"/>
    </row>
    <row r="991">
      <c r="A991" s="132"/>
      <c r="B991" s="132"/>
      <c r="C991" s="132"/>
      <c r="D991" s="132"/>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c r="AA991" s="133"/>
      <c r="AB991" s="133"/>
      <c r="AC991" s="133"/>
      <c r="AD991" s="133"/>
      <c r="AE991" s="133"/>
      <c r="AF991" s="133"/>
      <c r="AG991" s="133"/>
      <c r="AH991" s="133"/>
      <c r="AI991" s="133"/>
      <c r="AJ991" s="133"/>
      <c r="AK991" s="133"/>
      <c r="AL991" s="132"/>
      <c r="AM991" s="132"/>
      <c r="AN991" s="164"/>
      <c r="AO991" s="104"/>
      <c r="AP991" s="104"/>
    </row>
    <row r="992">
      <c r="A992" s="132"/>
      <c r="B992" s="132"/>
      <c r="C992" s="132"/>
      <c r="D992" s="132"/>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c r="AA992" s="133"/>
      <c r="AB992" s="133"/>
      <c r="AC992" s="133"/>
      <c r="AD992" s="133"/>
      <c r="AE992" s="133"/>
      <c r="AF992" s="133"/>
      <c r="AG992" s="133"/>
      <c r="AH992" s="133"/>
      <c r="AI992" s="133"/>
      <c r="AJ992" s="133"/>
      <c r="AK992" s="133"/>
      <c r="AL992" s="132"/>
      <c r="AM992" s="132"/>
      <c r="AN992" s="164"/>
      <c r="AO992" s="104"/>
      <c r="AP992" s="104"/>
    </row>
    <row r="993">
      <c r="A993" s="132"/>
      <c r="B993" s="132"/>
      <c r="C993" s="132"/>
      <c r="D993" s="132"/>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c r="AA993" s="133"/>
      <c r="AB993" s="133"/>
      <c r="AC993" s="133"/>
      <c r="AD993" s="133"/>
      <c r="AE993" s="133"/>
      <c r="AF993" s="133"/>
      <c r="AG993" s="133"/>
      <c r="AH993" s="133"/>
      <c r="AI993" s="133"/>
      <c r="AJ993" s="133"/>
      <c r="AK993" s="133"/>
      <c r="AL993" s="132"/>
      <c r="AM993" s="132"/>
      <c r="AN993" s="164"/>
      <c r="AO993" s="104"/>
      <c r="AP993" s="104"/>
    </row>
    <row r="994">
      <c r="A994" s="132"/>
      <c r="B994" s="132"/>
      <c r="C994" s="132"/>
      <c r="D994" s="132"/>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c r="AA994" s="133"/>
      <c r="AB994" s="133"/>
      <c r="AC994" s="133"/>
      <c r="AD994" s="133"/>
      <c r="AE994" s="133"/>
      <c r="AF994" s="133"/>
      <c r="AG994" s="133"/>
      <c r="AH994" s="133"/>
      <c r="AI994" s="133"/>
      <c r="AJ994" s="133"/>
      <c r="AK994" s="133"/>
      <c r="AL994" s="132"/>
      <c r="AM994" s="132"/>
      <c r="AN994" s="164"/>
      <c r="AO994" s="104"/>
      <c r="AP994" s="104"/>
    </row>
    <row r="995">
      <c r="A995" s="132"/>
      <c r="B995" s="132"/>
      <c r="C995" s="132"/>
      <c r="D995" s="132"/>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c r="AA995" s="133"/>
      <c r="AB995" s="133"/>
      <c r="AC995" s="133"/>
      <c r="AD995" s="133"/>
      <c r="AE995" s="133"/>
      <c r="AF995" s="133"/>
      <c r="AG995" s="133"/>
      <c r="AH995" s="133"/>
      <c r="AI995" s="133"/>
      <c r="AJ995" s="133"/>
      <c r="AK995" s="133"/>
      <c r="AL995" s="132"/>
      <c r="AM995" s="132"/>
      <c r="AN995" s="164"/>
      <c r="AO995" s="104"/>
      <c r="AP995" s="104"/>
    </row>
    <row r="996">
      <c r="A996" s="132"/>
      <c r="B996" s="132"/>
      <c r="C996" s="132"/>
      <c r="D996" s="132"/>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c r="AA996" s="133"/>
      <c r="AB996" s="133"/>
      <c r="AC996" s="133"/>
      <c r="AD996" s="133"/>
      <c r="AE996" s="133"/>
      <c r="AF996" s="133"/>
      <c r="AG996" s="133"/>
      <c r="AH996" s="133"/>
      <c r="AI996" s="133"/>
      <c r="AJ996" s="133"/>
      <c r="AK996" s="133"/>
      <c r="AL996" s="132"/>
      <c r="AM996" s="132"/>
      <c r="AN996" s="164"/>
      <c r="AO996" s="104"/>
      <c r="AP996" s="104"/>
    </row>
    <row r="997">
      <c r="A997" s="132"/>
      <c r="B997" s="132"/>
      <c r="C997" s="132"/>
      <c r="D997" s="132"/>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c r="AA997" s="133"/>
      <c r="AB997" s="133"/>
      <c r="AC997" s="133"/>
      <c r="AD997" s="133"/>
      <c r="AE997" s="133"/>
      <c r="AF997" s="133"/>
      <c r="AG997" s="133"/>
      <c r="AH997" s="133"/>
      <c r="AI997" s="133"/>
      <c r="AJ997" s="133"/>
      <c r="AK997" s="133"/>
      <c r="AL997" s="132"/>
      <c r="AM997" s="132"/>
      <c r="AN997" s="164"/>
      <c r="AO997" s="104"/>
      <c r="AP997" s="104"/>
    </row>
    <row r="998">
      <c r="A998" s="132"/>
      <c r="B998" s="132"/>
      <c r="C998" s="132"/>
      <c r="D998" s="132"/>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c r="AA998" s="133"/>
      <c r="AB998" s="133"/>
      <c r="AC998" s="133"/>
      <c r="AD998" s="133"/>
      <c r="AE998" s="133"/>
      <c r="AF998" s="133"/>
      <c r="AG998" s="133"/>
      <c r="AH998" s="133"/>
      <c r="AI998" s="133"/>
      <c r="AJ998" s="133"/>
      <c r="AK998" s="133"/>
      <c r="AL998" s="132"/>
      <c r="AM998" s="132"/>
      <c r="AN998" s="164"/>
      <c r="AO998" s="104"/>
      <c r="AP998" s="104"/>
    </row>
    <row r="999">
      <c r="A999" s="132"/>
      <c r="B999" s="132"/>
      <c r="C999" s="132"/>
      <c r="D999" s="132"/>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c r="AA999" s="133"/>
      <c r="AB999" s="133"/>
      <c r="AC999" s="133"/>
      <c r="AD999" s="133"/>
      <c r="AE999" s="133"/>
      <c r="AF999" s="133"/>
      <c r="AG999" s="133"/>
      <c r="AH999" s="133"/>
      <c r="AI999" s="133"/>
      <c r="AJ999" s="133"/>
      <c r="AK999" s="133"/>
      <c r="AL999" s="132"/>
      <c r="AM999" s="132"/>
      <c r="AN999" s="164"/>
      <c r="AO999" s="104"/>
      <c r="AP999" s="104"/>
    </row>
    <row r="1000">
      <c r="A1000" s="132"/>
      <c r="B1000" s="132"/>
      <c r="C1000" s="132"/>
      <c r="D1000" s="132"/>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c r="AA1000" s="133"/>
      <c r="AB1000" s="133"/>
      <c r="AC1000" s="133"/>
      <c r="AD1000" s="133"/>
      <c r="AE1000" s="133"/>
      <c r="AF1000" s="133"/>
      <c r="AG1000" s="133"/>
      <c r="AH1000" s="133"/>
      <c r="AI1000" s="133"/>
      <c r="AJ1000" s="133"/>
      <c r="AK1000" s="133"/>
      <c r="AL1000" s="132"/>
      <c r="AM1000" s="132"/>
      <c r="AN1000" s="164"/>
      <c r="AO1000" s="104"/>
      <c r="AP1000" s="104"/>
    </row>
  </sheetData>
  <dataValidations>
    <dataValidation type="list" allowBlank="1" showDropDown="1" sqref="AP3">
      <formula1>'UF Comp Metrics List'!$B$2:$B$27</formula1>
    </dataValidation>
    <dataValidation type="list" allowBlank="1" showDropDown="1" sqref="AN1:AN1000">
      <formula1>'UF Comp Metrics List'!$B$2:$B$26</formula1>
    </dataValidation>
  </dataValidations>
  <hyperlinks>
    <hyperlink r:id="rId1" ref="L105"/>
    <hyperlink r:id="rId2" ref="L106"/>
  </hyperlinks>
  <printOptions/>
  <pageMargins bottom="0.75" footer="0.0" header="0.0" left="0.7" right="0.7" top="0.75"/>
  <pageSetup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63"/>
    <col customWidth="1" min="9" max="9" width="32.63"/>
    <col customWidth="1" min="10" max="10" width="37.75"/>
  </cols>
  <sheetData>
    <row r="1">
      <c r="C1" s="1" t="s">
        <v>1955</v>
      </c>
      <c r="D1" s="1" t="s">
        <v>201</v>
      </c>
      <c r="E1" s="1" t="s">
        <v>4147</v>
      </c>
      <c r="F1" s="1" t="s">
        <v>4148</v>
      </c>
      <c r="G1" s="1" t="s">
        <v>4149</v>
      </c>
      <c r="H1" s="1" t="s">
        <v>4150</v>
      </c>
      <c r="I1" s="1" t="s">
        <v>4151</v>
      </c>
    </row>
    <row r="2">
      <c r="A2" s="165"/>
      <c r="B2" s="15" t="s">
        <v>2450</v>
      </c>
      <c r="C2" s="107" t="s">
        <v>2465</v>
      </c>
      <c r="D2" s="107" t="s">
        <v>4135</v>
      </c>
      <c r="E2" s="166">
        <v>1.0</v>
      </c>
      <c r="F2" s="167">
        <f t="shared" ref="F2:F9" si="1">(25-E2)/25</f>
        <v>0.96</v>
      </c>
      <c r="G2" s="1">
        <v>1.0</v>
      </c>
      <c r="H2" s="167">
        <f t="shared" ref="H2:H9" si="2">(24-G2)/24</f>
        <v>0.9583333333</v>
      </c>
      <c r="I2" s="168" t="s">
        <v>2465</v>
      </c>
    </row>
    <row r="3">
      <c r="A3" s="165"/>
      <c r="B3" s="24" t="s">
        <v>2466</v>
      </c>
      <c r="C3" s="109" t="s">
        <v>4111</v>
      </c>
      <c r="D3" s="169" t="s">
        <v>4137</v>
      </c>
      <c r="E3" s="166">
        <v>2.0</v>
      </c>
      <c r="F3" s="167">
        <f t="shared" si="1"/>
        <v>0.92</v>
      </c>
      <c r="G3" s="1">
        <v>1.0</v>
      </c>
      <c r="H3" s="167">
        <f t="shared" si="2"/>
        <v>0.9583333333</v>
      </c>
      <c r="I3" s="170" t="s">
        <v>2480</v>
      </c>
      <c r="J3" s="166"/>
    </row>
    <row r="4">
      <c r="A4" s="165"/>
      <c r="B4" s="24" t="s">
        <v>2481</v>
      </c>
      <c r="C4" s="109" t="s">
        <v>4112</v>
      </c>
      <c r="D4" s="169" t="s">
        <v>4139</v>
      </c>
      <c r="E4" s="166">
        <v>0.0</v>
      </c>
      <c r="F4" s="167">
        <f t="shared" si="1"/>
        <v>1</v>
      </c>
      <c r="G4" s="1">
        <v>0.0</v>
      </c>
      <c r="H4" s="167">
        <f t="shared" si="2"/>
        <v>1</v>
      </c>
      <c r="I4" s="170" t="s">
        <v>2493</v>
      </c>
    </row>
    <row r="5">
      <c r="A5" s="165"/>
      <c r="B5" s="24" t="s">
        <v>2494</v>
      </c>
      <c r="C5" s="109" t="s">
        <v>4113</v>
      </c>
      <c r="D5" s="169" t="s">
        <v>4141</v>
      </c>
      <c r="E5" s="166">
        <v>4.0</v>
      </c>
      <c r="F5" s="167">
        <f t="shared" si="1"/>
        <v>0.84</v>
      </c>
      <c r="G5" s="1">
        <v>4.0</v>
      </c>
      <c r="H5" s="167">
        <f t="shared" si="2"/>
        <v>0.8333333333</v>
      </c>
      <c r="I5" s="170" t="s">
        <v>2508</v>
      </c>
      <c r="J5" s="166"/>
    </row>
    <row r="6">
      <c r="A6" s="165"/>
      <c r="B6" s="15" t="s">
        <v>111</v>
      </c>
      <c r="C6" s="171" t="s">
        <v>4152</v>
      </c>
      <c r="D6" s="171" t="s">
        <v>4116</v>
      </c>
      <c r="E6" s="1">
        <v>2.0</v>
      </c>
      <c r="F6" s="167">
        <f t="shared" si="1"/>
        <v>0.92</v>
      </c>
      <c r="G6" s="1">
        <v>2.0</v>
      </c>
      <c r="H6" s="167">
        <f t="shared" si="2"/>
        <v>0.9166666667</v>
      </c>
      <c r="I6" s="172" t="s">
        <v>131</v>
      </c>
      <c r="J6" s="173"/>
    </row>
    <row r="7">
      <c r="A7" s="165"/>
      <c r="B7" s="24" t="s">
        <v>132</v>
      </c>
      <c r="C7" s="174" t="s">
        <v>4098</v>
      </c>
      <c r="D7" s="175" t="s">
        <v>4118</v>
      </c>
      <c r="E7" s="1">
        <v>4.0</v>
      </c>
      <c r="F7" s="167">
        <f t="shared" si="1"/>
        <v>0.84</v>
      </c>
      <c r="G7" s="1">
        <v>4.0</v>
      </c>
      <c r="H7" s="167">
        <f t="shared" si="2"/>
        <v>0.8333333333</v>
      </c>
      <c r="I7" s="175" t="s">
        <v>150</v>
      </c>
      <c r="J7" s="173"/>
    </row>
    <row r="8">
      <c r="A8" s="165"/>
      <c r="B8" s="24" t="s">
        <v>151</v>
      </c>
      <c r="C8" s="174" t="s">
        <v>1909</v>
      </c>
      <c r="D8" s="175" t="s">
        <v>4120</v>
      </c>
      <c r="E8" s="1">
        <v>5.0</v>
      </c>
      <c r="F8" s="167">
        <f t="shared" si="1"/>
        <v>0.8</v>
      </c>
      <c r="G8" s="1">
        <v>5.0</v>
      </c>
      <c r="H8" s="167">
        <f t="shared" si="2"/>
        <v>0.7916666667</v>
      </c>
      <c r="I8" s="175" t="s">
        <v>168</v>
      </c>
      <c r="J8" s="173"/>
    </row>
    <row r="9">
      <c r="A9" s="165"/>
      <c r="B9" s="24" t="s">
        <v>169</v>
      </c>
      <c r="C9" s="174" t="s">
        <v>185</v>
      </c>
      <c r="D9" s="175" t="s">
        <v>4122</v>
      </c>
      <c r="E9" s="1">
        <v>1.0</v>
      </c>
      <c r="F9" s="167">
        <f t="shared" si="1"/>
        <v>0.96</v>
      </c>
      <c r="G9" s="1">
        <v>1.0</v>
      </c>
      <c r="H9" s="167">
        <f t="shared" si="2"/>
        <v>0.9583333333</v>
      </c>
      <c r="I9" s="175" t="s">
        <v>185</v>
      </c>
      <c r="J9" s="173"/>
    </row>
    <row r="10">
      <c r="A10" s="165"/>
    </row>
    <row r="11">
      <c r="A11" s="165"/>
      <c r="F11" s="167">
        <f>AVERAGE(F2:F9)</f>
        <v>0.905</v>
      </c>
      <c r="H11" s="167">
        <f>AVERAGE(H2:H9)</f>
        <v>0.90625</v>
      </c>
    </row>
    <row r="12">
      <c r="A12" s="165"/>
    </row>
    <row r="13">
      <c r="A13" s="165"/>
      <c r="E13" s="1" t="s">
        <v>4153</v>
      </c>
    </row>
    <row r="14">
      <c r="A14" s="176"/>
    </row>
    <row r="15">
      <c r="A15" s="165"/>
    </row>
    <row r="16">
      <c r="A16" s="165"/>
    </row>
    <row r="17">
      <c r="A17" s="105" t="s">
        <v>4154</v>
      </c>
    </row>
    <row r="18">
      <c r="A18" s="165"/>
    </row>
    <row r="19">
      <c r="A19" s="105"/>
      <c r="B19" s="1" t="s">
        <v>201</v>
      </c>
    </row>
    <row r="20">
      <c r="A20" s="105" t="s">
        <v>1955</v>
      </c>
      <c r="B20" s="165" t="s">
        <v>4155</v>
      </c>
      <c r="C20" s="165" t="s">
        <v>4156</v>
      </c>
      <c r="D20" s="105" t="s">
        <v>4157</v>
      </c>
      <c r="E20" s="165" t="s">
        <v>4158</v>
      </c>
      <c r="F20" s="165" t="s">
        <v>4159</v>
      </c>
      <c r="G20" s="165" t="s">
        <v>3687</v>
      </c>
      <c r="H20" s="165" t="s">
        <v>3606</v>
      </c>
      <c r="I20" s="165" t="s">
        <v>2158</v>
      </c>
      <c r="J20" s="177" t="s">
        <v>4160</v>
      </c>
      <c r="K20" s="165" t="s">
        <v>4161</v>
      </c>
      <c r="L20" s="165" t="s">
        <v>4162</v>
      </c>
      <c r="M20" s="176" t="s">
        <v>773</v>
      </c>
      <c r="N20" s="165" t="s">
        <v>791</v>
      </c>
      <c r="O20" s="165" t="s">
        <v>4163</v>
      </c>
      <c r="P20" s="165" t="s">
        <v>4164</v>
      </c>
      <c r="Q20" s="165" t="s">
        <v>4165</v>
      </c>
      <c r="R20" s="165" t="s">
        <v>4166</v>
      </c>
      <c r="S20" s="165" t="s">
        <v>4167</v>
      </c>
      <c r="T20" s="165" t="s">
        <v>4168</v>
      </c>
      <c r="U20" s="165" t="s">
        <v>4169</v>
      </c>
      <c r="V20" s="165" t="s">
        <v>485</v>
      </c>
      <c r="W20" s="165" t="s">
        <v>4170</v>
      </c>
      <c r="X20" s="165" t="s">
        <v>4171</v>
      </c>
      <c r="Y20" s="165" t="s">
        <v>4172</v>
      </c>
    </row>
    <row r="21">
      <c r="A21" s="165" t="s">
        <v>4155</v>
      </c>
    </row>
    <row r="22">
      <c r="A22" s="165" t="s">
        <v>4156</v>
      </c>
    </row>
    <row r="23">
      <c r="A23" s="105" t="s">
        <v>4157</v>
      </c>
    </row>
    <row r="24">
      <c r="A24" s="165" t="s">
        <v>4158</v>
      </c>
    </row>
    <row r="25">
      <c r="A25" s="165" t="s">
        <v>4159</v>
      </c>
    </row>
    <row r="26">
      <c r="A26" s="165" t="s">
        <v>3687</v>
      </c>
    </row>
    <row r="27">
      <c r="A27" s="165" t="s">
        <v>3606</v>
      </c>
    </row>
    <row r="28">
      <c r="A28" s="165" t="s">
        <v>2158</v>
      </c>
    </row>
    <row r="29">
      <c r="A29" s="177" t="s">
        <v>4160</v>
      </c>
    </row>
    <row r="30">
      <c r="A30" s="165" t="s">
        <v>4161</v>
      </c>
    </row>
    <row r="31">
      <c r="A31" s="165" t="s">
        <v>4162</v>
      </c>
    </row>
    <row r="32">
      <c r="A32" s="176" t="s">
        <v>773</v>
      </c>
    </row>
    <row r="33">
      <c r="A33" s="165" t="s">
        <v>791</v>
      </c>
    </row>
    <row r="34">
      <c r="A34" s="165" t="s">
        <v>4163</v>
      </c>
    </row>
    <row r="35">
      <c r="A35" s="165" t="s">
        <v>4164</v>
      </c>
    </row>
    <row r="36">
      <c r="A36" s="165" t="s">
        <v>4165</v>
      </c>
    </row>
    <row r="37">
      <c r="A37" s="165" t="s">
        <v>4166</v>
      </c>
    </row>
    <row r="38">
      <c r="A38" s="165" t="s">
        <v>4167</v>
      </c>
    </row>
    <row r="39">
      <c r="A39" s="165" t="s">
        <v>4168</v>
      </c>
    </row>
    <row r="40">
      <c r="A40" s="165" t="s">
        <v>4169</v>
      </c>
    </row>
    <row r="41">
      <c r="A41" s="165" t="s">
        <v>485</v>
      </c>
    </row>
    <row r="42">
      <c r="A42" s="165" t="s">
        <v>4170</v>
      </c>
    </row>
    <row r="43">
      <c r="A43" s="165" t="s">
        <v>4171</v>
      </c>
    </row>
    <row r="44">
      <c r="A44" s="165" t="s">
        <v>4172</v>
      </c>
    </row>
  </sheetData>
  <dataValidations>
    <dataValidation type="list" allowBlank="1" showDropDown="1" sqref="I3 C2:C5 C6:D9 I6:I9">
      <formula1>'UF Comp Metrics List'!$B$2:$B$27</formula1>
    </dataValidation>
    <dataValidation type="list" allowBlank="1" showDropDown="1" sqref="D2:D5 I4:I5">
      <formula1>'UF Comp Metrics List'!$B$2:$B$25</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16.88"/>
    <col customWidth="1" min="3" max="3" width="66.75"/>
  </cols>
  <sheetData>
    <row r="1">
      <c r="A1" s="178" t="s">
        <v>4173</v>
      </c>
      <c r="B1" s="178" t="s">
        <v>4174</v>
      </c>
      <c r="C1" s="178" t="s">
        <v>4175</v>
      </c>
      <c r="D1" s="178" t="s">
        <v>4176</v>
      </c>
      <c r="E1" s="178" t="s">
        <v>4177</v>
      </c>
      <c r="F1" s="179"/>
      <c r="G1" s="179"/>
      <c r="H1" s="179"/>
      <c r="I1" s="179"/>
      <c r="J1" s="179"/>
      <c r="K1" s="179"/>
      <c r="L1" s="179"/>
      <c r="M1" s="179"/>
      <c r="N1" s="179"/>
      <c r="O1" s="179"/>
      <c r="P1" s="179"/>
      <c r="Q1" s="179"/>
      <c r="R1" s="179"/>
      <c r="S1" s="179"/>
      <c r="T1" s="179"/>
      <c r="U1" s="179"/>
      <c r="V1" s="179"/>
      <c r="W1" s="179"/>
      <c r="X1" s="179"/>
      <c r="Y1" s="179"/>
      <c r="Z1" s="179"/>
    </row>
    <row r="2">
      <c r="A2" s="165" t="s">
        <v>4178</v>
      </c>
      <c r="B2" s="165" t="s">
        <v>4155</v>
      </c>
      <c r="C2" s="177" t="s">
        <v>4179</v>
      </c>
      <c r="D2" s="165" t="s">
        <v>4180</v>
      </c>
      <c r="E2" s="165" t="s">
        <v>4181</v>
      </c>
      <c r="F2" s="179"/>
      <c r="G2" s="179"/>
      <c r="H2" s="179"/>
      <c r="I2" s="179"/>
      <c r="J2" s="179"/>
      <c r="K2" s="179"/>
      <c r="L2" s="179"/>
      <c r="M2" s="179"/>
      <c r="N2" s="179"/>
      <c r="O2" s="179"/>
      <c r="P2" s="179"/>
      <c r="Q2" s="179"/>
      <c r="R2" s="179"/>
      <c r="S2" s="179"/>
      <c r="T2" s="179"/>
      <c r="U2" s="179"/>
      <c r="V2" s="179"/>
      <c r="W2" s="179"/>
      <c r="X2" s="179"/>
      <c r="Y2" s="179"/>
      <c r="Z2" s="179"/>
    </row>
    <row r="3">
      <c r="A3" s="165" t="s">
        <v>4178</v>
      </c>
      <c r="B3" s="165" t="s">
        <v>4156</v>
      </c>
      <c r="C3" s="165" t="s">
        <v>4182</v>
      </c>
      <c r="D3" s="165" t="s">
        <v>4183</v>
      </c>
      <c r="E3" s="165" t="s">
        <v>4184</v>
      </c>
      <c r="F3" s="179"/>
      <c r="G3" s="179"/>
      <c r="H3" s="179"/>
      <c r="I3" s="179"/>
      <c r="J3" s="179"/>
      <c r="K3" s="179"/>
      <c r="L3" s="179"/>
      <c r="M3" s="179"/>
      <c r="N3" s="179"/>
      <c r="O3" s="179"/>
      <c r="P3" s="179"/>
      <c r="Q3" s="179"/>
      <c r="R3" s="179"/>
      <c r="S3" s="179"/>
      <c r="T3" s="179"/>
      <c r="U3" s="179"/>
      <c r="V3" s="179"/>
      <c r="W3" s="179"/>
      <c r="X3" s="179"/>
      <c r="Y3" s="179"/>
      <c r="Z3" s="179"/>
    </row>
    <row r="4">
      <c r="A4" s="165" t="s">
        <v>4178</v>
      </c>
      <c r="B4" s="177" t="s">
        <v>4157</v>
      </c>
      <c r="C4" s="165" t="s">
        <v>4185</v>
      </c>
      <c r="D4" s="165" t="s">
        <v>4186</v>
      </c>
      <c r="E4" s="165" t="s">
        <v>4184</v>
      </c>
      <c r="F4" s="179"/>
      <c r="G4" s="179"/>
      <c r="H4" s="179"/>
      <c r="I4" s="179"/>
      <c r="J4" s="179"/>
      <c r="K4" s="179"/>
      <c r="L4" s="179"/>
      <c r="M4" s="179"/>
      <c r="N4" s="179"/>
      <c r="O4" s="179"/>
      <c r="P4" s="179"/>
      <c r="Q4" s="179"/>
      <c r="R4" s="179"/>
      <c r="S4" s="179"/>
      <c r="T4" s="179"/>
      <c r="U4" s="179"/>
      <c r="V4" s="179"/>
      <c r="W4" s="179"/>
      <c r="X4" s="179"/>
      <c r="Y4" s="179"/>
      <c r="Z4" s="179"/>
    </row>
    <row r="5">
      <c r="A5" s="165" t="s">
        <v>4178</v>
      </c>
      <c r="B5" s="165" t="s">
        <v>4158</v>
      </c>
      <c r="C5" s="180" t="s">
        <v>4187</v>
      </c>
      <c r="D5" s="165" t="s">
        <v>4188</v>
      </c>
      <c r="E5" s="165" t="s">
        <v>4184</v>
      </c>
      <c r="F5" s="179"/>
      <c r="G5" s="179"/>
      <c r="H5" s="179"/>
      <c r="I5" s="179"/>
      <c r="J5" s="179"/>
      <c r="K5" s="179"/>
      <c r="L5" s="179"/>
      <c r="M5" s="179"/>
      <c r="N5" s="179"/>
      <c r="O5" s="179"/>
      <c r="P5" s="179"/>
      <c r="Q5" s="179"/>
      <c r="R5" s="179"/>
      <c r="S5" s="179"/>
      <c r="T5" s="179"/>
      <c r="U5" s="179"/>
      <c r="V5" s="179"/>
      <c r="W5" s="179"/>
      <c r="X5" s="179"/>
      <c r="Y5" s="179"/>
      <c r="Z5" s="179"/>
    </row>
    <row r="6">
      <c r="A6" s="165" t="s">
        <v>4178</v>
      </c>
      <c r="B6" s="165" t="s">
        <v>4159</v>
      </c>
      <c r="C6" s="165" t="s">
        <v>4189</v>
      </c>
      <c r="D6" s="165" t="s">
        <v>4190</v>
      </c>
      <c r="E6" s="165" t="s">
        <v>4184</v>
      </c>
      <c r="F6" s="179"/>
      <c r="G6" s="179"/>
      <c r="H6" s="179"/>
      <c r="I6" s="179"/>
      <c r="J6" s="179"/>
      <c r="K6" s="179"/>
      <c r="L6" s="179"/>
      <c r="M6" s="179"/>
      <c r="N6" s="179"/>
      <c r="O6" s="179"/>
      <c r="P6" s="179"/>
      <c r="Q6" s="179"/>
      <c r="R6" s="179"/>
      <c r="S6" s="179"/>
      <c r="T6" s="179"/>
      <c r="U6" s="179"/>
      <c r="V6" s="179"/>
      <c r="W6" s="179"/>
      <c r="X6" s="179"/>
      <c r="Y6" s="179"/>
      <c r="Z6" s="179"/>
    </row>
    <row r="7">
      <c r="A7" s="165" t="s">
        <v>4191</v>
      </c>
      <c r="B7" s="165" t="s">
        <v>3687</v>
      </c>
      <c r="C7" s="180" t="s">
        <v>4192</v>
      </c>
      <c r="D7" s="165" t="s">
        <v>4193</v>
      </c>
      <c r="E7" s="165" t="s">
        <v>4184</v>
      </c>
      <c r="F7" s="179"/>
      <c r="G7" s="179"/>
      <c r="H7" s="179"/>
      <c r="I7" s="179"/>
      <c r="J7" s="179"/>
      <c r="K7" s="179"/>
      <c r="L7" s="179"/>
      <c r="M7" s="179"/>
      <c r="N7" s="179"/>
      <c r="O7" s="179"/>
      <c r="P7" s="179"/>
      <c r="Q7" s="179"/>
      <c r="R7" s="179"/>
      <c r="S7" s="179"/>
      <c r="T7" s="179"/>
      <c r="U7" s="179"/>
      <c r="V7" s="179"/>
      <c r="W7" s="179"/>
      <c r="X7" s="179"/>
      <c r="Y7" s="179"/>
      <c r="Z7" s="179"/>
    </row>
    <row r="8">
      <c r="A8" s="165" t="s">
        <v>4191</v>
      </c>
      <c r="B8" s="165" t="s">
        <v>3606</v>
      </c>
      <c r="C8" s="180" t="s">
        <v>4192</v>
      </c>
      <c r="D8" s="165" t="s">
        <v>4194</v>
      </c>
      <c r="E8" s="165" t="s">
        <v>4184</v>
      </c>
      <c r="F8" s="179"/>
      <c r="G8" s="179"/>
      <c r="H8" s="179"/>
      <c r="I8" s="179"/>
      <c r="J8" s="179"/>
      <c r="K8" s="179"/>
      <c r="L8" s="179"/>
      <c r="M8" s="179"/>
      <c r="N8" s="179"/>
      <c r="O8" s="179"/>
      <c r="P8" s="179"/>
      <c r="Q8" s="179"/>
      <c r="R8" s="179"/>
      <c r="S8" s="179"/>
      <c r="T8" s="179"/>
      <c r="U8" s="179"/>
      <c r="V8" s="179"/>
      <c r="W8" s="179"/>
      <c r="X8" s="179"/>
      <c r="Y8" s="179"/>
      <c r="Z8" s="179"/>
    </row>
    <row r="9">
      <c r="A9" s="165" t="s">
        <v>4191</v>
      </c>
      <c r="B9" s="165" t="s">
        <v>2158</v>
      </c>
      <c r="C9" s="165" t="s">
        <v>4195</v>
      </c>
      <c r="D9" s="165" t="s">
        <v>4196</v>
      </c>
      <c r="E9" s="165" t="s">
        <v>4184</v>
      </c>
      <c r="F9" s="179"/>
      <c r="G9" s="179"/>
      <c r="H9" s="179"/>
      <c r="I9" s="179"/>
      <c r="J9" s="179"/>
      <c r="K9" s="179"/>
      <c r="L9" s="179"/>
      <c r="M9" s="179"/>
      <c r="N9" s="179"/>
      <c r="O9" s="179"/>
      <c r="P9" s="179"/>
      <c r="Q9" s="179"/>
      <c r="R9" s="179"/>
      <c r="S9" s="179"/>
      <c r="T9" s="179"/>
      <c r="U9" s="179"/>
      <c r="V9" s="179"/>
      <c r="W9" s="179"/>
      <c r="X9" s="179"/>
      <c r="Y9" s="179"/>
      <c r="Z9" s="179"/>
    </row>
    <row r="10">
      <c r="A10" s="165" t="s">
        <v>4197</v>
      </c>
      <c r="B10" s="177" t="s">
        <v>4160</v>
      </c>
      <c r="C10" s="165" t="s">
        <v>4198</v>
      </c>
      <c r="D10" s="165" t="s">
        <v>4199</v>
      </c>
      <c r="E10" s="165" t="s">
        <v>4184</v>
      </c>
      <c r="F10" s="179"/>
      <c r="G10" s="179"/>
      <c r="H10" s="179"/>
      <c r="I10" s="179"/>
      <c r="J10" s="179"/>
      <c r="K10" s="179"/>
      <c r="L10" s="179"/>
      <c r="M10" s="179"/>
      <c r="N10" s="179"/>
      <c r="O10" s="179"/>
      <c r="P10" s="179"/>
      <c r="Q10" s="179"/>
      <c r="R10" s="179"/>
      <c r="S10" s="179"/>
      <c r="T10" s="179"/>
      <c r="U10" s="179"/>
      <c r="V10" s="179"/>
      <c r="W10" s="179"/>
      <c r="X10" s="179"/>
      <c r="Y10" s="179"/>
      <c r="Z10" s="179"/>
    </row>
    <row r="11">
      <c r="A11" s="165" t="s">
        <v>4197</v>
      </c>
      <c r="B11" s="165" t="s">
        <v>4161</v>
      </c>
      <c r="C11" s="181" t="s">
        <v>4200</v>
      </c>
      <c r="D11" s="165" t="s">
        <v>4201</v>
      </c>
      <c r="E11" s="165" t="s">
        <v>4184</v>
      </c>
      <c r="F11" s="179"/>
      <c r="G11" s="179"/>
      <c r="H11" s="179"/>
      <c r="I11" s="179"/>
      <c r="J11" s="179"/>
      <c r="K11" s="179"/>
      <c r="L11" s="179"/>
      <c r="M11" s="179"/>
      <c r="N11" s="179"/>
      <c r="O11" s="179"/>
      <c r="P11" s="179"/>
      <c r="Q11" s="179"/>
      <c r="R11" s="179"/>
      <c r="S11" s="179"/>
      <c r="T11" s="179"/>
      <c r="U11" s="179"/>
      <c r="V11" s="179"/>
      <c r="W11" s="179"/>
      <c r="X11" s="179"/>
      <c r="Y11" s="179"/>
      <c r="Z11" s="179"/>
    </row>
    <row r="12">
      <c r="A12" s="165" t="s">
        <v>4197</v>
      </c>
      <c r="B12" s="165" t="s">
        <v>4162</v>
      </c>
      <c r="C12" s="180" t="s">
        <v>4202</v>
      </c>
      <c r="D12" s="179"/>
      <c r="E12" s="179"/>
      <c r="F12" s="179"/>
      <c r="G12" s="179"/>
      <c r="H12" s="179"/>
      <c r="I12" s="179"/>
      <c r="J12" s="179"/>
      <c r="K12" s="179"/>
      <c r="L12" s="179"/>
      <c r="M12" s="179"/>
      <c r="N12" s="179"/>
      <c r="O12" s="179"/>
      <c r="P12" s="179"/>
      <c r="Q12" s="179"/>
      <c r="R12" s="179"/>
      <c r="S12" s="179"/>
      <c r="T12" s="179"/>
      <c r="U12" s="179"/>
      <c r="V12" s="179"/>
      <c r="W12" s="179"/>
      <c r="X12" s="179"/>
      <c r="Y12" s="179"/>
      <c r="Z12" s="179"/>
    </row>
    <row r="13">
      <c r="A13" s="165" t="s">
        <v>4197</v>
      </c>
      <c r="B13" s="176" t="s">
        <v>773</v>
      </c>
      <c r="C13" s="165" t="s">
        <v>4203</v>
      </c>
      <c r="D13" s="179"/>
      <c r="E13" s="179"/>
      <c r="F13" s="179"/>
      <c r="G13" s="179"/>
      <c r="H13" s="179"/>
      <c r="I13" s="179"/>
      <c r="J13" s="179"/>
      <c r="K13" s="179"/>
      <c r="L13" s="179"/>
      <c r="M13" s="179"/>
      <c r="N13" s="179"/>
      <c r="O13" s="179"/>
      <c r="P13" s="179"/>
      <c r="Q13" s="179"/>
      <c r="R13" s="179"/>
      <c r="S13" s="179"/>
      <c r="T13" s="179"/>
      <c r="U13" s="179"/>
      <c r="V13" s="179"/>
      <c r="W13" s="179"/>
      <c r="X13" s="179"/>
      <c r="Y13" s="179"/>
      <c r="Z13" s="179"/>
    </row>
    <row r="14">
      <c r="A14" s="165" t="s">
        <v>4204</v>
      </c>
      <c r="B14" s="165" t="s">
        <v>791</v>
      </c>
      <c r="C14" s="165" t="s">
        <v>4205</v>
      </c>
      <c r="D14" s="179"/>
      <c r="E14" s="179"/>
      <c r="F14" s="179"/>
      <c r="G14" s="179"/>
      <c r="H14" s="179"/>
      <c r="I14" s="179"/>
      <c r="J14" s="179"/>
      <c r="K14" s="179"/>
      <c r="L14" s="179"/>
      <c r="M14" s="179"/>
      <c r="N14" s="179"/>
      <c r="O14" s="179"/>
      <c r="P14" s="179"/>
      <c r="Q14" s="179"/>
      <c r="R14" s="179"/>
      <c r="S14" s="179"/>
      <c r="T14" s="179"/>
      <c r="U14" s="179"/>
      <c r="V14" s="179"/>
      <c r="W14" s="179"/>
      <c r="X14" s="179"/>
      <c r="Y14" s="179"/>
      <c r="Z14" s="179"/>
    </row>
    <row r="15">
      <c r="A15" s="165" t="s">
        <v>4204</v>
      </c>
      <c r="B15" s="165" t="s">
        <v>4163</v>
      </c>
      <c r="C15" s="165" t="s">
        <v>4206</v>
      </c>
      <c r="D15" s="179"/>
      <c r="E15" s="179"/>
      <c r="F15" s="179"/>
      <c r="G15" s="179"/>
      <c r="H15" s="179"/>
      <c r="I15" s="179"/>
      <c r="J15" s="179"/>
      <c r="K15" s="179"/>
      <c r="L15" s="179"/>
      <c r="M15" s="179"/>
      <c r="N15" s="179"/>
      <c r="O15" s="179"/>
      <c r="P15" s="179"/>
      <c r="Q15" s="179"/>
      <c r="R15" s="179"/>
      <c r="S15" s="179"/>
      <c r="T15" s="179"/>
      <c r="U15" s="179"/>
      <c r="V15" s="179"/>
      <c r="W15" s="179"/>
      <c r="X15" s="179"/>
      <c r="Y15" s="179"/>
      <c r="Z15" s="179"/>
    </row>
    <row r="16">
      <c r="A16" s="165" t="s">
        <v>4204</v>
      </c>
      <c r="B16" s="165" t="s">
        <v>4164</v>
      </c>
      <c r="C16" s="165" t="s">
        <v>4207</v>
      </c>
      <c r="D16" s="179"/>
      <c r="E16" s="179"/>
      <c r="F16" s="179"/>
      <c r="G16" s="179"/>
      <c r="H16" s="179"/>
      <c r="I16" s="179"/>
      <c r="J16" s="179"/>
      <c r="K16" s="179"/>
      <c r="L16" s="179"/>
      <c r="M16" s="179"/>
      <c r="N16" s="179"/>
      <c r="O16" s="179"/>
      <c r="P16" s="179"/>
      <c r="Q16" s="179"/>
      <c r="R16" s="179"/>
      <c r="S16" s="179"/>
      <c r="T16" s="179"/>
      <c r="U16" s="179"/>
      <c r="V16" s="179"/>
      <c r="W16" s="179"/>
      <c r="X16" s="179"/>
      <c r="Y16" s="179"/>
      <c r="Z16" s="179"/>
    </row>
    <row r="17">
      <c r="A17" s="165" t="s">
        <v>4204</v>
      </c>
      <c r="B17" s="165" t="s">
        <v>4165</v>
      </c>
      <c r="C17" s="165" t="s">
        <v>4208</v>
      </c>
      <c r="D17" s="179"/>
      <c r="E17" s="179"/>
      <c r="F17" s="179"/>
      <c r="G17" s="179"/>
      <c r="H17" s="179"/>
      <c r="I17" s="179"/>
      <c r="J17" s="179"/>
      <c r="K17" s="179"/>
      <c r="L17" s="179"/>
      <c r="M17" s="179"/>
      <c r="N17" s="179"/>
      <c r="O17" s="179"/>
      <c r="P17" s="179"/>
      <c r="Q17" s="179"/>
      <c r="R17" s="179"/>
      <c r="S17" s="179"/>
      <c r="T17" s="179"/>
      <c r="U17" s="179"/>
      <c r="V17" s="179"/>
      <c r="W17" s="179"/>
      <c r="X17" s="179"/>
      <c r="Y17" s="179"/>
      <c r="Z17" s="179"/>
    </row>
    <row r="18">
      <c r="A18" s="165" t="s">
        <v>4204</v>
      </c>
      <c r="B18" s="165" t="s">
        <v>4166</v>
      </c>
      <c r="C18" s="165" t="s">
        <v>4209</v>
      </c>
      <c r="D18" s="179"/>
      <c r="E18" s="179"/>
      <c r="F18" s="179"/>
      <c r="G18" s="179"/>
      <c r="H18" s="179"/>
      <c r="I18" s="179"/>
      <c r="J18" s="179"/>
      <c r="K18" s="179"/>
      <c r="L18" s="179"/>
      <c r="M18" s="179"/>
      <c r="N18" s="179"/>
      <c r="O18" s="179"/>
      <c r="P18" s="179"/>
      <c r="Q18" s="179"/>
      <c r="R18" s="179"/>
      <c r="S18" s="179"/>
      <c r="T18" s="179"/>
      <c r="U18" s="179"/>
      <c r="V18" s="179"/>
      <c r="W18" s="179"/>
      <c r="X18" s="179"/>
      <c r="Y18" s="179"/>
      <c r="Z18" s="179"/>
    </row>
    <row r="19">
      <c r="A19" s="165" t="s">
        <v>4204</v>
      </c>
      <c r="B19" s="165" t="s">
        <v>4167</v>
      </c>
      <c r="C19" s="165" t="s">
        <v>4210</v>
      </c>
      <c r="D19" s="179"/>
      <c r="E19" s="179"/>
      <c r="F19" s="179"/>
      <c r="G19" s="179"/>
      <c r="H19" s="179"/>
      <c r="I19" s="179"/>
      <c r="J19" s="179"/>
      <c r="K19" s="179"/>
      <c r="L19" s="179"/>
      <c r="M19" s="179"/>
      <c r="N19" s="179"/>
      <c r="O19" s="179"/>
      <c r="P19" s="179"/>
      <c r="Q19" s="179"/>
      <c r="R19" s="179"/>
      <c r="S19" s="179"/>
      <c r="T19" s="179"/>
      <c r="U19" s="179"/>
      <c r="V19" s="179"/>
      <c r="W19" s="179"/>
      <c r="X19" s="179"/>
      <c r="Y19" s="179"/>
      <c r="Z19" s="179"/>
    </row>
    <row r="20">
      <c r="A20" s="165" t="s">
        <v>4211</v>
      </c>
      <c r="B20" s="165" t="s">
        <v>4168</v>
      </c>
      <c r="C20" s="165" t="s">
        <v>4212</v>
      </c>
      <c r="D20" s="179"/>
      <c r="E20" s="179"/>
      <c r="F20" s="179"/>
      <c r="G20" s="179"/>
      <c r="H20" s="179"/>
      <c r="I20" s="179"/>
      <c r="J20" s="179"/>
      <c r="K20" s="179"/>
      <c r="L20" s="179"/>
      <c r="M20" s="179"/>
      <c r="N20" s="179"/>
      <c r="O20" s="179"/>
      <c r="P20" s="179"/>
      <c r="Q20" s="179"/>
      <c r="R20" s="179"/>
      <c r="S20" s="179"/>
      <c r="T20" s="179"/>
      <c r="U20" s="179"/>
      <c r="V20" s="179"/>
      <c r="W20" s="179"/>
      <c r="X20" s="179"/>
      <c r="Y20" s="179"/>
      <c r="Z20" s="179"/>
    </row>
    <row r="21">
      <c r="A21" s="165" t="s">
        <v>4211</v>
      </c>
      <c r="B21" s="165" t="s">
        <v>4169</v>
      </c>
      <c r="C21" s="165" t="s">
        <v>4213</v>
      </c>
      <c r="D21" s="179"/>
      <c r="E21" s="179"/>
      <c r="F21" s="179"/>
      <c r="G21" s="179"/>
      <c r="H21" s="179"/>
      <c r="I21" s="179"/>
      <c r="J21" s="179"/>
      <c r="K21" s="179"/>
      <c r="L21" s="179"/>
      <c r="M21" s="179"/>
      <c r="N21" s="179"/>
      <c r="O21" s="179"/>
      <c r="P21" s="179"/>
      <c r="Q21" s="179"/>
      <c r="R21" s="179"/>
      <c r="S21" s="179"/>
      <c r="T21" s="179"/>
      <c r="U21" s="179"/>
      <c r="V21" s="179"/>
      <c r="W21" s="179"/>
      <c r="X21" s="179"/>
      <c r="Y21" s="179"/>
      <c r="Z21" s="179"/>
    </row>
    <row r="22">
      <c r="A22" s="165" t="s">
        <v>4211</v>
      </c>
      <c r="B22" s="165" t="s">
        <v>485</v>
      </c>
      <c r="C22" s="165" t="s">
        <v>4214</v>
      </c>
      <c r="D22" s="179"/>
      <c r="E22" s="179"/>
      <c r="F22" s="179"/>
      <c r="G22" s="179"/>
      <c r="H22" s="179"/>
      <c r="I22" s="179"/>
      <c r="J22" s="179"/>
      <c r="K22" s="179"/>
      <c r="L22" s="179"/>
      <c r="M22" s="179"/>
      <c r="N22" s="179"/>
      <c r="O22" s="179"/>
      <c r="P22" s="179"/>
      <c r="Q22" s="179"/>
      <c r="R22" s="179"/>
      <c r="S22" s="179"/>
      <c r="T22" s="179"/>
      <c r="U22" s="179"/>
      <c r="V22" s="179"/>
      <c r="W22" s="179"/>
      <c r="X22" s="179"/>
      <c r="Y22" s="179"/>
      <c r="Z22" s="179"/>
    </row>
    <row r="23">
      <c r="A23" s="165" t="s">
        <v>4211</v>
      </c>
      <c r="B23" s="165" t="s">
        <v>4170</v>
      </c>
      <c r="C23" s="165" t="s">
        <v>4215</v>
      </c>
      <c r="D23" s="179"/>
      <c r="E23" s="179"/>
      <c r="F23" s="179"/>
      <c r="G23" s="179"/>
      <c r="H23" s="179"/>
      <c r="I23" s="179"/>
      <c r="J23" s="179"/>
      <c r="K23" s="179"/>
      <c r="L23" s="179"/>
      <c r="M23" s="179"/>
      <c r="N23" s="179"/>
      <c r="O23" s="179"/>
      <c r="P23" s="179"/>
      <c r="Q23" s="179"/>
      <c r="R23" s="179"/>
      <c r="S23" s="179"/>
      <c r="T23" s="179"/>
      <c r="U23" s="179"/>
      <c r="V23" s="179"/>
      <c r="W23" s="179"/>
      <c r="X23" s="179"/>
      <c r="Y23" s="179"/>
      <c r="Z23" s="179"/>
    </row>
    <row r="24">
      <c r="A24" s="165" t="s">
        <v>4211</v>
      </c>
      <c r="B24" s="165" t="s">
        <v>4171</v>
      </c>
      <c r="C24" s="165" t="s">
        <v>4216</v>
      </c>
      <c r="D24" s="179"/>
      <c r="E24" s="179"/>
      <c r="F24" s="179"/>
      <c r="G24" s="179"/>
      <c r="H24" s="179"/>
      <c r="I24" s="179"/>
      <c r="J24" s="179"/>
      <c r="K24" s="179"/>
      <c r="L24" s="179"/>
      <c r="M24" s="179"/>
      <c r="N24" s="179"/>
      <c r="O24" s="179"/>
      <c r="P24" s="179"/>
      <c r="Q24" s="179"/>
      <c r="R24" s="179"/>
      <c r="S24" s="179"/>
      <c r="T24" s="179"/>
      <c r="U24" s="179"/>
      <c r="V24" s="179"/>
      <c r="W24" s="179"/>
      <c r="X24" s="179"/>
      <c r="Y24" s="179"/>
      <c r="Z24" s="179"/>
    </row>
    <row r="25">
      <c r="A25" s="165" t="s">
        <v>4211</v>
      </c>
      <c r="B25" s="165" t="s">
        <v>4172</v>
      </c>
      <c r="C25" s="165" t="s">
        <v>4217</v>
      </c>
      <c r="D25" s="179"/>
      <c r="E25" s="179"/>
      <c r="F25" s="179"/>
      <c r="G25" s="179"/>
      <c r="H25" s="179"/>
      <c r="I25" s="179"/>
      <c r="J25" s="179"/>
      <c r="K25" s="179"/>
      <c r="L25" s="179"/>
      <c r="M25" s="179"/>
      <c r="N25" s="179"/>
      <c r="O25" s="179"/>
      <c r="P25" s="179"/>
      <c r="Q25" s="179"/>
      <c r="R25" s="179"/>
      <c r="S25" s="179"/>
      <c r="T25" s="179"/>
      <c r="U25" s="179"/>
      <c r="V25" s="179"/>
      <c r="W25" s="179"/>
      <c r="X25" s="179"/>
      <c r="Y25" s="179"/>
      <c r="Z25" s="179"/>
    </row>
    <row r="26">
      <c r="A26" s="165" t="s">
        <v>324</v>
      </c>
      <c r="B26" s="165" t="s">
        <v>324</v>
      </c>
      <c r="C26" s="165" t="s">
        <v>4218</v>
      </c>
      <c r="D26" s="179"/>
      <c r="E26" s="179"/>
      <c r="F26" s="179"/>
      <c r="G26" s="179"/>
      <c r="H26" s="179"/>
      <c r="I26" s="179"/>
      <c r="J26" s="179"/>
      <c r="K26" s="179"/>
      <c r="L26" s="179"/>
      <c r="M26" s="179"/>
      <c r="N26" s="179"/>
      <c r="O26" s="179"/>
      <c r="P26" s="179"/>
      <c r="Q26" s="179"/>
      <c r="R26" s="179"/>
      <c r="S26" s="179"/>
      <c r="T26" s="179"/>
      <c r="U26" s="179"/>
      <c r="V26" s="179"/>
      <c r="W26" s="179"/>
      <c r="X26" s="179"/>
      <c r="Y26" s="179"/>
      <c r="Z26" s="179"/>
    </row>
    <row r="27">
      <c r="A27" s="179"/>
      <c r="B27" s="179"/>
      <c r="C27" s="179"/>
      <c r="D27" s="179"/>
      <c r="E27" s="179"/>
      <c r="F27" s="179"/>
      <c r="G27" s="179"/>
      <c r="H27" s="179"/>
      <c r="I27" s="179"/>
      <c r="J27" s="179"/>
      <c r="K27" s="179"/>
      <c r="L27" s="179"/>
      <c r="M27" s="179"/>
      <c r="N27" s="179"/>
      <c r="O27" s="179"/>
      <c r="P27" s="179"/>
      <c r="Q27" s="179"/>
      <c r="R27" s="179"/>
      <c r="S27" s="179"/>
      <c r="T27" s="179"/>
      <c r="U27" s="179"/>
      <c r="V27" s="179"/>
      <c r="W27" s="179"/>
      <c r="X27" s="179"/>
      <c r="Y27" s="179"/>
      <c r="Z27" s="179"/>
    </row>
    <row r="28">
      <c r="A28" s="182" t="s">
        <v>4219</v>
      </c>
      <c r="B28" s="182">
        <f>COUNTA(B2:B26)</f>
        <v>25</v>
      </c>
      <c r="C28" s="179"/>
      <c r="D28" s="179"/>
      <c r="E28" s="179"/>
      <c r="F28" s="179"/>
      <c r="G28" s="179"/>
      <c r="H28" s="179"/>
      <c r="I28" s="179"/>
      <c r="J28" s="179"/>
      <c r="K28" s="179"/>
      <c r="L28" s="179"/>
      <c r="M28" s="179"/>
      <c r="N28" s="179"/>
      <c r="O28" s="179"/>
      <c r="P28" s="179"/>
      <c r="Q28" s="179"/>
      <c r="R28" s="179"/>
      <c r="S28" s="179"/>
      <c r="T28" s="179"/>
      <c r="U28" s="179"/>
      <c r="V28" s="179"/>
      <c r="W28" s="179"/>
      <c r="X28" s="179"/>
      <c r="Y28" s="179"/>
      <c r="Z28" s="179"/>
    </row>
    <row r="29">
      <c r="D29" s="179"/>
      <c r="E29" s="179"/>
      <c r="F29" s="179"/>
      <c r="G29" s="179"/>
      <c r="H29" s="179"/>
      <c r="I29" s="179"/>
      <c r="J29" s="179"/>
      <c r="K29" s="179"/>
      <c r="L29" s="179"/>
      <c r="M29" s="179"/>
      <c r="N29" s="179"/>
      <c r="O29" s="179"/>
      <c r="P29" s="179"/>
      <c r="Q29" s="179"/>
      <c r="R29" s="179"/>
      <c r="S29" s="179"/>
      <c r="T29" s="179"/>
      <c r="U29" s="179"/>
      <c r="V29" s="179"/>
      <c r="W29" s="179"/>
      <c r="X29" s="179"/>
      <c r="Y29" s="179"/>
      <c r="Z29" s="179"/>
    </row>
    <row r="30">
      <c r="A30" s="179"/>
      <c r="B30" s="179"/>
      <c r="C30" s="179"/>
      <c r="D30" s="179"/>
      <c r="E30" s="179"/>
      <c r="F30" s="179"/>
      <c r="G30" s="179"/>
      <c r="H30" s="179"/>
      <c r="I30" s="179"/>
      <c r="J30" s="179"/>
      <c r="K30" s="179"/>
      <c r="L30" s="179"/>
      <c r="M30" s="179"/>
      <c r="N30" s="179"/>
      <c r="O30" s="179"/>
      <c r="P30" s="179"/>
      <c r="Q30" s="179"/>
      <c r="R30" s="179"/>
      <c r="S30" s="179"/>
      <c r="T30" s="179"/>
      <c r="U30" s="179"/>
      <c r="V30" s="179"/>
      <c r="W30" s="179"/>
      <c r="X30" s="179"/>
      <c r="Y30" s="179"/>
      <c r="Z30" s="179"/>
    </row>
    <row r="31">
      <c r="A31" s="183" t="s">
        <v>4220</v>
      </c>
      <c r="B31" s="179"/>
      <c r="C31" s="179"/>
      <c r="D31" s="179"/>
      <c r="E31" s="179"/>
      <c r="F31" s="179"/>
      <c r="G31" s="179"/>
      <c r="H31" s="179"/>
      <c r="I31" s="179"/>
      <c r="J31" s="179"/>
      <c r="K31" s="179"/>
      <c r="L31" s="179"/>
      <c r="M31" s="179"/>
      <c r="N31" s="179"/>
      <c r="O31" s="179"/>
      <c r="P31" s="179"/>
      <c r="Q31" s="179"/>
      <c r="R31" s="179"/>
      <c r="S31" s="179"/>
      <c r="T31" s="179"/>
      <c r="U31" s="179"/>
      <c r="V31" s="179"/>
      <c r="W31" s="179"/>
      <c r="X31" s="179"/>
      <c r="Y31" s="179"/>
      <c r="Z31" s="179"/>
    </row>
    <row r="32">
      <c r="A32" s="179"/>
      <c r="B32" s="179"/>
      <c r="C32" s="179"/>
      <c r="D32" s="179"/>
      <c r="E32" s="179"/>
      <c r="F32" s="179"/>
      <c r="G32" s="179"/>
      <c r="H32" s="179"/>
      <c r="I32" s="179"/>
      <c r="J32" s="179"/>
      <c r="K32" s="179"/>
      <c r="L32" s="179"/>
      <c r="M32" s="179"/>
      <c r="N32" s="179"/>
      <c r="O32" s="179"/>
      <c r="P32" s="179"/>
      <c r="Q32" s="179"/>
      <c r="R32" s="179"/>
      <c r="S32" s="179"/>
      <c r="T32" s="179"/>
      <c r="U32" s="179"/>
      <c r="V32" s="179"/>
      <c r="W32" s="179"/>
      <c r="X32" s="179"/>
      <c r="Y32" s="179"/>
      <c r="Z32" s="179"/>
    </row>
    <row r="33">
      <c r="A33" s="184" t="s">
        <v>4221</v>
      </c>
      <c r="B33" s="179"/>
      <c r="C33" s="179"/>
      <c r="D33" s="179"/>
      <c r="E33" s="179"/>
      <c r="F33" s="179"/>
      <c r="G33" s="179"/>
      <c r="H33" s="179"/>
      <c r="I33" s="179"/>
      <c r="J33" s="179"/>
      <c r="K33" s="179"/>
      <c r="L33" s="179"/>
      <c r="M33" s="179"/>
      <c r="N33" s="179"/>
      <c r="O33" s="179"/>
      <c r="P33" s="179"/>
      <c r="Q33" s="179"/>
      <c r="R33" s="179"/>
      <c r="S33" s="179"/>
      <c r="T33" s="179"/>
      <c r="U33" s="179"/>
      <c r="V33" s="179"/>
      <c r="W33" s="179"/>
      <c r="X33" s="179"/>
      <c r="Y33" s="179"/>
      <c r="Z33" s="179"/>
    </row>
    <row r="34">
      <c r="A34" s="185" t="s">
        <v>4222</v>
      </c>
      <c r="B34" s="179"/>
      <c r="C34" s="179"/>
      <c r="D34" s="179"/>
      <c r="E34" s="179"/>
      <c r="F34" s="179"/>
      <c r="G34" s="179"/>
      <c r="H34" s="179"/>
      <c r="I34" s="179"/>
      <c r="J34" s="179"/>
      <c r="K34" s="179"/>
      <c r="L34" s="179"/>
      <c r="M34" s="179"/>
      <c r="N34" s="179"/>
      <c r="O34" s="179"/>
      <c r="P34" s="179"/>
      <c r="Q34" s="179"/>
      <c r="R34" s="179"/>
      <c r="S34" s="179"/>
      <c r="T34" s="179"/>
      <c r="U34" s="179"/>
      <c r="V34" s="179"/>
      <c r="W34" s="179"/>
      <c r="X34" s="179"/>
      <c r="Y34" s="179"/>
      <c r="Z34" s="179"/>
    </row>
    <row r="35">
      <c r="A35" s="184" t="s">
        <v>4223</v>
      </c>
      <c r="B35" s="179"/>
      <c r="C35" s="179"/>
      <c r="D35" s="179"/>
      <c r="E35" s="179"/>
      <c r="F35" s="179"/>
      <c r="G35" s="179"/>
      <c r="H35" s="179"/>
      <c r="I35" s="179"/>
      <c r="J35" s="179"/>
      <c r="K35" s="179"/>
      <c r="L35" s="179"/>
      <c r="M35" s="179"/>
      <c r="N35" s="179"/>
      <c r="O35" s="179"/>
      <c r="P35" s="179"/>
      <c r="Q35" s="179"/>
      <c r="R35" s="179"/>
      <c r="S35" s="179"/>
      <c r="T35" s="179"/>
      <c r="U35" s="179"/>
      <c r="V35" s="179"/>
      <c r="W35" s="179"/>
      <c r="X35" s="179"/>
      <c r="Y35" s="179"/>
      <c r="Z35" s="179"/>
    </row>
    <row r="36">
      <c r="A36" s="184" t="s">
        <v>4224</v>
      </c>
      <c r="B36" s="179"/>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row>
    <row r="37">
      <c r="A37" s="184" t="s">
        <v>4225</v>
      </c>
      <c r="B37" s="179"/>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row>
    <row r="38">
      <c r="A38" s="179"/>
      <c r="B38" s="179"/>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row>
    <row r="39">
      <c r="A39" s="179"/>
      <c r="B39" s="179"/>
      <c r="C39" s="179"/>
      <c r="D39" s="179"/>
      <c r="E39" s="179"/>
      <c r="F39" s="179"/>
      <c r="G39" s="179"/>
      <c r="H39" s="179"/>
      <c r="I39" s="179"/>
      <c r="J39" s="179"/>
      <c r="K39" s="179"/>
      <c r="L39" s="179"/>
      <c r="M39" s="179"/>
      <c r="N39" s="179"/>
      <c r="O39" s="179"/>
      <c r="P39" s="179"/>
      <c r="Q39" s="179"/>
      <c r="R39" s="179"/>
      <c r="S39" s="179"/>
      <c r="T39" s="179"/>
      <c r="U39" s="179"/>
      <c r="V39" s="179"/>
      <c r="W39" s="179"/>
      <c r="X39" s="179"/>
      <c r="Y39" s="179"/>
      <c r="Z39" s="179"/>
    </row>
    <row r="40">
      <c r="A40" s="179"/>
      <c r="B40" s="179"/>
      <c r="C40" s="179"/>
      <c r="D40" s="179"/>
      <c r="E40" s="179"/>
      <c r="F40" s="179"/>
      <c r="G40" s="179"/>
      <c r="H40" s="179"/>
      <c r="I40" s="179"/>
      <c r="J40" s="179"/>
      <c r="K40" s="179"/>
      <c r="L40" s="179"/>
      <c r="M40" s="179"/>
      <c r="N40" s="179"/>
      <c r="O40" s="179"/>
      <c r="P40" s="179"/>
      <c r="Q40" s="179"/>
      <c r="R40" s="179"/>
      <c r="S40" s="179"/>
      <c r="T40" s="179"/>
      <c r="U40" s="179"/>
      <c r="V40" s="179"/>
      <c r="W40" s="179"/>
      <c r="X40" s="179"/>
      <c r="Y40" s="179"/>
      <c r="Z40" s="179"/>
    </row>
    <row r="41">
      <c r="A41" s="179"/>
      <c r="B41" s="179"/>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row>
    <row r="42">
      <c r="A42" s="179"/>
      <c r="B42" s="179"/>
      <c r="C42" s="179"/>
      <c r="D42" s="179"/>
      <c r="E42" s="179"/>
      <c r="F42" s="179"/>
      <c r="G42" s="179"/>
      <c r="H42" s="179"/>
      <c r="I42" s="179"/>
      <c r="J42" s="179"/>
      <c r="K42" s="179"/>
      <c r="L42" s="179"/>
      <c r="M42" s="179"/>
      <c r="N42" s="179"/>
      <c r="O42" s="179"/>
      <c r="P42" s="179"/>
      <c r="Q42" s="179"/>
      <c r="R42" s="179"/>
      <c r="S42" s="179"/>
      <c r="T42" s="179"/>
      <c r="U42" s="179"/>
      <c r="V42" s="179"/>
      <c r="W42" s="179"/>
      <c r="X42" s="179"/>
      <c r="Y42" s="179"/>
      <c r="Z42" s="179"/>
    </row>
    <row r="43">
      <c r="A43" s="179"/>
      <c r="B43" s="179"/>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row>
    <row r="44">
      <c r="A44" s="179"/>
      <c r="B44" s="179"/>
      <c r="C44" s="179"/>
      <c r="D44" s="179"/>
      <c r="E44" s="179"/>
      <c r="F44" s="179"/>
      <c r="G44" s="179"/>
      <c r="H44" s="179"/>
      <c r="I44" s="179"/>
      <c r="J44" s="179"/>
      <c r="K44" s="179"/>
      <c r="L44" s="179"/>
      <c r="M44" s="179"/>
      <c r="N44" s="179"/>
      <c r="O44" s="179"/>
      <c r="P44" s="179"/>
      <c r="Q44" s="179"/>
      <c r="R44" s="179"/>
      <c r="S44" s="179"/>
      <c r="T44" s="179"/>
      <c r="U44" s="179"/>
      <c r="V44" s="179"/>
      <c r="W44" s="179"/>
      <c r="X44" s="179"/>
      <c r="Y44" s="179"/>
      <c r="Z44" s="179"/>
    </row>
    <row r="45">
      <c r="A45" s="179"/>
      <c r="B45" s="179"/>
      <c r="C45" s="179"/>
      <c r="D45" s="179"/>
      <c r="E45" s="179"/>
      <c r="F45" s="179"/>
      <c r="G45" s="179"/>
      <c r="H45" s="179"/>
      <c r="I45" s="179"/>
      <c r="J45" s="179"/>
      <c r="K45" s="179"/>
      <c r="L45" s="179"/>
      <c r="M45" s="179"/>
      <c r="N45" s="179"/>
      <c r="O45" s="179"/>
      <c r="P45" s="179"/>
      <c r="Q45" s="179"/>
      <c r="R45" s="179"/>
      <c r="S45" s="179"/>
      <c r="T45" s="179"/>
      <c r="U45" s="179"/>
      <c r="V45" s="179"/>
      <c r="W45" s="179"/>
      <c r="X45" s="179"/>
      <c r="Y45" s="179"/>
      <c r="Z45" s="179"/>
    </row>
    <row r="46">
      <c r="A46" s="179"/>
      <c r="B46" s="179"/>
      <c r="C46" s="179"/>
      <c r="D46" s="179"/>
      <c r="E46" s="179"/>
      <c r="F46" s="179"/>
      <c r="G46" s="179"/>
      <c r="H46" s="179"/>
      <c r="I46" s="179"/>
      <c r="J46" s="179"/>
      <c r="K46" s="179"/>
      <c r="L46" s="179"/>
      <c r="M46" s="179"/>
      <c r="N46" s="179"/>
      <c r="O46" s="179"/>
      <c r="P46" s="179"/>
      <c r="Q46" s="179"/>
      <c r="R46" s="179"/>
      <c r="S46" s="179"/>
      <c r="T46" s="179"/>
      <c r="U46" s="179"/>
      <c r="V46" s="179"/>
      <c r="W46" s="179"/>
      <c r="X46" s="179"/>
      <c r="Y46" s="179"/>
      <c r="Z46" s="179"/>
    </row>
    <row r="47">
      <c r="A47" s="179"/>
      <c r="B47" s="179"/>
      <c r="C47" s="179"/>
      <c r="D47" s="179"/>
      <c r="E47" s="179"/>
      <c r="F47" s="179"/>
      <c r="G47" s="179"/>
      <c r="H47" s="179"/>
      <c r="I47" s="179"/>
      <c r="J47" s="179"/>
      <c r="K47" s="179"/>
      <c r="L47" s="179"/>
      <c r="M47" s="179"/>
      <c r="N47" s="179"/>
      <c r="O47" s="179"/>
      <c r="P47" s="179"/>
      <c r="Q47" s="179"/>
      <c r="R47" s="179"/>
      <c r="S47" s="179"/>
      <c r="T47" s="179"/>
      <c r="U47" s="179"/>
      <c r="V47" s="179"/>
      <c r="W47" s="179"/>
      <c r="X47" s="179"/>
      <c r="Y47" s="179"/>
      <c r="Z47" s="179"/>
    </row>
    <row r="48">
      <c r="A48" s="179"/>
      <c r="B48" s="179"/>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row>
    <row r="49">
      <c r="A49" s="179"/>
      <c r="B49" s="179"/>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row>
    <row r="50">
      <c r="A50" s="179"/>
      <c r="B50" s="179"/>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row>
    <row r="51">
      <c r="A51" s="179"/>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row>
    <row r="52">
      <c r="A52" s="179"/>
      <c r="B52" s="179"/>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row>
    <row r="53">
      <c r="A53" s="179"/>
      <c r="B53" s="179"/>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row>
    <row r="54">
      <c r="A54" s="179"/>
      <c r="B54" s="179"/>
      <c r="C54" s="179"/>
      <c r="D54" s="179"/>
      <c r="E54" s="179"/>
      <c r="F54" s="179"/>
      <c r="G54" s="179"/>
      <c r="H54" s="179"/>
      <c r="I54" s="179"/>
      <c r="J54" s="179"/>
      <c r="K54" s="179"/>
      <c r="L54" s="179"/>
      <c r="M54" s="179"/>
      <c r="N54" s="179"/>
      <c r="O54" s="179"/>
      <c r="P54" s="179"/>
      <c r="Q54" s="179"/>
      <c r="R54" s="179"/>
      <c r="S54" s="179"/>
      <c r="T54" s="179"/>
      <c r="U54" s="179"/>
      <c r="V54" s="179"/>
      <c r="W54" s="179"/>
      <c r="X54" s="179"/>
      <c r="Y54" s="179"/>
      <c r="Z54" s="179"/>
    </row>
    <row r="55">
      <c r="A55" s="179"/>
      <c r="B55" s="179"/>
      <c r="C55" s="179"/>
      <c r="D55" s="179"/>
      <c r="E55" s="179"/>
      <c r="F55" s="179"/>
      <c r="G55" s="179"/>
      <c r="H55" s="179"/>
      <c r="I55" s="179"/>
      <c r="J55" s="179"/>
      <c r="K55" s="179"/>
      <c r="L55" s="179"/>
      <c r="M55" s="179"/>
      <c r="N55" s="179"/>
      <c r="O55" s="179"/>
      <c r="P55" s="179"/>
      <c r="Q55" s="179"/>
      <c r="R55" s="179"/>
      <c r="S55" s="179"/>
      <c r="T55" s="179"/>
      <c r="U55" s="179"/>
      <c r="V55" s="179"/>
      <c r="W55" s="179"/>
      <c r="X55" s="179"/>
      <c r="Y55" s="179"/>
      <c r="Z55" s="179"/>
    </row>
    <row r="56">
      <c r="A56" s="179"/>
      <c r="B56" s="179"/>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row>
    <row r="57">
      <c r="A57" s="179"/>
      <c r="B57" s="179"/>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row>
    <row r="58">
      <c r="A58" s="179"/>
      <c r="B58" s="179"/>
      <c r="C58" s="179"/>
      <c r="D58" s="179"/>
      <c r="E58" s="179"/>
      <c r="F58" s="179"/>
      <c r="G58" s="179"/>
      <c r="H58" s="179"/>
      <c r="I58" s="179"/>
      <c r="J58" s="179"/>
      <c r="K58" s="179"/>
      <c r="L58" s="179"/>
      <c r="M58" s="179"/>
      <c r="N58" s="179"/>
      <c r="O58" s="179"/>
      <c r="P58" s="179"/>
      <c r="Q58" s="179"/>
      <c r="R58" s="179"/>
      <c r="S58" s="179"/>
      <c r="T58" s="179"/>
      <c r="U58" s="179"/>
      <c r="V58" s="179"/>
      <c r="W58" s="179"/>
      <c r="X58" s="179"/>
      <c r="Y58" s="179"/>
      <c r="Z58" s="179"/>
    </row>
    <row r="59">
      <c r="A59" s="179"/>
      <c r="B59" s="179"/>
      <c r="C59" s="179"/>
      <c r="D59" s="179"/>
      <c r="E59" s="179"/>
      <c r="F59" s="179"/>
      <c r="G59" s="179"/>
      <c r="H59" s="179"/>
      <c r="I59" s="179"/>
      <c r="J59" s="179"/>
      <c r="K59" s="179"/>
      <c r="L59" s="179"/>
      <c r="M59" s="179"/>
      <c r="N59" s="179"/>
      <c r="O59" s="179"/>
      <c r="P59" s="179"/>
      <c r="Q59" s="179"/>
      <c r="R59" s="179"/>
      <c r="S59" s="179"/>
      <c r="T59" s="179"/>
      <c r="U59" s="179"/>
      <c r="V59" s="179"/>
      <c r="W59" s="179"/>
      <c r="X59" s="179"/>
      <c r="Y59" s="179"/>
      <c r="Z59" s="179"/>
    </row>
    <row r="60">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row>
    <row r="61">
      <c r="A61" s="179"/>
      <c r="B61" s="179"/>
      <c r="C61" s="179"/>
      <c r="D61" s="179"/>
      <c r="E61" s="179"/>
      <c r="F61" s="179"/>
      <c r="G61" s="179"/>
      <c r="H61" s="179"/>
      <c r="I61" s="179"/>
      <c r="J61" s="179"/>
      <c r="K61" s="179"/>
      <c r="L61" s="179"/>
      <c r="M61" s="179"/>
      <c r="N61" s="179"/>
      <c r="O61" s="179"/>
      <c r="P61" s="179"/>
      <c r="Q61" s="179"/>
      <c r="R61" s="179"/>
      <c r="S61" s="179"/>
      <c r="T61" s="179"/>
      <c r="U61" s="179"/>
      <c r="V61" s="179"/>
      <c r="W61" s="179"/>
      <c r="X61" s="179"/>
      <c r="Y61" s="179"/>
      <c r="Z61" s="179"/>
    </row>
    <row r="62">
      <c r="A62" s="179"/>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row>
    <row r="63">
      <c r="A63" s="179"/>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row>
    <row r="64">
      <c r="A64" s="179"/>
      <c r="B64" s="179"/>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row>
    <row r="65">
      <c r="A65" s="179"/>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row>
    <row r="66">
      <c r="A66" s="179"/>
      <c r="B66" s="179"/>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row>
    <row r="67">
      <c r="A67" s="179"/>
      <c r="B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row>
    <row r="68">
      <c r="A68" s="179"/>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row>
    <row r="69">
      <c r="A69" s="179"/>
      <c r="B69" s="179"/>
      <c r="C69" s="179"/>
      <c r="D69" s="179"/>
      <c r="E69" s="179"/>
      <c r="F69" s="179"/>
      <c r="G69" s="179"/>
      <c r="H69" s="179"/>
      <c r="I69" s="179"/>
      <c r="J69" s="179"/>
      <c r="K69" s="179"/>
      <c r="L69" s="179"/>
      <c r="M69" s="179"/>
      <c r="N69" s="179"/>
      <c r="O69" s="179"/>
      <c r="P69" s="179"/>
      <c r="Q69" s="179"/>
      <c r="R69" s="179"/>
      <c r="S69" s="179"/>
      <c r="T69" s="179"/>
      <c r="U69" s="179"/>
      <c r="V69" s="179"/>
      <c r="W69" s="179"/>
      <c r="X69" s="179"/>
      <c r="Y69" s="179"/>
      <c r="Z69" s="179"/>
    </row>
    <row r="70">
      <c r="A70" s="179"/>
      <c r="B70" s="179"/>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row>
    <row r="71">
      <c r="A71" s="179"/>
      <c r="B71" s="179"/>
      <c r="C71" s="179"/>
      <c r="D71" s="179"/>
      <c r="E71" s="179"/>
      <c r="F71" s="179"/>
      <c r="G71" s="179"/>
      <c r="H71" s="179"/>
      <c r="I71" s="179"/>
      <c r="J71" s="179"/>
      <c r="K71" s="179"/>
      <c r="L71" s="179"/>
      <c r="M71" s="179"/>
      <c r="N71" s="179"/>
      <c r="O71" s="179"/>
      <c r="P71" s="179"/>
      <c r="Q71" s="179"/>
      <c r="R71" s="179"/>
      <c r="S71" s="179"/>
      <c r="T71" s="179"/>
      <c r="U71" s="179"/>
      <c r="V71" s="179"/>
      <c r="W71" s="179"/>
      <c r="X71" s="179"/>
      <c r="Y71" s="179"/>
      <c r="Z71" s="179"/>
    </row>
    <row r="72">
      <c r="A72" s="179"/>
      <c r="B72" s="179"/>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row>
    <row r="73">
      <c r="A73" s="179"/>
      <c r="B73" s="179"/>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row>
    <row r="74">
      <c r="A74" s="179"/>
      <c r="B74" s="179"/>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row>
    <row r="75">
      <c r="A75" s="179"/>
      <c r="B75" s="179"/>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row>
    <row r="76">
      <c r="A76" s="179"/>
      <c r="B76" s="179"/>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row>
    <row r="77">
      <c r="A77" s="179"/>
      <c r="B77" s="179"/>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row>
    <row r="78">
      <c r="A78" s="179"/>
      <c r="B78" s="179"/>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row>
    <row r="79">
      <c r="A79" s="179"/>
      <c r="B79" s="179"/>
      <c r="C79" s="179"/>
      <c r="D79" s="179"/>
      <c r="E79" s="179"/>
      <c r="F79" s="179"/>
      <c r="G79" s="179"/>
      <c r="H79" s="179"/>
      <c r="I79" s="179"/>
      <c r="J79" s="179"/>
      <c r="K79" s="179"/>
      <c r="L79" s="179"/>
      <c r="M79" s="179"/>
      <c r="N79" s="179"/>
      <c r="O79" s="179"/>
      <c r="P79" s="179"/>
      <c r="Q79" s="179"/>
      <c r="R79" s="179"/>
      <c r="S79" s="179"/>
      <c r="T79" s="179"/>
      <c r="U79" s="179"/>
      <c r="V79" s="179"/>
      <c r="W79" s="179"/>
      <c r="X79" s="179"/>
      <c r="Y79" s="179"/>
      <c r="Z79" s="179"/>
    </row>
    <row r="80">
      <c r="A80" s="179"/>
      <c r="B80" s="179"/>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row>
    <row r="81">
      <c r="A81" s="179"/>
      <c r="B81" s="179"/>
      <c r="C81" s="179"/>
      <c r="D81" s="179"/>
      <c r="E81" s="179"/>
      <c r="F81" s="179"/>
      <c r="G81" s="179"/>
      <c r="H81" s="179"/>
      <c r="I81" s="179"/>
      <c r="J81" s="179"/>
      <c r="K81" s="179"/>
      <c r="L81" s="179"/>
      <c r="M81" s="179"/>
      <c r="N81" s="179"/>
      <c r="O81" s="179"/>
      <c r="P81" s="179"/>
      <c r="Q81" s="179"/>
      <c r="R81" s="179"/>
      <c r="S81" s="179"/>
      <c r="T81" s="179"/>
      <c r="U81" s="179"/>
      <c r="V81" s="179"/>
      <c r="W81" s="179"/>
      <c r="X81" s="179"/>
      <c r="Y81" s="179"/>
      <c r="Z81" s="179"/>
    </row>
    <row r="82">
      <c r="A82" s="179"/>
      <c r="B82" s="179"/>
      <c r="C82" s="179"/>
      <c r="D82" s="179"/>
      <c r="E82" s="179"/>
      <c r="F82" s="179"/>
      <c r="G82" s="179"/>
      <c r="H82" s="179"/>
      <c r="I82" s="179"/>
      <c r="J82" s="179"/>
      <c r="K82" s="179"/>
      <c r="L82" s="179"/>
      <c r="M82" s="179"/>
      <c r="N82" s="179"/>
      <c r="O82" s="179"/>
      <c r="P82" s="179"/>
      <c r="Q82" s="179"/>
      <c r="R82" s="179"/>
      <c r="S82" s="179"/>
      <c r="T82" s="179"/>
      <c r="U82" s="179"/>
      <c r="V82" s="179"/>
      <c r="W82" s="179"/>
      <c r="X82" s="179"/>
      <c r="Y82" s="179"/>
      <c r="Z82" s="179"/>
    </row>
    <row r="83">
      <c r="A83" s="179"/>
      <c r="B83" s="179"/>
      <c r="C83" s="179"/>
      <c r="D83" s="179"/>
      <c r="E83" s="179"/>
      <c r="F83" s="179"/>
      <c r="G83" s="179"/>
      <c r="H83" s="179"/>
      <c r="I83" s="179"/>
      <c r="J83" s="179"/>
      <c r="K83" s="179"/>
      <c r="L83" s="179"/>
      <c r="M83" s="179"/>
      <c r="N83" s="179"/>
      <c r="O83" s="179"/>
      <c r="P83" s="179"/>
      <c r="Q83" s="179"/>
      <c r="R83" s="179"/>
      <c r="S83" s="179"/>
      <c r="T83" s="179"/>
      <c r="U83" s="179"/>
      <c r="V83" s="179"/>
      <c r="W83" s="179"/>
      <c r="X83" s="179"/>
      <c r="Y83" s="179"/>
      <c r="Z83" s="179"/>
    </row>
    <row r="84">
      <c r="A84" s="179"/>
      <c r="B84" s="179"/>
      <c r="C84" s="179"/>
      <c r="D84" s="179"/>
      <c r="E84" s="179"/>
      <c r="F84" s="179"/>
      <c r="G84" s="179"/>
      <c r="H84" s="179"/>
      <c r="I84" s="179"/>
      <c r="J84" s="179"/>
      <c r="K84" s="179"/>
      <c r="L84" s="179"/>
      <c r="M84" s="179"/>
      <c r="N84" s="179"/>
      <c r="O84" s="179"/>
      <c r="P84" s="179"/>
      <c r="Q84" s="179"/>
      <c r="R84" s="179"/>
      <c r="S84" s="179"/>
      <c r="T84" s="179"/>
      <c r="U84" s="179"/>
      <c r="V84" s="179"/>
      <c r="W84" s="179"/>
      <c r="X84" s="179"/>
      <c r="Y84" s="179"/>
      <c r="Z84" s="179"/>
    </row>
    <row r="85">
      <c r="A85" s="179"/>
      <c r="B85" s="179"/>
      <c r="C85" s="179"/>
      <c r="D85" s="179"/>
      <c r="E85" s="179"/>
      <c r="F85" s="179"/>
      <c r="G85" s="179"/>
      <c r="H85" s="179"/>
      <c r="I85" s="179"/>
      <c r="J85" s="179"/>
      <c r="K85" s="179"/>
      <c r="L85" s="179"/>
      <c r="M85" s="179"/>
      <c r="N85" s="179"/>
      <c r="O85" s="179"/>
      <c r="P85" s="179"/>
      <c r="Q85" s="179"/>
      <c r="R85" s="179"/>
      <c r="S85" s="179"/>
      <c r="T85" s="179"/>
      <c r="U85" s="179"/>
      <c r="V85" s="179"/>
      <c r="W85" s="179"/>
      <c r="X85" s="179"/>
      <c r="Y85" s="179"/>
      <c r="Z85" s="179"/>
    </row>
    <row r="86">
      <c r="A86" s="179"/>
      <c r="B86" s="179"/>
      <c r="C86" s="179"/>
      <c r="D86" s="179"/>
      <c r="E86" s="179"/>
      <c r="F86" s="179"/>
      <c r="G86" s="179"/>
      <c r="H86" s="179"/>
      <c r="I86" s="179"/>
      <c r="J86" s="179"/>
      <c r="K86" s="179"/>
      <c r="L86" s="179"/>
      <c r="M86" s="179"/>
      <c r="N86" s="179"/>
      <c r="O86" s="179"/>
      <c r="P86" s="179"/>
      <c r="Q86" s="179"/>
      <c r="R86" s="179"/>
      <c r="S86" s="179"/>
      <c r="T86" s="179"/>
      <c r="U86" s="179"/>
      <c r="V86" s="179"/>
      <c r="W86" s="179"/>
      <c r="X86" s="179"/>
      <c r="Y86" s="179"/>
      <c r="Z86" s="179"/>
    </row>
    <row r="87">
      <c r="A87" s="179"/>
      <c r="B87" s="179"/>
      <c r="C87" s="179"/>
      <c r="D87" s="179"/>
      <c r="E87" s="179"/>
      <c r="F87" s="179"/>
      <c r="G87" s="179"/>
      <c r="H87" s="179"/>
      <c r="I87" s="179"/>
      <c r="J87" s="179"/>
      <c r="K87" s="179"/>
      <c r="L87" s="179"/>
      <c r="M87" s="179"/>
      <c r="N87" s="179"/>
      <c r="O87" s="179"/>
      <c r="P87" s="179"/>
      <c r="Q87" s="179"/>
      <c r="R87" s="179"/>
      <c r="S87" s="179"/>
      <c r="T87" s="179"/>
      <c r="U87" s="179"/>
      <c r="V87" s="179"/>
      <c r="W87" s="179"/>
      <c r="X87" s="179"/>
      <c r="Y87" s="179"/>
      <c r="Z87" s="179"/>
    </row>
    <row r="88">
      <c r="A88" s="179"/>
      <c r="B88" s="179"/>
      <c r="C88" s="179"/>
      <c r="D88" s="179"/>
      <c r="E88" s="179"/>
      <c r="F88" s="179"/>
      <c r="G88" s="179"/>
      <c r="H88" s="179"/>
      <c r="I88" s="179"/>
      <c r="J88" s="179"/>
      <c r="K88" s="179"/>
      <c r="L88" s="179"/>
      <c r="M88" s="179"/>
      <c r="N88" s="179"/>
      <c r="O88" s="179"/>
      <c r="P88" s="179"/>
      <c r="Q88" s="179"/>
      <c r="R88" s="179"/>
      <c r="S88" s="179"/>
      <c r="T88" s="179"/>
      <c r="U88" s="179"/>
      <c r="V88" s="179"/>
      <c r="W88" s="179"/>
      <c r="X88" s="179"/>
      <c r="Y88" s="179"/>
      <c r="Z88" s="179"/>
    </row>
    <row r="89">
      <c r="A89" s="179"/>
      <c r="B89" s="179"/>
      <c r="C89" s="179"/>
      <c r="D89" s="179"/>
      <c r="E89" s="179"/>
      <c r="F89" s="179"/>
      <c r="G89" s="179"/>
      <c r="H89" s="179"/>
      <c r="I89" s="179"/>
      <c r="J89" s="179"/>
      <c r="K89" s="179"/>
      <c r="L89" s="179"/>
      <c r="M89" s="179"/>
      <c r="N89" s="179"/>
      <c r="O89" s="179"/>
      <c r="P89" s="179"/>
      <c r="Q89" s="179"/>
      <c r="R89" s="179"/>
      <c r="S89" s="179"/>
      <c r="T89" s="179"/>
      <c r="U89" s="179"/>
      <c r="V89" s="179"/>
      <c r="W89" s="179"/>
      <c r="X89" s="179"/>
      <c r="Y89" s="179"/>
      <c r="Z89" s="179"/>
    </row>
    <row r="90">
      <c r="A90" s="179"/>
      <c r="B90" s="179"/>
      <c r="C90" s="179"/>
      <c r="D90" s="179"/>
      <c r="E90" s="179"/>
      <c r="F90" s="179"/>
      <c r="G90" s="179"/>
      <c r="H90" s="179"/>
      <c r="I90" s="179"/>
      <c r="J90" s="179"/>
      <c r="K90" s="179"/>
      <c r="L90" s="179"/>
      <c r="M90" s="179"/>
      <c r="N90" s="179"/>
      <c r="O90" s="179"/>
      <c r="P90" s="179"/>
      <c r="Q90" s="179"/>
      <c r="R90" s="179"/>
      <c r="S90" s="179"/>
      <c r="T90" s="179"/>
      <c r="U90" s="179"/>
      <c r="V90" s="179"/>
      <c r="W90" s="179"/>
      <c r="X90" s="179"/>
      <c r="Y90" s="179"/>
      <c r="Z90" s="179"/>
    </row>
    <row r="91">
      <c r="A91" s="179"/>
      <c r="B91" s="179"/>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row>
    <row r="92">
      <c r="A92" s="179"/>
      <c r="B92" s="179"/>
      <c r="C92" s="179"/>
      <c r="D92" s="179"/>
      <c r="E92" s="179"/>
      <c r="F92" s="179"/>
      <c r="G92" s="179"/>
      <c r="H92" s="179"/>
      <c r="I92" s="179"/>
      <c r="J92" s="179"/>
      <c r="K92" s="179"/>
      <c r="L92" s="179"/>
      <c r="M92" s="179"/>
      <c r="N92" s="179"/>
      <c r="O92" s="179"/>
      <c r="P92" s="179"/>
      <c r="Q92" s="179"/>
      <c r="R92" s="179"/>
      <c r="S92" s="179"/>
      <c r="T92" s="179"/>
      <c r="U92" s="179"/>
      <c r="V92" s="179"/>
      <c r="W92" s="179"/>
      <c r="X92" s="179"/>
      <c r="Y92" s="179"/>
      <c r="Z92" s="179"/>
    </row>
    <row r="93">
      <c r="A93" s="179"/>
      <c r="B93" s="179"/>
      <c r="C93" s="179"/>
      <c r="D93" s="179"/>
      <c r="E93" s="179"/>
      <c r="F93" s="179"/>
      <c r="G93" s="179"/>
      <c r="H93" s="179"/>
      <c r="I93" s="179"/>
      <c r="J93" s="179"/>
      <c r="K93" s="179"/>
      <c r="L93" s="179"/>
      <c r="M93" s="179"/>
      <c r="N93" s="179"/>
      <c r="O93" s="179"/>
      <c r="P93" s="179"/>
      <c r="Q93" s="179"/>
      <c r="R93" s="179"/>
      <c r="S93" s="179"/>
      <c r="T93" s="179"/>
      <c r="U93" s="179"/>
      <c r="V93" s="179"/>
      <c r="W93" s="179"/>
      <c r="X93" s="179"/>
      <c r="Y93" s="179"/>
      <c r="Z93" s="179"/>
    </row>
    <row r="94">
      <c r="A94" s="179"/>
      <c r="B94" s="179"/>
      <c r="C94" s="179"/>
      <c r="D94" s="179"/>
      <c r="E94" s="179"/>
      <c r="F94" s="179"/>
      <c r="G94" s="179"/>
      <c r="H94" s="179"/>
      <c r="I94" s="179"/>
      <c r="J94" s="179"/>
      <c r="K94" s="179"/>
      <c r="L94" s="179"/>
      <c r="M94" s="179"/>
      <c r="N94" s="179"/>
      <c r="O94" s="179"/>
      <c r="P94" s="179"/>
      <c r="Q94" s="179"/>
      <c r="R94" s="179"/>
      <c r="S94" s="179"/>
      <c r="T94" s="179"/>
      <c r="U94" s="179"/>
      <c r="V94" s="179"/>
      <c r="W94" s="179"/>
      <c r="X94" s="179"/>
      <c r="Y94" s="179"/>
      <c r="Z94" s="179"/>
    </row>
    <row r="95">
      <c r="A95" s="179"/>
      <c r="B95" s="179"/>
      <c r="C95" s="179"/>
      <c r="D95" s="179"/>
      <c r="E95" s="179"/>
      <c r="F95" s="179"/>
      <c r="G95" s="179"/>
      <c r="H95" s="179"/>
      <c r="I95" s="179"/>
      <c r="J95" s="179"/>
      <c r="K95" s="179"/>
      <c r="L95" s="179"/>
      <c r="M95" s="179"/>
      <c r="N95" s="179"/>
      <c r="O95" s="179"/>
      <c r="P95" s="179"/>
      <c r="Q95" s="179"/>
      <c r="R95" s="179"/>
      <c r="S95" s="179"/>
      <c r="T95" s="179"/>
      <c r="U95" s="179"/>
      <c r="V95" s="179"/>
      <c r="W95" s="179"/>
      <c r="X95" s="179"/>
      <c r="Y95" s="179"/>
      <c r="Z95" s="179"/>
    </row>
    <row r="96">
      <c r="A96" s="179"/>
      <c r="B96" s="179"/>
      <c r="C96" s="179"/>
      <c r="D96" s="179"/>
      <c r="E96" s="179"/>
      <c r="F96" s="179"/>
      <c r="G96" s="179"/>
      <c r="H96" s="179"/>
      <c r="I96" s="179"/>
      <c r="J96" s="179"/>
      <c r="K96" s="179"/>
      <c r="L96" s="179"/>
      <c r="M96" s="179"/>
      <c r="N96" s="179"/>
      <c r="O96" s="179"/>
      <c r="P96" s="179"/>
      <c r="Q96" s="179"/>
      <c r="R96" s="179"/>
      <c r="S96" s="179"/>
      <c r="T96" s="179"/>
      <c r="U96" s="179"/>
      <c r="V96" s="179"/>
      <c r="W96" s="179"/>
      <c r="X96" s="179"/>
      <c r="Y96" s="179"/>
      <c r="Z96" s="179"/>
    </row>
    <row r="97">
      <c r="A97" s="179"/>
      <c r="B97" s="179"/>
      <c r="C97" s="179"/>
      <c r="D97" s="179"/>
      <c r="E97" s="179"/>
      <c r="F97" s="179"/>
      <c r="G97" s="179"/>
      <c r="H97" s="179"/>
      <c r="I97" s="179"/>
      <c r="J97" s="179"/>
      <c r="K97" s="179"/>
      <c r="L97" s="179"/>
      <c r="M97" s="179"/>
      <c r="N97" s="179"/>
      <c r="O97" s="179"/>
      <c r="P97" s="179"/>
      <c r="Q97" s="179"/>
      <c r="R97" s="179"/>
      <c r="S97" s="179"/>
      <c r="T97" s="179"/>
      <c r="U97" s="179"/>
      <c r="V97" s="179"/>
      <c r="W97" s="179"/>
      <c r="X97" s="179"/>
      <c r="Y97" s="179"/>
      <c r="Z97" s="179"/>
    </row>
    <row r="98">
      <c r="A98" s="179"/>
      <c r="B98" s="179"/>
      <c r="C98" s="179"/>
      <c r="D98" s="179"/>
      <c r="E98" s="179"/>
      <c r="F98" s="179"/>
      <c r="G98" s="179"/>
      <c r="H98" s="179"/>
      <c r="I98" s="179"/>
      <c r="J98" s="179"/>
      <c r="K98" s="179"/>
      <c r="L98" s="179"/>
      <c r="M98" s="179"/>
      <c r="N98" s="179"/>
      <c r="O98" s="179"/>
      <c r="P98" s="179"/>
      <c r="Q98" s="179"/>
      <c r="R98" s="179"/>
      <c r="S98" s="179"/>
      <c r="T98" s="179"/>
      <c r="U98" s="179"/>
      <c r="V98" s="179"/>
      <c r="W98" s="179"/>
      <c r="X98" s="179"/>
      <c r="Y98" s="179"/>
      <c r="Z98" s="179"/>
    </row>
    <row r="99">
      <c r="A99" s="179"/>
      <c r="B99" s="179"/>
      <c r="C99" s="179"/>
      <c r="D99" s="179"/>
      <c r="E99" s="179"/>
      <c r="F99" s="179"/>
      <c r="G99" s="179"/>
      <c r="H99" s="179"/>
      <c r="I99" s="179"/>
      <c r="J99" s="179"/>
      <c r="K99" s="179"/>
      <c r="L99" s="179"/>
      <c r="M99" s="179"/>
      <c r="N99" s="179"/>
      <c r="O99" s="179"/>
      <c r="P99" s="179"/>
      <c r="Q99" s="179"/>
      <c r="R99" s="179"/>
      <c r="S99" s="179"/>
      <c r="T99" s="179"/>
      <c r="U99" s="179"/>
      <c r="V99" s="179"/>
      <c r="W99" s="179"/>
      <c r="X99" s="179"/>
      <c r="Y99" s="179"/>
      <c r="Z99" s="179"/>
    </row>
    <row r="100">
      <c r="A100" s="179"/>
      <c r="B100" s="179"/>
      <c r="C100" s="179"/>
      <c r="D100" s="179"/>
      <c r="E100" s="179"/>
      <c r="F100" s="179"/>
      <c r="G100" s="179"/>
      <c r="H100" s="179"/>
      <c r="I100" s="179"/>
      <c r="J100" s="179"/>
      <c r="K100" s="179"/>
      <c r="L100" s="179"/>
      <c r="M100" s="179"/>
      <c r="N100" s="179"/>
      <c r="O100" s="179"/>
      <c r="P100" s="179"/>
      <c r="Q100" s="179"/>
      <c r="R100" s="179"/>
      <c r="S100" s="179"/>
      <c r="T100" s="179"/>
      <c r="U100" s="179"/>
      <c r="V100" s="179"/>
      <c r="W100" s="179"/>
      <c r="X100" s="179"/>
      <c r="Y100" s="179"/>
      <c r="Z100" s="179"/>
    </row>
    <row r="101">
      <c r="A101" s="179"/>
      <c r="B101" s="179"/>
      <c r="C101" s="179"/>
      <c r="D101" s="179"/>
      <c r="E101" s="179"/>
      <c r="F101" s="179"/>
      <c r="G101" s="179"/>
      <c r="H101" s="179"/>
      <c r="I101" s="179"/>
      <c r="J101" s="179"/>
      <c r="K101" s="179"/>
      <c r="L101" s="179"/>
      <c r="M101" s="179"/>
      <c r="N101" s="179"/>
      <c r="O101" s="179"/>
      <c r="P101" s="179"/>
      <c r="Q101" s="179"/>
      <c r="R101" s="179"/>
      <c r="S101" s="179"/>
      <c r="T101" s="179"/>
      <c r="U101" s="179"/>
      <c r="V101" s="179"/>
      <c r="W101" s="179"/>
      <c r="X101" s="179"/>
      <c r="Y101" s="179"/>
      <c r="Z101" s="179"/>
    </row>
    <row r="102">
      <c r="A102" s="179"/>
      <c r="B102" s="179"/>
      <c r="C102" s="179"/>
      <c r="D102" s="179"/>
      <c r="E102" s="179"/>
      <c r="F102" s="179"/>
      <c r="G102" s="179"/>
      <c r="H102" s="179"/>
      <c r="I102" s="179"/>
      <c r="J102" s="179"/>
      <c r="K102" s="179"/>
      <c r="L102" s="179"/>
      <c r="M102" s="179"/>
      <c r="N102" s="179"/>
      <c r="O102" s="179"/>
      <c r="P102" s="179"/>
      <c r="Q102" s="179"/>
      <c r="R102" s="179"/>
      <c r="S102" s="179"/>
      <c r="T102" s="179"/>
      <c r="U102" s="179"/>
      <c r="V102" s="179"/>
      <c r="W102" s="179"/>
      <c r="X102" s="179"/>
      <c r="Y102" s="179"/>
      <c r="Z102" s="179"/>
    </row>
    <row r="103">
      <c r="A103" s="179"/>
      <c r="B103" s="179"/>
      <c r="C103" s="179"/>
      <c r="D103" s="179"/>
      <c r="E103" s="179"/>
      <c r="F103" s="179"/>
      <c r="G103" s="179"/>
      <c r="H103" s="179"/>
      <c r="I103" s="179"/>
      <c r="J103" s="179"/>
      <c r="K103" s="179"/>
      <c r="L103" s="179"/>
      <c r="M103" s="179"/>
      <c r="N103" s="179"/>
      <c r="O103" s="179"/>
      <c r="P103" s="179"/>
      <c r="Q103" s="179"/>
      <c r="R103" s="179"/>
      <c r="S103" s="179"/>
      <c r="T103" s="179"/>
      <c r="U103" s="179"/>
      <c r="V103" s="179"/>
      <c r="W103" s="179"/>
      <c r="X103" s="179"/>
      <c r="Y103" s="179"/>
      <c r="Z103" s="179"/>
    </row>
    <row r="104">
      <c r="A104" s="179"/>
      <c r="B104" s="179"/>
      <c r="C104" s="179"/>
      <c r="D104" s="179"/>
      <c r="E104" s="179"/>
      <c r="F104" s="179"/>
      <c r="G104" s="179"/>
      <c r="H104" s="179"/>
      <c r="I104" s="179"/>
      <c r="J104" s="179"/>
      <c r="K104" s="179"/>
      <c r="L104" s="179"/>
      <c r="M104" s="179"/>
      <c r="N104" s="179"/>
      <c r="O104" s="179"/>
      <c r="P104" s="179"/>
      <c r="Q104" s="179"/>
      <c r="R104" s="179"/>
      <c r="S104" s="179"/>
      <c r="T104" s="179"/>
      <c r="U104" s="179"/>
      <c r="V104" s="179"/>
      <c r="W104" s="179"/>
      <c r="X104" s="179"/>
      <c r="Y104" s="179"/>
      <c r="Z104" s="179"/>
    </row>
    <row r="105">
      <c r="A105" s="179"/>
      <c r="B105" s="179"/>
      <c r="C105" s="179"/>
      <c r="D105" s="179"/>
      <c r="E105" s="179"/>
      <c r="F105" s="179"/>
      <c r="G105" s="179"/>
      <c r="H105" s="179"/>
      <c r="I105" s="179"/>
      <c r="J105" s="179"/>
      <c r="K105" s="179"/>
      <c r="L105" s="179"/>
      <c r="M105" s="179"/>
      <c r="N105" s="179"/>
      <c r="O105" s="179"/>
      <c r="P105" s="179"/>
      <c r="Q105" s="179"/>
      <c r="R105" s="179"/>
      <c r="S105" s="179"/>
      <c r="T105" s="179"/>
      <c r="U105" s="179"/>
      <c r="V105" s="179"/>
      <c r="W105" s="179"/>
      <c r="X105" s="179"/>
      <c r="Y105" s="179"/>
      <c r="Z105" s="179"/>
    </row>
    <row r="106">
      <c r="A106" s="179"/>
      <c r="B106" s="179"/>
      <c r="C106" s="179"/>
      <c r="D106" s="179"/>
      <c r="E106" s="179"/>
      <c r="F106" s="179"/>
      <c r="G106" s="179"/>
      <c r="H106" s="179"/>
      <c r="I106" s="179"/>
      <c r="J106" s="179"/>
      <c r="K106" s="179"/>
      <c r="L106" s="179"/>
      <c r="M106" s="179"/>
      <c r="N106" s="179"/>
      <c r="O106" s="179"/>
      <c r="P106" s="179"/>
      <c r="Q106" s="179"/>
      <c r="R106" s="179"/>
      <c r="S106" s="179"/>
      <c r="T106" s="179"/>
      <c r="U106" s="179"/>
      <c r="V106" s="179"/>
      <c r="W106" s="179"/>
      <c r="X106" s="179"/>
      <c r="Y106" s="179"/>
      <c r="Z106" s="179"/>
    </row>
    <row r="107">
      <c r="A107" s="179"/>
      <c r="B107" s="179"/>
      <c r="C107" s="179"/>
      <c r="D107" s="179"/>
      <c r="E107" s="179"/>
      <c r="F107" s="179"/>
      <c r="G107" s="179"/>
      <c r="H107" s="179"/>
      <c r="I107" s="179"/>
      <c r="J107" s="179"/>
      <c r="K107" s="179"/>
      <c r="L107" s="179"/>
      <c r="M107" s="179"/>
      <c r="N107" s="179"/>
      <c r="O107" s="179"/>
      <c r="P107" s="179"/>
      <c r="Q107" s="179"/>
      <c r="R107" s="179"/>
      <c r="S107" s="179"/>
      <c r="T107" s="179"/>
      <c r="U107" s="179"/>
      <c r="V107" s="179"/>
      <c r="W107" s="179"/>
      <c r="X107" s="179"/>
      <c r="Y107" s="179"/>
      <c r="Z107" s="179"/>
    </row>
    <row r="108">
      <c r="A108" s="179"/>
      <c r="B108" s="179"/>
      <c r="C108" s="179"/>
      <c r="D108" s="179"/>
      <c r="E108" s="179"/>
      <c r="F108" s="179"/>
      <c r="G108" s="179"/>
      <c r="H108" s="179"/>
      <c r="I108" s="179"/>
      <c r="J108" s="179"/>
      <c r="K108" s="179"/>
      <c r="L108" s="179"/>
      <c r="M108" s="179"/>
      <c r="N108" s="179"/>
      <c r="O108" s="179"/>
      <c r="P108" s="179"/>
      <c r="Q108" s="179"/>
      <c r="R108" s="179"/>
      <c r="S108" s="179"/>
      <c r="T108" s="179"/>
      <c r="U108" s="179"/>
      <c r="V108" s="179"/>
      <c r="W108" s="179"/>
      <c r="X108" s="179"/>
      <c r="Y108" s="179"/>
      <c r="Z108" s="179"/>
    </row>
    <row r="109">
      <c r="A109" s="179"/>
      <c r="B109" s="179"/>
      <c r="C109" s="179"/>
      <c r="D109" s="179"/>
      <c r="E109" s="179"/>
      <c r="F109" s="179"/>
      <c r="G109" s="179"/>
      <c r="H109" s="179"/>
      <c r="I109" s="179"/>
      <c r="J109" s="179"/>
      <c r="K109" s="179"/>
      <c r="L109" s="179"/>
      <c r="M109" s="179"/>
      <c r="N109" s="179"/>
      <c r="O109" s="179"/>
      <c r="P109" s="179"/>
      <c r="Q109" s="179"/>
      <c r="R109" s="179"/>
      <c r="S109" s="179"/>
      <c r="T109" s="179"/>
      <c r="U109" s="179"/>
      <c r="V109" s="179"/>
      <c r="W109" s="179"/>
      <c r="X109" s="179"/>
      <c r="Y109" s="179"/>
      <c r="Z109" s="179"/>
    </row>
    <row r="110">
      <c r="A110" s="179"/>
      <c r="B110" s="179"/>
      <c r="C110" s="179"/>
      <c r="D110" s="179"/>
      <c r="E110" s="179"/>
      <c r="F110" s="179"/>
      <c r="G110" s="179"/>
      <c r="H110" s="179"/>
      <c r="I110" s="179"/>
      <c r="J110" s="179"/>
      <c r="K110" s="179"/>
      <c r="L110" s="179"/>
      <c r="M110" s="179"/>
      <c r="N110" s="179"/>
      <c r="O110" s="179"/>
      <c r="P110" s="179"/>
      <c r="Q110" s="179"/>
      <c r="R110" s="179"/>
      <c r="S110" s="179"/>
      <c r="T110" s="179"/>
      <c r="U110" s="179"/>
      <c r="V110" s="179"/>
      <c r="W110" s="179"/>
      <c r="X110" s="179"/>
      <c r="Y110" s="179"/>
      <c r="Z110" s="179"/>
    </row>
    <row r="111">
      <c r="A111" s="179"/>
      <c r="B111" s="179"/>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row>
    <row r="112">
      <c r="A112" s="179"/>
      <c r="B112" s="179"/>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row>
    <row r="113">
      <c r="A113" s="179"/>
      <c r="B113" s="179"/>
      <c r="C113" s="179"/>
      <c r="D113" s="179"/>
      <c r="E113" s="179"/>
      <c r="F113" s="179"/>
      <c r="G113" s="179"/>
      <c r="H113" s="179"/>
      <c r="I113" s="179"/>
      <c r="J113" s="179"/>
      <c r="K113" s="179"/>
      <c r="L113" s="179"/>
      <c r="M113" s="179"/>
      <c r="N113" s="179"/>
      <c r="O113" s="179"/>
      <c r="P113" s="179"/>
      <c r="Q113" s="179"/>
      <c r="R113" s="179"/>
      <c r="S113" s="179"/>
      <c r="T113" s="179"/>
      <c r="U113" s="179"/>
      <c r="V113" s="179"/>
      <c r="W113" s="179"/>
      <c r="X113" s="179"/>
      <c r="Y113" s="179"/>
      <c r="Z113" s="179"/>
    </row>
    <row r="114">
      <c r="A114" s="179"/>
      <c r="B114" s="179"/>
      <c r="C114" s="179"/>
      <c r="D114" s="179"/>
      <c r="E114" s="179"/>
      <c r="F114" s="179"/>
      <c r="G114" s="179"/>
      <c r="H114" s="179"/>
      <c r="I114" s="179"/>
      <c r="J114" s="179"/>
      <c r="K114" s="179"/>
      <c r="L114" s="179"/>
      <c r="M114" s="179"/>
      <c r="N114" s="179"/>
      <c r="O114" s="179"/>
      <c r="P114" s="179"/>
      <c r="Q114" s="179"/>
      <c r="R114" s="179"/>
      <c r="S114" s="179"/>
      <c r="T114" s="179"/>
      <c r="U114" s="179"/>
      <c r="V114" s="179"/>
      <c r="W114" s="179"/>
      <c r="X114" s="179"/>
      <c r="Y114" s="179"/>
      <c r="Z114" s="179"/>
    </row>
    <row r="115">
      <c r="A115" s="179"/>
      <c r="B115" s="179"/>
      <c r="C115" s="179"/>
      <c r="D115" s="179"/>
      <c r="E115" s="179"/>
      <c r="F115" s="179"/>
      <c r="G115" s="179"/>
      <c r="H115" s="179"/>
      <c r="I115" s="179"/>
      <c r="J115" s="179"/>
      <c r="K115" s="179"/>
      <c r="L115" s="179"/>
      <c r="M115" s="179"/>
      <c r="N115" s="179"/>
      <c r="O115" s="179"/>
      <c r="P115" s="179"/>
      <c r="Q115" s="179"/>
      <c r="R115" s="179"/>
      <c r="S115" s="179"/>
      <c r="T115" s="179"/>
      <c r="U115" s="179"/>
      <c r="V115" s="179"/>
      <c r="W115" s="179"/>
      <c r="X115" s="179"/>
      <c r="Y115" s="179"/>
      <c r="Z115" s="179"/>
    </row>
    <row r="116">
      <c r="A116" s="179"/>
      <c r="B116" s="179"/>
      <c r="C116" s="179"/>
      <c r="D116" s="179"/>
      <c r="E116" s="179"/>
      <c r="F116" s="179"/>
      <c r="G116" s="179"/>
      <c r="H116" s="179"/>
      <c r="I116" s="179"/>
      <c r="J116" s="179"/>
      <c r="K116" s="179"/>
      <c r="L116" s="179"/>
      <c r="M116" s="179"/>
      <c r="N116" s="179"/>
      <c r="O116" s="179"/>
      <c r="P116" s="179"/>
      <c r="Q116" s="179"/>
      <c r="R116" s="179"/>
      <c r="S116" s="179"/>
      <c r="T116" s="179"/>
      <c r="U116" s="179"/>
      <c r="V116" s="179"/>
      <c r="W116" s="179"/>
      <c r="X116" s="179"/>
      <c r="Y116" s="179"/>
      <c r="Z116" s="179"/>
    </row>
    <row r="117">
      <c r="A117" s="179"/>
      <c r="B117" s="179"/>
      <c r="C117" s="179"/>
      <c r="D117" s="179"/>
      <c r="E117" s="179"/>
      <c r="F117" s="179"/>
      <c r="G117" s="179"/>
      <c r="H117" s="179"/>
      <c r="I117" s="179"/>
      <c r="J117" s="179"/>
      <c r="K117" s="179"/>
      <c r="L117" s="179"/>
      <c r="M117" s="179"/>
      <c r="N117" s="179"/>
      <c r="O117" s="179"/>
      <c r="P117" s="179"/>
      <c r="Q117" s="179"/>
      <c r="R117" s="179"/>
      <c r="S117" s="179"/>
      <c r="T117" s="179"/>
      <c r="U117" s="179"/>
      <c r="V117" s="179"/>
      <c r="W117" s="179"/>
      <c r="X117" s="179"/>
      <c r="Y117" s="179"/>
      <c r="Z117" s="179"/>
    </row>
    <row r="118">
      <c r="A118" s="179"/>
      <c r="B118" s="179"/>
      <c r="C118" s="179"/>
      <c r="D118" s="179"/>
      <c r="E118" s="179"/>
      <c r="F118" s="179"/>
      <c r="G118" s="179"/>
      <c r="H118" s="179"/>
      <c r="I118" s="179"/>
      <c r="J118" s="179"/>
      <c r="K118" s="179"/>
      <c r="L118" s="179"/>
      <c r="M118" s="179"/>
      <c r="N118" s="179"/>
      <c r="O118" s="179"/>
      <c r="P118" s="179"/>
      <c r="Q118" s="179"/>
      <c r="R118" s="179"/>
      <c r="S118" s="179"/>
      <c r="T118" s="179"/>
      <c r="U118" s="179"/>
      <c r="V118" s="179"/>
      <c r="W118" s="179"/>
      <c r="X118" s="179"/>
      <c r="Y118" s="179"/>
      <c r="Z118" s="179"/>
    </row>
    <row r="119">
      <c r="A119" s="179"/>
      <c r="B119" s="179"/>
      <c r="C119" s="179"/>
      <c r="D119" s="179"/>
      <c r="E119" s="179"/>
      <c r="F119" s="179"/>
      <c r="G119" s="179"/>
      <c r="H119" s="179"/>
      <c r="I119" s="179"/>
      <c r="J119" s="179"/>
      <c r="K119" s="179"/>
      <c r="L119" s="179"/>
      <c r="M119" s="179"/>
      <c r="N119" s="179"/>
      <c r="O119" s="179"/>
      <c r="P119" s="179"/>
      <c r="Q119" s="179"/>
      <c r="R119" s="179"/>
      <c r="S119" s="179"/>
      <c r="T119" s="179"/>
      <c r="U119" s="179"/>
      <c r="V119" s="179"/>
      <c r="W119" s="179"/>
      <c r="X119" s="179"/>
      <c r="Y119" s="179"/>
      <c r="Z119" s="179"/>
    </row>
    <row r="120">
      <c r="A120" s="179"/>
      <c r="B120" s="179"/>
      <c r="C120" s="179"/>
      <c r="D120" s="179"/>
      <c r="E120" s="179"/>
      <c r="F120" s="179"/>
      <c r="G120" s="179"/>
      <c r="H120" s="179"/>
      <c r="I120" s="179"/>
      <c r="J120" s="179"/>
      <c r="K120" s="179"/>
      <c r="L120" s="179"/>
      <c r="M120" s="179"/>
      <c r="N120" s="179"/>
      <c r="O120" s="179"/>
      <c r="P120" s="179"/>
      <c r="Q120" s="179"/>
      <c r="R120" s="179"/>
      <c r="S120" s="179"/>
      <c r="T120" s="179"/>
      <c r="U120" s="179"/>
      <c r="V120" s="179"/>
      <c r="W120" s="179"/>
      <c r="X120" s="179"/>
      <c r="Y120" s="179"/>
      <c r="Z120" s="179"/>
    </row>
    <row r="121">
      <c r="A121" s="179"/>
      <c r="B121" s="179"/>
      <c r="C121" s="179"/>
      <c r="D121" s="179"/>
      <c r="E121" s="179"/>
      <c r="F121" s="179"/>
      <c r="G121" s="179"/>
      <c r="H121" s="179"/>
      <c r="I121" s="179"/>
      <c r="J121" s="179"/>
      <c r="K121" s="179"/>
      <c r="L121" s="179"/>
      <c r="M121" s="179"/>
      <c r="N121" s="179"/>
      <c r="O121" s="179"/>
      <c r="P121" s="179"/>
      <c r="Q121" s="179"/>
      <c r="R121" s="179"/>
      <c r="S121" s="179"/>
      <c r="T121" s="179"/>
      <c r="U121" s="179"/>
      <c r="V121" s="179"/>
      <c r="W121" s="179"/>
      <c r="X121" s="179"/>
      <c r="Y121" s="179"/>
      <c r="Z121" s="179"/>
    </row>
    <row r="122">
      <c r="A122" s="179"/>
      <c r="B122" s="179"/>
      <c r="C122" s="179"/>
      <c r="D122" s="179"/>
      <c r="E122" s="179"/>
      <c r="F122" s="179"/>
      <c r="G122" s="179"/>
      <c r="H122" s="179"/>
      <c r="I122" s="179"/>
      <c r="J122" s="179"/>
      <c r="K122" s="179"/>
      <c r="L122" s="179"/>
      <c r="M122" s="179"/>
      <c r="N122" s="179"/>
      <c r="O122" s="179"/>
      <c r="P122" s="179"/>
      <c r="Q122" s="179"/>
      <c r="R122" s="179"/>
      <c r="S122" s="179"/>
      <c r="T122" s="179"/>
      <c r="U122" s="179"/>
      <c r="V122" s="179"/>
      <c r="W122" s="179"/>
      <c r="X122" s="179"/>
      <c r="Y122" s="179"/>
      <c r="Z122" s="179"/>
    </row>
    <row r="123">
      <c r="A123" s="179"/>
      <c r="B123" s="179"/>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row>
    <row r="124">
      <c r="A124" s="179"/>
      <c r="B124" s="179"/>
      <c r="C124" s="179"/>
      <c r="D124" s="179"/>
      <c r="E124" s="179"/>
      <c r="F124" s="179"/>
      <c r="G124" s="179"/>
      <c r="H124" s="179"/>
      <c r="I124" s="179"/>
      <c r="J124" s="179"/>
      <c r="K124" s="179"/>
      <c r="L124" s="179"/>
      <c r="M124" s="179"/>
      <c r="N124" s="179"/>
      <c r="O124" s="179"/>
      <c r="P124" s="179"/>
      <c r="Q124" s="179"/>
      <c r="R124" s="179"/>
      <c r="S124" s="179"/>
      <c r="T124" s="179"/>
      <c r="U124" s="179"/>
      <c r="V124" s="179"/>
      <c r="W124" s="179"/>
      <c r="X124" s="179"/>
      <c r="Y124" s="179"/>
      <c r="Z124" s="179"/>
    </row>
    <row r="125">
      <c r="A125" s="179"/>
      <c r="B125" s="179"/>
      <c r="C125" s="179"/>
      <c r="D125" s="179"/>
      <c r="E125" s="179"/>
      <c r="F125" s="179"/>
      <c r="G125" s="179"/>
      <c r="H125" s="179"/>
      <c r="I125" s="179"/>
      <c r="J125" s="179"/>
      <c r="K125" s="179"/>
      <c r="L125" s="179"/>
      <c r="M125" s="179"/>
      <c r="N125" s="179"/>
      <c r="O125" s="179"/>
      <c r="P125" s="179"/>
      <c r="Q125" s="179"/>
      <c r="R125" s="179"/>
      <c r="S125" s="179"/>
      <c r="T125" s="179"/>
      <c r="U125" s="179"/>
      <c r="V125" s="179"/>
      <c r="W125" s="179"/>
      <c r="X125" s="179"/>
      <c r="Y125" s="179"/>
      <c r="Z125" s="179"/>
    </row>
    <row r="126">
      <c r="A126" s="179"/>
      <c r="B126" s="179"/>
      <c r="C126" s="179"/>
      <c r="D126" s="179"/>
      <c r="E126" s="179"/>
      <c r="F126" s="179"/>
      <c r="G126" s="179"/>
      <c r="H126" s="179"/>
      <c r="I126" s="179"/>
      <c r="J126" s="179"/>
      <c r="K126" s="179"/>
      <c r="L126" s="179"/>
      <c r="M126" s="179"/>
      <c r="N126" s="179"/>
      <c r="O126" s="179"/>
      <c r="P126" s="179"/>
      <c r="Q126" s="179"/>
      <c r="R126" s="179"/>
      <c r="S126" s="179"/>
      <c r="T126" s="179"/>
      <c r="U126" s="179"/>
      <c r="V126" s="179"/>
      <c r="W126" s="179"/>
      <c r="X126" s="179"/>
      <c r="Y126" s="179"/>
      <c r="Z126" s="179"/>
    </row>
    <row r="127">
      <c r="A127" s="179"/>
      <c r="B127" s="179"/>
      <c r="C127" s="179"/>
      <c r="D127" s="179"/>
      <c r="E127" s="179"/>
      <c r="F127" s="179"/>
      <c r="G127" s="179"/>
      <c r="H127" s="179"/>
      <c r="I127" s="179"/>
      <c r="J127" s="179"/>
      <c r="K127" s="179"/>
      <c r="L127" s="179"/>
      <c r="M127" s="179"/>
      <c r="N127" s="179"/>
      <c r="O127" s="179"/>
      <c r="P127" s="179"/>
      <c r="Q127" s="179"/>
      <c r="R127" s="179"/>
      <c r="S127" s="179"/>
      <c r="T127" s="179"/>
      <c r="U127" s="179"/>
      <c r="V127" s="179"/>
      <c r="W127" s="179"/>
      <c r="X127" s="179"/>
      <c r="Y127" s="179"/>
      <c r="Z127" s="179"/>
    </row>
    <row r="128">
      <c r="A128" s="179"/>
      <c r="B128" s="179"/>
      <c r="C128" s="179"/>
      <c r="D128" s="179"/>
      <c r="E128" s="179"/>
      <c r="F128" s="179"/>
      <c r="G128" s="179"/>
      <c r="H128" s="179"/>
      <c r="I128" s="179"/>
      <c r="J128" s="179"/>
      <c r="K128" s="179"/>
      <c r="L128" s="179"/>
      <c r="M128" s="179"/>
      <c r="N128" s="179"/>
      <c r="O128" s="179"/>
      <c r="P128" s="179"/>
      <c r="Q128" s="179"/>
      <c r="R128" s="179"/>
      <c r="S128" s="179"/>
      <c r="T128" s="179"/>
      <c r="U128" s="179"/>
      <c r="V128" s="179"/>
      <c r="W128" s="179"/>
      <c r="X128" s="179"/>
      <c r="Y128" s="179"/>
      <c r="Z128" s="179"/>
    </row>
    <row r="129">
      <c r="A129" s="179"/>
      <c r="B129" s="179"/>
      <c r="C129" s="179"/>
      <c r="D129" s="179"/>
      <c r="E129" s="179"/>
      <c r="F129" s="179"/>
      <c r="G129" s="179"/>
      <c r="H129" s="179"/>
      <c r="I129" s="179"/>
      <c r="J129" s="179"/>
      <c r="K129" s="179"/>
      <c r="L129" s="179"/>
      <c r="M129" s="179"/>
      <c r="N129" s="179"/>
      <c r="O129" s="179"/>
      <c r="P129" s="179"/>
      <c r="Q129" s="179"/>
      <c r="R129" s="179"/>
      <c r="S129" s="179"/>
      <c r="T129" s="179"/>
      <c r="U129" s="179"/>
      <c r="V129" s="179"/>
      <c r="W129" s="179"/>
      <c r="X129" s="179"/>
      <c r="Y129" s="179"/>
      <c r="Z129" s="179"/>
    </row>
    <row r="130">
      <c r="A130" s="179"/>
      <c r="B130" s="179"/>
      <c r="C130" s="179"/>
      <c r="D130" s="179"/>
      <c r="E130" s="179"/>
      <c r="F130" s="179"/>
      <c r="G130" s="179"/>
      <c r="H130" s="179"/>
      <c r="I130" s="179"/>
      <c r="J130" s="179"/>
      <c r="K130" s="179"/>
      <c r="L130" s="179"/>
      <c r="M130" s="179"/>
      <c r="N130" s="179"/>
      <c r="O130" s="179"/>
      <c r="P130" s="179"/>
      <c r="Q130" s="179"/>
      <c r="R130" s="179"/>
      <c r="S130" s="179"/>
      <c r="T130" s="179"/>
      <c r="U130" s="179"/>
      <c r="V130" s="179"/>
      <c r="W130" s="179"/>
      <c r="X130" s="179"/>
      <c r="Y130" s="179"/>
      <c r="Z130" s="179"/>
    </row>
    <row r="131">
      <c r="A131" s="179"/>
      <c r="B131" s="179"/>
      <c r="C131" s="179"/>
      <c r="D131" s="179"/>
      <c r="E131" s="179"/>
      <c r="F131" s="179"/>
      <c r="G131" s="179"/>
      <c r="H131" s="179"/>
      <c r="I131" s="179"/>
      <c r="J131" s="179"/>
      <c r="K131" s="179"/>
      <c r="L131" s="179"/>
      <c r="M131" s="179"/>
      <c r="N131" s="179"/>
      <c r="O131" s="179"/>
      <c r="P131" s="179"/>
      <c r="Q131" s="179"/>
      <c r="R131" s="179"/>
      <c r="S131" s="179"/>
      <c r="T131" s="179"/>
      <c r="U131" s="179"/>
      <c r="V131" s="179"/>
      <c r="W131" s="179"/>
      <c r="X131" s="179"/>
      <c r="Y131" s="179"/>
      <c r="Z131" s="179"/>
    </row>
    <row r="132">
      <c r="A132" s="179"/>
      <c r="B132" s="179"/>
      <c r="C132" s="179"/>
      <c r="D132" s="179"/>
      <c r="E132" s="179"/>
      <c r="F132" s="179"/>
      <c r="G132" s="179"/>
      <c r="H132" s="179"/>
      <c r="I132" s="179"/>
      <c r="J132" s="179"/>
      <c r="K132" s="179"/>
      <c r="L132" s="179"/>
      <c r="M132" s="179"/>
      <c r="N132" s="179"/>
      <c r="O132" s="179"/>
      <c r="P132" s="179"/>
      <c r="Q132" s="179"/>
      <c r="R132" s="179"/>
      <c r="S132" s="179"/>
      <c r="T132" s="179"/>
      <c r="U132" s="179"/>
      <c r="V132" s="179"/>
      <c r="W132" s="179"/>
      <c r="X132" s="179"/>
      <c r="Y132" s="179"/>
      <c r="Z132" s="179"/>
    </row>
    <row r="133">
      <c r="A133" s="179"/>
      <c r="B133" s="179"/>
      <c r="C133" s="179"/>
      <c r="D133" s="179"/>
      <c r="E133" s="179"/>
      <c r="F133" s="179"/>
      <c r="G133" s="179"/>
      <c r="H133" s="179"/>
      <c r="I133" s="179"/>
      <c r="J133" s="179"/>
      <c r="K133" s="179"/>
      <c r="L133" s="179"/>
      <c r="M133" s="179"/>
      <c r="N133" s="179"/>
      <c r="O133" s="179"/>
      <c r="P133" s="179"/>
      <c r="Q133" s="179"/>
      <c r="R133" s="179"/>
      <c r="S133" s="179"/>
      <c r="T133" s="179"/>
      <c r="U133" s="179"/>
      <c r="V133" s="179"/>
      <c r="W133" s="179"/>
      <c r="X133" s="179"/>
      <c r="Y133" s="179"/>
      <c r="Z133" s="179"/>
    </row>
    <row r="134">
      <c r="A134" s="179"/>
      <c r="B134" s="179"/>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row>
    <row r="135">
      <c r="A135" s="179"/>
      <c r="B135" s="179"/>
      <c r="C135" s="179"/>
      <c r="D135" s="179"/>
      <c r="E135" s="179"/>
      <c r="F135" s="179"/>
      <c r="G135" s="179"/>
      <c r="H135" s="179"/>
      <c r="I135" s="179"/>
      <c r="J135" s="179"/>
      <c r="K135" s="179"/>
      <c r="L135" s="179"/>
      <c r="M135" s="179"/>
      <c r="N135" s="179"/>
      <c r="O135" s="179"/>
      <c r="P135" s="179"/>
      <c r="Q135" s="179"/>
      <c r="R135" s="179"/>
      <c r="S135" s="179"/>
      <c r="T135" s="179"/>
      <c r="U135" s="179"/>
      <c r="V135" s="179"/>
      <c r="W135" s="179"/>
      <c r="X135" s="179"/>
      <c r="Y135" s="179"/>
      <c r="Z135" s="179"/>
    </row>
    <row r="136">
      <c r="A136" s="179"/>
      <c r="B136" s="179"/>
      <c r="C136" s="179"/>
      <c r="D136" s="179"/>
      <c r="E136" s="179"/>
      <c r="F136" s="179"/>
      <c r="G136" s="179"/>
      <c r="H136" s="179"/>
      <c r="I136" s="179"/>
      <c r="J136" s="179"/>
      <c r="K136" s="179"/>
      <c r="L136" s="179"/>
      <c r="M136" s="179"/>
      <c r="N136" s="179"/>
      <c r="O136" s="179"/>
      <c r="P136" s="179"/>
      <c r="Q136" s="179"/>
      <c r="R136" s="179"/>
      <c r="S136" s="179"/>
      <c r="T136" s="179"/>
      <c r="U136" s="179"/>
      <c r="V136" s="179"/>
      <c r="W136" s="179"/>
      <c r="X136" s="179"/>
      <c r="Y136" s="179"/>
      <c r="Z136" s="179"/>
    </row>
    <row r="137">
      <c r="A137" s="179"/>
      <c r="B137" s="179"/>
      <c r="C137" s="179"/>
      <c r="D137" s="179"/>
      <c r="E137" s="179"/>
      <c r="F137" s="179"/>
      <c r="G137" s="179"/>
      <c r="H137" s="179"/>
      <c r="I137" s="179"/>
      <c r="J137" s="179"/>
      <c r="K137" s="179"/>
      <c r="L137" s="179"/>
      <c r="M137" s="179"/>
      <c r="N137" s="179"/>
      <c r="O137" s="179"/>
      <c r="P137" s="179"/>
      <c r="Q137" s="179"/>
      <c r="R137" s="179"/>
      <c r="S137" s="179"/>
      <c r="T137" s="179"/>
      <c r="U137" s="179"/>
      <c r="V137" s="179"/>
      <c r="W137" s="179"/>
      <c r="X137" s="179"/>
      <c r="Y137" s="179"/>
      <c r="Z137" s="179"/>
    </row>
    <row r="138">
      <c r="A138" s="179"/>
      <c r="B138" s="179"/>
      <c r="C138" s="179"/>
      <c r="D138" s="179"/>
      <c r="E138" s="179"/>
      <c r="F138" s="179"/>
      <c r="G138" s="179"/>
      <c r="H138" s="179"/>
      <c r="I138" s="179"/>
      <c r="J138" s="179"/>
      <c r="K138" s="179"/>
      <c r="L138" s="179"/>
      <c r="M138" s="179"/>
      <c r="N138" s="179"/>
      <c r="O138" s="179"/>
      <c r="P138" s="179"/>
      <c r="Q138" s="179"/>
      <c r="R138" s="179"/>
      <c r="S138" s="179"/>
      <c r="T138" s="179"/>
      <c r="U138" s="179"/>
      <c r="V138" s="179"/>
      <c r="W138" s="179"/>
      <c r="X138" s="179"/>
      <c r="Y138" s="179"/>
      <c r="Z138" s="179"/>
    </row>
    <row r="139">
      <c r="A139" s="179"/>
      <c r="B139" s="179"/>
      <c r="C139" s="179"/>
      <c r="D139" s="179"/>
      <c r="E139" s="179"/>
      <c r="F139" s="179"/>
      <c r="G139" s="179"/>
      <c r="H139" s="179"/>
      <c r="I139" s="179"/>
      <c r="J139" s="179"/>
      <c r="K139" s="179"/>
      <c r="L139" s="179"/>
      <c r="M139" s="179"/>
      <c r="N139" s="179"/>
      <c r="O139" s="179"/>
      <c r="P139" s="179"/>
      <c r="Q139" s="179"/>
      <c r="R139" s="179"/>
      <c r="S139" s="179"/>
      <c r="T139" s="179"/>
      <c r="U139" s="179"/>
      <c r="V139" s="179"/>
      <c r="W139" s="179"/>
      <c r="X139" s="179"/>
      <c r="Y139" s="179"/>
      <c r="Z139" s="179"/>
    </row>
    <row r="140">
      <c r="A140" s="179"/>
      <c r="B140" s="179"/>
      <c r="C140" s="179"/>
      <c r="D140" s="179"/>
      <c r="E140" s="179"/>
      <c r="F140" s="179"/>
      <c r="G140" s="179"/>
      <c r="H140" s="179"/>
      <c r="I140" s="179"/>
      <c r="J140" s="179"/>
      <c r="K140" s="179"/>
      <c r="L140" s="179"/>
      <c r="M140" s="179"/>
      <c r="N140" s="179"/>
      <c r="O140" s="179"/>
      <c r="P140" s="179"/>
      <c r="Q140" s="179"/>
      <c r="R140" s="179"/>
      <c r="S140" s="179"/>
      <c r="T140" s="179"/>
      <c r="U140" s="179"/>
      <c r="V140" s="179"/>
      <c r="W140" s="179"/>
      <c r="X140" s="179"/>
      <c r="Y140" s="179"/>
      <c r="Z140" s="179"/>
    </row>
    <row r="141">
      <c r="A141" s="179"/>
      <c r="B141" s="179"/>
      <c r="C141" s="179"/>
      <c r="D141" s="179"/>
      <c r="E141" s="179"/>
      <c r="F141" s="179"/>
      <c r="G141" s="179"/>
      <c r="H141" s="179"/>
      <c r="I141" s="179"/>
      <c r="J141" s="179"/>
      <c r="K141" s="179"/>
      <c r="L141" s="179"/>
      <c r="M141" s="179"/>
      <c r="N141" s="179"/>
      <c r="O141" s="179"/>
      <c r="P141" s="179"/>
      <c r="Q141" s="179"/>
      <c r="R141" s="179"/>
      <c r="S141" s="179"/>
      <c r="T141" s="179"/>
      <c r="U141" s="179"/>
      <c r="V141" s="179"/>
      <c r="W141" s="179"/>
      <c r="X141" s="179"/>
      <c r="Y141" s="179"/>
      <c r="Z141" s="179"/>
    </row>
    <row r="142">
      <c r="A142" s="179"/>
      <c r="B142" s="179"/>
      <c r="C142" s="179"/>
      <c r="D142" s="179"/>
      <c r="E142" s="179"/>
      <c r="F142" s="179"/>
      <c r="G142" s="179"/>
      <c r="H142" s="179"/>
      <c r="I142" s="179"/>
      <c r="J142" s="179"/>
      <c r="K142" s="179"/>
      <c r="L142" s="179"/>
      <c r="M142" s="179"/>
      <c r="N142" s="179"/>
      <c r="O142" s="179"/>
      <c r="P142" s="179"/>
      <c r="Q142" s="179"/>
      <c r="R142" s="179"/>
      <c r="S142" s="179"/>
      <c r="T142" s="179"/>
      <c r="U142" s="179"/>
      <c r="V142" s="179"/>
      <c r="W142" s="179"/>
      <c r="X142" s="179"/>
      <c r="Y142" s="179"/>
      <c r="Z142" s="179"/>
    </row>
    <row r="143">
      <c r="A143" s="179"/>
      <c r="B143" s="179"/>
      <c r="C143" s="179"/>
      <c r="D143" s="179"/>
      <c r="E143" s="179"/>
      <c r="F143" s="179"/>
      <c r="G143" s="179"/>
      <c r="H143" s="179"/>
      <c r="I143" s="179"/>
      <c r="J143" s="179"/>
      <c r="K143" s="179"/>
      <c r="L143" s="179"/>
      <c r="M143" s="179"/>
      <c r="N143" s="179"/>
      <c r="O143" s="179"/>
      <c r="P143" s="179"/>
      <c r="Q143" s="179"/>
      <c r="R143" s="179"/>
      <c r="S143" s="179"/>
      <c r="T143" s="179"/>
      <c r="U143" s="179"/>
      <c r="V143" s="179"/>
      <c r="W143" s="179"/>
      <c r="X143" s="179"/>
      <c r="Y143" s="179"/>
      <c r="Z143" s="179"/>
    </row>
    <row r="144">
      <c r="A144" s="179"/>
      <c r="B144" s="179"/>
      <c r="C144" s="179"/>
      <c r="D144" s="179"/>
      <c r="E144" s="179"/>
      <c r="F144" s="179"/>
      <c r="G144" s="179"/>
      <c r="H144" s="179"/>
      <c r="I144" s="179"/>
      <c r="J144" s="179"/>
      <c r="K144" s="179"/>
      <c r="L144" s="179"/>
      <c r="M144" s="179"/>
      <c r="N144" s="179"/>
      <c r="O144" s="179"/>
      <c r="P144" s="179"/>
      <c r="Q144" s="179"/>
      <c r="R144" s="179"/>
      <c r="S144" s="179"/>
      <c r="T144" s="179"/>
      <c r="U144" s="179"/>
      <c r="V144" s="179"/>
      <c r="W144" s="179"/>
      <c r="X144" s="179"/>
      <c r="Y144" s="179"/>
      <c r="Z144" s="179"/>
    </row>
    <row r="145">
      <c r="A145" s="179"/>
      <c r="B145" s="179"/>
      <c r="C145" s="179"/>
      <c r="D145" s="179"/>
      <c r="E145" s="179"/>
      <c r="F145" s="179"/>
      <c r="G145" s="179"/>
      <c r="H145" s="179"/>
      <c r="I145" s="179"/>
      <c r="J145" s="179"/>
      <c r="K145" s="179"/>
      <c r="L145" s="179"/>
      <c r="M145" s="179"/>
      <c r="N145" s="179"/>
      <c r="O145" s="179"/>
      <c r="P145" s="179"/>
      <c r="Q145" s="179"/>
      <c r="R145" s="179"/>
      <c r="S145" s="179"/>
      <c r="T145" s="179"/>
      <c r="U145" s="179"/>
      <c r="V145" s="179"/>
      <c r="W145" s="179"/>
      <c r="X145" s="179"/>
      <c r="Y145" s="179"/>
      <c r="Z145" s="179"/>
    </row>
    <row r="146">
      <c r="A146" s="179"/>
      <c r="B146" s="179"/>
      <c r="C146" s="179"/>
      <c r="D146" s="179"/>
      <c r="E146" s="179"/>
      <c r="F146" s="179"/>
      <c r="G146" s="179"/>
      <c r="H146" s="179"/>
      <c r="I146" s="179"/>
      <c r="J146" s="179"/>
      <c r="K146" s="179"/>
      <c r="L146" s="179"/>
      <c r="M146" s="179"/>
      <c r="N146" s="179"/>
      <c r="O146" s="179"/>
      <c r="P146" s="179"/>
      <c r="Q146" s="179"/>
      <c r="R146" s="179"/>
      <c r="S146" s="179"/>
      <c r="T146" s="179"/>
      <c r="U146" s="179"/>
      <c r="V146" s="179"/>
      <c r="W146" s="179"/>
      <c r="X146" s="179"/>
      <c r="Y146" s="179"/>
      <c r="Z146" s="179"/>
    </row>
    <row r="147">
      <c r="A147" s="179"/>
      <c r="B147" s="179"/>
      <c r="C147" s="179"/>
      <c r="D147" s="179"/>
      <c r="E147" s="179"/>
      <c r="F147" s="179"/>
      <c r="G147" s="179"/>
      <c r="H147" s="179"/>
      <c r="I147" s="179"/>
      <c r="J147" s="179"/>
      <c r="K147" s="179"/>
      <c r="L147" s="179"/>
      <c r="M147" s="179"/>
      <c r="N147" s="179"/>
      <c r="O147" s="179"/>
      <c r="P147" s="179"/>
      <c r="Q147" s="179"/>
      <c r="R147" s="179"/>
      <c r="S147" s="179"/>
      <c r="T147" s="179"/>
      <c r="U147" s="179"/>
      <c r="V147" s="179"/>
      <c r="W147" s="179"/>
      <c r="X147" s="179"/>
      <c r="Y147" s="179"/>
      <c r="Z147" s="179"/>
    </row>
    <row r="148">
      <c r="A148" s="179"/>
      <c r="B148" s="179"/>
      <c r="C148" s="179"/>
      <c r="D148" s="179"/>
      <c r="E148" s="179"/>
      <c r="F148" s="179"/>
      <c r="G148" s="179"/>
      <c r="H148" s="179"/>
      <c r="I148" s="179"/>
      <c r="J148" s="179"/>
      <c r="K148" s="179"/>
      <c r="L148" s="179"/>
      <c r="M148" s="179"/>
      <c r="N148" s="179"/>
      <c r="O148" s="179"/>
      <c r="P148" s="179"/>
      <c r="Q148" s="179"/>
      <c r="R148" s="179"/>
      <c r="S148" s="179"/>
      <c r="T148" s="179"/>
      <c r="U148" s="179"/>
      <c r="V148" s="179"/>
      <c r="W148" s="179"/>
      <c r="X148" s="179"/>
      <c r="Y148" s="179"/>
      <c r="Z148" s="179"/>
    </row>
    <row r="149">
      <c r="A149" s="179"/>
      <c r="B149" s="179"/>
      <c r="C149" s="179"/>
      <c r="D149" s="179"/>
      <c r="E149" s="179"/>
      <c r="F149" s="179"/>
      <c r="G149" s="179"/>
      <c r="H149" s="179"/>
      <c r="I149" s="179"/>
      <c r="J149" s="179"/>
      <c r="K149" s="179"/>
      <c r="L149" s="179"/>
      <c r="M149" s="179"/>
      <c r="N149" s="179"/>
      <c r="O149" s="179"/>
      <c r="P149" s="179"/>
      <c r="Q149" s="179"/>
      <c r="R149" s="179"/>
      <c r="S149" s="179"/>
      <c r="T149" s="179"/>
      <c r="U149" s="179"/>
      <c r="V149" s="179"/>
      <c r="W149" s="179"/>
      <c r="X149" s="179"/>
      <c r="Y149" s="179"/>
      <c r="Z149" s="179"/>
    </row>
    <row r="150">
      <c r="A150" s="179"/>
      <c r="B150" s="179"/>
      <c r="C150" s="179"/>
      <c r="D150" s="179"/>
      <c r="E150" s="179"/>
      <c r="F150" s="179"/>
      <c r="G150" s="179"/>
      <c r="H150" s="179"/>
      <c r="I150" s="179"/>
      <c r="J150" s="179"/>
      <c r="K150" s="179"/>
      <c r="L150" s="179"/>
      <c r="M150" s="179"/>
      <c r="N150" s="179"/>
      <c r="O150" s="179"/>
      <c r="P150" s="179"/>
      <c r="Q150" s="179"/>
      <c r="R150" s="179"/>
      <c r="S150" s="179"/>
      <c r="T150" s="179"/>
      <c r="U150" s="179"/>
      <c r="V150" s="179"/>
      <c r="W150" s="179"/>
      <c r="X150" s="179"/>
      <c r="Y150" s="179"/>
      <c r="Z150" s="179"/>
    </row>
    <row r="151">
      <c r="A151" s="179"/>
      <c r="B151" s="179"/>
      <c r="C151" s="179"/>
      <c r="D151" s="179"/>
      <c r="E151" s="179"/>
      <c r="F151" s="179"/>
      <c r="G151" s="179"/>
      <c r="H151" s="179"/>
      <c r="I151" s="179"/>
      <c r="J151" s="179"/>
      <c r="K151" s="179"/>
      <c r="L151" s="179"/>
      <c r="M151" s="179"/>
      <c r="N151" s="179"/>
      <c r="O151" s="179"/>
      <c r="P151" s="179"/>
      <c r="Q151" s="179"/>
      <c r="R151" s="179"/>
      <c r="S151" s="179"/>
      <c r="T151" s="179"/>
      <c r="U151" s="179"/>
      <c r="V151" s="179"/>
      <c r="W151" s="179"/>
      <c r="X151" s="179"/>
      <c r="Y151" s="179"/>
      <c r="Z151" s="179"/>
    </row>
    <row r="152">
      <c r="A152" s="179"/>
      <c r="B152" s="179"/>
      <c r="C152" s="179"/>
      <c r="D152" s="179"/>
      <c r="E152" s="179"/>
      <c r="F152" s="179"/>
      <c r="G152" s="179"/>
      <c r="H152" s="179"/>
      <c r="I152" s="179"/>
      <c r="J152" s="179"/>
      <c r="K152" s="179"/>
      <c r="L152" s="179"/>
      <c r="M152" s="179"/>
      <c r="N152" s="179"/>
      <c r="O152" s="179"/>
      <c r="P152" s="179"/>
      <c r="Q152" s="179"/>
      <c r="R152" s="179"/>
      <c r="S152" s="179"/>
      <c r="T152" s="179"/>
      <c r="U152" s="179"/>
      <c r="V152" s="179"/>
      <c r="W152" s="179"/>
      <c r="X152" s="179"/>
      <c r="Y152" s="179"/>
      <c r="Z152" s="179"/>
    </row>
    <row r="153">
      <c r="A153" s="179"/>
      <c r="B153" s="179"/>
      <c r="C153" s="179"/>
      <c r="D153" s="179"/>
      <c r="E153" s="179"/>
      <c r="F153" s="179"/>
      <c r="G153" s="179"/>
      <c r="H153" s="179"/>
      <c r="I153" s="179"/>
      <c r="J153" s="179"/>
      <c r="K153" s="179"/>
      <c r="L153" s="179"/>
      <c r="M153" s="179"/>
      <c r="N153" s="179"/>
      <c r="O153" s="179"/>
      <c r="P153" s="179"/>
      <c r="Q153" s="179"/>
      <c r="R153" s="179"/>
      <c r="S153" s="179"/>
      <c r="T153" s="179"/>
      <c r="U153" s="179"/>
      <c r="V153" s="179"/>
      <c r="W153" s="179"/>
      <c r="X153" s="179"/>
      <c r="Y153" s="179"/>
      <c r="Z153" s="179"/>
    </row>
    <row r="154">
      <c r="A154" s="179"/>
      <c r="B154" s="179"/>
      <c r="C154" s="179"/>
      <c r="D154" s="179"/>
      <c r="E154" s="179"/>
      <c r="F154" s="179"/>
      <c r="G154" s="179"/>
      <c r="H154" s="179"/>
      <c r="I154" s="179"/>
      <c r="J154" s="179"/>
      <c r="K154" s="179"/>
      <c r="L154" s="179"/>
      <c r="M154" s="179"/>
      <c r="N154" s="179"/>
      <c r="O154" s="179"/>
      <c r="P154" s="179"/>
      <c r="Q154" s="179"/>
      <c r="R154" s="179"/>
      <c r="S154" s="179"/>
      <c r="T154" s="179"/>
      <c r="U154" s="179"/>
      <c r="V154" s="179"/>
      <c r="W154" s="179"/>
      <c r="X154" s="179"/>
      <c r="Y154" s="179"/>
      <c r="Z154" s="179"/>
    </row>
    <row r="155">
      <c r="A155" s="179"/>
      <c r="B155" s="179"/>
      <c r="C155" s="179"/>
      <c r="D155" s="179"/>
      <c r="E155" s="179"/>
      <c r="F155" s="179"/>
      <c r="G155" s="179"/>
      <c r="H155" s="179"/>
      <c r="I155" s="179"/>
      <c r="J155" s="179"/>
      <c r="K155" s="179"/>
      <c r="L155" s="179"/>
      <c r="M155" s="179"/>
      <c r="N155" s="179"/>
      <c r="O155" s="179"/>
      <c r="P155" s="179"/>
      <c r="Q155" s="179"/>
      <c r="R155" s="179"/>
      <c r="S155" s="179"/>
      <c r="T155" s="179"/>
      <c r="U155" s="179"/>
      <c r="V155" s="179"/>
      <c r="W155" s="179"/>
      <c r="X155" s="179"/>
      <c r="Y155" s="179"/>
      <c r="Z155" s="179"/>
    </row>
    <row r="156">
      <c r="A156" s="179"/>
      <c r="B156" s="179"/>
      <c r="C156" s="179"/>
      <c r="D156" s="179"/>
      <c r="E156" s="179"/>
      <c r="F156" s="179"/>
      <c r="G156" s="179"/>
      <c r="H156" s="179"/>
      <c r="I156" s="179"/>
      <c r="J156" s="179"/>
      <c r="K156" s="179"/>
      <c r="L156" s="179"/>
      <c r="M156" s="179"/>
      <c r="N156" s="179"/>
      <c r="O156" s="179"/>
      <c r="P156" s="179"/>
      <c r="Q156" s="179"/>
      <c r="R156" s="179"/>
      <c r="S156" s="179"/>
      <c r="T156" s="179"/>
      <c r="U156" s="179"/>
      <c r="V156" s="179"/>
      <c r="W156" s="179"/>
      <c r="X156" s="179"/>
      <c r="Y156" s="179"/>
      <c r="Z156" s="179"/>
    </row>
    <row r="157">
      <c r="A157" s="179"/>
      <c r="B157" s="179"/>
      <c r="C157" s="179"/>
      <c r="D157" s="179"/>
      <c r="E157" s="179"/>
      <c r="F157" s="179"/>
      <c r="G157" s="179"/>
      <c r="H157" s="179"/>
      <c r="I157" s="179"/>
      <c r="J157" s="179"/>
      <c r="K157" s="179"/>
      <c r="L157" s="179"/>
      <c r="M157" s="179"/>
      <c r="N157" s="179"/>
      <c r="O157" s="179"/>
      <c r="P157" s="179"/>
      <c r="Q157" s="179"/>
      <c r="R157" s="179"/>
      <c r="S157" s="179"/>
      <c r="T157" s="179"/>
      <c r="U157" s="179"/>
      <c r="V157" s="179"/>
      <c r="W157" s="179"/>
      <c r="X157" s="179"/>
      <c r="Y157" s="179"/>
      <c r="Z157" s="179"/>
    </row>
    <row r="158">
      <c r="A158" s="179"/>
      <c r="B158" s="179"/>
      <c r="C158" s="179"/>
      <c r="D158" s="179"/>
      <c r="E158" s="179"/>
      <c r="F158" s="179"/>
      <c r="G158" s="179"/>
      <c r="H158" s="179"/>
      <c r="I158" s="179"/>
      <c r="J158" s="179"/>
      <c r="K158" s="179"/>
      <c r="L158" s="179"/>
      <c r="M158" s="179"/>
      <c r="N158" s="179"/>
      <c r="O158" s="179"/>
      <c r="P158" s="179"/>
      <c r="Q158" s="179"/>
      <c r="R158" s="179"/>
      <c r="S158" s="179"/>
      <c r="T158" s="179"/>
      <c r="U158" s="179"/>
      <c r="V158" s="179"/>
      <c r="W158" s="179"/>
      <c r="X158" s="179"/>
      <c r="Y158" s="179"/>
      <c r="Z158" s="179"/>
    </row>
    <row r="159">
      <c r="A159" s="179"/>
      <c r="B159" s="179"/>
      <c r="C159" s="179"/>
      <c r="D159" s="179"/>
      <c r="E159" s="179"/>
      <c r="F159" s="179"/>
      <c r="G159" s="179"/>
      <c r="H159" s="179"/>
      <c r="I159" s="179"/>
      <c r="J159" s="179"/>
      <c r="K159" s="179"/>
      <c r="L159" s="179"/>
      <c r="M159" s="179"/>
      <c r="N159" s="179"/>
      <c r="O159" s="179"/>
      <c r="P159" s="179"/>
      <c r="Q159" s="179"/>
      <c r="R159" s="179"/>
      <c r="S159" s="179"/>
      <c r="T159" s="179"/>
      <c r="U159" s="179"/>
      <c r="V159" s="179"/>
      <c r="W159" s="179"/>
      <c r="X159" s="179"/>
      <c r="Y159" s="179"/>
      <c r="Z159" s="179"/>
    </row>
    <row r="160">
      <c r="A160" s="179"/>
      <c r="B160" s="179"/>
      <c r="C160" s="179"/>
      <c r="D160" s="179"/>
      <c r="E160" s="179"/>
      <c r="F160" s="179"/>
      <c r="G160" s="179"/>
      <c r="H160" s="179"/>
      <c r="I160" s="179"/>
      <c r="J160" s="179"/>
      <c r="K160" s="179"/>
      <c r="L160" s="179"/>
      <c r="M160" s="179"/>
      <c r="N160" s="179"/>
      <c r="O160" s="179"/>
      <c r="P160" s="179"/>
      <c r="Q160" s="179"/>
      <c r="R160" s="179"/>
      <c r="S160" s="179"/>
      <c r="T160" s="179"/>
      <c r="U160" s="179"/>
      <c r="V160" s="179"/>
      <c r="W160" s="179"/>
      <c r="X160" s="179"/>
      <c r="Y160" s="179"/>
      <c r="Z160" s="179"/>
    </row>
    <row r="161">
      <c r="A161" s="179"/>
      <c r="B161" s="179"/>
      <c r="C161" s="179"/>
      <c r="D161" s="179"/>
      <c r="E161" s="179"/>
      <c r="F161" s="179"/>
      <c r="G161" s="179"/>
      <c r="H161" s="179"/>
      <c r="I161" s="179"/>
      <c r="J161" s="179"/>
      <c r="K161" s="179"/>
      <c r="L161" s="179"/>
      <c r="M161" s="179"/>
      <c r="N161" s="179"/>
      <c r="O161" s="179"/>
      <c r="P161" s="179"/>
      <c r="Q161" s="179"/>
      <c r="R161" s="179"/>
      <c r="S161" s="179"/>
      <c r="T161" s="179"/>
      <c r="U161" s="179"/>
      <c r="V161" s="179"/>
      <c r="W161" s="179"/>
      <c r="X161" s="179"/>
      <c r="Y161" s="179"/>
      <c r="Z161" s="179"/>
    </row>
    <row r="162">
      <c r="A162" s="179"/>
      <c r="B162" s="179"/>
      <c r="C162" s="179"/>
      <c r="D162" s="179"/>
      <c r="E162" s="179"/>
      <c r="F162" s="179"/>
      <c r="G162" s="179"/>
      <c r="H162" s="179"/>
      <c r="I162" s="179"/>
      <c r="J162" s="179"/>
      <c r="K162" s="179"/>
      <c r="L162" s="179"/>
      <c r="M162" s="179"/>
      <c r="N162" s="179"/>
      <c r="O162" s="179"/>
      <c r="P162" s="179"/>
      <c r="Q162" s="179"/>
      <c r="R162" s="179"/>
      <c r="S162" s="179"/>
      <c r="T162" s="179"/>
      <c r="U162" s="179"/>
      <c r="V162" s="179"/>
      <c r="W162" s="179"/>
      <c r="X162" s="179"/>
      <c r="Y162" s="179"/>
      <c r="Z162" s="179"/>
    </row>
    <row r="163">
      <c r="A163" s="179"/>
      <c r="B163" s="179"/>
      <c r="C163" s="179"/>
      <c r="D163" s="179"/>
      <c r="E163" s="179"/>
      <c r="F163" s="179"/>
      <c r="G163" s="179"/>
      <c r="H163" s="179"/>
      <c r="I163" s="179"/>
      <c r="J163" s="179"/>
      <c r="K163" s="179"/>
      <c r="L163" s="179"/>
      <c r="M163" s="179"/>
      <c r="N163" s="179"/>
      <c r="O163" s="179"/>
      <c r="P163" s="179"/>
      <c r="Q163" s="179"/>
      <c r="R163" s="179"/>
      <c r="S163" s="179"/>
      <c r="T163" s="179"/>
      <c r="U163" s="179"/>
      <c r="V163" s="179"/>
      <c r="W163" s="179"/>
      <c r="X163" s="179"/>
      <c r="Y163" s="179"/>
      <c r="Z163" s="179"/>
    </row>
    <row r="164">
      <c r="A164" s="179"/>
      <c r="B164" s="179"/>
      <c r="C164" s="179"/>
      <c r="D164" s="179"/>
      <c r="E164" s="179"/>
      <c r="F164" s="179"/>
      <c r="G164" s="179"/>
      <c r="H164" s="179"/>
      <c r="I164" s="179"/>
      <c r="J164" s="179"/>
      <c r="K164" s="179"/>
      <c r="L164" s="179"/>
      <c r="M164" s="179"/>
      <c r="N164" s="179"/>
      <c r="O164" s="179"/>
      <c r="P164" s="179"/>
      <c r="Q164" s="179"/>
      <c r="R164" s="179"/>
      <c r="S164" s="179"/>
      <c r="T164" s="179"/>
      <c r="U164" s="179"/>
      <c r="V164" s="179"/>
      <c r="W164" s="179"/>
      <c r="X164" s="179"/>
      <c r="Y164" s="179"/>
      <c r="Z164" s="179"/>
    </row>
    <row r="165">
      <c r="A165" s="179"/>
      <c r="B165" s="179"/>
      <c r="C165" s="179"/>
      <c r="D165" s="179"/>
      <c r="E165" s="179"/>
      <c r="F165" s="179"/>
      <c r="G165" s="179"/>
      <c r="H165" s="179"/>
      <c r="I165" s="179"/>
      <c r="J165" s="179"/>
      <c r="K165" s="179"/>
      <c r="L165" s="179"/>
      <c r="M165" s="179"/>
      <c r="N165" s="179"/>
      <c r="O165" s="179"/>
      <c r="P165" s="179"/>
      <c r="Q165" s="179"/>
      <c r="R165" s="179"/>
      <c r="S165" s="179"/>
      <c r="T165" s="179"/>
      <c r="U165" s="179"/>
      <c r="V165" s="179"/>
      <c r="W165" s="179"/>
      <c r="X165" s="179"/>
      <c r="Y165" s="179"/>
      <c r="Z165" s="179"/>
    </row>
    <row r="166">
      <c r="A166" s="179"/>
      <c r="B166" s="179"/>
      <c r="C166" s="179"/>
      <c r="D166" s="179"/>
      <c r="E166" s="179"/>
      <c r="F166" s="179"/>
      <c r="G166" s="179"/>
      <c r="H166" s="179"/>
      <c r="I166" s="179"/>
      <c r="J166" s="179"/>
      <c r="K166" s="179"/>
      <c r="L166" s="179"/>
      <c r="M166" s="179"/>
      <c r="N166" s="179"/>
      <c r="O166" s="179"/>
      <c r="P166" s="179"/>
      <c r="Q166" s="179"/>
      <c r="R166" s="179"/>
      <c r="S166" s="179"/>
      <c r="T166" s="179"/>
      <c r="U166" s="179"/>
      <c r="V166" s="179"/>
      <c r="W166" s="179"/>
      <c r="X166" s="179"/>
      <c r="Y166" s="179"/>
      <c r="Z166" s="179"/>
    </row>
    <row r="167">
      <c r="A167" s="179"/>
      <c r="B167" s="179"/>
      <c r="C167" s="179"/>
      <c r="D167" s="179"/>
      <c r="E167" s="179"/>
      <c r="F167" s="179"/>
      <c r="G167" s="179"/>
      <c r="H167" s="179"/>
      <c r="I167" s="179"/>
      <c r="J167" s="179"/>
      <c r="K167" s="179"/>
      <c r="L167" s="179"/>
      <c r="M167" s="179"/>
      <c r="N167" s="179"/>
      <c r="O167" s="179"/>
      <c r="P167" s="179"/>
      <c r="Q167" s="179"/>
      <c r="R167" s="179"/>
      <c r="S167" s="179"/>
      <c r="T167" s="179"/>
      <c r="U167" s="179"/>
      <c r="V167" s="179"/>
      <c r="W167" s="179"/>
      <c r="X167" s="179"/>
      <c r="Y167" s="179"/>
      <c r="Z167" s="179"/>
    </row>
    <row r="168">
      <c r="A168" s="179"/>
      <c r="B168" s="179"/>
      <c r="C168" s="179"/>
      <c r="D168" s="179"/>
      <c r="E168" s="179"/>
      <c r="F168" s="179"/>
      <c r="G168" s="179"/>
      <c r="H168" s="179"/>
      <c r="I168" s="179"/>
      <c r="J168" s="179"/>
      <c r="K168" s="179"/>
      <c r="L168" s="179"/>
      <c r="M168" s="179"/>
      <c r="N168" s="179"/>
      <c r="O168" s="179"/>
      <c r="P168" s="179"/>
      <c r="Q168" s="179"/>
      <c r="R168" s="179"/>
      <c r="S168" s="179"/>
      <c r="T168" s="179"/>
      <c r="U168" s="179"/>
      <c r="V168" s="179"/>
      <c r="W168" s="179"/>
      <c r="X168" s="179"/>
      <c r="Y168" s="179"/>
      <c r="Z168" s="179"/>
    </row>
    <row r="169">
      <c r="A169" s="179"/>
      <c r="B169" s="179"/>
      <c r="C169" s="179"/>
      <c r="D169" s="179"/>
      <c r="E169" s="179"/>
      <c r="F169" s="179"/>
      <c r="G169" s="179"/>
      <c r="H169" s="179"/>
      <c r="I169" s="179"/>
      <c r="J169" s="179"/>
      <c r="K169" s="179"/>
      <c r="L169" s="179"/>
      <c r="M169" s="179"/>
      <c r="N169" s="179"/>
      <c r="O169" s="179"/>
      <c r="P169" s="179"/>
      <c r="Q169" s="179"/>
      <c r="R169" s="179"/>
      <c r="S169" s="179"/>
      <c r="T169" s="179"/>
      <c r="U169" s="179"/>
      <c r="V169" s="179"/>
      <c r="W169" s="179"/>
      <c r="X169" s="179"/>
      <c r="Y169" s="179"/>
      <c r="Z169" s="179"/>
    </row>
    <row r="170">
      <c r="A170" s="179"/>
      <c r="B170" s="179"/>
      <c r="C170" s="179"/>
      <c r="D170" s="179"/>
      <c r="E170" s="179"/>
      <c r="F170" s="179"/>
      <c r="G170" s="179"/>
      <c r="H170" s="179"/>
      <c r="I170" s="179"/>
      <c r="J170" s="179"/>
      <c r="K170" s="179"/>
      <c r="L170" s="179"/>
      <c r="M170" s="179"/>
      <c r="N170" s="179"/>
      <c r="O170" s="179"/>
      <c r="P170" s="179"/>
      <c r="Q170" s="179"/>
      <c r="R170" s="179"/>
      <c r="S170" s="179"/>
      <c r="T170" s="179"/>
      <c r="U170" s="179"/>
      <c r="V170" s="179"/>
      <c r="W170" s="179"/>
      <c r="X170" s="179"/>
      <c r="Y170" s="179"/>
      <c r="Z170" s="179"/>
    </row>
    <row r="171">
      <c r="A171" s="179"/>
      <c r="B171" s="179"/>
      <c r="C171" s="179"/>
      <c r="D171" s="179"/>
      <c r="E171" s="179"/>
      <c r="F171" s="179"/>
      <c r="G171" s="179"/>
      <c r="H171" s="179"/>
      <c r="I171" s="179"/>
      <c r="J171" s="179"/>
      <c r="K171" s="179"/>
      <c r="L171" s="179"/>
      <c r="M171" s="179"/>
      <c r="N171" s="179"/>
      <c r="O171" s="179"/>
      <c r="P171" s="179"/>
      <c r="Q171" s="179"/>
      <c r="R171" s="179"/>
      <c r="S171" s="179"/>
      <c r="T171" s="179"/>
      <c r="U171" s="179"/>
      <c r="V171" s="179"/>
      <c r="W171" s="179"/>
      <c r="X171" s="179"/>
      <c r="Y171" s="179"/>
      <c r="Z171" s="179"/>
    </row>
    <row r="172">
      <c r="A172" s="179"/>
      <c r="B172" s="179"/>
      <c r="C172" s="179"/>
      <c r="D172" s="179"/>
      <c r="E172" s="179"/>
      <c r="F172" s="179"/>
      <c r="G172" s="179"/>
      <c r="H172" s="179"/>
      <c r="I172" s="179"/>
      <c r="J172" s="179"/>
      <c r="K172" s="179"/>
      <c r="L172" s="179"/>
      <c r="M172" s="179"/>
      <c r="N172" s="179"/>
      <c r="O172" s="179"/>
      <c r="P172" s="179"/>
      <c r="Q172" s="179"/>
      <c r="R172" s="179"/>
      <c r="S172" s="179"/>
      <c r="T172" s="179"/>
      <c r="U172" s="179"/>
      <c r="V172" s="179"/>
      <c r="W172" s="179"/>
      <c r="X172" s="179"/>
      <c r="Y172" s="179"/>
      <c r="Z172" s="179"/>
    </row>
    <row r="173">
      <c r="A173" s="179"/>
      <c r="B173" s="179"/>
      <c r="C173" s="179"/>
      <c r="D173" s="179"/>
      <c r="E173" s="179"/>
      <c r="F173" s="179"/>
      <c r="G173" s="179"/>
      <c r="H173" s="179"/>
      <c r="I173" s="179"/>
      <c r="J173" s="179"/>
      <c r="K173" s="179"/>
      <c r="L173" s="179"/>
      <c r="M173" s="179"/>
      <c r="N173" s="179"/>
      <c r="O173" s="179"/>
      <c r="P173" s="179"/>
      <c r="Q173" s="179"/>
      <c r="R173" s="179"/>
      <c r="S173" s="179"/>
      <c r="T173" s="179"/>
      <c r="U173" s="179"/>
      <c r="V173" s="179"/>
      <c r="W173" s="179"/>
      <c r="X173" s="179"/>
      <c r="Y173" s="179"/>
      <c r="Z173" s="179"/>
    </row>
    <row r="174">
      <c r="A174" s="179"/>
      <c r="B174" s="179"/>
      <c r="C174" s="179"/>
      <c r="D174" s="179"/>
      <c r="E174" s="179"/>
      <c r="F174" s="179"/>
      <c r="G174" s="179"/>
      <c r="H174" s="179"/>
      <c r="I174" s="179"/>
      <c r="J174" s="179"/>
      <c r="K174" s="179"/>
      <c r="L174" s="179"/>
      <c r="M174" s="179"/>
      <c r="N174" s="179"/>
      <c r="O174" s="179"/>
      <c r="P174" s="179"/>
      <c r="Q174" s="179"/>
      <c r="R174" s="179"/>
      <c r="S174" s="179"/>
      <c r="T174" s="179"/>
      <c r="U174" s="179"/>
      <c r="V174" s="179"/>
      <c r="W174" s="179"/>
      <c r="X174" s="179"/>
      <c r="Y174" s="179"/>
      <c r="Z174" s="179"/>
    </row>
    <row r="175">
      <c r="A175" s="179"/>
      <c r="B175" s="179"/>
      <c r="C175" s="179"/>
      <c r="D175" s="179"/>
      <c r="E175" s="179"/>
      <c r="F175" s="179"/>
      <c r="G175" s="179"/>
      <c r="H175" s="179"/>
      <c r="I175" s="179"/>
      <c r="J175" s="179"/>
      <c r="K175" s="179"/>
      <c r="L175" s="179"/>
      <c r="M175" s="179"/>
      <c r="N175" s="179"/>
      <c r="O175" s="179"/>
      <c r="P175" s="179"/>
      <c r="Q175" s="179"/>
      <c r="R175" s="179"/>
      <c r="S175" s="179"/>
      <c r="T175" s="179"/>
      <c r="U175" s="179"/>
      <c r="V175" s="179"/>
      <c r="W175" s="179"/>
      <c r="X175" s="179"/>
      <c r="Y175" s="179"/>
      <c r="Z175" s="179"/>
    </row>
    <row r="176">
      <c r="A176" s="179"/>
      <c r="B176" s="179"/>
      <c r="C176" s="179"/>
      <c r="D176" s="179"/>
      <c r="E176" s="179"/>
      <c r="F176" s="179"/>
      <c r="G176" s="179"/>
      <c r="H176" s="179"/>
      <c r="I176" s="179"/>
      <c r="J176" s="179"/>
      <c r="K176" s="179"/>
      <c r="L176" s="179"/>
      <c r="M176" s="179"/>
      <c r="N176" s="179"/>
      <c r="O176" s="179"/>
      <c r="P176" s="179"/>
      <c r="Q176" s="179"/>
      <c r="R176" s="179"/>
      <c r="S176" s="179"/>
      <c r="T176" s="179"/>
      <c r="U176" s="179"/>
      <c r="V176" s="179"/>
      <c r="W176" s="179"/>
      <c r="X176" s="179"/>
      <c r="Y176" s="179"/>
      <c r="Z176" s="179"/>
    </row>
    <row r="177">
      <c r="A177" s="179"/>
      <c r="B177" s="179"/>
      <c r="C177" s="179"/>
      <c r="D177" s="179"/>
      <c r="E177" s="179"/>
      <c r="F177" s="179"/>
      <c r="G177" s="179"/>
      <c r="H177" s="179"/>
      <c r="I177" s="179"/>
      <c r="J177" s="179"/>
      <c r="K177" s="179"/>
      <c r="L177" s="179"/>
      <c r="M177" s="179"/>
      <c r="N177" s="179"/>
      <c r="O177" s="179"/>
      <c r="P177" s="179"/>
      <c r="Q177" s="179"/>
      <c r="R177" s="179"/>
      <c r="S177" s="179"/>
      <c r="T177" s="179"/>
      <c r="U177" s="179"/>
      <c r="V177" s="179"/>
      <c r="W177" s="179"/>
      <c r="X177" s="179"/>
      <c r="Y177" s="179"/>
      <c r="Z177" s="179"/>
    </row>
    <row r="178">
      <c r="A178" s="179"/>
      <c r="B178" s="179"/>
      <c r="C178" s="179"/>
      <c r="D178" s="179"/>
      <c r="E178" s="179"/>
      <c r="F178" s="179"/>
      <c r="G178" s="179"/>
      <c r="H178" s="179"/>
      <c r="I178" s="179"/>
      <c r="J178" s="179"/>
      <c r="K178" s="179"/>
      <c r="L178" s="179"/>
      <c r="M178" s="179"/>
      <c r="N178" s="179"/>
      <c r="O178" s="179"/>
      <c r="P178" s="179"/>
      <c r="Q178" s="179"/>
      <c r="R178" s="179"/>
      <c r="S178" s="179"/>
      <c r="T178" s="179"/>
      <c r="U178" s="179"/>
      <c r="V178" s="179"/>
      <c r="W178" s="179"/>
      <c r="X178" s="179"/>
      <c r="Y178" s="179"/>
      <c r="Z178" s="179"/>
    </row>
    <row r="179">
      <c r="A179" s="179"/>
      <c r="B179" s="179"/>
      <c r="C179" s="179"/>
      <c r="D179" s="179"/>
      <c r="E179" s="179"/>
      <c r="F179" s="179"/>
      <c r="G179" s="179"/>
      <c r="H179" s="179"/>
      <c r="I179" s="179"/>
      <c r="J179" s="179"/>
      <c r="K179" s="179"/>
      <c r="L179" s="179"/>
      <c r="M179" s="179"/>
      <c r="N179" s="179"/>
      <c r="O179" s="179"/>
      <c r="P179" s="179"/>
      <c r="Q179" s="179"/>
      <c r="R179" s="179"/>
      <c r="S179" s="179"/>
      <c r="T179" s="179"/>
      <c r="U179" s="179"/>
      <c r="V179" s="179"/>
      <c r="W179" s="179"/>
      <c r="X179" s="179"/>
      <c r="Y179" s="179"/>
      <c r="Z179" s="179"/>
    </row>
    <row r="180">
      <c r="A180" s="179"/>
      <c r="B180" s="179"/>
      <c r="C180" s="179"/>
      <c r="D180" s="179"/>
      <c r="E180" s="179"/>
      <c r="F180" s="179"/>
      <c r="G180" s="179"/>
      <c r="H180" s="179"/>
      <c r="I180" s="179"/>
      <c r="J180" s="179"/>
      <c r="K180" s="179"/>
      <c r="L180" s="179"/>
      <c r="M180" s="179"/>
      <c r="N180" s="179"/>
      <c r="O180" s="179"/>
      <c r="P180" s="179"/>
      <c r="Q180" s="179"/>
      <c r="R180" s="179"/>
      <c r="S180" s="179"/>
      <c r="T180" s="179"/>
      <c r="U180" s="179"/>
      <c r="V180" s="179"/>
      <c r="W180" s="179"/>
      <c r="X180" s="179"/>
      <c r="Y180" s="179"/>
      <c r="Z180" s="179"/>
    </row>
    <row r="181">
      <c r="A181" s="179"/>
      <c r="B181" s="179"/>
      <c r="C181" s="179"/>
      <c r="D181" s="179"/>
      <c r="E181" s="179"/>
      <c r="F181" s="179"/>
      <c r="G181" s="179"/>
      <c r="H181" s="179"/>
      <c r="I181" s="179"/>
      <c r="J181" s="179"/>
      <c r="K181" s="179"/>
      <c r="L181" s="179"/>
      <c r="M181" s="179"/>
      <c r="N181" s="179"/>
      <c r="O181" s="179"/>
      <c r="P181" s="179"/>
      <c r="Q181" s="179"/>
      <c r="R181" s="179"/>
      <c r="S181" s="179"/>
      <c r="T181" s="179"/>
      <c r="U181" s="179"/>
      <c r="V181" s="179"/>
      <c r="W181" s="179"/>
      <c r="X181" s="179"/>
      <c r="Y181" s="179"/>
      <c r="Z181" s="179"/>
    </row>
    <row r="182">
      <c r="A182" s="179"/>
      <c r="B182" s="179"/>
      <c r="C182" s="179"/>
      <c r="D182" s="179"/>
      <c r="E182" s="179"/>
      <c r="F182" s="179"/>
      <c r="G182" s="179"/>
      <c r="H182" s="179"/>
      <c r="I182" s="179"/>
      <c r="J182" s="179"/>
      <c r="K182" s="179"/>
      <c r="L182" s="179"/>
      <c r="M182" s="179"/>
      <c r="N182" s="179"/>
      <c r="O182" s="179"/>
      <c r="P182" s="179"/>
      <c r="Q182" s="179"/>
      <c r="R182" s="179"/>
      <c r="S182" s="179"/>
      <c r="T182" s="179"/>
      <c r="U182" s="179"/>
      <c r="V182" s="179"/>
      <c r="W182" s="179"/>
      <c r="X182" s="179"/>
      <c r="Y182" s="179"/>
      <c r="Z182" s="179"/>
    </row>
    <row r="183">
      <c r="A183" s="179"/>
      <c r="B183" s="179"/>
      <c r="C183" s="179"/>
      <c r="D183" s="179"/>
      <c r="E183" s="179"/>
      <c r="F183" s="179"/>
      <c r="G183" s="179"/>
      <c r="H183" s="179"/>
      <c r="I183" s="179"/>
      <c r="J183" s="179"/>
      <c r="K183" s="179"/>
      <c r="L183" s="179"/>
      <c r="M183" s="179"/>
      <c r="N183" s="179"/>
      <c r="O183" s="179"/>
      <c r="P183" s="179"/>
      <c r="Q183" s="179"/>
      <c r="R183" s="179"/>
      <c r="S183" s="179"/>
      <c r="T183" s="179"/>
      <c r="U183" s="179"/>
      <c r="V183" s="179"/>
      <c r="W183" s="179"/>
      <c r="X183" s="179"/>
      <c r="Y183" s="179"/>
      <c r="Z183" s="179"/>
    </row>
    <row r="184">
      <c r="A184" s="179"/>
      <c r="B184" s="179"/>
      <c r="C184" s="179"/>
      <c r="D184" s="179"/>
      <c r="E184" s="179"/>
      <c r="F184" s="179"/>
      <c r="G184" s="179"/>
      <c r="H184" s="179"/>
      <c r="I184" s="179"/>
      <c r="J184" s="179"/>
      <c r="K184" s="179"/>
      <c r="L184" s="179"/>
      <c r="M184" s="179"/>
      <c r="N184" s="179"/>
      <c r="O184" s="179"/>
      <c r="P184" s="179"/>
      <c r="Q184" s="179"/>
      <c r="R184" s="179"/>
      <c r="S184" s="179"/>
      <c r="T184" s="179"/>
      <c r="U184" s="179"/>
      <c r="V184" s="179"/>
      <c r="W184" s="179"/>
      <c r="X184" s="179"/>
      <c r="Y184" s="179"/>
      <c r="Z184" s="179"/>
    </row>
    <row r="185">
      <c r="A185" s="179"/>
      <c r="B185" s="179"/>
      <c r="C185" s="179"/>
      <c r="D185" s="179"/>
      <c r="E185" s="179"/>
      <c r="F185" s="179"/>
      <c r="G185" s="179"/>
      <c r="H185" s="179"/>
      <c r="I185" s="179"/>
      <c r="J185" s="179"/>
      <c r="K185" s="179"/>
      <c r="L185" s="179"/>
      <c r="M185" s="179"/>
      <c r="N185" s="179"/>
      <c r="O185" s="179"/>
      <c r="P185" s="179"/>
      <c r="Q185" s="179"/>
      <c r="R185" s="179"/>
      <c r="S185" s="179"/>
      <c r="T185" s="179"/>
      <c r="U185" s="179"/>
      <c r="V185" s="179"/>
      <c r="W185" s="179"/>
      <c r="X185" s="179"/>
      <c r="Y185" s="179"/>
      <c r="Z185" s="179"/>
    </row>
    <row r="186">
      <c r="A186" s="179"/>
      <c r="B186" s="179"/>
      <c r="C186" s="179"/>
      <c r="D186" s="179"/>
      <c r="E186" s="179"/>
      <c r="F186" s="179"/>
      <c r="G186" s="179"/>
      <c r="H186" s="179"/>
      <c r="I186" s="179"/>
      <c r="J186" s="179"/>
      <c r="K186" s="179"/>
      <c r="L186" s="179"/>
      <c r="M186" s="179"/>
      <c r="N186" s="179"/>
      <c r="O186" s="179"/>
      <c r="P186" s="179"/>
      <c r="Q186" s="179"/>
      <c r="R186" s="179"/>
      <c r="S186" s="179"/>
      <c r="T186" s="179"/>
      <c r="U186" s="179"/>
      <c r="V186" s="179"/>
      <c r="W186" s="179"/>
      <c r="X186" s="179"/>
      <c r="Y186" s="179"/>
      <c r="Z186" s="179"/>
    </row>
    <row r="187">
      <c r="A187" s="179"/>
      <c r="B187" s="179"/>
      <c r="C187" s="179"/>
      <c r="D187" s="179"/>
      <c r="E187" s="179"/>
      <c r="F187" s="179"/>
      <c r="G187" s="179"/>
      <c r="H187" s="179"/>
      <c r="I187" s="179"/>
      <c r="J187" s="179"/>
      <c r="K187" s="179"/>
      <c r="L187" s="179"/>
      <c r="M187" s="179"/>
      <c r="N187" s="179"/>
      <c r="O187" s="179"/>
      <c r="P187" s="179"/>
      <c r="Q187" s="179"/>
      <c r="R187" s="179"/>
      <c r="S187" s="179"/>
      <c r="T187" s="179"/>
      <c r="U187" s="179"/>
      <c r="V187" s="179"/>
      <c r="W187" s="179"/>
      <c r="X187" s="179"/>
      <c r="Y187" s="179"/>
      <c r="Z187" s="179"/>
    </row>
    <row r="188">
      <c r="A188" s="179"/>
      <c r="B188" s="179"/>
      <c r="C188" s="179"/>
      <c r="D188" s="179"/>
      <c r="E188" s="179"/>
      <c r="F188" s="179"/>
      <c r="G188" s="179"/>
      <c r="H188" s="179"/>
      <c r="I188" s="179"/>
      <c r="J188" s="179"/>
      <c r="K188" s="179"/>
      <c r="L188" s="179"/>
      <c r="M188" s="179"/>
      <c r="N188" s="179"/>
      <c r="O188" s="179"/>
      <c r="P188" s="179"/>
      <c r="Q188" s="179"/>
      <c r="R188" s="179"/>
      <c r="S188" s="179"/>
      <c r="T188" s="179"/>
      <c r="U188" s="179"/>
      <c r="V188" s="179"/>
      <c r="W188" s="179"/>
      <c r="X188" s="179"/>
      <c r="Y188" s="179"/>
      <c r="Z188" s="179"/>
    </row>
    <row r="189">
      <c r="A189" s="179"/>
      <c r="B189" s="179"/>
      <c r="C189" s="179"/>
      <c r="D189" s="179"/>
      <c r="E189" s="179"/>
      <c r="F189" s="179"/>
      <c r="G189" s="179"/>
      <c r="H189" s="179"/>
      <c r="I189" s="179"/>
      <c r="J189" s="179"/>
      <c r="K189" s="179"/>
      <c r="L189" s="179"/>
      <c r="M189" s="179"/>
      <c r="N189" s="179"/>
      <c r="O189" s="179"/>
      <c r="P189" s="179"/>
      <c r="Q189" s="179"/>
      <c r="R189" s="179"/>
      <c r="S189" s="179"/>
      <c r="T189" s="179"/>
      <c r="U189" s="179"/>
      <c r="V189" s="179"/>
      <c r="W189" s="179"/>
      <c r="X189" s="179"/>
      <c r="Y189" s="179"/>
      <c r="Z189" s="179"/>
    </row>
    <row r="190">
      <c r="A190" s="179"/>
      <c r="B190" s="179"/>
      <c r="C190" s="179"/>
      <c r="D190" s="179"/>
      <c r="E190" s="179"/>
      <c r="F190" s="179"/>
      <c r="G190" s="179"/>
      <c r="H190" s="179"/>
      <c r="I190" s="179"/>
      <c r="J190" s="179"/>
      <c r="K190" s="179"/>
      <c r="L190" s="179"/>
      <c r="M190" s="179"/>
      <c r="N190" s="179"/>
      <c r="O190" s="179"/>
      <c r="P190" s="179"/>
      <c r="Q190" s="179"/>
      <c r="R190" s="179"/>
      <c r="S190" s="179"/>
      <c r="T190" s="179"/>
      <c r="U190" s="179"/>
      <c r="V190" s="179"/>
      <c r="W190" s="179"/>
      <c r="X190" s="179"/>
      <c r="Y190" s="179"/>
      <c r="Z190" s="179"/>
    </row>
    <row r="191">
      <c r="A191" s="179"/>
      <c r="B191" s="179"/>
      <c r="C191" s="179"/>
      <c r="D191" s="179"/>
      <c r="E191" s="179"/>
      <c r="F191" s="179"/>
      <c r="G191" s="179"/>
      <c r="H191" s="179"/>
      <c r="I191" s="179"/>
      <c r="J191" s="179"/>
      <c r="K191" s="179"/>
      <c r="L191" s="179"/>
      <c r="M191" s="179"/>
      <c r="N191" s="179"/>
      <c r="O191" s="179"/>
      <c r="P191" s="179"/>
      <c r="Q191" s="179"/>
      <c r="R191" s="179"/>
      <c r="S191" s="179"/>
      <c r="T191" s="179"/>
      <c r="U191" s="179"/>
      <c r="V191" s="179"/>
      <c r="W191" s="179"/>
      <c r="X191" s="179"/>
      <c r="Y191" s="179"/>
      <c r="Z191" s="179"/>
    </row>
    <row r="192">
      <c r="A192" s="179"/>
      <c r="B192" s="179"/>
      <c r="C192" s="179"/>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row>
    <row r="193">
      <c r="A193" s="179"/>
      <c r="B193" s="179"/>
      <c r="C193" s="179"/>
      <c r="D193" s="179"/>
      <c r="E193" s="179"/>
      <c r="F193" s="179"/>
      <c r="G193" s="179"/>
      <c r="H193" s="179"/>
      <c r="I193" s="179"/>
      <c r="J193" s="179"/>
      <c r="K193" s="179"/>
      <c r="L193" s="179"/>
      <c r="M193" s="179"/>
      <c r="N193" s="179"/>
      <c r="O193" s="179"/>
      <c r="P193" s="179"/>
      <c r="Q193" s="179"/>
      <c r="R193" s="179"/>
      <c r="S193" s="179"/>
      <c r="T193" s="179"/>
      <c r="U193" s="179"/>
      <c r="V193" s="179"/>
      <c r="W193" s="179"/>
      <c r="X193" s="179"/>
      <c r="Y193" s="179"/>
      <c r="Z193" s="179"/>
    </row>
    <row r="194">
      <c r="A194" s="179"/>
      <c r="B194" s="179"/>
      <c r="C194" s="179"/>
      <c r="D194" s="179"/>
      <c r="E194" s="179"/>
      <c r="F194" s="179"/>
      <c r="G194" s="179"/>
      <c r="H194" s="179"/>
      <c r="I194" s="179"/>
      <c r="J194" s="179"/>
      <c r="K194" s="179"/>
      <c r="L194" s="179"/>
      <c r="M194" s="179"/>
      <c r="N194" s="179"/>
      <c r="O194" s="179"/>
      <c r="P194" s="179"/>
      <c r="Q194" s="179"/>
      <c r="R194" s="179"/>
      <c r="S194" s="179"/>
      <c r="T194" s="179"/>
      <c r="U194" s="179"/>
      <c r="V194" s="179"/>
      <c r="W194" s="179"/>
      <c r="X194" s="179"/>
      <c r="Y194" s="179"/>
      <c r="Z194" s="179"/>
    </row>
    <row r="195">
      <c r="A195" s="179"/>
      <c r="B195" s="179"/>
      <c r="C195" s="179"/>
      <c r="D195" s="179"/>
      <c r="E195" s="179"/>
      <c r="F195" s="179"/>
      <c r="G195" s="179"/>
      <c r="H195" s="179"/>
      <c r="I195" s="179"/>
      <c r="J195" s="179"/>
      <c r="K195" s="179"/>
      <c r="L195" s="179"/>
      <c r="M195" s="179"/>
      <c r="N195" s="179"/>
      <c r="O195" s="179"/>
      <c r="P195" s="179"/>
      <c r="Q195" s="179"/>
      <c r="R195" s="179"/>
      <c r="S195" s="179"/>
      <c r="T195" s="179"/>
      <c r="U195" s="179"/>
      <c r="V195" s="179"/>
      <c r="W195" s="179"/>
      <c r="X195" s="179"/>
      <c r="Y195" s="179"/>
      <c r="Z195" s="179"/>
    </row>
    <row r="196">
      <c r="A196" s="179"/>
      <c r="B196" s="179"/>
      <c r="C196" s="179"/>
      <c r="D196" s="179"/>
      <c r="E196" s="179"/>
      <c r="F196" s="179"/>
      <c r="G196" s="179"/>
      <c r="H196" s="179"/>
      <c r="I196" s="179"/>
      <c r="J196" s="179"/>
      <c r="K196" s="179"/>
      <c r="L196" s="179"/>
      <c r="M196" s="179"/>
      <c r="N196" s="179"/>
      <c r="O196" s="179"/>
      <c r="P196" s="179"/>
      <c r="Q196" s="179"/>
      <c r="R196" s="179"/>
      <c r="S196" s="179"/>
      <c r="T196" s="179"/>
      <c r="U196" s="179"/>
      <c r="V196" s="179"/>
      <c r="W196" s="179"/>
      <c r="X196" s="179"/>
      <c r="Y196" s="179"/>
      <c r="Z196" s="179"/>
    </row>
    <row r="197">
      <c r="A197" s="179"/>
      <c r="B197" s="179"/>
      <c r="C197" s="179"/>
      <c r="D197" s="179"/>
      <c r="E197" s="179"/>
      <c r="F197" s="179"/>
      <c r="G197" s="179"/>
      <c r="H197" s="179"/>
      <c r="I197" s="179"/>
      <c r="J197" s="179"/>
      <c r="K197" s="179"/>
      <c r="L197" s="179"/>
      <c r="M197" s="179"/>
      <c r="N197" s="179"/>
      <c r="O197" s="179"/>
      <c r="P197" s="179"/>
      <c r="Q197" s="179"/>
      <c r="R197" s="179"/>
      <c r="S197" s="179"/>
      <c r="T197" s="179"/>
      <c r="U197" s="179"/>
      <c r="V197" s="179"/>
      <c r="W197" s="179"/>
      <c r="X197" s="179"/>
      <c r="Y197" s="179"/>
      <c r="Z197" s="179"/>
    </row>
    <row r="198">
      <c r="A198" s="179"/>
      <c r="B198" s="179"/>
      <c r="C198" s="179"/>
      <c r="D198" s="179"/>
      <c r="E198" s="179"/>
      <c r="F198" s="179"/>
      <c r="G198" s="179"/>
      <c r="H198" s="179"/>
      <c r="I198" s="179"/>
      <c r="J198" s="179"/>
      <c r="K198" s="179"/>
      <c r="L198" s="179"/>
      <c r="M198" s="179"/>
      <c r="N198" s="179"/>
      <c r="O198" s="179"/>
      <c r="P198" s="179"/>
      <c r="Q198" s="179"/>
      <c r="R198" s="179"/>
      <c r="S198" s="179"/>
      <c r="T198" s="179"/>
      <c r="U198" s="179"/>
      <c r="V198" s="179"/>
      <c r="W198" s="179"/>
      <c r="X198" s="179"/>
      <c r="Y198" s="179"/>
      <c r="Z198" s="179"/>
    </row>
    <row r="199">
      <c r="A199" s="179"/>
      <c r="B199" s="179"/>
      <c r="C199" s="179"/>
      <c r="D199" s="179"/>
      <c r="E199" s="179"/>
      <c r="F199" s="179"/>
      <c r="G199" s="179"/>
      <c r="H199" s="179"/>
      <c r="I199" s="179"/>
      <c r="J199" s="179"/>
      <c r="K199" s="179"/>
      <c r="L199" s="179"/>
      <c r="M199" s="179"/>
      <c r="N199" s="179"/>
      <c r="O199" s="179"/>
      <c r="P199" s="179"/>
      <c r="Q199" s="179"/>
      <c r="R199" s="179"/>
      <c r="S199" s="179"/>
      <c r="T199" s="179"/>
      <c r="U199" s="179"/>
      <c r="V199" s="179"/>
      <c r="W199" s="179"/>
      <c r="X199" s="179"/>
      <c r="Y199" s="179"/>
      <c r="Z199" s="179"/>
    </row>
    <row r="200">
      <c r="A200" s="179"/>
      <c r="B200" s="179"/>
      <c r="C200" s="179"/>
      <c r="D200" s="179"/>
      <c r="E200" s="179"/>
      <c r="F200" s="179"/>
      <c r="G200" s="179"/>
      <c r="H200" s="179"/>
      <c r="I200" s="179"/>
      <c r="J200" s="179"/>
      <c r="K200" s="179"/>
      <c r="L200" s="179"/>
      <c r="M200" s="179"/>
      <c r="N200" s="179"/>
      <c r="O200" s="179"/>
      <c r="P200" s="179"/>
      <c r="Q200" s="179"/>
      <c r="R200" s="179"/>
      <c r="S200" s="179"/>
      <c r="T200" s="179"/>
      <c r="U200" s="179"/>
      <c r="V200" s="179"/>
      <c r="W200" s="179"/>
      <c r="X200" s="179"/>
      <c r="Y200" s="179"/>
      <c r="Z200" s="179"/>
    </row>
    <row r="201">
      <c r="A201" s="179"/>
      <c r="B201" s="179"/>
      <c r="C201" s="179"/>
      <c r="D201" s="179"/>
      <c r="E201" s="179"/>
      <c r="F201" s="179"/>
      <c r="G201" s="179"/>
      <c r="H201" s="179"/>
      <c r="I201" s="179"/>
      <c r="J201" s="179"/>
      <c r="K201" s="179"/>
      <c r="L201" s="179"/>
      <c r="M201" s="179"/>
      <c r="N201" s="179"/>
      <c r="O201" s="179"/>
      <c r="P201" s="179"/>
      <c r="Q201" s="179"/>
      <c r="R201" s="179"/>
      <c r="S201" s="179"/>
      <c r="T201" s="179"/>
      <c r="U201" s="179"/>
      <c r="V201" s="179"/>
      <c r="W201" s="179"/>
      <c r="X201" s="179"/>
      <c r="Y201" s="179"/>
      <c r="Z201" s="179"/>
    </row>
    <row r="202">
      <c r="A202" s="179"/>
      <c r="B202" s="179"/>
      <c r="C202" s="179"/>
      <c r="D202" s="179"/>
      <c r="E202" s="179"/>
      <c r="F202" s="179"/>
      <c r="G202" s="179"/>
      <c r="H202" s="179"/>
      <c r="I202" s="179"/>
      <c r="J202" s="179"/>
      <c r="K202" s="179"/>
      <c r="L202" s="179"/>
      <c r="M202" s="179"/>
      <c r="N202" s="179"/>
      <c r="O202" s="179"/>
      <c r="P202" s="179"/>
      <c r="Q202" s="179"/>
      <c r="R202" s="179"/>
      <c r="S202" s="179"/>
      <c r="T202" s="179"/>
      <c r="U202" s="179"/>
      <c r="V202" s="179"/>
      <c r="W202" s="179"/>
      <c r="X202" s="179"/>
      <c r="Y202" s="179"/>
      <c r="Z202" s="179"/>
    </row>
    <row r="203">
      <c r="A203" s="179"/>
      <c r="B203" s="179"/>
      <c r="C203" s="179"/>
      <c r="D203" s="179"/>
      <c r="E203" s="179"/>
      <c r="F203" s="179"/>
      <c r="G203" s="179"/>
      <c r="H203" s="179"/>
      <c r="I203" s="179"/>
      <c r="J203" s="179"/>
      <c r="K203" s="179"/>
      <c r="L203" s="179"/>
      <c r="M203" s="179"/>
      <c r="N203" s="179"/>
      <c r="O203" s="179"/>
      <c r="P203" s="179"/>
      <c r="Q203" s="179"/>
      <c r="R203" s="179"/>
      <c r="S203" s="179"/>
      <c r="T203" s="179"/>
      <c r="U203" s="179"/>
      <c r="V203" s="179"/>
      <c r="W203" s="179"/>
      <c r="X203" s="179"/>
      <c r="Y203" s="179"/>
      <c r="Z203" s="179"/>
    </row>
    <row r="204">
      <c r="A204" s="179"/>
      <c r="B204" s="179"/>
      <c r="C204" s="179"/>
      <c r="D204" s="179"/>
      <c r="E204" s="179"/>
      <c r="F204" s="179"/>
      <c r="G204" s="179"/>
      <c r="H204" s="179"/>
      <c r="I204" s="179"/>
      <c r="J204" s="179"/>
      <c r="K204" s="179"/>
      <c r="L204" s="179"/>
      <c r="M204" s="179"/>
      <c r="N204" s="179"/>
      <c r="O204" s="179"/>
      <c r="P204" s="179"/>
      <c r="Q204" s="179"/>
      <c r="R204" s="179"/>
      <c r="S204" s="179"/>
      <c r="T204" s="179"/>
      <c r="U204" s="179"/>
      <c r="V204" s="179"/>
      <c r="W204" s="179"/>
      <c r="X204" s="179"/>
      <c r="Y204" s="179"/>
      <c r="Z204" s="179"/>
    </row>
    <row r="205">
      <c r="A205" s="179"/>
      <c r="B205" s="179"/>
      <c r="C205" s="179"/>
      <c r="D205" s="179"/>
      <c r="E205" s="179"/>
      <c r="F205" s="179"/>
      <c r="G205" s="179"/>
      <c r="H205" s="179"/>
      <c r="I205" s="179"/>
      <c r="J205" s="179"/>
      <c r="K205" s="179"/>
      <c r="L205" s="179"/>
      <c r="M205" s="179"/>
      <c r="N205" s="179"/>
      <c r="O205" s="179"/>
      <c r="P205" s="179"/>
      <c r="Q205" s="179"/>
      <c r="R205" s="179"/>
      <c r="S205" s="179"/>
      <c r="T205" s="179"/>
      <c r="U205" s="179"/>
      <c r="V205" s="179"/>
      <c r="W205" s="179"/>
      <c r="X205" s="179"/>
      <c r="Y205" s="179"/>
      <c r="Z205" s="179"/>
    </row>
    <row r="206">
      <c r="A206" s="179"/>
      <c r="B206" s="179"/>
      <c r="C206" s="179"/>
      <c r="D206" s="179"/>
      <c r="E206" s="179"/>
      <c r="F206" s="179"/>
      <c r="G206" s="179"/>
      <c r="H206" s="179"/>
      <c r="I206" s="179"/>
      <c r="J206" s="179"/>
      <c r="K206" s="179"/>
      <c r="L206" s="179"/>
      <c r="M206" s="179"/>
      <c r="N206" s="179"/>
      <c r="O206" s="179"/>
      <c r="P206" s="179"/>
      <c r="Q206" s="179"/>
      <c r="R206" s="179"/>
      <c r="S206" s="179"/>
      <c r="T206" s="179"/>
      <c r="U206" s="179"/>
      <c r="V206" s="179"/>
      <c r="W206" s="179"/>
      <c r="X206" s="179"/>
      <c r="Y206" s="179"/>
      <c r="Z206" s="179"/>
    </row>
    <row r="207">
      <c r="A207" s="179"/>
      <c r="B207" s="179"/>
      <c r="C207" s="179"/>
      <c r="D207" s="179"/>
      <c r="E207" s="179"/>
      <c r="F207" s="179"/>
      <c r="G207" s="179"/>
      <c r="H207" s="179"/>
      <c r="I207" s="179"/>
      <c r="J207" s="179"/>
      <c r="K207" s="179"/>
      <c r="L207" s="179"/>
      <c r="M207" s="179"/>
      <c r="N207" s="179"/>
      <c r="O207" s="179"/>
      <c r="P207" s="179"/>
      <c r="Q207" s="179"/>
      <c r="R207" s="179"/>
      <c r="S207" s="179"/>
      <c r="T207" s="179"/>
      <c r="U207" s="179"/>
      <c r="V207" s="179"/>
      <c r="W207" s="179"/>
      <c r="X207" s="179"/>
      <c r="Y207" s="179"/>
      <c r="Z207" s="179"/>
    </row>
    <row r="208">
      <c r="A208" s="179"/>
      <c r="B208" s="179"/>
      <c r="C208" s="179"/>
      <c r="D208" s="179"/>
      <c r="E208" s="179"/>
      <c r="F208" s="179"/>
      <c r="G208" s="179"/>
      <c r="H208" s="179"/>
      <c r="I208" s="179"/>
      <c r="J208" s="179"/>
      <c r="K208" s="179"/>
      <c r="L208" s="179"/>
      <c r="M208" s="179"/>
      <c r="N208" s="179"/>
      <c r="O208" s="179"/>
      <c r="P208" s="179"/>
      <c r="Q208" s="179"/>
      <c r="R208" s="179"/>
      <c r="S208" s="179"/>
      <c r="T208" s="179"/>
      <c r="U208" s="179"/>
      <c r="V208" s="179"/>
      <c r="W208" s="179"/>
      <c r="X208" s="179"/>
      <c r="Y208" s="179"/>
      <c r="Z208" s="179"/>
    </row>
    <row r="209">
      <c r="A209" s="179"/>
      <c r="B209" s="179"/>
      <c r="C209" s="179"/>
      <c r="D209" s="179"/>
      <c r="E209" s="179"/>
      <c r="F209" s="179"/>
      <c r="G209" s="179"/>
      <c r="H209" s="179"/>
      <c r="I209" s="179"/>
      <c r="J209" s="179"/>
      <c r="K209" s="179"/>
      <c r="L209" s="179"/>
      <c r="M209" s="179"/>
      <c r="N209" s="179"/>
      <c r="O209" s="179"/>
      <c r="P209" s="179"/>
      <c r="Q209" s="179"/>
      <c r="R209" s="179"/>
      <c r="S209" s="179"/>
      <c r="T209" s="179"/>
      <c r="U209" s="179"/>
      <c r="V209" s="179"/>
      <c r="W209" s="179"/>
      <c r="X209" s="179"/>
      <c r="Y209" s="179"/>
      <c r="Z209" s="179"/>
    </row>
    <row r="210">
      <c r="A210" s="179"/>
      <c r="B210" s="179"/>
      <c r="C210" s="179"/>
      <c r="D210" s="179"/>
      <c r="E210" s="179"/>
      <c r="F210" s="179"/>
      <c r="G210" s="179"/>
      <c r="H210" s="179"/>
      <c r="I210" s="179"/>
      <c r="J210" s="179"/>
      <c r="K210" s="179"/>
      <c r="L210" s="179"/>
      <c r="M210" s="179"/>
      <c r="N210" s="179"/>
      <c r="O210" s="179"/>
      <c r="P210" s="179"/>
      <c r="Q210" s="179"/>
      <c r="R210" s="179"/>
      <c r="S210" s="179"/>
      <c r="T210" s="179"/>
      <c r="U210" s="179"/>
      <c r="V210" s="179"/>
      <c r="W210" s="179"/>
      <c r="X210" s="179"/>
      <c r="Y210" s="179"/>
      <c r="Z210" s="179"/>
    </row>
    <row r="211">
      <c r="A211" s="179"/>
      <c r="B211" s="179"/>
      <c r="C211" s="179"/>
      <c r="D211" s="179"/>
      <c r="E211" s="179"/>
      <c r="F211" s="179"/>
      <c r="G211" s="179"/>
      <c r="H211" s="179"/>
      <c r="I211" s="179"/>
      <c r="J211" s="179"/>
      <c r="K211" s="179"/>
      <c r="L211" s="179"/>
      <c r="M211" s="179"/>
      <c r="N211" s="179"/>
      <c r="O211" s="179"/>
      <c r="P211" s="179"/>
      <c r="Q211" s="179"/>
      <c r="R211" s="179"/>
      <c r="S211" s="179"/>
      <c r="T211" s="179"/>
      <c r="U211" s="179"/>
      <c r="V211" s="179"/>
      <c r="W211" s="179"/>
      <c r="X211" s="179"/>
      <c r="Y211" s="179"/>
      <c r="Z211" s="179"/>
    </row>
    <row r="212">
      <c r="A212" s="179"/>
      <c r="B212" s="179"/>
      <c r="C212" s="179"/>
      <c r="D212" s="179"/>
      <c r="E212" s="179"/>
      <c r="F212" s="179"/>
      <c r="G212" s="179"/>
      <c r="H212" s="179"/>
      <c r="I212" s="179"/>
      <c r="J212" s="179"/>
      <c r="K212" s="179"/>
      <c r="L212" s="179"/>
      <c r="M212" s="179"/>
      <c r="N212" s="179"/>
      <c r="O212" s="179"/>
      <c r="P212" s="179"/>
      <c r="Q212" s="179"/>
      <c r="R212" s="179"/>
      <c r="S212" s="179"/>
      <c r="T212" s="179"/>
      <c r="U212" s="179"/>
      <c r="V212" s="179"/>
      <c r="W212" s="179"/>
      <c r="X212" s="179"/>
      <c r="Y212" s="179"/>
      <c r="Z212" s="179"/>
    </row>
    <row r="213">
      <c r="A213" s="179"/>
      <c r="B213" s="179"/>
      <c r="C213" s="179"/>
      <c r="D213" s="179"/>
      <c r="E213" s="179"/>
      <c r="F213" s="179"/>
      <c r="G213" s="179"/>
      <c r="H213" s="179"/>
      <c r="I213" s="179"/>
      <c r="J213" s="179"/>
      <c r="K213" s="179"/>
      <c r="L213" s="179"/>
      <c r="M213" s="179"/>
      <c r="N213" s="179"/>
      <c r="O213" s="179"/>
      <c r="P213" s="179"/>
      <c r="Q213" s="179"/>
      <c r="R213" s="179"/>
      <c r="S213" s="179"/>
      <c r="T213" s="179"/>
      <c r="U213" s="179"/>
      <c r="V213" s="179"/>
      <c r="W213" s="179"/>
      <c r="X213" s="179"/>
      <c r="Y213" s="179"/>
      <c r="Z213" s="179"/>
    </row>
    <row r="214">
      <c r="A214" s="179"/>
      <c r="B214" s="179"/>
      <c r="C214" s="179"/>
      <c r="D214" s="179"/>
      <c r="E214" s="179"/>
      <c r="F214" s="179"/>
      <c r="G214" s="179"/>
      <c r="H214" s="179"/>
      <c r="I214" s="179"/>
      <c r="J214" s="179"/>
      <c r="K214" s="179"/>
      <c r="L214" s="179"/>
      <c r="M214" s="179"/>
      <c r="N214" s="179"/>
      <c r="O214" s="179"/>
      <c r="P214" s="179"/>
      <c r="Q214" s="179"/>
      <c r="R214" s="179"/>
      <c r="S214" s="179"/>
      <c r="T214" s="179"/>
      <c r="U214" s="179"/>
      <c r="V214" s="179"/>
      <c r="W214" s="179"/>
      <c r="X214" s="179"/>
      <c r="Y214" s="179"/>
      <c r="Z214" s="179"/>
    </row>
    <row r="215">
      <c r="A215" s="179"/>
      <c r="B215" s="179"/>
      <c r="C215" s="179"/>
      <c r="D215" s="179"/>
      <c r="E215" s="179"/>
      <c r="F215" s="179"/>
      <c r="G215" s="179"/>
      <c r="H215" s="179"/>
      <c r="I215" s="179"/>
      <c r="J215" s="179"/>
      <c r="K215" s="179"/>
      <c r="L215" s="179"/>
      <c r="M215" s="179"/>
      <c r="N215" s="179"/>
      <c r="O215" s="179"/>
      <c r="P215" s="179"/>
      <c r="Q215" s="179"/>
      <c r="R215" s="179"/>
      <c r="S215" s="179"/>
      <c r="T215" s="179"/>
      <c r="U215" s="179"/>
      <c r="V215" s="179"/>
      <c r="W215" s="179"/>
      <c r="X215" s="179"/>
      <c r="Y215" s="179"/>
      <c r="Z215" s="179"/>
    </row>
    <row r="216">
      <c r="A216" s="179"/>
      <c r="B216" s="179"/>
      <c r="C216" s="179"/>
      <c r="D216" s="179"/>
      <c r="E216" s="179"/>
      <c r="F216" s="179"/>
      <c r="G216" s="179"/>
      <c r="H216" s="179"/>
      <c r="I216" s="179"/>
      <c r="J216" s="179"/>
      <c r="K216" s="179"/>
      <c r="L216" s="179"/>
      <c r="M216" s="179"/>
      <c r="N216" s="179"/>
      <c r="O216" s="179"/>
      <c r="P216" s="179"/>
      <c r="Q216" s="179"/>
      <c r="R216" s="179"/>
      <c r="S216" s="179"/>
      <c r="T216" s="179"/>
      <c r="U216" s="179"/>
      <c r="V216" s="179"/>
      <c r="W216" s="179"/>
      <c r="X216" s="179"/>
      <c r="Y216" s="179"/>
      <c r="Z216" s="179"/>
    </row>
    <row r="217">
      <c r="A217" s="179"/>
      <c r="B217" s="179"/>
      <c r="C217" s="179"/>
      <c r="D217" s="179"/>
      <c r="E217" s="179"/>
      <c r="F217" s="179"/>
      <c r="G217" s="179"/>
      <c r="H217" s="179"/>
      <c r="I217" s="179"/>
      <c r="J217" s="179"/>
      <c r="K217" s="179"/>
      <c r="L217" s="179"/>
      <c r="M217" s="179"/>
      <c r="N217" s="179"/>
      <c r="O217" s="179"/>
      <c r="P217" s="179"/>
      <c r="Q217" s="179"/>
      <c r="R217" s="179"/>
      <c r="S217" s="179"/>
      <c r="T217" s="179"/>
      <c r="U217" s="179"/>
      <c r="V217" s="179"/>
      <c r="W217" s="179"/>
      <c r="X217" s="179"/>
      <c r="Y217" s="179"/>
      <c r="Z217" s="179"/>
    </row>
    <row r="218">
      <c r="A218" s="179"/>
      <c r="B218" s="179"/>
      <c r="C218" s="179"/>
      <c r="D218" s="179"/>
      <c r="E218" s="179"/>
      <c r="F218" s="179"/>
      <c r="G218" s="179"/>
      <c r="H218" s="179"/>
      <c r="I218" s="179"/>
      <c r="J218" s="179"/>
      <c r="K218" s="179"/>
      <c r="L218" s="179"/>
      <c r="M218" s="179"/>
      <c r="N218" s="179"/>
      <c r="O218" s="179"/>
      <c r="P218" s="179"/>
      <c r="Q218" s="179"/>
      <c r="R218" s="179"/>
      <c r="S218" s="179"/>
      <c r="T218" s="179"/>
      <c r="U218" s="179"/>
      <c r="V218" s="179"/>
      <c r="W218" s="179"/>
      <c r="X218" s="179"/>
      <c r="Y218" s="179"/>
      <c r="Z218" s="179"/>
    </row>
    <row r="219">
      <c r="A219" s="179"/>
      <c r="B219" s="179"/>
      <c r="C219" s="179"/>
      <c r="D219" s="179"/>
      <c r="E219" s="179"/>
      <c r="F219" s="179"/>
      <c r="G219" s="179"/>
      <c r="H219" s="179"/>
      <c r="I219" s="179"/>
      <c r="J219" s="179"/>
      <c r="K219" s="179"/>
      <c r="L219" s="179"/>
      <c r="M219" s="179"/>
      <c r="N219" s="179"/>
      <c r="O219" s="179"/>
      <c r="P219" s="179"/>
      <c r="Q219" s="179"/>
      <c r="R219" s="179"/>
      <c r="S219" s="179"/>
      <c r="T219" s="179"/>
      <c r="U219" s="179"/>
      <c r="V219" s="179"/>
      <c r="W219" s="179"/>
      <c r="X219" s="179"/>
      <c r="Y219" s="179"/>
      <c r="Z219" s="179"/>
    </row>
    <row r="220">
      <c r="A220" s="179"/>
      <c r="B220" s="179"/>
      <c r="C220" s="179"/>
      <c r="D220" s="179"/>
      <c r="E220" s="179"/>
      <c r="F220" s="179"/>
      <c r="G220" s="179"/>
      <c r="H220" s="179"/>
      <c r="I220" s="179"/>
      <c r="J220" s="179"/>
      <c r="K220" s="179"/>
      <c r="L220" s="179"/>
      <c r="M220" s="179"/>
      <c r="N220" s="179"/>
      <c r="O220" s="179"/>
      <c r="P220" s="179"/>
      <c r="Q220" s="179"/>
      <c r="R220" s="179"/>
      <c r="S220" s="179"/>
      <c r="T220" s="179"/>
      <c r="U220" s="179"/>
      <c r="V220" s="179"/>
      <c r="W220" s="179"/>
      <c r="X220" s="179"/>
      <c r="Y220" s="179"/>
      <c r="Z220" s="179"/>
    </row>
    <row r="221">
      <c r="A221" s="179"/>
      <c r="B221" s="179"/>
      <c r="C221" s="179"/>
      <c r="D221" s="179"/>
      <c r="E221" s="179"/>
      <c r="F221" s="179"/>
      <c r="G221" s="179"/>
      <c r="H221" s="179"/>
      <c r="I221" s="179"/>
      <c r="J221" s="179"/>
      <c r="K221" s="179"/>
      <c r="L221" s="179"/>
      <c r="M221" s="179"/>
      <c r="N221" s="179"/>
      <c r="O221" s="179"/>
      <c r="P221" s="179"/>
      <c r="Q221" s="179"/>
      <c r="R221" s="179"/>
      <c r="S221" s="179"/>
      <c r="T221" s="179"/>
      <c r="U221" s="179"/>
      <c r="V221" s="179"/>
      <c r="W221" s="179"/>
      <c r="X221" s="179"/>
      <c r="Y221" s="179"/>
      <c r="Z221" s="179"/>
    </row>
    <row r="222">
      <c r="A222" s="179"/>
      <c r="B222" s="179"/>
      <c r="C222" s="179"/>
      <c r="D222" s="179"/>
      <c r="E222" s="179"/>
      <c r="F222" s="179"/>
      <c r="G222" s="179"/>
      <c r="H222" s="179"/>
      <c r="I222" s="179"/>
      <c r="J222" s="179"/>
      <c r="K222" s="179"/>
      <c r="L222" s="179"/>
      <c r="M222" s="179"/>
      <c r="N222" s="179"/>
      <c r="O222" s="179"/>
      <c r="P222" s="179"/>
      <c r="Q222" s="179"/>
      <c r="R222" s="179"/>
      <c r="S222" s="179"/>
      <c r="T222" s="179"/>
      <c r="U222" s="179"/>
      <c r="V222" s="179"/>
      <c r="W222" s="179"/>
      <c r="X222" s="179"/>
      <c r="Y222" s="179"/>
      <c r="Z222" s="179"/>
    </row>
    <row r="223">
      <c r="A223" s="179"/>
      <c r="B223" s="179"/>
      <c r="C223" s="179"/>
      <c r="D223" s="179"/>
      <c r="E223" s="179"/>
      <c r="F223" s="179"/>
      <c r="G223" s="179"/>
      <c r="H223" s="179"/>
      <c r="I223" s="179"/>
      <c r="J223" s="179"/>
      <c r="K223" s="179"/>
      <c r="L223" s="179"/>
      <c r="M223" s="179"/>
      <c r="N223" s="179"/>
      <c r="O223" s="179"/>
      <c r="P223" s="179"/>
      <c r="Q223" s="179"/>
      <c r="R223" s="179"/>
      <c r="S223" s="179"/>
      <c r="T223" s="179"/>
      <c r="U223" s="179"/>
      <c r="V223" s="179"/>
      <c r="W223" s="179"/>
      <c r="X223" s="179"/>
      <c r="Y223" s="179"/>
      <c r="Z223" s="179"/>
    </row>
    <row r="224">
      <c r="A224" s="179"/>
      <c r="B224" s="179"/>
      <c r="C224" s="179"/>
      <c r="D224" s="179"/>
      <c r="E224" s="179"/>
      <c r="F224" s="179"/>
      <c r="G224" s="179"/>
      <c r="H224" s="179"/>
      <c r="I224" s="179"/>
      <c r="J224" s="179"/>
      <c r="K224" s="179"/>
      <c r="L224" s="179"/>
      <c r="M224" s="179"/>
      <c r="N224" s="179"/>
      <c r="O224" s="179"/>
      <c r="P224" s="179"/>
      <c r="Q224" s="179"/>
      <c r="R224" s="179"/>
      <c r="S224" s="179"/>
      <c r="T224" s="179"/>
      <c r="U224" s="179"/>
      <c r="V224" s="179"/>
      <c r="W224" s="179"/>
      <c r="X224" s="179"/>
      <c r="Y224" s="179"/>
      <c r="Z224" s="179"/>
    </row>
    <row r="225">
      <c r="A225" s="179"/>
      <c r="B225" s="179"/>
      <c r="C225" s="179"/>
      <c r="D225" s="179"/>
      <c r="E225" s="179"/>
      <c r="F225" s="179"/>
      <c r="G225" s="179"/>
      <c r="H225" s="179"/>
      <c r="I225" s="179"/>
      <c r="J225" s="179"/>
      <c r="K225" s="179"/>
      <c r="L225" s="179"/>
      <c r="M225" s="179"/>
      <c r="N225" s="179"/>
      <c r="O225" s="179"/>
      <c r="P225" s="179"/>
      <c r="Q225" s="179"/>
      <c r="R225" s="179"/>
      <c r="S225" s="179"/>
      <c r="T225" s="179"/>
      <c r="U225" s="179"/>
      <c r="V225" s="179"/>
      <c r="W225" s="179"/>
      <c r="X225" s="179"/>
      <c r="Y225" s="179"/>
      <c r="Z225" s="179"/>
    </row>
    <row r="226">
      <c r="A226" s="179"/>
      <c r="B226" s="179"/>
      <c r="C226" s="179"/>
      <c r="D226" s="179"/>
      <c r="E226" s="179"/>
      <c r="F226" s="179"/>
      <c r="G226" s="179"/>
      <c r="H226" s="179"/>
      <c r="I226" s="179"/>
      <c r="J226" s="179"/>
      <c r="K226" s="179"/>
      <c r="L226" s="179"/>
      <c r="M226" s="179"/>
      <c r="N226" s="179"/>
      <c r="O226" s="179"/>
      <c r="P226" s="179"/>
      <c r="Q226" s="179"/>
      <c r="R226" s="179"/>
      <c r="S226" s="179"/>
      <c r="T226" s="179"/>
      <c r="U226" s="179"/>
      <c r="V226" s="179"/>
      <c r="W226" s="179"/>
      <c r="X226" s="179"/>
      <c r="Y226" s="179"/>
      <c r="Z226" s="179"/>
    </row>
    <row r="227">
      <c r="A227" s="179"/>
      <c r="B227" s="179"/>
      <c r="C227" s="179"/>
      <c r="D227" s="179"/>
      <c r="E227" s="179"/>
      <c r="F227" s="179"/>
      <c r="G227" s="179"/>
      <c r="H227" s="179"/>
      <c r="I227" s="179"/>
      <c r="J227" s="179"/>
      <c r="K227" s="179"/>
      <c r="L227" s="179"/>
      <c r="M227" s="179"/>
      <c r="N227" s="179"/>
      <c r="O227" s="179"/>
      <c r="P227" s="179"/>
      <c r="Q227" s="179"/>
      <c r="R227" s="179"/>
      <c r="S227" s="179"/>
      <c r="T227" s="179"/>
      <c r="U227" s="179"/>
      <c r="V227" s="179"/>
      <c r="W227" s="179"/>
      <c r="X227" s="179"/>
      <c r="Y227" s="179"/>
      <c r="Z227" s="179"/>
    </row>
    <row r="228">
      <c r="A228" s="179"/>
      <c r="B228" s="179"/>
      <c r="C228" s="179"/>
      <c r="D228" s="179"/>
      <c r="E228" s="179"/>
      <c r="F228" s="179"/>
      <c r="G228" s="179"/>
      <c r="H228" s="179"/>
      <c r="I228" s="179"/>
      <c r="J228" s="179"/>
      <c r="K228" s="179"/>
      <c r="L228" s="179"/>
      <c r="M228" s="179"/>
      <c r="N228" s="179"/>
      <c r="O228" s="179"/>
      <c r="P228" s="179"/>
      <c r="Q228" s="179"/>
      <c r="R228" s="179"/>
      <c r="S228" s="179"/>
      <c r="T228" s="179"/>
      <c r="U228" s="179"/>
      <c r="V228" s="179"/>
      <c r="W228" s="179"/>
      <c r="X228" s="179"/>
      <c r="Y228" s="179"/>
      <c r="Z228" s="179"/>
    </row>
    <row r="229">
      <c r="A229" s="179"/>
      <c r="B229" s="179"/>
      <c r="C229" s="179"/>
      <c r="D229" s="179"/>
      <c r="E229" s="179"/>
      <c r="F229" s="179"/>
      <c r="G229" s="179"/>
      <c r="H229" s="179"/>
      <c r="I229" s="179"/>
      <c r="J229" s="179"/>
      <c r="K229" s="179"/>
      <c r="L229" s="179"/>
      <c r="M229" s="179"/>
      <c r="N229" s="179"/>
      <c r="O229" s="179"/>
      <c r="P229" s="179"/>
      <c r="Q229" s="179"/>
      <c r="R229" s="179"/>
      <c r="S229" s="179"/>
      <c r="T229" s="179"/>
      <c r="U229" s="179"/>
      <c r="V229" s="179"/>
      <c r="W229" s="179"/>
      <c r="X229" s="179"/>
      <c r="Y229" s="179"/>
      <c r="Z229" s="179"/>
    </row>
    <row r="230">
      <c r="A230" s="179"/>
      <c r="B230" s="179"/>
      <c r="C230" s="179"/>
      <c r="D230" s="179"/>
      <c r="E230" s="179"/>
      <c r="F230" s="179"/>
      <c r="G230" s="179"/>
      <c r="H230" s="179"/>
      <c r="I230" s="179"/>
      <c r="J230" s="179"/>
      <c r="K230" s="179"/>
      <c r="L230" s="179"/>
      <c r="M230" s="179"/>
      <c r="N230" s="179"/>
      <c r="O230" s="179"/>
      <c r="P230" s="179"/>
      <c r="Q230" s="179"/>
      <c r="R230" s="179"/>
      <c r="S230" s="179"/>
      <c r="T230" s="179"/>
      <c r="U230" s="179"/>
      <c r="V230" s="179"/>
      <c r="W230" s="179"/>
      <c r="X230" s="179"/>
      <c r="Y230" s="179"/>
      <c r="Z230" s="179"/>
    </row>
    <row r="231">
      <c r="A231" s="179"/>
      <c r="B231" s="179"/>
      <c r="C231" s="179"/>
      <c r="D231" s="179"/>
      <c r="E231" s="179"/>
      <c r="F231" s="179"/>
      <c r="G231" s="179"/>
      <c r="H231" s="179"/>
      <c r="I231" s="179"/>
      <c r="J231" s="179"/>
      <c r="K231" s="179"/>
      <c r="L231" s="179"/>
      <c r="M231" s="179"/>
      <c r="N231" s="179"/>
      <c r="O231" s="179"/>
      <c r="P231" s="179"/>
      <c r="Q231" s="179"/>
      <c r="R231" s="179"/>
      <c r="S231" s="179"/>
      <c r="T231" s="179"/>
      <c r="U231" s="179"/>
      <c r="V231" s="179"/>
      <c r="W231" s="179"/>
      <c r="X231" s="179"/>
      <c r="Y231" s="179"/>
      <c r="Z231" s="179"/>
    </row>
    <row r="232">
      <c r="A232" s="179"/>
      <c r="B232" s="179"/>
      <c r="C232" s="179"/>
      <c r="D232" s="179"/>
      <c r="E232" s="179"/>
      <c r="F232" s="179"/>
      <c r="G232" s="179"/>
      <c r="H232" s="179"/>
      <c r="I232" s="179"/>
      <c r="J232" s="179"/>
      <c r="K232" s="179"/>
      <c r="L232" s="179"/>
      <c r="M232" s="179"/>
      <c r="N232" s="179"/>
      <c r="O232" s="179"/>
      <c r="P232" s="179"/>
      <c r="Q232" s="179"/>
      <c r="R232" s="179"/>
      <c r="S232" s="179"/>
      <c r="T232" s="179"/>
      <c r="U232" s="179"/>
      <c r="V232" s="179"/>
      <c r="W232" s="179"/>
      <c r="X232" s="179"/>
      <c r="Y232" s="179"/>
      <c r="Z232" s="179"/>
    </row>
    <row r="233">
      <c r="A233" s="179"/>
      <c r="B233" s="179"/>
      <c r="C233" s="179"/>
      <c r="D233" s="179"/>
      <c r="E233" s="179"/>
      <c r="F233" s="179"/>
      <c r="G233" s="179"/>
      <c r="H233" s="179"/>
      <c r="I233" s="179"/>
      <c r="J233" s="179"/>
      <c r="K233" s="179"/>
      <c r="L233" s="179"/>
      <c r="M233" s="179"/>
      <c r="N233" s="179"/>
      <c r="O233" s="179"/>
      <c r="P233" s="179"/>
      <c r="Q233" s="179"/>
      <c r="R233" s="179"/>
      <c r="S233" s="179"/>
      <c r="T233" s="179"/>
      <c r="U233" s="179"/>
      <c r="V233" s="179"/>
      <c r="W233" s="179"/>
      <c r="X233" s="179"/>
      <c r="Y233" s="179"/>
      <c r="Z233" s="179"/>
    </row>
    <row r="234">
      <c r="A234" s="179"/>
      <c r="B234" s="179"/>
      <c r="C234" s="179"/>
      <c r="D234" s="179"/>
      <c r="E234" s="179"/>
      <c r="F234" s="179"/>
      <c r="G234" s="179"/>
      <c r="H234" s="179"/>
      <c r="I234" s="179"/>
      <c r="J234" s="179"/>
      <c r="K234" s="179"/>
      <c r="L234" s="179"/>
      <c r="M234" s="179"/>
      <c r="N234" s="179"/>
      <c r="O234" s="179"/>
      <c r="P234" s="179"/>
      <c r="Q234" s="179"/>
      <c r="R234" s="179"/>
      <c r="S234" s="179"/>
      <c r="T234" s="179"/>
      <c r="U234" s="179"/>
      <c r="V234" s="179"/>
      <c r="W234" s="179"/>
      <c r="X234" s="179"/>
      <c r="Y234" s="179"/>
      <c r="Z234" s="179"/>
    </row>
    <row r="235">
      <c r="A235" s="179"/>
      <c r="B235" s="179"/>
      <c r="C235" s="179"/>
      <c r="D235" s="179"/>
      <c r="E235" s="179"/>
      <c r="F235" s="179"/>
      <c r="G235" s="179"/>
      <c r="H235" s="179"/>
      <c r="I235" s="179"/>
      <c r="J235" s="179"/>
      <c r="K235" s="179"/>
      <c r="L235" s="179"/>
      <c r="M235" s="179"/>
      <c r="N235" s="179"/>
      <c r="O235" s="179"/>
      <c r="P235" s="179"/>
      <c r="Q235" s="179"/>
      <c r="R235" s="179"/>
      <c r="S235" s="179"/>
      <c r="T235" s="179"/>
      <c r="U235" s="179"/>
      <c r="V235" s="179"/>
      <c r="W235" s="179"/>
      <c r="X235" s="179"/>
      <c r="Y235" s="179"/>
      <c r="Z235" s="179"/>
    </row>
    <row r="236">
      <c r="A236" s="179"/>
      <c r="B236" s="179"/>
      <c r="C236" s="179"/>
      <c r="D236" s="179"/>
      <c r="E236" s="179"/>
      <c r="F236" s="179"/>
      <c r="G236" s="179"/>
      <c r="H236" s="179"/>
      <c r="I236" s="179"/>
      <c r="J236" s="179"/>
      <c r="K236" s="179"/>
      <c r="L236" s="179"/>
      <c r="M236" s="179"/>
      <c r="N236" s="179"/>
      <c r="O236" s="179"/>
      <c r="P236" s="179"/>
      <c r="Q236" s="179"/>
      <c r="R236" s="179"/>
      <c r="S236" s="179"/>
      <c r="T236" s="179"/>
      <c r="U236" s="179"/>
      <c r="V236" s="179"/>
      <c r="W236" s="179"/>
      <c r="X236" s="179"/>
      <c r="Y236" s="179"/>
      <c r="Z236" s="179"/>
    </row>
    <row r="237">
      <c r="A237" s="179"/>
      <c r="B237" s="179"/>
      <c r="C237" s="179"/>
      <c r="D237" s="179"/>
      <c r="E237" s="179"/>
      <c r="F237" s="179"/>
      <c r="G237" s="179"/>
      <c r="H237" s="179"/>
      <c r="I237" s="179"/>
      <c r="J237" s="179"/>
      <c r="K237" s="179"/>
      <c r="L237" s="179"/>
      <c r="M237" s="179"/>
      <c r="N237" s="179"/>
      <c r="O237" s="179"/>
      <c r="P237" s="179"/>
      <c r="Q237" s="179"/>
      <c r="R237" s="179"/>
      <c r="S237" s="179"/>
      <c r="T237" s="179"/>
      <c r="U237" s="179"/>
      <c r="V237" s="179"/>
      <c r="W237" s="179"/>
      <c r="X237" s="179"/>
      <c r="Y237" s="179"/>
      <c r="Z237" s="179"/>
    </row>
    <row r="238">
      <c r="A238" s="179"/>
      <c r="B238" s="179"/>
      <c r="C238" s="179"/>
      <c r="D238" s="179"/>
      <c r="E238" s="179"/>
      <c r="F238" s="179"/>
      <c r="G238" s="179"/>
      <c r="H238" s="179"/>
      <c r="I238" s="179"/>
      <c r="J238" s="179"/>
      <c r="K238" s="179"/>
      <c r="L238" s="179"/>
      <c r="M238" s="179"/>
      <c r="N238" s="179"/>
      <c r="O238" s="179"/>
      <c r="P238" s="179"/>
      <c r="Q238" s="179"/>
      <c r="R238" s="179"/>
      <c r="S238" s="179"/>
      <c r="T238" s="179"/>
      <c r="U238" s="179"/>
      <c r="V238" s="179"/>
      <c r="W238" s="179"/>
      <c r="X238" s="179"/>
      <c r="Y238" s="179"/>
      <c r="Z238" s="179"/>
    </row>
    <row r="239">
      <c r="A239" s="179"/>
      <c r="B239" s="179"/>
      <c r="C239" s="179"/>
      <c r="D239" s="179"/>
      <c r="E239" s="179"/>
      <c r="F239" s="179"/>
      <c r="G239" s="179"/>
      <c r="H239" s="179"/>
      <c r="I239" s="179"/>
      <c r="J239" s="179"/>
      <c r="K239" s="179"/>
      <c r="L239" s="179"/>
      <c r="M239" s="179"/>
      <c r="N239" s="179"/>
      <c r="O239" s="179"/>
      <c r="P239" s="179"/>
      <c r="Q239" s="179"/>
      <c r="R239" s="179"/>
      <c r="S239" s="179"/>
      <c r="T239" s="179"/>
      <c r="U239" s="179"/>
      <c r="V239" s="179"/>
      <c r="W239" s="179"/>
      <c r="X239" s="179"/>
      <c r="Y239" s="179"/>
      <c r="Z239" s="179"/>
    </row>
    <row r="240">
      <c r="A240" s="179"/>
      <c r="B240" s="179"/>
      <c r="C240" s="179"/>
      <c r="D240" s="179"/>
      <c r="E240" s="179"/>
      <c r="F240" s="179"/>
      <c r="G240" s="179"/>
      <c r="H240" s="179"/>
      <c r="I240" s="179"/>
      <c r="J240" s="179"/>
      <c r="K240" s="179"/>
      <c r="L240" s="179"/>
      <c r="M240" s="179"/>
      <c r="N240" s="179"/>
      <c r="O240" s="179"/>
      <c r="P240" s="179"/>
      <c r="Q240" s="179"/>
      <c r="R240" s="179"/>
      <c r="S240" s="179"/>
      <c r="T240" s="179"/>
      <c r="U240" s="179"/>
      <c r="V240" s="179"/>
      <c r="W240" s="179"/>
      <c r="X240" s="179"/>
      <c r="Y240" s="179"/>
      <c r="Z240" s="179"/>
    </row>
    <row r="241">
      <c r="A241" s="179"/>
      <c r="B241" s="179"/>
      <c r="C241" s="179"/>
      <c r="D241" s="179"/>
      <c r="E241" s="179"/>
      <c r="F241" s="179"/>
      <c r="G241" s="179"/>
      <c r="H241" s="179"/>
      <c r="I241" s="179"/>
      <c r="J241" s="179"/>
      <c r="K241" s="179"/>
      <c r="L241" s="179"/>
      <c r="M241" s="179"/>
      <c r="N241" s="179"/>
      <c r="O241" s="179"/>
      <c r="P241" s="179"/>
      <c r="Q241" s="179"/>
      <c r="R241" s="179"/>
      <c r="S241" s="179"/>
      <c r="T241" s="179"/>
      <c r="U241" s="179"/>
      <c r="V241" s="179"/>
      <c r="W241" s="179"/>
      <c r="X241" s="179"/>
      <c r="Y241" s="179"/>
      <c r="Z241" s="179"/>
    </row>
    <row r="242">
      <c r="A242" s="179"/>
      <c r="B242" s="179"/>
      <c r="C242" s="179"/>
      <c r="D242" s="179"/>
      <c r="E242" s="179"/>
      <c r="F242" s="179"/>
      <c r="G242" s="179"/>
      <c r="H242" s="179"/>
      <c r="I242" s="179"/>
      <c r="J242" s="179"/>
      <c r="K242" s="179"/>
      <c r="L242" s="179"/>
      <c r="M242" s="179"/>
      <c r="N242" s="179"/>
      <c r="O242" s="179"/>
      <c r="P242" s="179"/>
      <c r="Q242" s="179"/>
      <c r="R242" s="179"/>
      <c r="S242" s="179"/>
      <c r="T242" s="179"/>
      <c r="U242" s="179"/>
      <c r="V242" s="179"/>
      <c r="W242" s="179"/>
      <c r="X242" s="179"/>
      <c r="Y242" s="179"/>
      <c r="Z242" s="179"/>
    </row>
    <row r="243">
      <c r="A243" s="179"/>
      <c r="B243" s="179"/>
      <c r="C243" s="179"/>
      <c r="D243" s="179"/>
      <c r="E243" s="179"/>
      <c r="F243" s="179"/>
      <c r="G243" s="179"/>
      <c r="H243" s="179"/>
      <c r="I243" s="179"/>
      <c r="J243" s="179"/>
      <c r="K243" s="179"/>
      <c r="L243" s="179"/>
      <c r="M243" s="179"/>
      <c r="N243" s="179"/>
      <c r="O243" s="179"/>
      <c r="P243" s="179"/>
      <c r="Q243" s="179"/>
      <c r="R243" s="179"/>
      <c r="S243" s="179"/>
      <c r="T243" s="179"/>
      <c r="U243" s="179"/>
      <c r="V243" s="179"/>
      <c r="W243" s="179"/>
      <c r="X243" s="179"/>
      <c r="Y243" s="179"/>
      <c r="Z243" s="179"/>
    </row>
    <row r="244">
      <c r="A244" s="179"/>
      <c r="B244" s="179"/>
      <c r="C244" s="179"/>
      <c r="D244" s="179"/>
      <c r="E244" s="179"/>
      <c r="F244" s="179"/>
      <c r="G244" s="179"/>
      <c r="H244" s="179"/>
      <c r="I244" s="179"/>
      <c r="J244" s="179"/>
      <c r="K244" s="179"/>
      <c r="L244" s="179"/>
      <c r="M244" s="179"/>
      <c r="N244" s="179"/>
      <c r="O244" s="179"/>
      <c r="P244" s="179"/>
      <c r="Q244" s="179"/>
      <c r="R244" s="179"/>
      <c r="S244" s="179"/>
      <c r="T244" s="179"/>
      <c r="U244" s="179"/>
      <c r="V244" s="179"/>
      <c r="W244" s="179"/>
      <c r="X244" s="179"/>
      <c r="Y244" s="179"/>
      <c r="Z244" s="179"/>
    </row>
    <row r="245">
      <c r="A245" s="179"/>
      <c r="B245" s="179"/>
      <c r="C245" s="179"/>
      <c r="D245" s="179"/>
      <c r="E245" s="179"/>
      <c r="F245" s="179"/>
      <c r="G245" s="179"/>
      <c r="H245" s="179"/>
      <c r="I245" s="179"/>
      <c r="J245" s="179"/>
      <c r="K245" s="179"/>
      <c r="L245" s="179"/>
      <c r="M245" s="179"/>
      <c r="N245" s="179"/>
      <c r="O245" s="179"/>
      <c r="P245" s="179"/>
      <c r="Q245" s="179"/>
      <c r="R245" s="179"/>
      <c r="S245" s="179"/>
      <c r="T245" s="179"/>
      <c r="U245" s="179"/>
      <c r="V245" s="179"/>
      <c r="W245" s="179"/>
      <c r="X245" s="179"/>
      <c r="Y245" s="179"/>
      <c r="Z245" s="179"/>
    </row>
    <row r="246">
      <c r="A246" s="179"/>
      <c r="B246" s="179"/>
      <c r="C246" s="179"/>
      <c r="D246" s="179"/>
      <c r="E246" s="179"/>
      <c r="F246" s="179"/>
      <c r="G246" s="179"/>
      <c r="H246" s="179"/>
      <c r="I246" s="179"/>
      <c r="J246" s="179"/>
      <c r="K246" s="179"/>
      <c r="L246" s="179"/>
      <c r="M246" s="179"/>
      <c r="N246" s="179"/>
      <c r="O246" s="179"/>
      <c r="P246" s="179"/>
      <c r="Q246" s="179"/>
      <c r="R246" s="179"/>
      <c r="S246" s="179"/>
      <c r="T246" s="179"/>
      <c r="U246" s="179"/>
      <c r="V246" s="179"/>
      <c r="W246" s="179"/>
      <c r="X246" s="179"/>
      <c r="Y246" s="179"/>
      <c r="Z246" s="179"/>
    </row>
    <row r="247">
      <c r="A247" s="179"/>
      <c r="B247" s="179"/>
      <c r="C247" s="179"/>
      <c r="D247" s="179"/>
      <c r="E247" s="179"/>
      <c r="F247" s="179"/>
      <c r="G247" s="179"/>
      <c r="H247" s="179"/>
      <c r="I247" s="179"/>
      <c r="J247" s="179"/>
      <c r="K247" s="179"/>
      <c r="L247" s="179"/>
      <c r="M247" s="179"/>
      <c r="N247" s="179"/>
      <c r="O247" s="179"/>
      <c r="P247" s="179"/>
      <c r="Q247" s="179"/>
      <c r="R247" s="179"/>
      <c r="S247" s="179"/>
      <c r="T247" s="179"/>
      <c r="U247" s="179"/>
      <c r="V247" s="179"/>
      <c r="W247" s="179"/>
      <c r="X247" s="179"/>
      <c r="Y247" s="179"/>
      <c r="Z247" s="179"/>
    </row>
    <row r="248">
      <c r="A248" s="179"/>
      <c r="B248" s="179"/>
      <c r="C248" s="179"/>
      <c r="D248" s="179"/>
      <c r="E248" s="179"/>
      <c r="F248" s="179"/>
      <c r="G248" s="179"/>
      <c r="H248" s="179"/>
      <c r="I248" s="179"/>
      <c r="J248" s="179"/>
      <c r="K248" s="179"/>
      <c r="L248" s="179"/>
      <c r="M248" s="179"/>
      <c r="N248" s="179"/>
      <c r="O248" s="179"/>
      <c r="P248" s="179"/>
      <c r="Q248" s="179"/>
      <c r="R248" s="179"/>
      <c r="S248" s="179"/>
      <c r="T248" s="179"/>
      <c r="U248" s="179"/>
      <c r="V248" s="179"/>
      <c r="W248" s="179"/>
      <c r="X248" s="179"/>
      <c r="Y248" s="179"/>
      <c r="Z248" s="179"/>
    </row>
    <row r="249">
      <c r="A249" s="179"/>
      <c r="B249" s="179"/>
      <c r="C249" s="179"/>
      <c r="D249" s="179"/>
      <c r="E249" s="179"/>
      <c r="F249" s="179"/>
      <c r="G249" s="179"/>
      <c r="H249" s="179"/>
      <c r="I249" s="179"/>
      <c r="J249" s="179"/>
      <c r="K249" s="179"/>
      <c r="L249" s="179"/>
      <c r="M249" s="179"/>
      <c r="N249" s="179"/>
      <c r="O249" s="179"/>
      <c r="P249" s="179"/>
      <c r="Q249" s="179"/>
      <c r="R249" s="179"/>
      <c r="S249" s="179"/>
      <c r="T249" s="179"/>
      <c r="U249" s="179"/>
      <c r="V249" s="179"/>
      <c r="W249" s="179"/>
      <c r="X249" s="179"/>
      <c r="Y249" s="179"/>
      <c r="Z249" s="179"/>
    </row>
    <row r="250">
      <c r="A250" s="179"/>
      <c r="B250" s="179"/>
      <c r="C250" s="179"/>
      <c r="D250" s="179"/>
      <c r="E250" s="179"/>
      <c r="F250" s="179"/>
      <c r="G250" s="179"/>
      <c r="H250" s="179"/>
      <c r="I250" s="179"/>
      <c r="J250" s="179"/>
      <c r="K250" s="179"/>
      <c r="L250" s="179"/>
      <c r="M250" s="179"/>
      <c r="N250" s="179"/>
      <c r="O250" s="179"/>
      <c r="P250" s="179"/>
      <c r="Q250" s="179"/>
      <c r="R250" s="179"/>
      <c r="S250" s="179"/>
      <c r="T250" s="179"/>
      <c r="U250" s="179"/>
      <c r="V250" s="179"/>
      <c r="W250" s="179"/>
      <c r="X250" s="179"/>
      <c r="Y250" s="179"/>
      <c r="Z250" s="179"/>
    </row>
    <row r="251">
      <c r="A251" s="179"/>
      <c r="B251" s="179"/>
      <c r="C251" s="179"/>
      <c r="D251" s="179"/>
      <c r="E251" s="179"/>
      <c r="F251" s="179"/>
      <c r="G251" s="179"/>
      <c r="H251" s="179"/>
      <c r="I251" s="179"/>
      <c r="J251" s="179"/>
      <c r="K251" s="179"/>
      <c r="L251" s="179"/>
      <c r="M251" s="179"/>
      <c r="N251" s="179"/>
      <c r="O251" s="179"/>
      <c r="P251" s="179"/>
      <c r="Q251" s="179"/>
      <c r="R251" s="179"/>
      <c r="S251" s="179"/>
      <c r="T251" s="179"/>
      <c r="U251" s="179"/>
      <c r="V251" s="179"/>
      <c r="W251" s="179"/>
      <c r="X251" s="179"/>
      <c r="Y251" s="179"/>
      <c r="Z251" s="179"/>
    </row>
    <row r="252">
      <c r="A252" s="179"/>
      <c r="B252" s="179"/>
      <c r="C252" s="179"/>
      <c r="D252" s="179"/>
      <c r="E252" s="179"/>
      <c r="F252" s="179"/>
      <c r="G252" s="179"/>
      <c r="H252" s="179"/>
      <c r="I252" s="179"/>
      <c r="J252" s="179"/>
      <c r="K252" s="179"/>
      <c r="L252" s="179"/>
      <c r="M252" s="179"/>
      <c r="N252" s="179"/>
      <c r="O252" s="179"/>
      <c r="P252" s="179"/>
      <c r="Q252" s="179"/>
      <c r="R252" s="179"/>
      <c r="S252" s="179"/>
      <c r="T252" s="179"/>
      <c r="U252" s="179"/>
      <c r="V252" s="179"/>
      <c r="W252" s="179"/>
      <c r="X252" s="179"/>
      <c r="Y252" s="179"/>
      <c r="Z252" s="179"/>
    </row>
    <row r="253">
      <c r="A253" s="179"/>
      <c r="B253" s="179"/>
      <c r="C253" s="179"/>
      <c r="D253" s="179"/>
      <c r="E253" s="179"/>
      <c r="F253" s="179"/>
      <c r="G253" s="179"/>
      <c r="H253" s="179"/>
      <c r="I253" s="179"/>
      <c r="J253" s="179"/>
      <c r="K253" s="179"/>
      <c r="L253" s="179"/>
      <c r="M253" s="179"/>
      <c r="N253" s="179"/>
      <c r="O253" s="179"/>
      <c r="P253" s="179"/>
      <c r="Q253" s="179"/>
      <c r="R253" s="179"/>
      <c r="S253" s="179"/>
      <c r="T253" s="179"/>
      <c r="U253" s="179"/>
      <c r="V253" s="179"/>
      <c r="W253" s="179"/>
      <c r="X253" s="179"/>
      <c r="Y253" s="179"/>
      <c r="Z253" s="179"/>
    </row>
    <row r="254">
      <c r="A254" s="179"/>
      <c r="B254" s="179"/>
      <c r="C254" s="179"/>
      <c r="D254" s="179"/>
      <c r="E254" s="179"/>
      <c r="F254" s="179"/>
      <c r="G254" s="179"/>
      <c r="H254" s="179"/>
      <c r="I254" s="179"/>
      <c r="J254" s="179"/>
      <c r="K254" s="179"/>
      <c r="L254" s="179"/>
      <c r="M254" s="179"/>
      <c r="N254" s="179"/>
      <c r="O254" s="179"/>
      <c r="P254" s="179"/>
      <c r="Q254" s="179"/>
      <c r="R254" s="179"/>
      <c r="S254" s="179"/>
      <c r="T254" s="179"/>
      <c r="U254" s="179"/>
      <c r="V254" s="179"/>
      <c r="W254" s="179"/>
      <c r="X254" s="179"/>
      <c r="Y254" s="179"/>
      <c r="Z254" s="179"/>
    </row>
    <row r="255">
      <c r="A255" s="179"/>
      <c r="B255" s="179"/>
      <c r="C255" s="179"/>
      <c r="D255" s="179"/>
      <c r="E255" s="179"/>
      <c r="F255" s="179"/>
      <c r="G255" s="179"/>
      <c r="H255" s="179"/>
      <c r="I255" s="179"/>
      <c r="J255" s="179"/>
      <c r="K255" s="179"/>
      <c r="L255" s="179"/>
      <c r="M255" s="179"/>
      <c r="N255" s="179"/>
      <c r="O255" s="179"/>
      <c r="P255" s="179"/>
      <c r="Q255" s="179"/>
      <c r="R255" s="179"/>
      <c r="S255" s="179"/>
      <c r="T255" s="179"/>
      <c r="U255" s="179"/>
      <c r="V255" s="179"/>
      <c r="W255" s="179"/>
      <c r="X255" s="179"/>
      <c r="Y255" s="179"/>
      <c r="Z255" s="179"/>
    </row>
    <row r="256">
      <c r="A256" s="179"/>
      <c r="B256" s="179"/>
      <c r="C256" s="179"/>
      <c r="D256" s="179"/>
      <c r="E256" s="179"/>
      <c r="F256" s="179"/>
      <c r="G256" s="179"/>
      <c r="H256" s="179"/>
      <c r="I256" s="179"/>
      <c r="J256" s="179"/>
      <c r="K256" s="179"/>
      <c r="L256" s="179"/>
      <c r="M256" s="179"/>
      <c r="N256" s="179"/>
      <c r="O256" s="179"/>
      <c r="P256" s="179"/>
      <c r="Q256" s="179"/>
      <c r="R256" s="179"/>
      <c r="S256" s="179"/>
      <c r="T256" s="179"/>
      <c r="U256" s="179"/>
      <c r="V256" s="179"/>
      <c r="W256" s="179"/>
      <c r="X256" s="179"/>
      <c r="Y256" s="179"/>
      <c r="Z256" s="179"/>
    </row>
    <row r="257">
      <c r="A257" s="179"/>
      <c r="B257" s="179"/>
      <c r="C257" s="179"/>
      <c r="D257" s="179"/>
      <c r="E257" s="179"/>
      <c r="F257" s="179"/>
      <c r="G257" s="179"/>
      <c r="H257" s="179"/>
      <c r="I257" s="179"/>
      <c r="J257" s="179"/>
      <c r="K257" s="179"/>
      <c r="L257" s="179"/>
      <c r="M257" s="179"/>
      <c r="N257" s="179"/>
      <c r="O257" s="179"/>
      <c r="P257" s="179"/>
      <c r="Q257" s="179"/>
      <c r="R257" s="179"/>
      <c r="S257" s="179"/>
      <c r="T257" s="179"/>
      <c r="U257" s="179"/>
      <c r="V257" s="179"/>
      <c r="W257" s="179"/>
      <c r="X257" s="179"/>
      <c r="Y257" s="179"/>
      <c r="Z257" s="179"/>
    </row>
    <row r="258">
      <c r="A258" s="179"/>
      <c r="B258" s="179"/>
      <c r="C258" s="179"/>
      <c r="D258" s="179"/>
      <c r="E258" s="179"/>
      <c r="F258" s="179"/>
      <c r="G258" s="179"/>
      <c r="H258" s="179"/>
      <c r="I258" s="179"/>
      <c r="J258" s="179"/>
      <c r="K258" s="179"/>
      <c r="L258" s="179"/>
      <c r="M258" s="179"/>
      <c r="N258" s="179"/>
      <c r="O258" s="179"/>
      <c r="P258" s="179"/>
      <c r="Q258" s="179"/>
      <c r="R258" s="179"/>
      <c r="S258" s="179"/>
      <c r="T258" s="179"/>
      <c r="U258" s="179"/>
      <c r="V258" s="179"/>
      <c r="W258" s="179"/>
      <c r="X258" s="179"/>
      <c r="Y258" s="179"/>
      <c r="Z258" s="179"/>
    </row>
    <row r="259">
      <c r="A259" s="179"/>
      <c r="B259" s="179"/>
      <c r="C259" s="179"/>
      <c r="D259" s="179"/>
      <c r="E259" s="179"/>
      <c r="F259" s="179"/>
      <c r="G259" s="179"/>
      <c r="H259" s="179"/>
      <c r="I259" s="179"/>
      <c r="J259" s="179"/>
      <c r="K259" s="179"/>
      <c r="L259" s="179"/>
      <c r="M259" s="179"/>
      <c r="N259" s="179"/>
      <c r="O259" s="179"/>
      <c r="P259" s="179"/>
      <c r="Q259" s="179"/>
      <c r="R259" s="179"/>
      <c r="S259" s="179"/>
      <c r="T259" s="179"/>
      <c r="U259" s="179"/>
      <c r="V259" s="179"/>
      <c r="W259" s="179"/>
      <c r="X259" s="179"/>
      <c r="Y259" s="179"/>
      <c r="Z259" s="179"/>
    </row>
    <row r="260">
      <c r="A260" s="179"/>
      <c r="B260" s="179"/>
      <c r="C260" s="179"/>
      <c r="D260" s="179"/>
      <c r="E260" s="179"/>
      <c r="F260" s="179"/>
      <c r="G260" s="179"/>
      <c r="H260" s="179"/>
      <c r="I260" s="179"/>
      <c r="J260" s="179"/>
      <c r="K260" s="179"/>
      <c r="L260" s="179"/>
      <c r="M260" s="179"/>
      <c r="N260" s="179"/>
      <c r="O260" s="179"/>
      <c r="P260" s="179"/>
      <c r="Q260" s="179"/>
      <c r="R260" s="179"/>
      <c r="S260" s="179"/>
      <c r="T260" s="179"/>
      <c r="U260" s="179"/>
      <c r="V260" s="179"/>
      <c r="W260" s="179"/>
      <c r="X260" s="179"/>
      <c r="Y260" s="179"/>
      <c r="Z260" s="179"/>
    </row>
    <row r="261">
      <c r="A261" s="179"/>
      <c r="B261" s="179"/>
      <c r="C261" s="179"/>
      <c r="D261" s="179"/>
      <c r="E261" s="179"/>
      <c r="F261" s="179"/>
      <c r="G261" s="179"/>
      <c r="H261" s="179"/>
      <c r="I261" s="179"/>
      <c r="J261" s="179"/>
      <c r="K261" s="179"/>
      <c r="L261" s="179"/>
      <c r="M261" s="179"/>
      <c r="N261" s="179"/>
      <c r="O261" s="179"/>
      <c r="P261" s="179"/>
      <c r="Q261" s="179"/>
      <c r="R261" s="179"/>
      <c r="S261" s="179"/>
      <c r="T261" s="179"/>
      <c r="U261" s="179"/>
      <c r="V261" s="179"/>
      <c r="W261" s="179"/>
      <c r="X261" s="179"/>
      <c r="Y261" s="179"/>
      <c r="Z261" s="179"/>
    </row>
    <row r="262">
      <c r="A262" s="179"/>
      <c r="B262" s="179"/>
      <c r="C262" s="179"/>
      <c r="D262" s="179"/>
      <c r="E262" s="179"/>
      <c r="F262" s="179"/>
      <c r="G262" s="179"/>
      <c r="H262" s="179"/>
      <c r="I262" s="179"/>
      <c r="J262" s="179"/>
      <c r="K262" s="179"/>
      <c r="L262" s="179"/>
      <c r="M262" s="179"/>
      <c r="N262" s="179"/>
      <c r="O262" s="179"/>
      <c r="P262" s="179"/>
      <c r="Q262" s="179"/>
      <c r="R262" s="179"/>
      <c r="S262" s="179"/>
      <c r="T262" s="179"/>
      <c r="U262" s="179"/>
      <c r="V262" s="179"/>
      <c r="W262" s="179"/>
      <c r="X262" s="179"/>
      <c r="Y262" s="179"/>
      <c r="Z262" s="179"/>
    </row>
    <row r="263">
      <c r="A263" s="179"/>
      <c r="B263" s="179"/>
      <c r="C263" s="179"/>
      <c r="D263" s="179"/>
      <c r="E263" s="179"/>
      <c r="F263" s="179"/>
      <c r="G263" s="179"/>
      <c r="H263" s="179"/>
      <c r="I263" s="179"/>
      <c r="J263" s="179"/>
      <c r="K263" s="179"/>
      <c r="L263" s="179"/>
      <c r="M263" s="179"/>
      <c r="N263" s="179"/>
      <c r="O263" s="179"/>
      <c r="P263" s="179"/>
      <c r="Q263" s="179"/>
      <c r="R263" s="179"/>
      <c r="S263" s="179"/>
      <c r="T263" s="179"/>
      <c r="U263" s="179"/>
      <c r="V263" s="179"/>
      <c r="W263" s="179"/>
      <c r="X263" s="179"/>
      <c r="Y263" s="179"/>
      <c r="Z263" s="179"/>
    </row>
    <row r="264">
      <c r="A264" s="179"/>
      <c r="B264" s="179"/>
      <c r="C264" s="179"/>
      <c r="D264" s="179"/>
      <c r="E264" s="179"/>
      <c r="F264" s="179"/>
      <c r="G264" s="179"/>
      <c r="H264" s="179"/>
      <c r="I264" s="179"/>
      <c r="J264" s="179"/>
      <c r="K264" s="179"/>
      <c r="L264" s="179"/>
      <c r="M264" s="179"/>
      <c r="N264" s="179"/>
      <c r="O264" s="179"/>
      <c r="P264" s="179"/>
      <c r="Q264" s="179"/>
      <c r="R264" s="179"/>
      <c r="S264" s="179"/>
      <c r="T264" s="179"/>
      <c r="U264" s="179"/>
      <c r="V264" s="179"/>
      <c r="W264" s="179"/>
      <c r="X264" s="179"/>
      <c r="Y264" s="179"/>
      <c r="Z264" s="179"/>
    </row>
    <row r="265">
      <c r="A265" s="179"/>
      <c r="B265" s="179"/>
      <c r="C265" s="179"/>
      <c r="D265" s="179"/>
      <c r="E265" s="179"/>
      <c r="F265" s="179"/>
      <c r="G265" s="179"/>
      <c r="H265" s="179"/>
      <c r="I265" s="179"/>
      <c r="J265" s="179"/>
      <c r="K265" s="179"/>
      <c r="L265" s="179"/>
      <c r="M265" s="179"/>
      <c r="N265" s="179"/>
      <c r="O265" s="179"/>
      <c r="P265" s="179"/>
      <c r="Q265" s="179"/>
      <c r="R265" s="179"/>
      <c r="S265" s="179"/>
      <c r="T265" s="179"/>
      <c r="U265" s="179"/>
      <c r="V265" s="179"/>
      <c r="W265" s="179"/>
      <c r="X265" s="179"/>
      <c r="Y265" s="179"/>
      <c r="Z265" s="179"/>
    </row>
    <row r="266">
      <c r="A266" s="179"/>
      <c r="B266" s="179"/>
      <c r="C266" s="179"/>
      <c r="D266" s="179"/>
      <c r="E266" s="179"/>
      <c r="F266" s="179"/>
      <c r="G266" s="179"/>
      <c r="H266" s="179"/>
      <c r="I266" s="179"/>
      <c r="J266" s="179"/>
      <c r="K266" s="179"/>
      <c r="L266" s="179"/>
      <c r="M266" s="179"/>
      <c r="N266" s="179"/>
      <c r="O266" s="179"/>
      <c r="P266" s="179"/>
      <c r="Q266" s="179"/>
      <c r="R266" s="179"/>
      <c r="S266" s="179"/>
      <c r="T266" s="179"/>
      <c r="U266" s="179"/>
      <c r="V266" s="179"/>
      <c r="W266" s="179"/>
      <c r="X266" s="179"/>
      <c r="Y266" s="179"/>
      <c r="Z266" s="179"/>
    </row>
    <row r="267">
      <c r="A267" s="179"/>
      <c r="B267" s="179"/>
      <c r="C267" s="179"/>
      <c r="D267" s="179"/>
      <c r="E267" s="179"/>
      <c r="F267" s="179"/>
      <c r="G267" s="179"/>
      <c r="H267" s="179"/>
      <c r="I267" s="179"/>
      <c r="J267" s="179"/>
      <c r="K267" s="179"/>
      <c r="L267" s="179"/>
      <c r="M267" s="179"/>
      <c r="N267" s="179"/>
      <c r="O267" s="179"/>
      <c r="P267" s="179"/>
      <c r="Q267" s="179"/>
      <c r="R267" s="179"/>
      <c r="S267" s="179"/>
      <c r="T267" s="179"/>
      <c r="U267" s="179"/>
      <c r="V267" s="179"/>
      <c r="W267" s="179"/>
      <c r="X267" s="179"/>
      <c r="Y267" s="179"/>
      <c r="Z267" s="179"/>
    </row>
    <row r="268">
      <c r="A268" s="179"/>
      <c r="B268" s="179"/>
      <c r="C268" s="179"/>
      <c r="D268" s="179"/>
      <c r="E268" s="179"/>
      <c r="F268" s="179"/>
      <c r="G268" s="179"/>
      <c r="H268" s="179"/>
      <c r="I268" s="179"/>
      <c r="J268" s="179"/>
      <c r="K268" s="179"/>
      <c r="L268" s="179"/>
      <c r="M268" s="179"/>
      <c r="N268" s="179"/>
      <c r="O268" s="179"/>
      <c r="P268" s="179"/>
      <c r="Q268" s="179"/>
      <c r="R268" s="179"/>
      <c r="S268" s="179"/>
      <c r="T268" s="179"/>
      <c r="U268" s="179"/>
      <c r="V268" s="179"/>
      <c r="W268" s="179"/>
      <c r="X268" s="179"/>
      <c r="Y268" s="179"/>
      <c r="Z268" s="179"/>
    </row>
    <row r="269">
      <c r="A269" s="179"/>
      <c r="B269" s="179"/>
      <c r="C269" s="179"/>
      <c r="D269" s="179"/>
      <c r="E269" s="179"/>
      <c r="F269" s="179"/>
      <c r="G269" s="179"/>
      <c r="H269" s="179"/>
      <c r="I269" s="179"/>
      <c r="J269" s="179"/>
      <c r="K269" s="179"/>
      <c r="L269" s="179"/>
      <c r="M269" s="179"/>
      <c r="N269" s="179"/>
      <c r="O269" s="179"/>
      <c r="P269" s="179"/>
      <c r="Q269" s="179"/>
      <c r="R269" s="179"/>
      <c r="S269" s="179"/>
      <c r="T269" s="179"/>
      <c r="U269" s="179"/>
      <c r="V269" s="179"/>
      <c r="W269" s="179"/>
      <c r="X269" s="179"/>
      <c r="Y269" s="179"/>
      <c r="Z269" s="179"/>
    </row>
    <row r="270">
      <c r="A270" s="179"/>
      <c r="B270" s="179"/>
      <c r="C270" s="179"/>
      <c r="D270" s="179"/>
      <c r="E270" s="179"/>
      <c r="F270" s="179"/>
      <c r="G270" s="179"/>
      <c r="H270" s="179"/>
      <c r="I270" s="179"/>
      <c r="J270" s="179"/>
      <c r="K270" s="179"/>
      <c r="L270" s="179"/>
      <c r="M270" s="179"/>
      <c r="N270" s="179"/>
      <c r="O270" s="179"/>
      <c r="P270" s="179"/>
      <c r="Q270" s="179"/>
      <c r="R270" s="179"/>
      <c r="S270" s="179"/>
      <c r="T270" s="179"/>
      <c r="U270" s="179"/>
      <c r="V270" s="179"/>
      <c r="W270" s="179"/>
      <c r="X270" s="179"/>
      <c r="Y270" s="179"/>
      <c r="Z270" s="179"/>
    </row>
    <row r="271">
      <c r="A271" s="179"/>
      <c r="B271" s="179"/>
      <c r="C271" s="179"/>
      <c r="D271" s="179"/>
      <c r="E271" s="179"/>
      <c r="F271" s="179"/>
      <c r="G271" s="179"/>
      <c r="H271" s="179"/>
      <c r="I271" s="179"/>
      <c r="J271" s="179"/>
      <c r="K271" s="179"/>
      <c r="L271" s="179"/>
      <c r="M271" s="179"/>
      <c r="N271" s="179"/>
      <c r="O271" s="179"/>
      <c r="P271" s="179"/>
      <c r="Q271" s="179"/>
      <c r="R271" s="179"/>
      <c r="S271" s="179"/>
      <c r="T271" s="179"/>
      <c r="U271" s="179"/>
      <c r="V271" s="179"/>
      <c r="W271" s="179"/>
      <c r="X271" s="179"/>
      <c r="Y271" s="179"/>
      <c r="Z271" s="179"/>
    </row>
    <row r="272">
      <c r="A272" s="179"/>
      <c r="B272" s="179"/>
      <c r="C272" s="179"/>
      <c r="D272" s="179"/>
      <c r="E272" s="179"/>
      <c r="F272" s="179"/>
      <c r="G272" s="179"/>
      <c r="H272" s="179"/>
      <c r="I272" s="179"/>
      <c r="J272" s="179"/>
      <c r="K272" s="179"/>
      <c r="L272" s="179"/>
      <c r="M272" s="179"/>
      <c r="N272" s="179"/>
      <c r="O272" s="179"/>
      <c r="P272" s="179"/>
      <c r="Q272" s="179"/>
      <c r="R272" s="179"/>
      <c r="S272" s="179"/>
      <c r="T272" s="179"/>
      <c r="U272" s="179"/>
      <c r="V272" s="179"/>
      <c r="W272" s="179"/>
      <c r="X272" s="179"/>
      <c r="Y272" s="179"/>
      <c r="Z272" s="179"/>
    </row>
    <row r="273">
      <c r="A273" s="179"/>
      <c r="B273" s="179"/>
      <c r="C273" s="179"/>
      <c r="D273" s="179"/>
      <c r="E273" s="179"/>
      <c r="F273" s="179"/>
      <c r="G273" s="179"/>
      <c r="H273" s="179"/>
      <c r="I273" s="179"/>
      <c r="J273" s="179"/>
      <c r="K273" s="179"/>
      <c r="L273" s="179"/>
      <c r="M273" s="179"/>
      <c r="N273" s="179"/>
      <c r="O273" s="179"/>
      <c r="P273" s="179"/>
      <c r="Q273" s="179"/>
      <c r="R273" s="179"/>
      <c r="S273" s="179"/>
      <c r="T273" s="179"/>
      <c r="U273" s="179"/>
      <c r="V273" s="179"/>
      <c r="W273" s="179"/>
      <c r="X273" s="179"/>
      <c r="Y273" s="179"/>
      <c r="Z273" s="179"/>
    </row>
    <row r="274">
      <c r="A274" s="179"/>
      <c r="B274" s="179"/>
      <c r="C274" s="179"/>
      <c r="D274" s="179"/>
      <c r="E274" s="179"/>
      <c r="F274" s="179"/>
      <c r="G274" s="179"/>
      <c r="H274" s="179"/>
      <c r="I274" s="179"/>
      <c r="J274" s="179"/>
      <c r="K274" s="179"/>
      <c r="L274" s="179"/>
      <c r="M274" s="179"/>
      <c r="N274" s="179"/>
      <c r="O274" s="179"/>
      <c r="P274" s="179"/>
      <c r="Q274" s="179"/>
      <c r="R274" s="179"/>
      <c r="S274" s="179"/>
      <c r="T274" s="179"/>
      <c r="U274" s="179"/>
      <c r="V274" s="179"/>
      <c r="W274" s="179"/>
      <c r="X274" s="179"/>
      <c r="Y274" s="179"/>
      <c r="Z274" s="179"/>
    </row>
    <row r="275">
      <c r="A275" s="179"/>
      <c r="B275" s="179"/>
      <c r="C275" s="179"/>
      <c r="D275" s="179"/>
      <c r="E275" s="179"/>
      <c r="F275" s="179"/>
      <c r="G275" s="179"/>
      <c r="H275" s="179"/>
      <c r="I275" s="179"/>
      <c r="J275" s="179"/>
      <c r="K275" s="179"/>
      <c r="L275" s="179"/>
      <c r="M275" s="179"/>
      <c r="N275" s="179"/>
      <c r="O275" s="179"/>
      <c r="P275" s="179"/>
      <c r="Q275" s="179"/>
      <c r="R275" s="179"/>
      <c r="S275" s="179"/>
      <c r="T275" s="179"/>
      <c r="U275" s="179"/>
      <c r="V275" s="179"/>
      <c r="W275" s="179"/>
      <c r="X275" s="179"/>
      <c r="Y275" s="179"/>
      <c r="Z275" s="179"/>
    </row>
    <row r="276">
      <c r="A276" s="179"/>
      <c r="B276" s="179"/>
      <c r="C276" s="179"/>
      <c r="D276" s="179"/>
      <c r="E276" s="179"/>
      <c r="F276" s="179"/>
      <c r="G276" s="179"/>
      <c r="H276" s="179"/>
      <c r="I276" s="179"/>
      <c r="J276" s="179"/>
      <c r="K276" s="179"/>
      <c r="L276" s="179"/>
      <c r="M276" s="179"/>
      <c r="N276" s="179"/>
      <c r="O276" s="179"/>
      <c r="P276" s="179"/>
      <c r="Q276" s="179"/>
      <c r="R276" s="179"/>
      <c r="S276" s="179"/>
      <c r="T276" s="179"/>
      <c r="U276" s="179"/>
      <c r="V276" s="179"/>
      <c r="W276" s="179"/>
      <c r="X276" s="179"/>
      <c r="Y276" s="179"/>
      <c r="Z276" s="179"/>
    </row>
    <row r="277">
      <c r="A277" s="179"/>
      <c r="B277" s="179"/>
      <c r="C277" s="179"/>
      <c r="D277" s="179"/>
      <c r="E277" s="179"/>
      <c r="F277" s="179"/>
      <c r="G277" s="179"/>
      <c r="H277" s="179"/>
      <c r="I277" s="179"/>
      <c r="J277" s="179"/>
      <c r="K277" s="179"/>
      <c r="L277" s="179"/>
      <c r="M277" s="179"/>
      <c r="N277" s="179"/>
      <c r="O277" s="179"/>
      <c r="P277" s="179"/>
      <c r="Q277" s="179"/>
      <c r="R277" s="179"/>
      <c r="S277" s="179"/>
      <c r="T277" s="179"/>
      <c r="U277" s="179"/>
      <c r="V277" s="179"/>
      <c r="W277" s="179"/>
      <c r="X277" s="179"/>
      <c r="Y277" s="179"/>
      <c r="Z277" s="179"/>
    </row>
    <row r="278">
      <c r="A278" s="179"/>
      <c r="B278" s="179"/>
      <c r="C278" s="179"/>
      <c r="D278" s="179"/>
      <c r="E278" s="179"/>
      <c r="F278" s="179"/>
      <c r="G278" s="179"/>
      <c r="H278" s="179"/>
      <c r="I278" s="179"/>
      <c r="J278" s="179"/>
      <c r="K278" s="179"/>
      <c r="L278" s="179"/>
      <c r="M278" s="179"/>
      <c r="N278" s="179"/>
      <c r="O278" s="179"/>
      <c r="P278" s="179"/>
      <c r="Q278" s="179"/>
      <c r="R278" s="179"/>
      <c r="S278" s="179"/>
      <c r="T278" s="179"/>
      <c r="U278" s="179"/>
      <c r="V278" s="179"/>
      <c r="W278" s="179"/>
      <c r="X278" s="179"/>
      <c r="Y278" s="179"/>
      <c r="Z278" s="179"/>
    </row>
    <row r="279">
      <c r="A279" s="179"/>
      <c r="B279" s="179"/>
      <c r="C279" s="179"/>
      <c r="D279" s="179"/>
      <c r="E279" s="179"/>
      <c r="F279" s="179"/>
      <c r="G279" s="179"/>
      <c r="H279" s="179"/>
      <c r="I279" s="179"/>
      <c r="J279" s="179"/>
      <c r="K279" s="179"/>
      <c r="L279" s="179"/>
      <c r="M279" s="179"/>
      <c r="N279" s="179"/>
      <c r="O279" s="179"/>
      <c r="P279" s="179"/>
      <c r="Q279" s="179"/>
      <c r="R279" s="179"/>
      <c r="S279" s="179"/>
      <c r="T279" s="179"/>
      <c r="U279" s="179"/>
      <c r="V279" s="179"/>
      <c r="W279" s="179"/>
      <c r="X279" s="179"/>
      <c r="Y279" s="179"/>
      <c r="Z279" s="179"/>
    </row>
    <row r="280">
      <c r="A280" s="179"/>
      <c r="B280" s="179"/>
      <c r="C280" s="179"/>
      <c r="D280" s="179"/>
      <c r="E280" s="179"/>
      <c r="F280" s="179"/>
      <c r="G280" s="179"/>
      <c r="H280" s="179"/>
      <c r="I280" s="179"/>
      <c r="J280" s="179"/>
      <c r="K280" s="179"/>
      <c r="L280" s="179"/>
      <c r="M280" s="179"/>
      <c r="N280" s="179"/>
      <c r="O280" s="179"/>
      <c r="P280" s="179"/>
      <c r="Q280" s="179"/>
      <c r="R280" s="179"/>
      <c r="S280" s="179"/>
      <c r="T280" s="179"/>
      <c r="U280" s="179"/>
      <c r="V280" s="179"/>
      <c r="W280" s="179"/>
      <c r="X280" s="179"/>
      <c r="Y280" s="179"/>
      <c r="Z280" s="179"/>
    </row>
    <row r="281">
      <c r="A281" s="179"/>
      <c r="B281" s="179"/>
      <c r="C281" s="179"/>
      <c r="D281" s="179"/>
      <c r="E281" s="179"/>
      <c r="F281" s="179"/>
      <c r="G281" s="179"/>
      <c r="H281" s="179"/>
      <c r="I281" s="179"/>
      <c r="J281" s="179"/>
      <c r="K281" s="179"/>
      <c r="L281" s="179"/>
      <c r="M281" s="179"/>
      <c r="N281" s="179"/>
      <c r="O281" s="179"/>
      <c r="P281" s="179"/>
      <c r="Q281" s="179"/>
      <c r="R281" s="179"/>
      <c r="S281" s="179"/>
      <c r="T281" s="179"/>
      <c r="U281" s="179"/>
      <c r="V281" s="179"/>
      <c r="W281" s="179"/>
      <c r="X281" s="179"/>
      <c r="Y281" s="179"/>
      <c r="Z281" s="179"/>
    </row>
    <row r="282">
      <c r="A282" s="179"/>
      <c r="B282" s="179"/>
      <c r="C282" s="179"/>
      <c r="D282" s="179"/>
      <c r="E282" s="179"/>
      <c r="F282" s="179"/>
      <c r="G282" s="179"/>
      <c r="H282" s="179"/>
      <c r="I282" s="179"/>
      <c r="J282" s="179"/>
      <c r="K282" s="179"/>
      <c r="L282" s="179"/>
      <c r="M282" s="179"/>
      <c r="N282" s="179"/>
      <c r="O282" s="179"/>
      <c r="P282" s="179"/>
      <c r="Q282" s="179"/>
      <c r="R282" s="179"/>
      <c r="S282" s="179"/>
      <c r="T282" s="179"/>
      <c r="U282" s="179"/>
      <c r="V282" s="179"/>
      <c r="W282" s="179"/>
      <c r="X282" s="179"/>
      <c r="Y282" s="179"/>
      <c r="Z282" s="179"/>
    </row>
    <row r="283">
      <c r="A283" s="179"/>
      <c r="B283" s="179"/>
      <c r="C283" s="179"/>
      <c r="D283" s="179"/>
      <c r="E283" s="179"/>
      <c r="F283" s="179"/>
      <c r="G283" s="179"/>
      <c r="H283" s="179"/>
      <c r="I283" s="179"/>
      <c r="J283" s="179"/>
      <c r="K283" s="179"/>
      <c r="L283" s="179"/>
      <c r="M283" s="179"/>
      <c r="N283" s="179"/>
      <c r="O283" s="179"/>
      <c r="P283" s="179"/>
      <c r="Q283" s="179"/>
      <c r="R283" s="179"/>
      <c r="S283" s="179"/>
      <c r="T283" s="179"/>
      <c r="U283" s="179"/>
      <c r="V283" s="179"/>
      <c r="W283" s="179"/>
      <c r="X283" s="179"/>
      <c r="Y283" s="179"/>
      <c r="Z283" s="179"/>
    </row>
    <row r="284">
      <c r="A284" s="179"/>
      <c r="B284" s="179"/>
      <c r="C284" s="179"/>
      <c r="D284" s="179"/>
      <c r="E284" s="179"/>
      <c r="F284" s="179"/>
      <c r="G284" s="179"/>
      <c r="H284" s="179"/>
      <c r="I284" s="179"/>
      <c r="J284" s="179"/>
      <c r="K284" s="179"/>
      <c r="L284" s="179"/>
      <c r="M284" s="179"/>
      <c r="N284" s="179"/>
      <c r="O284" s="179"/>
      <c r="P284" s="179"/>
      <c r="Q284" s="179"/>
      <c r="R284" s="179"/>
      <c r="S284" s="179"/>
      <c r="T284" s="179"/>
      <c r="U284" s="179"/>
      <c r="V284" s="179"/>
      <c r="W284" s="179"/>
      <c r="X284" s="179"/>
      <c r="Y284" s="179"/>
      <c r="Z284" s="179"/>
    </row>
    <row r="285">
      <c r="A285" s="179"/>
      <c r="B285" s="179"/>
      <c r="C285" s="179"/>
      <c r="D285" s="179"/>
      <c r="E285" s="179"/>
      <c r="F285" s="179"/>
      <c r="G285" s="179"/>
      <c r="H285" s="179"/>
      <c r="I285" s="179"/>
      <c r="J285" s="179"/>
      <c r="K285" s="179"/>
      <c r="L285" s="179"/>
      <c r="M285" s="179"/>
      <c r="N285" s="179"/>
      <c r="O285" s="179"/>
      <c r="P285" s="179"/>
      <c r="Q285" s="179"/>
      <c r="R285" s="179"/>
      <c r="S285" s="179"/>
      <c r="T285" s="179"/>
      <c r="U285" s="179"/>
      <c r="V285" s="179"/>
      <c r="W285" s="179"/>
      <c r="X285" s="179"/>
      <c r="Y285" s="179"/>
      <c r="Z285" s="179"/>
    </row>
    <row r="286">
      <c r="A286" s="179"/>
      <c r="B286" s="179"/>
      <c r="C286" s="179"/>
      <c r="D286" s="179"/>
      <c r="E286" s="179"/>
      <c r="F286" s="179"/>
      <c r="G286" s="179"/>
      <c r="H286" s="179"/>
      <c r="I286" s="179"/>
      <c r="J286" s="179"/>
      <c r="K286" s="179"/>
      <c r="L286" s="179"/>
      <c r="M286" s="179"/>
      <c r="N286" s="179"/>
      <c r="O286" s="179"/>
      <c r="P286" s="179"/>
      <c r="Q286" s="179"/>
      <c r="R286" s="179"/>
      <c r="S286" s="179"/>
      <c r="T286" s="179"/>
      <c r="U286" s="179"/>
      <c r="V286" s="179"/>
      <c r="W286" s="179"/>
      <c r="X286" s="179"/>
      <c r="Y286" s="179"/>
      <c r="Z286" s="179"/>
    </row>
    <row r="287">
      <c r="A287" s="179"/>
      <c r="B287" s="179"/>
      <c r="C287" s="179"/>
      <c r="D287" s="179"/>
      <c r="E287" s="179"/>
      <c r="F287" s="179"/>
      <c r="G287" s="179"/>
      <c r="H287" s="179"/>
      <c r="I287" s="179"/>
      <c r="J287" s="179"/>
      <c r="K287" s="179"/>
      <c r="L287" s="179"/>
      <c r="M287" s="179"/>
      <c r="N287" s="179"/>
      <c r="O287" s="179"/>
      <c r="P287" s="179"/>
      <c r="Q287" s="179"/>
      <c r="R287" s="179"/>
      <c r="S287" s="179"/>
      <c r="T287" s="179"/>
      <c r="U287" s="179"/>
      <c r="V287" s="179"/>
      <c r="W287" s="179"/>
      <c r="X287" s="179"/>
      <c r="Y287" s="179"/>
      <c r="Z287" s="179"/>
    </row>
    <row r="288">
      <c r="A288" s="179"/>
      <c r="B288" s="179"/>
      <c r="C288" s="179"/>
      <c r="D288" s="179"/>
      <c r="E288" s="179"/>
      <c r="F288" s="179"/>
      <c r="G288" s="179"/>
      <c r="H288" s="179"/>
      <c r="I288" s="179"/>
      <c r="J288" s="179"/>
      <c r="K288" s="179"/>
      <c r="L288" s="179"/>
      <c r="M288" s="179"/>
      <c r="N288" s="179"/>
      <c r="O288" s="179"/>
      <c r="P288" s="179"/>
      <c r="Q288" s="179"/>
      <c r="R288" s="179"/>
      <c r="S288" s="179"/>
      <c r="T288" s="179"/>
      <c r="U288" s="179"/>
      <c r="V288" s="179"/>
      <c r="W288" s="179"/>
      <c r="X288" s="179"/>
      <c r="Y288" s="179"/>
      <c r="Z288" s="179"/>
    </row>
    <row r="289">
      <c r="A289" s="179"/>
      <c r="B289" s="179"/>
      <c r="C289" s="179"/>
      <c r="D289" s="179"/>
      <c r="E289" s="179"/>
      <c r="F289" s="179"/>
      <c r="G289" s="179"/>
      <c r="H289" s="179"/>
      <c r="I289" s="179"/>
      <c r="J289" s="179"/>
      <c r="K289" s="179"/>
      <c r="L289" s="179"/>
      <c r="M289" s="179"/>
      <c r="N289" s="179"/>
      <c r="O289" s="179"/>
      <c r="P289" s="179"/>
      <c r="Q289" s="179"/>
      <c r="R289" s="179"/>
      <c r="S289" s="179"/>
      <c r="T289" s="179"/>
      <c r="U289" s="179"/>
      <c r="V289" s="179"/>
      <c r="W289" s="179"/>
      <c r="X289" s="179"/>
      <c r="Y289" s="179"/>
      <c r="Z289" s="179"/>
    </row>
    <row r="290">
      <c r="A290" s="179"/>
      <c r="B290" s="179"/>
      <c r="C290" s="179"/>
      <c r="D290" s="179"/>
      <c r="E290" s="179"/>
      <c r="F290" s="179"/>
      <c r="G290" s="179"/>
      <c r="H290" s="179"/>
      <c r="I290" s="179"/>
      <c r="J290" s="179"/>
      <c r="K290" s="179"/>
      <c r="L290" s="179"/>
      <c r="M290" s="179"/>
      <c r="N290" s="179"/>
      <c r="O290" s="179"/>
      <c r="P290" s="179"/>
      <c r="Q290" s="179"/>
      <c r="R290" s="179"/>
      <c r="S290" s="179"/>
      <c r="T290" s="179"/>
      <c r="U290" s="179"/>
      <c r="V290" s="179"/>
      <c r="W290" s="179"/>
      <c r="X290" s="179"/>
      <c r="Y290" s="179"/>
      <c r="Z290" s="179"/>
    </row>
    <row r="291">
      <c r="A291" s="179"/>
      <c r="B291" s="179"/>
      <c r="C291" s="179"/>
      <c r="D291" s="179"/>
      <c r="E291" s="179"/>
      <c r="F291" s="179"/>
      <c r="G291" s="179"/>
      <c r="H291" s="179"/>
      <c r="I291" s="179"/>
      <c r="J291" s="179"/>
      <c r="K291" s="179"/>
      <c r="L291" s="179"/>
      <c r="M291" s="179"/>
      <c r="N291" s="179"/>
      <c r="O291" s="179"/>
      <c r="P291" s="179"/>
      <c r="Q291" s="179"/>
      <c r="R291" s="179"/>
      <c r="S291" s="179"/>
      <c r="T291" s="179"/>
      <c r="U291" s="179"/>
      <c r="V291" s="179"/>
      <c r="W291" s="179"/>
      <c r="X291" s="179"/>
      <c r="Y291" s="179"/>
      <c r="Z291" s="179"/>
    </row>
    <row r="292">
      <c r="A292" s="179"/>
      <c r="B292" s="179"/>
      <c r="C292" s="179"/>
      <c r="D292" s="179"/>
      <c r="E292" s="179"/>
      <c r="F292" s="179"/>
      <c r="G292" s="179"/>
      <c r="H292" s="179"/>
      <c r="I292" s="179"/>
      <c r="J292" s="179"/>
      <c r="K292" s="179"/>
      <c r="L292" s="179"/>
      <c r="M292" s="179"/>
      <c r="N292" s="179"/>
      <c r="O292" s="179"/>
      <c r="P292" s="179"/>
      <c r="Q292" s="179"/>
      <c r="R292" s="179"/>
      <c r="S292" s="179"/>
      <c r="T292" s="179"/>
      <c r="U292" s="179"/>
      <c r="V292" s="179"/>
      <c r="W292" s="179"/>
      <c r="X292" s="179"/>
      <c r="Y292" s="179"/>
      <c r="Z292" s="179"/>
    </row>
    <row r="293">
      <c r="A293" s="179"/>
      <c r="B293" s="179"/>
      <c r="C293" s="179"/>
      <c r="D293" s="179"/>
      <c r="E293" s="179"/>
      <c r="F293" s="179"/>
      <c r="G293" s="179"/>
      <c r="H293" s="179"/>
      <c r="I293" s="179"/>
      <c r="J293" s="179"/>
      <c r="K293" s="179"/>
      <c r="L293" s="179"/>
      <c r="M293" s="179"/>
      <c r="N293" s="179"/>
      <c r="O293" s="179"/>
      <c r="P293" s="179"/>
      <c r="Q293" s="179"/>
      <c r="R293" s="179"/>
      <c r="S293" s="179"/>
      <c r="T293" s="179"/>
      <c r="U293" s="179"/>
      <c r="V293" s="179"/>
      <c r="W293" s="179"/>
      <c r="X293" s="179"/>
      <c r="Y293" s="179"/>
      <c r="Z293" s="179"/>
    </row>
    <row r="294">
      <c r="A294" s="179"/>
      <c r="B294" s="179"/>
      <c r="C294" s="179"/>
      <c r="D294" s="179"/>
      <c r="E294" s="179"/>
      <c r="F294" s="179"/>
      <c r="G294" s="179"/>
      <c r="H294" s="179"/>
      <c r="I294" s="179"/>
      <c r="J294" s="179"/>
      <c r="K294" s="179"/>
      <c r="L294" s="179"/>
      <c r="M294" s="179"/>
      <c r="N294" s="179"/>
      <c r="O294" s="179"/>
      <c r="P294" s="179"/>
      <c r="Q294" s="179"/>
      <c r="R294" s="179"/>
      <c r="S294" s="179"/>
      <c r="T294" s="179"/>
      <c r="U294" s="179"/>
      <c r="V294" s="179"/>
      <c r="W294" s="179"/>
      <c r="X294" s="179"/>
      <c r="Y294" s="179"/>
      <c r="Z294" s="179"/>
    </row>
    <row r="295">
      <c r="A295" s="179"/>
      <c r="B295" s="179"/>
      <c r="C295" s="179"/>
      <c r="D295" s="179"/>
      <c r="E295" s="179"/>
      <c r="F295" s="179"/>
      <c r="G295" s="179"/>
      <c r="H295" s="179"/>
      <c r="I295" s="179"/>
      <c r="J295" s="179"/>
      <c r="K295" s="179"/>
      <c r="L295" s="179"/>
      <c r="M295" s="179"/>
      <c r="N295" s="179"/>
      <c r="O295" s="179"/>
      <c r="P295" s="179"/>
      <c r="Q295" s="179"/>
      <c r="R295" s="179"/>
      <c r="S295" s="179"/>
      <c r="T295" s="179"/>
      <c r="U295" s="179"/>
      <c r="V295" s="179"/>
      <c r="W295" s="179"/>
      <c r="X295" s="179"/>
      <c r="Y295" s="179"/>
      <c r="Z295" s="179"/>
    </row>
    <row r="296">
      <c r="A296" s="179"/>
      <c r="B296" s="179"/>
      <c r="C296" s="179"/>
      <c r="D296" s="179"/>
      <c r="E296" s="179"/>
      <c r="F296" s="179"/>
      <c r="G296" s="179"/>
      <c r="H296" s="179"/>
      <c r="I296" s="179"/>
      <c r="J296" s="179"/>
      <c r="K296" s="179"/>
      <c r="L296" s="179"/>
      <c r="M296" s="179"/>
      <c r="N296" s="179"/>
      <c r="O296" s="179"/>
      <c r="P296" s="179"/>
      <c r="Q296" s="179"/>
      <c r="R296" s="179"/>
      <c r="S296" s="179"/>
      <c r="T296" s="179"/>
      <c r="U296" s="179"/>
      <c r="V296" s="179"/>
      <c r="W296" s="179"/>
      <c r="X296" s="179"/>
      <c r="Y296" s="179"/>
      <c r="Z296" s="179"/>
    </row>
    <row r="297">
      <c r="A297" s="179"/>
      <c r="B297" s="179"/>
      <c r="C297" s="179"/>
      <c r="D297" s="179"/>
      <c r="E297" s="179"/>
      <c r="F297" s="179"/>
      <c r="G297" s="179"/>
      <c r="H297" s="179"/>
      <c r="I297" s="179"/>
      <c r="J297" s="179"/>
      <c r="K297" s="179"/>
      <c r="L297" s="179"/>
      <c r="M297" s="179"/>
      <c r="N297" s="179"/>
      <c r="O297" s="179"/>
      <c r="P297" s="179"/>
      <c r="Q297" s="179"/>
      <c r="R297" s="179"/>
      <c r="S297" s="179"/>
      <c r="T297" s="179"/>
      <c r="U297" s="179"/>
      <c r="V297" s="179"/>
      <c r="W297" s="179"/>
      <c r="X297" s="179"/>
      <c r="Y297" s="179"/>
      <c r="Z297" s="179"/>
    </row>
    <row r="298">
      <c r="A298" s="179"/>
      <c r="B298" s="179"/>
      <c r="C298" s="179"/>
      <c r="D298" s="179"/>
      <c r="E298" s="179"/>
      <c r="F298" s="179"/>
      <c r="G298" s="179"/>
      <c r="H298" s="179"/>
      <c r="I298" s="179"/>
      <c r="J298" s="179"/>
      <c r="K298" s="179"/>
      <c r="L298" s="179"/>
      <c r="M298" s="179"/>
      <c r="N298" s="179"/>
      <c r="O298" s="179"/>
      <c r="P298" s="179"/>
      <c r="Q298" s="179"/>
      <c r="R298" s="179"/>
      <c r="S298" s="179"/>
      <c r="T298" s="179"/>
      <c r="U298" s="179"/>
      <c r="V298" s="179"/>
      <c r="W298" s="179"/>
      <c r="X298" s="179"/>
      <c r="Y298" s="179"/>
      <c r="Z298" s="179"/>
    </row>
    <row r="299">
      <c r="A299" s="179"/>
      <c r="B299" s="179"/>
      <c r="C299" s="179"/>
      <c r="D299" s="179"/>
      <c r="E299" s="179"/>
      <c r="F299" s="179"/>
      <c r="G299" s="179"/>
      <c r="H299" s="179"/>
      <c r="I299" s="179"/>
      <c r="J299" s="179"/>
      <c r="K299" s="179"/>
      <c r="L299" s="179"/>
      <c r="M299" s="179"/>
      <c r="N299" s="179"/>
      <c r="O299" s="179"/>
      <c r="P299" s="179"/>
      <c r="Q299" s="179"/>
      <c r="R299" s="179"/>
      <c r="S299" s="179"/>
      <c r="T299" s="179"/>
      <c r="U299" s="179"/>
      <c r="V299" s="179"/>
      <c r="W299" s="179"/>
      <c r="X299" s="179"/>
      <c r="Y299" s="179"/>
      <c r="Z299" s="179"/>
    </row>
    <row r="300">
      <c r="A300" s="179"/>
      <c r="B300" s="179"/>
      <c r="C300" s="179"/>
      <c r="D300" s="179"/>
      <c r="E300" s="179"/>
      <c r="F300" s="179"/>
      <c r="G300" s="179"/>
      <c r="H300" s="179"/>
      <c r="I300" s="179"/>
      <c r="J300" s="179"/>
      <c r="K300" s="179"/>
      <c r="L300" s="179"/>
      <c r="M300" s="179"/>
      <c r="N300" s="179"/>
      <c r="O300" s="179"/>
      <c r="P300" s="179"/>
      <c r="Q300" s="179"/>
      <c r="R300" s="179"/>
      <c r="S300" s="179"/>
      <c r="T300" s="179"/>
      <c r="U300" s="179"/>
      <c r="V300" s="179"/>
      <c r="W300" s="179"/>
      <c r="X300" s="179"/>
      <c r="Y300" s="179"/>
      <c r="Z300" s="179"/>
    </row>
    <row r="301">
      <c r="A301" s="179"/>
      <c r="B301" s="179"/>
      <c r="C301" s="179"/>
      <c r="D301" s="179"/>
      <c r="E301" s="179"/>
      <c r="F301" s="179"/>
      <c r="G301" s="179"/>
      <c r="H301" s="179"/>
      <c r="I301" s="179"/>
      <c r="J301" s="179"/>
      <c r="K301" s="179"/>
      <c r="L301" s="179"/>
      <c r="M301" s="179"/>
      <c r="N301" s="179"/>
      <c r="O301" s="179"/>
      <c r="P301" s="179"/>
      <c r="Q301" s="179"/>
      <c r="R301" s="179"/>
      <c r="S301" s="179"/>
      <c r="T301" s="179"/>
      <c r="U301" s="179"/>
      <c r="V301" s="179"/>
      <c r="W301" s="179"/>
      <c r="X301" s="179"/>
      <c r="Y301" s="179"/>
      <c r="Z301" s="179"/>
    </row>
    <row r="302">
      <c r="A302" s="179"/>
      <c r="B302" s="179"/>
      <c r="C302" s="179"/>
      <c r="D302" s="179"/>
      <c r="E302" s="179"/>
      <c r="F302" s="179"/>
      <c r="G302" s="179"/>
      <c r="H302" s="179"/>
      <c r="I302" s="179"/>
      <c r="J302" s="179"/>
      <c r="K302" s="179"/>
      <c r="L302" s="179"/>
      <c r="M302" s="179"/>
      <c r="N302" s="179"/>
      <c r="O302" s="179"/>
      <c r="P302" s="179"/>
      <c r="Q302" s="179"/>
      <c r="R302" s="179"/>
      <c r="S302" s="179"/>
      <c r="T302" s="179"/>
      <c r="U302" s="179"/>
      <c r="V302" s="179"/>
      <c r="W302" s="179"/>
      <c r="X302" s="179"/>
      <c r="Y302" s="179"/>
      <c r="Z302" s="179"/>
    </row>
    <row r="303">
      <c r="A303" s="179"/>
      <c r="B303" s="179"/>
      <c r="C303" s="179"/>
      <c r="D303" s="179"/>
      <c r="E303" s="179"/>
      <c r="F303" s="179"/>
      <c r="G303" s="179"/>
      <c r="H303" s="179"/>
      <c r="I303" s="179"/>
      <c r="J303" s="179"/>
      <c r="K303" s="179"/>
      <c r="L303" s="179"/>
      <c r="M303" s="179"/>
      <c r="N303" s="179"/>
      <c r="O303" s="179"/>
      <c r="P303" s="179"/>
      <c r="Q303" s="179"/>
      <c r="R303" s="179"/>
      <c r="S303" s="179"/>
      <c r="T303" s="179"/>
      <c r="U303" s="179"/>
      <c r="V303" s="179"/>
      <c r="W303" s="179"/>
      <c r="X303" s="179"/>
      <c r="Y303" s="179"/>
      <c r="Z303" s="179"/>
    </row>
    <row r="304">
      <c r="A304" s="179"/>
      <c r="B304" s="179"/>
      <c r="C304" s="179"/>
      <c r="D304" s="179"/>
      <c r="E304" s="179"/>
      <c r="F304" s="179"/>
      <c r="G304" s="179"/>
      <c r="H304" s="179"/>
      <c r="I304" s="179"/>
      <c r="J304" s="179"/>
      <c r="K304" s="179"/>
      <c r="L304" s="179"/>
      <c r="M304" s="179"/>
      <c r="N304" s="179"/>
      <c r="O304" s="179"/>
      <c r="P304" s="179"/>
      <c r="Q304" s="179"/>
      <c r="R304" s="179"/>
      <c r="S304" s="179"/>
      <c r="T304" s="179"/>
      <c r="U304" s="179"/>
      <c r="V304" s="179"/>
      <c r="W304" s="179"/>
      <c r="X304" s="179"/>
      <c r="Y304" s="179"/>
      <c r="Z304" s="179"/>
    </row>
    <row r="305">
      <c r="A305" s="179"/>
      <c r="B305" s="179"/>
      <c r="C305" s="179"/>
      <c r="D305" s="179"/>
      <c r="E305" s="179"/>
      <c r="F305" s="179"/>
      <c r="G305" s="179"/>
      <c r="H305" s="179"/>
      <c r="I305" s="179"/>
      <c r="J305" s="179"/>
      <c r="K305" s="179"/>
      <c r="L305" s="179"/>
      <c r="M305" s="179"/>
      <c r="N305" s="179"/>
      <c r="O305" s="179"/>
      <c r="P305" s="179"/>
      <c r="Q305" s="179"/>
      <c r="R305" s="179"/>
      <c r="S305" s="179"/>
      <c r="T305" s="179"/>
      <c r="U305" s="179"/>
      <c r="V305" s="179"/>
      <c r="W305" s="179"/>
      <c r="X305" s="179"/>
      <c r="Y305" s="179"/>
      <c r="Z305" s="179"/>
    </row>
    <row r="306">
      <c r="A306" s="179"/>
      <c r="B306" s="179"/>
      <c r="C306" s="179"/>
      <c r="D306" s="179"/>
      <c r="E306" s="179"/>
      <c r="F306" s="179"/>
      <c r="G306" s="179"/>
      <c r="H306" s="179"/>
      <c r="I306" s="179"/>
      <c r="J306" s="179"/>
      <c r="K306" s="179"/>
      <c r="L306" s="179"/>
      <c r="M306" s="179"/>
      <c r="N306" s="179"/>
      <c r="O306" s="179"/>
      <c r="P306" s="179"/>
      <c r="Q306" s="179"/>
      <c r="R306" s="179"/>
      <c r="S306" s="179"/>
      <c r="T306" s="179"/>
      <c r="U306" s="179"/>
      <c r="V306" s="179"/>
      <c r="W306" s="179"/>
      <c r="X306" s="179"/>
      <c r="Y306" s="179"/>
      <c r="Z306" s="179"/>
    </row>
    <row r="307">
      <c r="A307" s="179"/>
      <c r="B307" s="179"/>
      <c r="C307" s="179"/>
      <c r="D307" s="179"/>
      <c r="E307" s="179"/>
      <c r="F307" s="179"/>
      <c r="G307" s="179"/>
      <c r="H307" s="179"/>
      <c r="I307" s="179"/>
      <c r="J307" s="179"/>
      <c r="K307" s="179"/>
      <c r="L307" s="179"/>
      <c r="M307" s="179"/>
      <c r="N307" s="179"/>
      <c r="O307" s="179"/>
      <c r="P307" s="179"/>
      <c r="Q307" s="179"/>
      <c r="R307" s="179"/>
      <c r="S307" s="179"/>
      <c r="T307" s="179"/>
      <c r="U307" s="179"/>
      <c r="V307" s="179"/>
      <c r="W307" s="179"/>
      <c r="X307" s="179"/>
      <c r="Y307" s="179"/>
      <c r="Z307" s="179"/>
    </row>
    <row r="308">
      <c r="A308" s="179"/>
      <c r="B308" s="179"/>
      <c r="C308" s="179"/>
      <c r="D308" s="179"/>
      <c r="E308" s="179"/>
      <c r="F308" s="179"/>
      <c r="G308" s="179"/>
      <c r="H308" s="179"/>
      <c r="I308" s="179"/>
      <c r="J308" s="179"/>
      <c r="K308" s="179"/>
      <c r="L308" s="179"/>
      <c r="M308" s="179"/>
      <c r="N308" s="179"/>
      <c r="O308" s="179"/>
      <c r="P308" s="179"/>
      <c r="Q308" s="179"/>
      <c r="R308" s="179"/>
      <c r="S308" s="179"/>
      <c r="T308" s="179"/>
      <c r="U308" s="179"/>
      <c r="V308" s="179"/>
      <c r="W308" s="179"/>
      <c r="X308" s="179"/>
      <c r="Y308" s="179"/>
      <c r="Z308" s="179"/>
    </row>
    <row r="309">
      <c r="A309" s="179"/>
      <c r="B309" s="179"/>
      <c r="C309" s="179"/>
      <c r="D309" s="179"/>
      <c r="E309" s="179"/>
      <c r="F309" s="179"/>
      <c r="G309" s="179"/>
      <c r="H309" s="179"/>
      <c r="I309" s="179"/>
      <c r="J309" s="179"/>
      <c r="K309" s="179"/>
      <c r="L309" s="179"/>
      <c r="M309" s="179"/>
      <c r="N309" s="179"/>
      <c r="O309" s="179"/>
      <c r="P309" s="179"/>
      <c r="Q309" s="179"/>
      <c r="R309" s="179"/>
      <c r="S309" s="179"/>
      <c r="T309" s="179"/>
      <c r="U309" s="179"/>
      <c r="V309" s="179"/>
      <c r="W309" s="179"/>
      <c r="X309" s="179"/>
      <c r="Y309" s="179"/>
      <c r="Z309" s="179"/>
    </row>
    <row r="310">
      <c r="A310" s="179"/>
      <c r="B310" s="179"/>
      <c r="C310" s="179"/>
      <c r="D310" s="179"/>
      <c r="E310" s="179"/>
      <c r="F310" s="179"/>
      <c r="G310" s="179"/>
      <c r="H310" s="179"/>
      <c r="I310" s="179"/>
      <c r="J310" s="179"/>
      <c r="K310" s="179"/>
      <c r="L310" s="179"/>
      <c r="M310" s="179"/>
      <c r="N310" s="179"/>
      <c r="O310" s="179"/>
      <c r="P310" s="179"/>
      <c r="Q310" s="179"/>
      <c r="R310" s="179"/>
      <c r="S310" s="179"/>
      <c r="T310" s="179"/>
      <c r="U310" s="179"/>
      <c r="V310" s="179"/>
      <c r="W310" s="179"/>
      <c r="X310" s="179"/>
      <c r="Y310" s="179"/>
      <c r="Z310" s="179"/>
    </row>
    <row r="311">
      <c r="A311" s="179"/>
      <c r="B311" s="179"/>
      <c r="C311" s="179"/>
      <c r="D311" s="179"/>
      <c r="E311" s="179"/>
      <c r="F311" s="179"/>
      <c r="G311" s="179"/>
      <c r="H311" s="179"/>
      <c r="I311" s="179"/>
      <c r="J311" s="179"/>
      <c r="K311" s="179"/>
      <c r="L311" s="179"/>
      <c r="M311" s="179"/>
      <c r="N311" s="179"/>
      <c r="O311" s="179"/>
      <c r="P311" s="179"/>
      <c r="Q311" s="179"/>
      <c r="R311" s="179"/>
      <c r="S311" s="179"/>
      <c r="T311" s="179"/>
      <c r="U311" s="179"/>
      <c r="V311" s="179"/>
      <c r="W311" s="179"/>
      <c r="X311" s="179"/>
      <c r="Y311" s="179"/>
      <c r="Z311" s="179"/>
    </row>
    <row r="312">
      <c r="A312" s="179"/>
      <c r="B312" s="179"/>
      <c r="C312" s="179"/>
      <c r="D312" s="179"/>
      <c r="E312" s="179"/>
      <c r="F312" s="179"/>
      <c r="G312" s="179"/>
      <c r="H312" s="179"/>
      <c r="I312" s="179"/>
      <c r="J312" s="179"/>
      <c r="K312" s="179"/>
      <c r="L312" s="179"/>
      <c r="M312" s="179"/>
      <c r="N312" s="179"/>
      <c r="O312" s="179"/>
      <c r="P312" s="179"/>
      <c r="Q312" s="179"/>
      <c r="R312" s="179"/>
      <c r="S312" s="179"/>
      <c r="T312" s="179"/>
      <c r="U312" s="179"/>
      <c r="V312" s="179"/>
      <c r="W312" s="179"/>
      <c r="X312" s="179"/>
      <c r="Y312" s="179"/>
      <c r="Z312" s="179"/>
    </row>
    <row r="313">
      <c r="A313" s="179"/>
      <c r="B313" s="179"/>
      <c r="C313" s="179"/>
      <c r="D313" s="179"/>
      <c r="E313" s="179"/>
      <c r="F313" s="179"/>
      <c r="G313" s="179"/>
      <c r="H313" s="179"/>
      <c r="I313" s="179"/>
      <c r="J313" s="179"/>
      <c r="K313" s="179"/>
      <c r="L313" s="179"/>
      <c r="M313" s="179"/>
      <c r="N313" s="179"/>
      <c r="O313" s="179"/>
      <c r="P313" s="179"/>
      <c r="Q313" s="179"/>
      <c r="R313" s="179"/>
      <c r="S313" s="179"/>
      <c r="T313" s="179"/>
      <c r="U313" s="179"/>
      <c r="V313" s="179"/>
      <c r="W313" s="179"/>
      <c r="X313" s="179"/>
      <c r="Y313" s="179"/>
      <c r="Z313" s="179"/>
    </row>
    <row r="314">
      <c r="A314" s="179"/>
      <c r="B314" s="179"/>
      <c r="C314" s="179"/>
      <c r="D314" s="179"/>
      <c r="E314" s="179"/>
      <c r="F314" s="179"/>
      <c r="G314" s="179"/>
      <c r="H314" s="179"/>
      <c r="I314" s="179"/>
      <c r="J314" s="179"/>
      <c r="K314" s="179"/>
      <c r="L314" s="179"/>
      <c r="M314" s="179"/>
      <c r="N314" s="179"/>
      <c r="O314" s="179"/>
      <c r="P314" s="179"/>
      <c r="Q314" s="179"/>
      <c r="R314" s="179"/>
      <c r="S314" s="179"/>
      <c r="T314" s="179"/>
      <c r="U314" s="179"/>
      <c r="V314" s="179"/>
      <c r="W314" s="179"/>
      <c r="X314" s="179"/>
      <c r="Y314" s="179"/>
      <c r="Z314" s="179"/>
    </row>
    <row r="315">
      <c r="A315" s="179"/>
      <c r="B315" s="179"/>
      <c r="C315" s="179"/>
      <c r="D315" s="179"/>
      <c r="E315" s="179"/>
      <c r="F315" s="179"/>
      <c r="G315" s="179"/>
      <c r="H315" s="179"/>
      <c r="I315" s="179"/>
      <c r="J315" s="179"/>
      <c r="K315" s="179"/>
      <c r="L315" s="179"/>
      <c r="M315" s="179"/>
      <c r="N315" s="179"/>
      <c r="O315" s="179"/>
      <c r="P315" s="179"/>
      <c r="Q315" s="179"/>
      <c r="R315" s="179"/>
      <c r="S315" s="179"/>
      <c r="T315" s="179"/>
      <c r="U315" s="179"/>
      <c r="V315" s="179"/>
      <c r="W315" s="179"/>
      <c r="X315" s="179"/>
      <c r="Y315" s="179"/>
      <c r="Z315" s="179"/>
    </row>
    <row r="316">
      <c r="A316" s="179"/>
      <c r="B316" s="179"/>
      <c r="C316" s="179"/>
      <c r="D316" s="179"/>
      <c r="E316" s="179"/>
      <c r="F316" s="179"/>
      <c r="G316" s="179"/>
      <c r="H316" s="179"/>
      <c r="I316" s="179"/>
      <c r="J316" s="179"/>
      <c r="K316" s="179"/>
      <c r="L316" s="179"/>
      <c r="M316" s="179"/>
      <c r="N316" s="179"/>
      <c r="O316" s="179"/>
      <c r="P316" s="179"/>
      <c r="Q316" s="179"/>
      <c r="R316" s="179"/>
      <c r="S316" s="179"/>
      <c r="T316" s="179"/>
      <c r="U316" s="179"/>
      <c r="V316" s="179"/>
      <c r="W316" s="179"/>
      <c r="X316" s="179"/>
      <c r="Y316" s="179"/>
      <c r="Z316" s="179"/>
    </row>
    <row r="317">
      <c r="A317" s="179"/>
      <c r="B317" s="179"/>
      <c r="C317" s="179"/>
      <c r="D317" s="179"/>
      <c r="E317" s="179"/>
      <c r="F317" s="179"/>
      <c r="G317" s="179"/>
      <c r="H317" s="179"/>
      <c r="I317" s="179"/>
      <c r="J317" s="179"/>
      <c r="K317" s="179"/>
      <c r="L317" s="179"/>
      <c r="M317" s="179"/>
      <c r="N317" s="179"/>
      <c r="O317" s="179"/>
      <c r="P317" s="179"/>
      <c r="Q317" s="179"/>
      <c r="R317" s="179"/>
      <c r="S317" s="179"/>
      <c r="T317" s="179"/>
      <c r="U317" s="179"/>
      <c r="V317" s="179"/>
      <c r="W317" s="179"/>
      <c r="X317" s="179"/>
      <c r="Y317" s="179"/>
      <c r="Z317" s="179"/>
    </row>
    <row r="318">
      <c r="A318" s="179"/>
      <c r="B318" s="179"/>
      <c r="C318" s="179"/>
      <c r="D318" s="179"/>
      <c r="E318" s="179"/>
      <c r="F318" s="179"/>
      <c r="G318" s="179"/>
      <c r="H318" s="179"/>
      <c r="I318" s="179"/>
      <c r="J318" s="179"/>
      <c r="K318" s="179"/>
      <c r="L318" s="179"/>
      <c r="M318" s="179"/>
      <c r="N318" s="179"/>
      <c r="O318" s="179"/>
      <c r="P318" s="179"/>
      <c r="Q318" s="179"/>
      <c r="R318" s="179"/>
      <c r="S318" s="179"/>
      <c r="T318" s="179"/>
      <c r="U318" s="179"/>
      <c r="V318" s="179"/>
      <c r="W318" s="179"/>
      <c r="X318" s="179"/>
      <c r="Y318" s="179"/>
      <c r="Z318" s="179"/>
    </row>
    <row r="319">
      <c r="A319" s="179"/>
      <c r="B319" s="179"/>
      <c r="C319" s="179"/>
      <c r="D319" s="179"/>
      <c r="E319" s="179"/>
      <c r="F319" s="179"/>
      <c r="G319" s="179"/>
      <c r="H319" s="179"/>
      <c r="I319" s="179"/>
      <c r="J319" s="179"/>
      <c r="K319" s="179"/>
      <c r="L319" s="179"/>
      <c r="M319" s="179"/>
      <c r="N319" s="179"/>
      <c r="O319" s="179"/>
      <c r="P319" s="179"/>
      <c r="Q319" s="179"/>
      <c r="R319" s="179"/>
      <c r="S319" s="179"/>
      <c r="T319" s="179"/>
      <c r="U319" s="179"/>
      <c r="V319" s="179"/>
      <c r="W319" s="179"/>
      <c r="X319" s="179"/>
      <c r="Y319" s="179"/>
      <c r="Z319" s="179"/>
    </row>
    <row r="320">
      <c r="A320" s="179"/>
      <c r="B320" s="179"/>
      <c r="C320" s="179"/>
      <c r="D320" s="179"/>
      <c r="E320" s="179"/>
      <c r="F320" s="179"/>
      <c r="G320" s="179"/>
      <c r="H320" s="179"/>
      <c r="I320" s="179"/>
      <c r="J320" s="179"/>
      <c r="K320" s="179"/>
      <c r="L320" s="179"/>
      <c r="M320" s="179"/>
      <c r="N320" s="179"/>
      <c r="O320" s="179"/>
      <c r="P320" s="179"/>
      <c r="Q320" s="179"/>
      <c r="R320" s="179"/>
      <c r="S320" s="179"/>
      <c r="T320" s="179"/>
      <c r="U320" s="179"/>
      <c r="V320" s="179"/>
      <c r="W320" s="179"/>
      <c r="X320" s="179"/>
      <c r="Y320" s="179"/>
      <c r="Z320" s="179"/>
    </row>
    <row r="321">
      <c r="A321" s="179"/>
      <c r="B321" s="179"/>
      <c r="C321" s="179"/>
      <c r="D321" s="179"/>
      <c r="E321" s="179"/>
      <c r="F321" s="179"/>
      <c r="G321" s="179"/>
      <c r="H321" s="179"/>
      <c r="I321" s="179"/>
      <c r="J321" s="179"/>
      <c r="K321" s="179"/>
      <c r="L321" s="179"/>
      <c r="M321" s="179"/>
      <c r="N321" s="179"/>
      <c r="O321" s="179"/>
      <c r="P321" s="179"/>
      <c r="Q321" s="179"/>
      <c r="R321" s="179"/>
      <c r="S321" s="179"/>
      <c r="T321" s="179"/>
      <c r="U321" s="179"/>
      <c r="V321" s="179"/>
      <c r="W321" s="179"/>
      <c r="X321" s="179"/>
      <c r="Y321" s="179"/>
      <c r="Z321" s="179"/>
    </row>
    <row r="322">
      <c r="A322" s="179"/>
      <c r="B322" s="179"/>
      <c r="C322" s="179"/>
      <c r="D322" s="179"/>
      <c r="E322" s="179"/>
      <c r="F322" s="179"/>
      <c r="G322" s="179"/>
      <c r="H322" s="179"/>
      <c r="I322" s="179"/>
      <c r="J322" s="179"/>
      <c r="K322" s="179"/>
      <c r="L322" s="179"/>
      <c r="M322" s="179"/>
      <c r="N322" s="179"/>
      <c r="O322" s="179"/>
      <c r="P322" s="179"/>
      <c r="Q322" s="179"/>
      <c r="R322" s="179"/>
      <c r="S322" s="179"/>
      <c r="T322" s="179"/>
      <c r="U322" s="179"/>
      <c r="V322" s="179"/>
      <c r="W322" s="179"/>
      <c r="X322" s="179"/>
      <c r="Y322" s="179"/>
      <c r="Z322" s="179"/>
    </row>
    <row r="323">
      <c r="A323" s="179"/>
      <c r="B323" s="179"/>
      <c r="C323" s="179"/>
      <c r="D323" s="179"/>
      <c r="E323" s="179"/>
      <c r="F323" s="179"/>
      <c r="G323" s="179"/>
      <c r="H323" s="179"/>
      <c r="I323" s="179"/>
      <c r="J323" s="179"/>
      <c r="K323" s="179"/>
      <c r="L323" s="179"/>
      <c r="M323" s="179"/>
      <c r="N323" s="179"/>
      <c r="O323" s="179"/>
      <c r="P323" s="179"/>
      <c r="Q323" s="179"/>
      <c r="R323" s="179"/>
      <c r="S323" s="179"/>
      <c r="T323" s="179"/>
      <c r="U323" s="179"/>
      <c r="V323" s="179"/>
      <c r="W323" s="179"/>
      <c r="X323" s="179"/>
      <c r="Y323" s="179"/>
      <c r="Z323" s="179"/>
    </row>
    <row r="324">
      <c r="A324" s="179"/>
      <c r="B324" s="179"/>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row>
    <row r="325">
      <c r="A325" s="179"/>
      <c r="B325" s="179"/>
      <c r="C325" s="179"/>
      <c r="D325" s="179"/>
      <c r="E325" s="179"/>
      <c r="F325" s="179"/>
      <c r="G325" s="179"/>
      <c r="H325" s="179"/>
      <c r="I325" s="179"/>
      <c r="J325" s="179"/>
      <c r="K325" s="179"/>
      <c r="L325" s="179"/>
      <c r="M325" s="179"/>
      <c r="N325" s="179"/>
      <c r="O325" s="179"/>
      <c r="P325" s="179"/>
      <c r="Q325" s="179"/>
      <c r="R325" s="179"/>
      <c r="S325" s="179"/>
      <c r="T325" s="179"/>
      <c r="U325" s="179"/>
      <c r="V325" s="179"/>
      <c r="W325" s="179"/>
      <c r="X325" s="179"/>
      <c r="Y325" s="179"/>
      <c r="Z325" s="179"/>
    </row>
    <row r="326">
      <c r="A326" s="179"/>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79"/>
    </row>
    <row r="327">
      <c r="A327" s="179"/>
      <c r="B327" s="179"/>
      <c r="C327" s="179"/>
      <c r="D327" s="179"/>
      <c r="E327" s="179"/>
      <c r="F327" s="179"/>
      <c r="G327" s="179"/>
      <c r="H327" s="179"/>
      <c r="I327" s="179"/>
      <c r="J327" s="179"/>
      <c r="K327" s="179"/>
      <c r="L327" s="179"/>
      <c r="M327" s="179"/>
      <c r="N327" s="179"/>
      <c r="O327" s="179"/>
      <c r="P327" s="179"/>
      <c r="Q327" s="179"/>
      <c r="R327" s="179"/>
      <c r="S327" s="179"/>
      <c r="T327" s="179"/>
      <c r="U327" s="179"/>
      <c r="V327" s="179"/>
      <c r="W327" s="179"/>
      <c r="X327" s="179"/>
      <c r="Y327" s="179"/>
      <c r="Z327" s="179"/>
    </row>
    <row r="328">
      <c r="A328" s="179"/>
      <c r="B328" s="179"/>
      <c r="C328" s="179"/>
      <c r="D328" s="179"/>
      <c r="E328" s="179"/>
      <c r="F328" s="179"/>
      <c r="G328" s="179"/>
      <c r="H328" s="179"/>
      <c r="I328" s="179"/>
      <c r="J328" s="179"/>
      <c r="K328" s="179"/>
      <c r="L328" s="179"/>
      <c r="M328" s="179"/>
      <c r="N328" s="179"/>
      <c r="O328" s="179"/>
      <c r="P328" s="179"/>
      <c r="Q328" s="179"/>
      <c r="R328" s="179"/>
      <c r="S328" s="179"/>
      <c r="T328" s="179"/>
      <c r="U328" s="179"/>
      <c r="V328" s="179"/>
      <c r="W328" s="179"/>
      <c r="X328" s="179"/>
      <c r="Y328" s="179"/>
      <c r="Z328" s="179"/>
    </row>
    <row r="329">
      <c r="A329" s="179"/>
      <c r="B329" s="179"/>
      <c r="C329" s="179"/>
      <c r="D329" s="179"/>
      <c r="E329" s="179"/>
      <c r="F329" s="179"/>
      <c r="G329" s="179"/>
      <c r="H329" s="179"/>
      <c r="I329" s="179"/>
      <c r="J329" s="179"/>
      <c r="K329" s="179"/>
      <c r="L329" s="179"/>
      <c r="M329" s="179"/>
      <c r="N329" s="179"/>
      <c r="O329" s="179"/>
      <c r="P329" s="179"/>
      <c r="Q329" s="179"/>
      <c r="R329" s="179"/>
      <c r="S329" s="179"/>
      <c r="T329" s="179"/>
      <c r="U329" s="179"/>
      <c r="V329" s="179"/>
      <c r="W329" s="179"/>
      <c r="X329" s="179"/>
      <c r="Y329" s="179"/>
      <c r="Z329" s="179"/>
    </row>
    <row r="330">
      <c r="A330" s="179"/>
      <c r="B330" s="179"/>
      <c r="C330" s="179"/>
      <c r="D330" s="179"/>
      <c r="E330" s="179"/>
      <c r="F330" s="179"/>
      <c r="G330" s="179"/>
      <c r="H330" s="179"/>
      <c r="I330" s="179"/>
      <c r="J330" s="179"/>
      <c r="K330" s="179"/>
      <c r="L330" s="179"/>
      <c r="M330" s="179"/>
      <c r="N330" s="179"/>
      <c r="O330" s="179"/>
      <c r="P330" s="179"/>
      <c r="Q330" s="179"/>
      <c r="R330" s="179"/>
      <c r="S330" s="179"/>
      <c r="T330" s="179"/>
      <c r="U330" s="179"/>
      <c r="V330" s="179"/>
      <c r="W330" s="179"/>
      <c r="X330" s="179"/>
      <c r="Y330" s="179"/>
      <c r="Z330" s="179"/>
    </row>
    <row r="331">
      <c r="A331" s="179"/>
      <c r="B331" s="179"/>
      <c r="C331" s="179"/>
      <c r="D331" s="179"/>
      <c r="E331" s="179"/>
      <c r="F331" s="179"/>
      <c r="G331" s="179"/>
      <c r="H331" s="179"/>
      <c r="I331" s="179"/>
      <c r="J331" s="179"/>
      <c r="K331" s="179"/>
      <c r="L331" s="179"/>
      <c r="M331" s="179"/>
      <c r="N331" s="179"/>
      <c r="O331" s="179"/>
      <c r="P331" s="179"/>
      <c r="Q331" s="179"/>
      <c r="R331" s="179"/>
      <c r="S331" s="179"/>
      <c r="T331" s="179"/>
      <c r="U331" s="179"/>
      <c r="V331" s="179"/>
      <c r="W331" s="179"/>
      <c r="X331" s="179"/>
      <c r="Y331" s="179"/>
      <c r="Z331" s="179"/>
    </row>
    <row r="332">
      <c r="A332" s="179"/>
      <c r="B332" s="179"/>
      <c r="C332" s="179"/>
      <c r="D332" s="179"/>
      <c r="E332" s="179"/>
      <c r="F332" s="179"/>
      <c r="G332" s="179"/>
      <c r="H332" s="179"/>
      <c r="I332" s="179"/>
      <c r="J332" s="179"/>
      <c r="K332" s="179"/>
      <c r="L332" s="179"/>
      <c r="M332" s="179"/>
      <c r="N332" s="179"/>
      <c r="O332" s="179"/>
      <c r="P332" s="179"/>
      <c r="Q332" s="179"/>
      <c r="R332" s="179"/>
      <c r="S332" s="179"/>
      <c r="T332" s="179"/>
      <c r="U332" s="179"/>
      <c r="V332" s="179"/>
      <c r="W332" s="179"/>
      <c r="X332" s="179"/>
      <c r="Y332" s="179"/>
      <c r="Z332" s="179"/>
    </row>
    <row r="333">
      <c r="A333" s="179"/>
      <c r="B333" s="179"/>
      <c r="C333" s="179"/>
      <c r="D333" s="179"/>
      <c r="E333" s="179"/>
      <c r="F333" s="179"/>
      <c r="G333" s="179"/>
      <c r="H333" s="179"/>
      <c r="I333" s="179"/>
      <c r="J333" s="179"/>
      <c r="K333" s="179"/>
      <c r="L333" s="179"/>
      <c r="M333" s="179"/>
      <c r="N333" s="179"/>
      <c r="O333" s="179"/>
      <c r="P333" s="179"/>
      <c r="Q333" s="179"/>
      <c r="R333" s="179"/>
      <c r="S333" s="179"/>
      <c r="T333" s="179"/>
      <c r="U333" s="179"/>
      <c r="V333" s="179"/>
      <c r="W333" s="179"/>
      <c r="X333" s="179"/>
      <c r="Y333" s="179"/>
      <c r="Z333" s="179"/>
    </row>
    <row r="334">
      <c r="A334" s="179"/>
      <c r="B334" s="179"/>
      <c r="C334" s="179"/>
      <c r="D334" s="179"/>
      <c r="E334" s="179"/>
      <c r="F334" s="179"/>
      <c r="G334" s="179"/>
      <c r="H334" s="179"/>
      <c r="I334" s="179"/>
      <c r="J334" s="179"/>
      <c r="K334" s="179"/>
      <c r="L334" s="179"/>
      <c r="M334" s="179"/>
      <c r="N334" s="179"/>
      <c r="O334" s="179"/>
      <c r="P334" s="179"/>
      <c r="Q334" s="179"/>
      <c r="R334" s="179"/>
      <c r="S334" s="179"/>
      <c r="T334" s="179"/>
      <c r="U334" s="179"/>
      <c r="V334" s="179"/>
      <c r="W334" s="179"/>
      <c r="X334" s="179"/>
      <c r="Y334" s="179"/>
      <c r="Z334" s="179"/>
    </row>
    <row r="335">
      <c r="A335" s="179"/>
      <c r="B335" s="179"/>
      <c r="C335" s="179"/>
      <c r="D335" s="179"/>
      <c r="E335" s="179"/>
      <c r="F335" s="179"/>
      <c r="G335" s="179"/>
      <c r="H335" s="179"/>
      <c r="I335" s="179"/>
      <c r="J335" s="179"/>
      <c r="K335" s="179"/>
      <c r="L335" s="179"/>
      <c r="M335" s="179"/>
      <c r="N335" s="179"/>
      <c r="O335" s="179"/>
      <c r="P335" s="179"/>
      <c r="Q335" s="179"/>
      <c r="R335" s="179"/>
      <c r="S335" s="179"/>
      <c r="T335" s="179"/>
      <c r="U335" s="179"/>
      <c r="V335" s="179"/>
      <c r="W335" s="179"/>
      <c r="X335" s="179"/>
      <c r="Y335" s="179"/>
      <c r="Z335" s="179"/>
    </row>
    <row r="336">
      <c r="A336" s="179"/>
      <c r="B336" s="179"/>
      <c r="C336" s="179"/>
      <c r="D336" s="179"/>
      <c r="E336" s="179"/>
      <c r="F336" s="179"/>
      <c r="G336" s="179"/>
      <c r="H336" s="179"/>
      <c r="I336" s="179"/>
      <c r="J336" s="179"/>
      <c r="K336" s="179"/>
      <c r="L336" s="179"/>
      <c r="M336" s="179"/>
      <c r="N336" s="179"/>
      <c r="O336" s="179"/>
      <c r="P336" s="179"/>
      <c r="Q336" s="179"/>
      <c r="R336" s="179"/>
      <c r="S336" s="179"/>
      <c r="T336" s="179"/>
      <c r="U336" s="179"/>
      <c r="V336" s="179"/>
      <c r="W336" s="179"/>
      <c r="X336" s="179"/>
      <c r="Y336" s="179"/>
      <c r="Z336" s="179"/>
    </row>
    <row r="337">
      <c r="A337" s="179"/>
      <c r="B337" s="179"/>
      <c r="C337" s="179"/>
      <c r="D337" s="179"/>
      <c r="E337" s="179"/>
      <c r="F337" s="179"/>
      <c r="G337" s="179"/>
      <c r="H337" s="179"/>
      <c r="I337" s="179"/>
      <c r="J337" s="179"/>
      <c r="K337" s="179"/>
      <c r="L337" s="179"/>
      <c r="M337" s="179"/>
      <c r="N337" s="179"/>
      <c r="O337" s="179"/>
      <c r="P337" s="179"/>
      <c r="Q337" s="179"/>
      <c r="R337" s="179"/>
      <c r="S337" s="179"/>
      <c r="T337" s="179"/>
      <c r="U337" s="179"/>
      <c r="V337" s="179"/>
      <c r="W337" s="179"/>
      <c r="X337" s="179"/>
      <c r="Y337" s="179"/>
      <c r="Z337" s="179"/>
    </row>
    <row r="338">
      <c r="A338" s="179"/>
      <c r="B338" s="179"/>
      <c r="C338" s="179"/>
      <c r="D338" s="179"/>
      <c r="E338" s="179"/>
      <c r="F338" s="179"/>
      <c r="G338" s="179"/>
      <c r="H338" s="179"/>
      <c r="I338" s="179"/>
      <c r="J338" s="179"/>
      <c r="K338" s="179"/>
      <c r="L338" s="179"/>
      <c r="M338" s="179"/>
      <c r="N338" s="179"/>
      <c r="O338" s="179"/>
      <c r="P338" s="179"/>
      <c r="Q338" s="179"/>
      <c r="R338" s="179"/>
      <c r="S338" s="179"/>
      <c r="T338" s="179"/>
      <c r="U338" s="179"/>
      <c r="V338" s="179"/>
      <c r="W338" s="179"/>
      <c r="X338" s="179"/>
      <c r="Y338" s="179"/>
      <c r="Z338" s="179"/>
    </row>
    <row r="339">
      <c r="A339" s="179"/>
      <c r="B339" s="179"/>
      <c r="C339" s="179"/>
      <c r="D339" s="179"/>
      <c r="E339" s="179"/>
      <c r="F339" s="179"/>
      <c r="G339" s="179"/>
      <c r="H339" s="179"/>
      <c r="I339" s="179"/>
      <c r="J339" s="179"/>
      <c r="K339" s="179"/>
      <c r="L339" s="179"/>
      <c r="M339" s="179"/>
      <c r="N339" s="179"/>
      <c r="O339" s="179"/>
      <c r="P339" s="179"/>
      <c r="Q339" s="179"/>
      <c r="R339" s="179"/>
      <c r="S339" s="179"/>
      <c r="T339" s="179"/>
      <c r="U339" s="179"/>
      <c r="V339" s="179"/>
      <c r="W339" s="179"/>
      <c r="X339" s="179"/>
      <c r="Y339" s="179"/>
      <c r="Z339" s="179"/>
    </row>
    <row r="340">
      <c r="A340" s="179"/>
      <c r="B340" s="179"/>
      <c r="C340" s="179"/>
      <c r="D340" s="179"/>
      <c r="E340" s="179"/>
      <c r="F340" s="179"/>
      <c r="G340" s="179"/>
      <c r="H340" s="179"/>
      <c r="I340" s="179"/>
      <c r="J340" s="179"/>
      <c r="K340" s="179"/>
      <c r="L340" s="179"/>
      <c r="M340" s="179"/>
      <c r="N340" s="179"/>
      <c r="O340" s="179"/>
      <c r="P340" s="179"/>
      <c r="Q340" s="179"/>
      <c r="R340" s="179"/>
      <c r="S340" s="179"/>
      <c r="T340" s="179"/>
      <c r="U340" s="179"/>
      <c r="V340" s="179"/>
      <c r="W340" s="179"/>
      <c r="X340" s="179"/>
      <c r="Y340" s="179"/>
      <c r="Z340" s="179"/>
    </row>
    <row r="341">
      <c r="A341" s="179"/>
      <c r="B341" s="179"/>
      <c r="C341" s="179"/>
      <c r="D341" s="179"/>
      <c r="E341" s="179"/>
      <c r="F341" s="179"/>
      <c r="G341" s="179"/>
      <c r="H341" s="179"/>
      <c r="I341" s="179"/>
      <c r="J341" s="179"/>
      <c r="K341" s="179"/>
      <c r="L341" s="179"/>
      <c r="M341" s="179"/>
      <c r="N341" s="179"/>
      <c r="O341" s="179"/>
      <c r="P341" s="179"/>
      <c r="Q341" s="179"/>
      <c r="R341" s="179"/>
      <c r="S341" s="179"/>
      <c r="T341" s="179"/>
      <c r="U341" s="179"/>
      <c r="V341" s="179"/>
      <c r="W341" s="179"/>
      <c r="X341" s="179"/>
      <c r="Y341" s="179"/>
      <c r="Z341" s="179"/>
    </row>
    <row r="342">
      <c r="A342" s="179"/>
      <c r="B342" s="179"/>
      <c r="C342" s="179"/>
      <c r="D342" s="179"/>
      <c r="E342" s="179"/>
      <c r="F342" s="179"/>
      <c r="G342" s="179"/>
      <c r="H342" s="179"/>
      <c r="I342" s="179"/>
      <c r="J342" s="179"/>
      <c r="K342" s="179"/>
      <c r="L342" s="179"/>
      <c r="M342" s="179"/>
      <c r="N342" s="179"/>
      <c r="O342" s="179"/>
      <c r="P342" s="179"/>
      <c r="Q342" s="179"/>
      <c r="R342" s="179"/>
      <c r="S342" s="179"/>
      <c r="T342" s="179"/>
      <c r="U342" s="179"/>
      <c r="V342" s="179"/>
      <c r="W342" s="179"/>
      <c r="X342" s="179"/>
      <c r="Y342" s="179"/>
      <c r="Z342" s="179"/>
    </row>
    <row r="343">
      <c r="A343" s="179"/>
      <c r="B343" s="179"/>
      <c r="C343" s="179"/>
      <c r="D343" s="179"/>
      <c r="E343" s="179"/>
      <c r="F343" s="179"/>
      <c r="G343" s="179"/>
      <c r="H343" s="179"/>
      <c r="I343" s="179"/>
      <c r="J343" s="179"/>
      <c r="K343" s="179"/>
      <c r="L343" s="179"/>
      <c r="M343" s="179"/>
      <c r="N343" s="179"/>
      <c r="O343" s="179"/>
      <c r="P343" s="179"/>
      <c r="Q343" s="179"/>
      <c r="R343" s="179"/>
      <c r="S343" s="179"/>
      <c r="T343" s="179"/>
      <c r="U343" s="179"/>
      <c r="V343" s="179"/>
      <c r="W343" s="179"/>
      <c r="X343" s="179"/>
      <c r="Y343" s="179"/>
      <c r="Z343" s="179"/>
    </row>
    <row r="344">
      <c r="A344" s="179"/>
      <c r="B344" s="179"/>
      <c r="C344" s="179"/>
      <c r="D344" s="179"/>
      <c r="E344" s="179"/>
      <c r="F344" s="179"/>
      <c r="G344" s="179"/>
      <c r="H344" s="179"/>
      <c r="I344" s="179"/>
      <c r="J344" s="179"/>
      <c r="K344" s="179"/>
      <c r="L344" s="179"/>
      <c r="M344" s="179"/>
      <c r="N344" s="179"/>
      <c r="O344" s="179"/>
      <c r="P344" s="179"/>
      <c r="Q344" s="179"/>
      <c r="R344" s="179"/>
      <c r="S344" s="179"/>
      <c r="T344" s="179"/>
      <c r="U344" s="179"/>
      <c r="V344" s="179"/>
      <c r="W344" s="179"/>
      <c r="X344" s="179"/>
      <c r="Y344" s="179"/>
      <c r="Z344" s="179"/>
    </row>
    <row r="345">
      <c r="A345" s="179"/>
      <c r="B345" s="179"/>
      <c r="C345" s="179"/>
      <c r="D345" s="179"/>
      <c r="E345" s="179"/>
      <c r="F345" s="179"/>
      <c r="G345" s="179"/>
      <c r="H345" s="179"/>
      <c r="I345" s="179"/>
      <c r="J345" s="179"/>
      <c r="K345" s="179"/>
      <c r="L345" s="179"/>
      <c r="M345" s="179"/>
      <c r="N345" s="179"/>
      <c r="O345" s="179"/>
      <c r="P345" s="179"/>
      <c r="Q345" s="179"/>
      <c r="R345" s="179"/>
      <c r="S345" s="179"/>
      <c r="T345" s="179"/>
      <c r="U345" s="179"/>
      <c r="V345" s="179"/>
      <c r="W345" s="179"/>
      <c r="X345" s="179"/>
      <c r="Y345" s="179"/>
      <c r="Z345" s="179"/>
    </row>
    <row r="346">
      <c r="A346" s="179"/>
      <c r="B346" s="179"/>
      <c r="C346" s="179"/>
      <c r="D346" s="179"/>
      <c r="E346" s="179"/>
      <c r="F346" s="179"/>
      <c r="G346" s="179"/>
      <c r="H346" s="179"/>
      <c r="I346" s="179"/>
      <c r="J346" s="179"/>
      <c r="K346" s="179"/>
      <c r="L346" s="179"/>
      <c r="M346" s="179"/>
      <c r="N346" s="179"/>
      <c r="O346" s="179"/>
      <c r="P346" s="179"/>
      <c r="Q346" s="179"/>
      <c r="R346" s="179"/>
      <c r="S346" s="179"/>
      <c r="T346" s="179"/>
      <c r="U346" s="179"/>
      <c r="V346" s="179"/>
      <c r="W346" s="179"/>
      <c r="X346" s="179"/>
      <c r="Y346" s="179"/>
      <c r="Z346" s="179"/>
    </row>
    <row r="347">
      <c r="A347" s="179"/>
      <c r="B347" s="179"/>
      <c r="C347" s="179"/>
      <c r="D347" s="179"/>
      <c r="E347" s="179"/>
      <c r="F347" s="179"/>
      <c r="G347" s="179"/>
      <c r="H347" s="179"/>
      <c r="I347" s="179"/>
      <c r="J347" s="179"/>
      <c r="K347" s="179"/>
      <c r="L347" s="179"/>
      <c r="M347" s="179"/>
      <c r="N347" s="179"/>
      <c r="O347" s="179"/>
      <c r="P347" s="179"/>
      <c r="Q347" s="179"/>
      <c r="R347" s="179"/>
      <c r="S347" s="179"/>
      <c r="T347" s="179"/>
      <c r="U347" s="179"/>
      <c r="V347" s="179"/>
      <c r="W347" s="179"/>
      <c r="X347" s="179"/>
      <c r="Y347" s="179"/>
      <c r="Z347" s="179"/>
    </row>
    <row r="348">
      <c r="A348" s="179"/>
      <c r="B348" s="179"/>
      <c r="C348" s="179"/>
      <c r="D348" s="179"/>
      <c r="E348" s="179"/>
      <c r="F348" s="179"/>
      <c r="G348" s="179"/>
      <c r="H348" s="179"/>
      <c r="I348" s="179"/>
      <c r="J348" s="179"/>
      <c r="K348" s="179"/>
      <c r="L348" s="179"/>
      <c r="M348" s="179"/>
      <c r="N348" s="179"/>
      <c r="O348" s="179"/>
      <c r="P348" s="179"/>
      <c r="Q348" s="179"/>
      <c r="R348" s="179"/>
      <c r="S348" s="179"/>
      <c r="T348" s="179"/>
      <c r="U348" s="179"/>
      <c r="V348" s="179"/>
      <c r="W348" s="179"/>
      <c r="X348" s="179"/>
      <c r="Y348" s="179"/>
      <c r="Z348" s="179"/>
    </row>
    <row r="349">
      <c r="A349" s="179"/>
      <c r="B349" s="179"/>
      <c r="C349" s="179"/>
      <c r="D349" s="179"/>
      <c r="E349" s="179"/>
      <c r="F349" s="179"/>
      <c r="G349" s="179"/>
      <c r="H349" s="179"/>
      <c r="I349" s="179"/>
      <c r="J349" s="179"/>
      <c r="K349" s="179"/>
      <c r="L349" s="179"/>
      <c r="M349" s="179"/>
      <c r="N349" s="179"/>
      <c r="O349" s="179"/>
      <c r="P349" s="179"/>
      <c r="Q349" s="179"/>
      <c r="R349" s="179"/>
      <c r="S349" s="179"/>
      <c r="T349" s="179"/>
      <c r="U349" s="179"/>
      <c r="V349" s="179"/>
      <c r="W349" s="179"/>
      <c r="X349" s="179"/>
      <c r="Y349" s="179"/>
      <c r="Z349" s="179"/>
    </row>
    <row r="350">
      <c r="A350" s="179"/>
      <c r="B350" s="179"/>
      <c r="C350" s="179"/>
      <c r="D350" s="179"/>
      <c r="E350" s="179"/>
      <c r="F350" s="179"/>
      <c r="G350" s="179"/>
      <c r="H350" s="179"/>
      <c r="I350" s="179"/>
      <c r="J350" s="179"/>
      <c r="K350" s="179"/>
      <c r="L350" s="179"/>
      <c r="M350" s="179"/>
      <c r="N350" s="179"/>
      <c r="O350" s="179"/>
      <c r="P350" s="179"/>
      <c r="Q350" s="179"/>
      <c r="R350" s="179"/>
      <c r="S350" s="179"/>
      <c r="T350" s="179"/>
      <c r="U350" s="179"/>
      <c r="V350" s="179"/>
      <c r="W350" s="179"/>
      <c r="X350" s="179"/>
      <c r="Y350" s="179"/>
      <c r="Z350" s="179"/>
    </row>
    <row r="351">
      <c r="A351" s="179"/>
      <c r="B351" s="179"/>
      <c r="C351" s="179"/>
      <c r="D351" s="179"/>
      <c r="E351" s="179"/>
      <c r="F351" s="179"/>
      <c r="G351" s="179"/>
      <c r="H351" s="179"/>
      <c r="I351" s="179"/>
      <c r="J351" s="179"/>
      <c r="K351" s="179"/>
      <c r="L351" s="179"/>
      <c r="M351" s="179"/>
      <c r="N351" s="179"/>
      <c r="O351" s="179"/>
      <c r="P351" s="179"/>
      <c r="Q351" s="179"/>
      <c r="R351" s="179"/>
      <c r="S351" s="179"/>
      <c r="T351" s="179"/>
      <c r="U351" s="179"/>
      <c r="V351" s="179"/>
      <c r="W351" s="179"/>
      <c r="X351" s="179"/>
      <c r="Y351" s="179"/>
      <c r="Z351" s="179"/>
    </row>
    <row r="352">
      <c r="A352" s="179"/>
      <c r="B352" s="179"/>
      <c r="C352" s="179"/>
      <c r="D352" s="179"/>
      <c r="E352" s="179"/>
      <c r="F352" s="179"/>
      <c r="G352" s="179"/>
      <c r="H352" s="179"/>
      <c r="I352" s="179"/>
      <c r="J352" s="179"/>
      <c r="K352" s="179"/>
      <c r="L352" s="179"/>
      <c r="M352" s="179"/>
      <c r="N352" s="179"/>
      <c r="O352" s="179"/>
      <c r="P352" s="179"/>
      <c r="Q352" s="179"/>
      <c r="R352" s="179"/>
      <c r="S352" s="179"/>
      <c r="T352" s="179"/>
      <c r="U352" s="179"/>
      <c r="V352" s="179"/>
      <c r="W352" s="179"/>
      <c r="X352" s="179"/>
      <c r="Y352" s="179"/>
      <c r="Z352" s="179"/>
    </row>
    <row r="353">
      <c r="A353" s="179"/>
      <c r="B353" s="179"/>
      <c r="C353" s="179"/>
      <c r="D353" s="179"/>
      <c r="E353" s="179"/>
      <c r="F353" s="179"/>
      <c r="G353" s="179"/>
      <c r="H353" s="179"/>
      <c r="I353" s="179"/>
      <c r="J353" s="179"/>
      <c r="K353" s="179"/>
      <c r="L353" s="179"/>
      <c r="M353" s="179"/>
      <c r="N353" s="179"/>
      <c r="O353" s="179"/>
      <c r="P353" s="179"/>
      <c r="Q353" s="179"/>
      <c r="R353" s="179"/>
      <c r="S353" s="179"/>
      <c r="T353" s="179"/>
      <c r="U353" s="179"/>
      <c r="V353" s="179"/>
      <c r="W353" s="179"/>
      <c r="X353" s="179"/>
      <c r="Y353" s="179"/>
      <c r="Z353" s="179"/>
    </row>
    <row r="354">
      <c r="A354" s="179"/>
      <c r="B354" s="179"/>
      <c r="C354" s="179"/>
      <c r="D354" s="179"/>
      <c r="E354" s="179"/>
      <c r="F354" s="179"/>
      <c r="G354" s="179"/>
      <c r="H354" s="179"/>
      <c r="I354" s="179"/>
      <c r="J354" s="179"/>
      <c r="K354" s="179"/>
      <c r="L354" s="179"/>
      <c r="M354" s="179"/>
      <c r="N354" s="179"/>
      <c r="O354" s="179"/>
      <c r="P354" s="179"/>
      <c r="Q354" s="179"/>
      <c r="R354" s="179"/>
      <c r="S354" s="179"/>
      <c r="T354" s="179"/>
      <c r="U354" s="179"/>
      <c r="V354" s="179"/>
      <c r="W354" s="179"/>
      <c r="X354" s="179"/>
      <c r="Y354" s="179"/>
      <c r="Z354" s="179"/>
    </row>
    <row r="355">
      <c r="A355" s="179"/>
      <c r="B355" s="179"/>
      <c r="C355" s="179"/>
      <c r="D355" s="179"/>
      <c r="E355" s="179"/>
      <c r="F355" s="179"/>
      <c r="G355" s="179"/>
      <c r="H355" s="179"/>
      <c r="I355" s="179"/>
      <c r="J355" s="179"/>
      <c r="K355" s="179"/>
      <c r="L355" s="179"/>
      <c r="M355" s="179"/>
      <c r="N355" s="179"/>
      <c r="O355" s="179"/>
      <c r="P355" s="179"/>
      <c r="Q355" s="179"/>
      <c r="R355" s="179"/>
      <c r="S355" s="179"/>
      <c r="T355" s="179"/>
      <c r="U355" s="179"/>
      <c r="V355" s="179"/>
      <c r="W355" s="179"/>
      <c r="X355" s="179"/>
      <c r="Y355" s="179"/>
      <c r="Z355" s="179"/>
    </row>
    <row r="356">
      <c r="A356" s="179"/>
      <c r="B356" s="179"/>
      <c r="C356" s="179"/>
      <c r="D356" s="179"/>
      <c r="E356" s="179"/>
      <c r="F356" s="179"/>
      <c r="G356" s="179"/>
      <c r="H356" s="179"/>
      <c r="I356" s="179"/>
      <c r="J356" s="179"/>
      <c r="K356" s="179"/>
      <c r="L356" s="179"/>
      <c r="M356" s="179"/>
      <c r="N356" s="179"/>
      <c r="O356" s="179"/>
      <c r="P356" s="179"/>
      <c r="Q356" s="179"/>
      <c r="R356" s="179"/>
      <c r="S356" s="179"/>
      <c r="T356" s="179"/>
      <c r="U356" s="179"/>
      <c r="V356" s="179"/>
      <c r="W356" s="179"/>
      <c r="X356" s="179"/>
      <c r="Y356" s="179"/>
      <c r="Z356" s="179"/>
    </row>
    <row r="357">
      <c r="A357" s="179"/>
      <c r="B357" s="179"/>
      <c r="C357" s="179"/>
      <c r="D357" s="179"/>
      <c r="E357" s="179"/>
      <c r="F357" s="179"/>
      <c r="G357" s="179"/>
      <c r="H357" s="179"/>
      <c r="I357" s="179"/>
      <c r="J357" s="179"/>
      <c r="K357" s="179"/>
      <c r="L357" s="179"/>
      <c r="M357" s="179"/>
      <c r="N357" s="179"/>
      <c r="O357" s="179"/>
      <c r="P357" s="179"/>
      <c r="Q357" s="179"/>
      <c r="R357" s="179"/>
      <c r="S357" s="179"/>
      <c r="T357" s="179"/>
      <c r="U357" s="179"/>
      <c r="V357" s="179"/>
      <c r="W357" s="179"/>
      <c r="X357" s="179"/>
      <c r="Y357" s="179"/>
      <c r="Z357" s="179"/>
    </row>
    <row r="358">
      <c r="A358" s="179"/>
      <c r="B358" s="179"/>
      <c r="C358" s="179"/>
      <c r="D358" s="179"/>
      <c r="E358" s="179"/>
      <c r="F358" s="179"/>
      <c r="G358" s="179"/>
      <c r="H358" s="179"/>
      <c r="I358" s="179"/>
      <c r="J358" s="179"/>
      <c r="K358" s="179"/>
      <c r="L358" s="179"/>
      <c r="M358" s="179"/>
      <c r="N358" s="179"/>
      <c r="O358" s="179"/>
      <c r="P358" s="179"/>
      <c r="Q358" s="179"/>
      <c r="R358" s="179"/>
      <c r="S358" s="179"/>
      <c r="T358" s="179"/>
      <c r="U358" s="179"/>
      <c r="V358" s="179"/>
      <c r="W358" s="179"/>
      <c r="X358" s="179"/>
      <c r="Y358" s="179"/>
      <c r="Z358" s="179"/>
    </row>
    <row r="359">
      <c r="A359" s="179"/>
      <c r="B359" s="179"/>
      <c r="C359" s="179"/>
      <c r="D359" s="179"/>
      <c r="E359" s="179"/>
      <c r="F359" s="179"/>
      <c r="G359" s="179"/>
      <c r="H359" s="179"/>
      <c r="I359" s="179"/>
      <c r="J359" s="179"/>
      <c r="K359" s="179"/>
      <c r="L359" s="179"/>
      <c r="M359" s="179"/>
      <c r="N359" s="179"/>
      <c r="O359" s="179"/>
      <c r="P359" s="179"/>
      <c r="Q359" s="179"/>
      <c r="R359" s="179"/>
      <c r="S359" s="179"/>
      <c r="T359" s="179"/>
      <c r="U359" s="179"/>
      <c r="V359" s="179"/>
      <c r="W359" s="179"/>
      <c r="X359" s="179"/>
      <c r="Y359" s="179"/>
      <c r="Z359" s="179"/>
    </row>
    <row r="360">
      <c r="A360" s="179"/>
      <c r="B360" s="179"/>
      <c r="C360" s="179"/>
      <c r="D360" s="179"/>
      <c r="E360" s="179"/>
      <c r="F360" s="179"/>
      <c r="G360" s="179"/>
      <c r="H360" s="179"/>
      <c r="I360" s="179"/>
      <c r="J360" s="179"/>
      <c r="K360" s="179"/>
      <c r="L360" s="179"/>
      <c r="M360" s="179"/>
      <c r="N360" s="179"/>
      <c r="O360" s="179"/>
      <c r="P360" s="179"/>
      <c r="Q360" s="179"/>
      <c r="R360" s="179"/>
      <c r="S360" s="179"/>
      <c r="T360" s="179"/>
      <c r="U360" s="179"/>
      <c r="V360" s="179"/>
      <c r="W360" s="179"/>
      <c r="X360" s="179"/>
      <c r="Y360" s="179"/>
      <c r="Z360" s="179"/>
    </row>
    <row r="361">
      <c r="A361" s="179"/>
      <c r="B361" s="179"/>
      <c r="C361" s="179"/>
      <c r="D361" s="179"/>
      <c r="E361" s="179"/>
      <c r="F361" s="179"/>
      <c r="G361" s="179"/>
      <c r="H361" s="179"/>
      <c r="I361" s="179"/>
      <c r="J361" s="179"/>
      <c r="K361" s="179"/>
      <c r="L361" s="179"/>
      <c r="M361" s="179"/>
      <c r="N361" s="179"/>
      <c r="O361" s="179"/>
      <c r="P361" s="179"/>
      <c r="Q361" s="179"/>
      <c r="R361" s="179"/>
      <c r="S361" s="179"/>
      <c r="T361" s="179"/>
      <c r="U361" s="179"/>
      <c r="V361" s="179"/>
      <c r="W361" s="179"/>
      <c r="X361" s="179"/>
      <c r="Y361" s="179"/>
      <c r="Z361" s="179"/>
    </row>
    <row r="362">
      <c r="A362" s="179"/>
      <c r="B362" s="179"/>
      <c r="C362" s="179"/>
      <c r="D362" s="179"/>
      <c r="E362" s="179"/>
      <c r="F362" s="179"/>
      <c r="G362" s="179"/>
      <c r="H362" s="179"/>
      <c r="I362" s="179"/>
      <c r="J362" s="179"/>
      <c r="K362" s="179"/>
      <c r="L362" s="179"/>
      <c r="M362" s="179"/>
      <c r="N362" s="179"/>
      <c r="O362" s="179"/>
      <c r="P362" s="179"/>
      <c r="Q362" s="179"/>
      <c r="R362" s="179"/>
      <c r="S362" s="179"/>
      <c r="T362" s="179"/>
      <c r="U362" s="179"/>
      <c r="V362" s="179"/>
      <c r="W362" s="179"/>
      <c r="X362" s="179"/>
      <c r="Y362" s="179"/>
      <c r="Z362" s="179"/>
    </row>
    <row r="363">
      <c r="A363" s="179"/>
      <c r="B363" s="179"/>
      <c r="C363" s="179"/>
      <c r="D363" s="179"/>
      <c r="E363" s="179"/>
      <c r="F363" s="179"/>
      <c r="G363" s="179"/>
      <c r="H363" s="179"/>
      <c r="I363" s="179"/>
      <c r="J363" s="179"/>
      <c r="K363" s="179"/>
      <c r="L363" s="179"/>
      <c r="M363" s="179"/>
      <c r="N363" s="179"/>
      <c r="O363" s="179"/>
      <c r="P363" s="179"/>
      <c r="Q363" s="179"/>
      <c r="R363" s="179"/>
      <c r="S363" s="179"/>
      <c r="T363" s="179"/>
      <c r="U363" s="179"/>
      <c r="V363" s="179"/>
      <c r="W363" s="179"/>
      <c r="X363" s="179"/>
      <c r="Y363" s="179"/>
      <c r="Z363" s="179"/>
    </row>
    <row r="364">
      <c r="A364" s="179"/>
      <c r="B364" s="179"/>
      <c r="C364" s="179"/>
      <c r="D364" s="179"/>
      <c r="E364" s="179"/>
      <c r="F364" s="179"/>
      <c r="G364" s="179"/>
      <c r="H364" s="179"/>
      <c r="I364" s="179"/>
      <c r="J364" s="179"/>
      <c r="K364" s="179"/>
      <c r="L364" s="179"/>
      <c r="M364" s="179"/>
      <c r="N364" s="179"/>
      <c r="O364" s="179"/>
      <c r="P364" s="179"/>
      <c r="Q364" s="179"/>
      <c r="R364" s="179"/>
      <c r="S364" s="179"/>
      <c r="T364" s="179"/>
      <c r="U364" s="179"/>
      <c r="V364" s="179"/>
      <c r="W364" s="179"/>
      <c r="X364" s="179"/>
      <c r="Y364" s="179"/>
      <c r="Z364" s="179"/>
    </row>
    <row r="365">
      <c r="A365" s="179"/>
      <c r="B365" s="179"/>
      <c r="C365" s="179"/>
      <c r="D365" s="179"/>
      <c r="E365" s="179"/>
      <c r="F365" s="179"/>
      <c r="G365" s="179"/>
      <c r="H365" s="179"/>
      <c r="I365" s="179"/>
      <c r="J365" s="179"/>
      <c r="K365" s="179"/>
      <c r="L365" s="179"/>
      <c r="M365" s="179"/>
      <c r="N365" s="179"/>
      <c r="O365" s="179"/>
      <c r="P365" s="179"/>
      <c r="Q365" s="179"/>
      <c r="R365" s="179"/>
      <c r="S365" s="179"/>
      <c r="T365" s="179"/>
      <c r="U365" s="179"/>
      <c r="V365" s="179"/>
      <c r="W365" s="179"/>
      <c r="X365" s="179"/>
      <c r="Y365" s="179"/>
      <c r="Z365" s="179"/>
    </row>
    <row r="366">
      <c r="A366" s="179"/>
      <c r="B366" s="179"/>
      <c r="C366" s="179"/>
      <c r="D366" s="179"/>
      <c r="E366" s="179"/>
      <c r="F366" s="179"/>
      <c r="G366" s="179"/>
      <c r="H366" s="179"/>
      <c r="I366" s="179"/>
      <c r="J366" s="179"/>
      <c r="K366" s="179"/>
      <c r="L366" s="179"/>
      <c r="M366" s="179"/>
      <c r="N366" s="179"/>
      <c r="O366" s="179"/>
      <c r="P366" s="179"/>
      <c r="Q366" s="179"/>
      <c r="R366" s="179"/>
      <c r="S366" s="179"/>
      <c r="T366" s="179"/>
      <c r="U366" s="179"/>
      <c r="V366" s="179"/>
      <c r="W366" s="179"/>
      <c r="X366" s="179"/>
      <c r="Y366" s="179"/>
      <c r="Z366" s="179"/>
    </row>
    <row r="367">
      <c r="A367" s="179"/>
      <c r="B367" s="179"/>
      <c r="C367" s="179"/>
      <c r="D367" s="179"/>
      <c r="E367" s="179"/>
      <c r="F367" s="179"/>
      <c r="G367" s="179"/>
      <c r="H367" s="179"/>
      <c r="I367" s="179"/>
      <c r="J367" s="179"/>
      <c r="K367" s="179"/>
      <c r="L367" s="179"/>
      <c r="M367" s="179"/>
      <c r="N367" s="179"/>
      <c r="O367" s="179"/>
      <c r="P367" s="179"/>
      <c r="Q367" s="179"/>
      <c r="R367" s="179"/>
      <c r="S367" s="179"/>
      <c r="T367" s="179"/>
      <c r="U367" s="179"/>
      <c r="V367" s="179"/>
      <c r="W367" s="179"/>
      <c r="X367" s="179"/>
      <c r="Y367" s="179"/>
      <c r="Z367" s="179"/>
    </row>
    <row r="368">
      <c r="A368" s="179"/>
      <c r="B368" s="179"/>
      <c r="C368" s="179"/>
      <c r="D368" s="179"/>
      <c r="E368" s="179"/>
      <c r="F368" s="179"/>
      <c r="G368" s="179"/>
      <c r="H368" s="179"/>
      <c r="I368" s="179"/>
      <c r="J368" s="179"/>
      <c r="K368" s="179"/>
      <c r="L368" s="179"/>
      <c r="M368" s="179"/>
      <c r="N368" s="179"/>
      <c r="O368" s="179"/>
      <c r="P368" s="179"/>
      <c r="Q368" s="179"/>
      <c r="R368" s="179"/>
      <c r="S368" s="179"/>
      <c r="T368" s="179"/>
      <c r="U368" s="179"/>
      <c r="V368" s="179"/>
      <c r="W368" s="179"/>
      <c r="X368" s="179"/>
      <c r="Y368" s="179"/>
      <c r="Z368" s="179"/>
    </row>
    <row r="369">
      <c r="A369" s="179"/>
      <c r="B369" s="179"/>
      <c r="C369" s="179"/>
      <c r="D369" s="179"/>
      <c r="E369" s="179"/>
      <c r="F369" s="179"/>
      <c r="G369" s="179"/>
      <c r="H369" s="179"/>
      <c r="I369" s="179"/>
      <c r="J369" s="179"/>
      <c r="K369" s="179"/>
      <c r="L369" s="179"/>
      <c r="M369" s="179"/>
      <c r="N369" s="179"/>
      <c r="O369" s="179"/>
      <c r="P369" s="179"/>
      <c r="Q369" s="179"/>
      <c r="R369" s="179"/>
      <c r="S369" s="179"/>
      <c r="T369" s="179"/>
      <c r="U369" s="179"/>
      <c r="V369" s="179"/>
      <c r="W369" s="179"/>
      <c r="X369" s="179"/>
      <c r="Y369" s="179"/>
      <c r="Z369" s="179"/>
    </row>
    <row r="370">
      <c r="A370" s="179"/>
      <c r="B370" s="179"/>
      <c r="C370" s="179"/>
      <c r="D370" s="179"/>
      <c r="E370" s="179"/>
      <c r="F370" s="179"/>
      <c r="G370" s="179"/>
      <c r="H370" s="179"/>
      <c r="I370" s="179"/>
      <c r="J370" s="179"/>
      <c r="K370" s="179"/>
      <c r="L370" s="179"/>
      <c r="M370" s="179"/>
      <c r="N370" s="179"/>
      <c r="O370" s="179"/>
      <c r="P370" s="179"/>
      <c r="Q370" s="179"/>
      <c r="R370" s="179"/>
      <c r="S370" s="179"/>
      <c r="T370" s="179"/>
      <c r="U370" s="179"/>
      <c r="V370" s="179"/>
      <c r="W370" s="179"/>
      <c r="X370" s="179"/>
      <c r="Y370" s="179"/>
      <c r="Z370" s="179"/>
    </row>
    <row r="371">
      <c r="A371" s="179"/>
      <c r="B371" s="179"/>
      <c r="C371" s="179"/>
      <c r="D371" s="179"/>
      <c r="E371" s="179"/>
      <c r="F371" s="179"/>
      <c r="G371" s="179"/>
      <c r="H371" s="179"/>
      <c r="I371" s="179"/>
      <c r="J371" s="179"/>
      <c r="K371" s="179"/>
      <c r="L371" s="179"/>
      <c r="M371" s="179"/>
      <c r="N371" s="179"/>
      <c r="O371" s="179"/>
      <c r="P371" s="179"/>
      <c r="Q371" s="179"/>
      <c r="R371" s="179"/>
      <c r="S371" s="179"/>
      <c r="T371" s="179"/>
      <c r="U371" s="179"/>
      <c r="V371" s="179"/>
      <c r="W371" s="179"/>
      <c r="X371" s="179"/>
      <c r="Y371" s="179"/>
      <c r="Z371" s="179"/>
    </row>
    <row r="372">
      <c r="A372" s="179"/>
      <c r="B372" s="179"/>
      <c r="C372" s="179"/>
      <c r="D372" s="179"/>
      <c r="E372" s="179"/>
      <c r="F372" s="179"/>
      <c r="G372" s="179"/>
      <c r="H372" s="179"/>
      <c r="I372" s="179"/>
      <c r="J372" s="179"/>
      <c r="K372" s="179"/>
      <c r="L372" s="179"/>
      <c r="M372" s="179"/>
      <c r="N372" s="179"/>
      <c r="O372" s="179"/>
      <c r="P372" s="179"/>
      <c r="Q372" s="179"/>
      <c r="R372" s="179"/>
      <c r="S372" s="179"/>
      <c r="T372" s="179"/>
      <c r="U372" s="179"/>
      <c r="V372" s="179"/>
      <c r="W372" s="179"/>
      <c r="X372" s="179"/>
      <c r="Y372" s="179"/>
      <c r="Z372" s="179"/>
    </row>
    <row r="373">
      <c r="A373" s="179"/>
      <c r="B373" s="179"/>
      <c r="C373" s="179"/>
      <c r="D373" s="179"/>
      <c r="E373" s="179"/>
      <c r="F373" s="179"/>
      <c r="G373" s="179"/>
      <c r="H373" s="179"/>
      <c r="I373" s="179"/>
      <c r="J373" s="179"/>
      <c r="K373" s="179"/>
      <c r="L373" s="179"/>
      <c r="M373" s="179"/>
      <c r="N373" s="179"/>
      <c r="O373" s="179"/>
      <c r="P373" s="179"/>
      <c r="Q373" s="179"/>
      <c r="R373" s="179"/>
      <c r="S373" s="179"/>
      <c r="T373" s="179"/>
      <c r="U373" s="179"/>
      <c r="V373" s="179"/>
      <c r="W373" s="179"/>
      <c r="X373" s="179"/>
      <c r="Y373" s="179"/>
      <c r="Z373" s="179"/>
    </row>
    <row r="374">
      <c r="A374" s="179"/>
      <c r="B374" s="179"/>
      <c r="C374" s="179"/>
      <c r="D374" s="179"/>
      <c r="E374" s="179"/>
      <c r="F374" s="179"/>
      <c r="G374" s="179"/>
      <c r="H374" s="179"/>
      <c r="I374" s="179"/>
      <c r="J374" s="179"/>
      <c r="K374" s="179"/>
      <c r="L374" s="179"/>
      <c r="M374" s="179"/>
      <c r="N374" s="179"/>
      <c r="O374" s="179"/>
      <c r="P374" s="179"/>
      <c r="Q374" s="179"/>
      <c r="R374" s="179"/>
      <c r="S374" s="179"/>
      <c r="T374" s="179"/>
      <c r="U374" s="179"/>
      <c r="V374" s="179"/>
      <c r="W374" s="179"/>
      <c r="X374" s="179"/>
      <c r="Y374" s="179"/>
      <c r="Z374" s="179"/>
    </row>
    <row r="375">
      <c r="A375" s="179"/>
      <c r="B375" s="179"/>
      <c r="C375" s="179"/>
      <c r="D375" s="179"/>
      <c r="E375" s="179"/>
      <c r="F375" s="179"/>
      <c r="G375" s="179"/>
      <c r="H375" s="179"/>
      <c r="I375" s="179"/>
      <c r="J375" s="179"/>
      <c r="K375" s="179"/>
      <c r="L375" s="179"/>
      <c r="M375" s="179"/>
      <c r="N375" s="179"/>
      <c r="O375" s="179"/>
      <c r="P375" s="179"/>
      <c r="Q375" s="179"/>
      <c r="R375" s="179"/>
      <c r="S375" s="179"/>
      <c r="T375" s="179"/>
      <c r="U375" s="179"/>
      <c r="V375" s="179"/>
      <c r="W375" s="179"/>
      <c r="X375" s="179"/>
      <c r="Y375" s="179"/>
      <c r="Z375" s="179"/>
    </row>
    <row r="376">
      <c r="A376" s="179"/>
      <c r="B376" s="179"/>
      <c r="C376" s="179"/>
      <c r="D376" s="179"/>
      <c r="E376" s="179"/>
      <c r="F376" s="179"/>
      <c r="G376" s="179"/>
      <c r="H376" s="179"/>
      <c r="I376" s="179"/>
      <c r="J376" s="179"/>
      <c r="K376" s="179"/>
      <c r="L376" s="179"/>
      <c r="M376" s="179"/>
      <c r="N376" s="179"/>
      <c r="O376" s="179"/>
      <c r="P376" s="179"/>
      <c r="Q376" s="179"/>
      <c r="R376" s="179"/>
      <c r="S376" s="179"/>
      <c r="T376" s="179"/>
      <c r="U376" s="179"/>
      <c r="V376" s="179"/>
      <c r="W376" s="179"/>
      <c r="X376" s="179"/>
      <c r="Y376" s="179"/>
      <c r="Z376" s="179"/>
    </row>
    <row r="377">
      <c r="A377" s="179"/>
      <c r="B377" s="179"/>
      <c r="C377" s="179"/>
      <c r="D377" s="179"/>
      <c r="E377" s="179"/>
      <c r="F377" s="179"/>
      <c r="G377" s="179"/>
      <c r="H377" s="179"/>
      <c r="I377" s="179"/>
      <c r="J377" s="179"/>
      <c r="K377" s="179"/>
      <c r="L377" s="179"/>
      <c r="M377" s="179"/>
      <c r="N377" s="179"/>
      <c r="O377" s="179"/>
      <c r="P377" s="179"/>
      <c r="Q377" s="179"/>
      <c r="R377" s="179"/>
      <c r="S377" s="179"/>
      <c r="T377" s="179"/>
      <c r="U377" s="179"/>
      <c r="V377" s="179"/>
      <c r="W377" s="179"/>
      <c r="X377" s="179"/>
      <c r="Y377" s="179"/>
      <c r="Z377" s="179"/>
    </row>
    <row r="378">
      <c r="A378" s="179"/>
      <c r="B378" s="179"/>
      <c r="C378" s="179"/>
      <c r="D378" s="179"/>
      <c r="E378" s="179"/>
      <c r="F378" s="179"/>
      <c r="G378" s="179"/>
      <c r="H378" s="179"/>
      <c r="I378" s="179"/>
      <c r="J378" s="179"/>
      <c r="K378" s="179"/>
      <c r="L378" s="179"/>
      <c r="M378" s="179"/>
      <c r="N378" s="179"/>
      <c r="O378" s="179"/>
      <c r="P378" s="179"/>
      <c r="Q378" s="179"/>
      <c r="R378" s="179"/>
      <c r="S378" s="179"/>
      <c r="T378" s="179"/>
      <c r="U378" s="179"/>
      <c r="V378" s="179"/>
      <c r="W378" s="179"/>
      <c r="X378" s="179"/>
      <c r="Y378" s="179"/>
      <c r="Z378" s="179"/>
    </row>
    <row r="379">
      <c r="A379" s="179"/>
      <c r="B379" s="179"/>
      <c r="C379" s="179"/>
      <c r="D379" s="179"/>
      <c r="E379" s="179"/>
      <c r="F379" s="179"/>
      <c r="G379" s="179"/>
      <c r="H379" s="179"/>
      <c r="I379" s="179"/>
      <c r="J379" s="179"/>
      <c r="K379" s="179"/>
      <c r="L379" s="179"/>
      <c r="M379" s="179"/>
      <c r="N379" s="179"/>
      <c r="O379" s="179"/>
      <c r="P379" s="179"/>
      <c r="Q379" s="179"/>
      <c r="R379" s="179"/>
      <c r="S379" s="179"/>
      <c r="T379" s="179"/>
      <c r="U379" s="179"/>
      <c r="V379" s="179"/>
      <c r="W379" s="179"/>
      <c r="X379" s="179"/>
      <c r="Y379" s="179"/>
      <c r="Z379" s="179"/>
    </row>
    <row r="380">
      <c r="A380" s="179"/>
      <c r="B380" s="179"/>
      <c r="C380" s="179"/>
      <c r="D380" s="179"/>
      <c r="E380" s="179"/>
      <c r="F380" s="179"/>
      <c r="G380" s="179"/>
      <c r="H380" s="179"/>
      <c r="I380" s="179"/>
      <c r="J380" s="179"/>
      <c r="K380" s="179"/>
      <c r="L380" s="179"/>
      <c r="M380" s="179"/>
      <c r="N380" s="179"/>
      <c r="O380" s="179"/>
      <c r="P380" s="179"/>
      <c r="Q380" s="179"/>
      <c r="R380" s="179"/>
      <c r="S380" s="179"/>
      <c r="T380" s="179"/>
      <c r="U380" s="179"/>
      <c r="V380" s="179"/>
      <c r="W380" s="179"/>
      <c r="X380" s="179"/>
      <c r="Y380" s="179"/>
      <c r="Z380" s="179"/>
    </row>
    <row r="381">
      <c r="A381" s="179"/>
      <c r="B381" s="179"/>
      <c r="C381" s="179"/>
      <c r="D381" s="179"/>
      <c r="E381" s="179"/>
      <c r="F381" s="179"/>
      <c r="G381" s="179"/>
      <c r="H381" s="179"/>
      <c r="I381" s="179"/>
      <c r="J381" s="179"/>
      <c r="K381" s="179"/>
      <c r="L381" s="179"/>
      <c r="M381" s="179"/>
      <c r="N381" s="179"/>
      <c r="O381" s="179"/>
      <c r="P381" s="179"/>
      <c r="Q381" s="179"/>
      <c r="R381" s="179"/>
      <c r="S381" s="179"/>
      <c r="T381" s="179"/>
      <c r="U381" s="179"/>
      <c r="V381" s="179"/>
      <c r="W381" s="179"/>
      <c r="X381" s="179"/>
      <c r="Y381" s="179"/>
      <c r="Z381" s="179"/>
    </row>
    <row r="382">
      <c r="A382" s="179"/>
      <c r="B382" s="179"/>
      <c r="C382" s="179"/>
      <c r="D382" s="179"/>
      <c r="E382" s="179"/>
      <c r="F382" s="179"/>
      <c r="G382" s="179"/>
      <c r="H382" s="179"/>
      <c r="I382" s="179"/>
      <c r="J382" s="179"/>
      <c r="K382" s="179"/>
      <c r="L382" s="179"/>
      <c r="M382" s="179"/>
      <c r="N382" s="179"/>
      <c r="O382" s="179"/>
      <c r="P382" s="179"/>
      <c r="Q382" s="179"/>
      <c r="R382" s="179"/>
      <c r="S382" s="179"/>
      <c r="T382" s="179"/>
      <c r="U382" s="179"/>
      <c r="V382" s="179"/>
      <c r="W382" s="179"/>
      <c r="X382" s="179"/>
      <c r="Y382" s="179"/>
      <c r="Z382" s="179"/>
    </row>
    <row r="383">
      <c r="A383" s="179"/>
      <c r="B383" s="179"/>
      <c r="C383" s="179"/>
      <c r="D383" s="179"/>
      <c r="E383" s="179"/>
      <c r="F383" s="179"/>
      <c r="G383" s="179"/>
      <c r="H383" s="179"/>
      <c r="I383" s="179"/>
      <c r="J383" s="179"/>
      <c r="K383" s="179"/>
      <c r="L383" s="179"/>
      <c r="M383" s="179"/>
      <c r="N383" s="179"/>
      <c r="O383" s="179"/>
      <c r="P383" s="179"/>
      <c r="Q383" s="179"/>
      <c r="R383" s="179"/>
      <c r="S383" s="179"/>
      <c r="T383" s="179"/>
      <c r="U383" s="179"/>
      <c r="V383" s="179"/>
      <c r="W383" s="179"/>
      <c r="X383" s="179"/>
      <c r="Y383" s="179"/>
      <c r="Z383" s="179"/>
    </row>
    <row r="384">
      <c r="A384" s="179"/>
      <c r="B384" s="179"/>
      <c r="C384" s="179"/>
      <c r="D384" s="179"/>
      <c r="E384" s="179"/>
      <c r="F384" s="179"/>
      <c r="G384" s="179"/>
      <c r="H384" s="179"/>
      <c r="I384" s="179"/>
      <c r="J384" s="179"/>
      <c r="K384" s="179"/>
      <c r="L384" s="179"/>
      <c r="M384" s="179"/>
      <c r="N384" s="179"/>
      <c r="O384" s="179"/>
      <c r="P384" s="179"/>
      <c r="Q384" s="179"/>
      <c r="R384" s="179"/>
      <c r="S384" s="179"/>
      <c r="T384" s="179"/>
      <c r="U384" s="179"/>
      <c r="V384" s="179"/>
      <c r="W384" s="179"/>
      <c r="X384" s="179"/>
      <c r="Y384" s="179"/>
      <c r="Z384" s="179"/>
    </row>
    <row r="385">
      <c r="A385" s="179"/>
      <c r="B385" s="179"/>
      <c r="C385" s="179"/>
      <c r="D385" s="179"/>
      <c r="E385" s="179"/>
      <c r="F385" s="179"/>
      <c r="G385" s="179"/>
      <c r="H385" s="179"/>
      <c r="I385" s="179"/>
      <c r="J385" s="179"/>
      <c r="K385" s="179"/>
      <c r="L385" s="179"/>
      <c r="M385" s="179"/>
      <c r="N385" s="179"/>
      <c r="O385" s="179"/>
      <c r="P385" s="179"/>
      <c r="Q385" s="179"/>
      <c r="R385" s="179"/>
      <c r="S385" s="179"/>
      <c r="T385" s="179"/>
      <c r="U385" s="179"/>
      <c r="V385" s="179"/>
      <c r="W385" s="179"/>
      <c r="X385" s="179"/>
      <c r="Y385" s="179"/>
      <c r="Z385" s="179"/>
    </row>
    <row r="386">
      <c r="A386" s="179"/>
      <c r="B386" s="179"/>
      <c r="C386" s="179"/>
      <c r="D386" s="179"/>
      <c r="E386" s="179"/>
      <c r="F386" s="179"/>
      <c r="G386" s="179"/>
      <c r="H386" s="179"/>
      <c r="I386" s="179"/>
      <c r="J386" s="179"/>
      <c r="K386" s="179"/>
      <c r="L386" s="179"/>
      <c r="M386" s="179"/>
      <c r="N386" s="179"/>
      <c r="O386" s="179"/>
      <c r="P386" s="179"/>
      <c r="Q386" s="179"/>
      <c r="R386" s="179"/>
      <c r="S386" s="179"/>
      <c r="T386" s="179"/>
      <c r="U386" s="179"/>
      <c r="V386" s="179"/>
      <c r="W386" s="179"/>
      <c r="X386" s="179"/>
      <c r="Y386" s="179"/>
      <c r="Z386" s="179"/>
    </row>
    <row r="387">
      <c r="A387" s="179"/>
      <c r="B387" s="179"/>
      <c r="C387" s="179"/>
      <c r="D387" s="179"/>
      <c r="E387" s="179"/>
      <c r="F387" s="179"/>
      <c r="G387" s="179"/>
      <c r="H387" s="179"/>
      <c r="I387" s="179"/>
      <c r="J387" s="179"/>
      <c r="K387" s="179"/>
      <c r="L387" s="179"/>
      <c r="M387" s="179"/>
      <c r="N387" s="179"/>
      <c r="O387" s="179"/>
      <c r="P387" s="179"/>
      <c r="Q387" s="179"/>
      <c r="R387" s="179"/>
      <c r="S387" s="179"/>
      <c r="T387" s="179"/>
      <c r="U387" s="179"/>
      <c r="V387" s="179"/>
      <c r="W387" s="179"/>
      <c r="X387" s="179"/>
      <c r="Y387" s="179"/>
      <c r="Z387" s="179"/>
    </row>
    <row r="388">
      <c r="A388" s="179"/>
      <c r="B388" s="179"/>
      <c r="C388" s="179"/>
      <c r="D388" s="179"/>
      <c r="E388" s="179"/>
      <c r="F388" s="179"/>
      <c r="G388" s="179"/>
      <c r="H388" s="179"/>
      <c r="I388" s="179"/>
      <c r="J388" s="179"/>
      <c r="K388" s="179"/>
      <c r="L388" s="179"/>
      <c r="M388" s="179"/>
      <c r="N388" s="179"/>
      <c r="O388" s="179"/>
      <c r="P388" s="179"/>
      <c r="Q388" s="179"/>
      <c r="R388" s="179"/>
      <c r="S388" s="179"/>
      <c r="T388" s="179"/>
      <c r="U388" s="179"/>
      <c r="V388" s="179"/>
      <c r="W388" s="179"/>
      <c r="X388" s="179"/>
      <c r="Y388" s="179"/>
      <c r="Z388" s="179"/>
    </row>
    <row r="389">
      <c r="A389" s="179"/>
      <c r="B389" s="179"/>
      <c r="C389" s="179"/>
      <c r="D389" s="179"/>
      <c r="E389" s="179"/>
      <c r="F389" s="179"/>
      <c r="G389" s="179"/>
      <c r="H389" s="179"/>
      <c r="I389" s="179"/>
      <c r="J389" s="179"/>
      <c r="K389" s="179"/>
      <c r="L389" s="179"/>
      <c r="M389" s="179"/>
      <c r="N389" s="179"/>
      <c r="O389" s="179"/>
      <c r="P389" s="179"/>
      <c r="Q389" s="179"/>
      <c r="R389" s="179"/>
      <c r="S389" s="179"/>
      <c r="T389" s="179"/>
      <c r="U389" s="179"/>
      <c r="V389" s="179"/>
      <c r="W389" s="179"/>
      <c r="X389" s="179"/>
      <c r="Y389" s="179"/>
      <c r="Z389" s="179"/>
    </row>
    <row r="390">
      <c r="A390" s="179"/>
      <c r="B390" s="179"/>
      <c r="C390" s="179"/>
      <c r="D390" s="179"/>
      <c r="E390" s="179"/>
      <c r="F390" s="179"/>
      <c r="G390" s="179"/>
      <c r="H390" s="179"/>
      <c r="I390" s="179"/>
      <c r="J390" s="179"/>
      <c r="K390" s="179"/>
      <c r="L390" s="179"/>
      <c r="M390" s="179"/>
      <c r="N390" s="179"/>
      <c r="O390" s="179"/>
      <c r="P390" s="179"/>
      <c r="Q390" s="179"/>
      <c r="R390" s="179"/>
      <c r="S390" s="179"/>
      <c r="T390" s="179"/>
      <c r="U390" s="179"/>
      <c r="V390" s="179"/>
      <c r="W390" s="179"/>
      <c r="X390" s="179"/>
      <c r="Y390" s="179"/>
      <c r="Z390" s="179"/>
    </row>
    <row r="391">
      <c r="A391" s="179"/>
      <c r="B391" s="179"/>
      <c r="C391" s="179"/>
      <c r="D391" s="179"/>
      <c r="E391" s="179"/>
      <c r="F391" s="179"/>
      <c r="G391" s="179"/>
      <c r="H391" s="179"/>
      <c r="I391" s="179"/>
      <c r="J391" s="179"/>
      <c r="K391" s="179"/>
      <c r="L391" s="179"/>
      <c r="M391" s="179"/>
      <c r="N391" s="179"/>
      <c r="O391" s="179"/>
      <c r="P391" s="179"/>
      <c r="Q391" s="179"/>
      <c r="R391" s="179"/>
      <c r="S391" s="179"/>
      <c r="T391" s="179"/>
      <c r="U391" s="179"/>
      <c r="V391" s="179"/>
      <c r="W391" s="179"/>
      <c r="X391" s="179"/>
      <c r="Y391" s="179"/>
      <c r="Z391" s="179"/>
    </row>
    <row r="392">
      <c r="A392" s="179"/>
      <c r="B392" s="179"/>
      <c r="C392" s="179"/>
      <c r="D392" s="179"/>
      <c r="E392" s="179"/>
      <c r="F392" s="179"/>
      <c r="G392" s="179"/>
      <c r="H392" s="179"/>
      <c r="I392" s="179"/>
      <c r="J392" s="179"/>
      <c r="K392" s="179"/>
      <c r="L392" s="179"/>
      <c r="M392" s="179"/>
      <c r="N392" s="179"/>
      <c r="O392" s="179"/>
      <c r="P392" s="179"/>
      <c r="Q392" s="179"/>
      <c r="R392" s="179"/>
      <c r="S392" s="179"/>
      <c r="T392" s="179"/>
      <c r="U392" s="179"/>
      <c r="V392" s="179"/>
      <c r="W392" s="179"/>
      <c r="X392" s="179"/>
      <c r="Y392" s="179"/>
      <c r="Z392" s="179"/>
    </row>
    <row r="393">
      <c r="A393" s="179"/>
      <c r="B393" s="179"/>
      <c r="C393" s="179"/>
      <c r="D393" s="179"/>
      <c r="E393" s="179"/>
      <c r="F393" s="179"/>
      <c r="G393" s="179"/>
      <c r="H393" s="179"/>
      <c r="I393" s="179"/>
      <c r="J393" s="179"/>
      <c r="K393" s="179"/>
      <c r="L393" s="179"/>
      <c r="M393" s="179"/>
      <c r="N393" s="179"/>
      <c r="O393" s="179"/>
      <c r="P393" s="179"/>
      <c r="Q393" s="179"/>
      <c r="R393" s="179"/>
      <c r="S393" s="179"/>
      <c r="T393" s="179"/>
      <c r="U393" s="179"/>
      <c r="V393" s="179"/>
      <c r="W393" s="179"/>
      <c r="X393" s="179"/>
      <c r="Y393" s="179"/>
      <c r="Z393" s="179"/>
    </row>
    <row r="394">
      <c r="A394" s="179"/>
      <c r="B394" s="179"/>
      <c r="C394" s="179"/>
      <c r="D394" s="179"/>
      <c r="E394" s="179"/>
      <c r="F394" s="179"/>
      <c r="G394" s="179"/>
      <c r="H394" s="179"/>
      <c r="I394" s="179"/>
      <c r="J394" s="179"/>
      <c r="K394" s="179"/>
      <c r="L394" s="179"/>
      <c r="M394" s="179"/>
      <c r="N394" s="179"/>
      <c r="O394" s="179"/>
      <c r="P394" s="179"/>
      <c r="Q394" s="179"/>
      <c r="R394" s="179"/>
      <c r="S394" s="179"/>
      <c r="T394" s="179"/>
      <c r="U394" s="179"/>
      <c r="V394" s="179"/>
      <c r="W394" s="179"/>
      <c r="X394" s="179"/>
      <c r="Y394" s="179"/>
      <c r="Z394" s="179"/>
    </row>
    <row r="395">
      <c r="A395" s="179"/>
      <c r="B395" s="179"/>
      <c r="C395" s="179"/>
      <c r="D395" s="179"/>
      <c r="E395" s="179"/>
      <c r="F395" s="179"/>
      <c r="G395" s="179"/>
      <c r="H395" s="179"/>
      <c r="I395" s="179"/>
      <c r="J395" s="179"/>
      <c r="K395" s="179"/>
      <c r="L395" s="179"/>
      <c r="M395" s="179"/>
      <c r="N395" s="179"/>
      <c r="O395" s="179"/>
      <c r="P395" s="179"/>
      <c r="Q395" s="179"/>
      <c r="R395" s="179"/>
      <c r="S395" s="179"/>
      <c r="T395" s="179"/>
      <c r="U395" s="179"/>
      <c r="V395" s="179"/>
      <c r="W395" s="179"/>
      <c r="X395" s="179"/>
      <c r="Y395" s="179"/>
      <c r="Z395" s="179"/>
    </row>
    <row r="396">
      <c r="A396" s="179"/>
      <c r="B396" s="179"/>
      <c r="C396" s="179"/>
      <c r="D396" s="179"/>
      <c r="E396" s="179"/>
      <c r="F396" s="179"/>
      <c r="G396" s="179"/>
      <c r="H396" s="179"/>
      <c r="I396" s="179"/>
      <c r="J396" s="179"/>
      <c r="K396" s="179"/>
      <c r="L396" s="179"/>
      <c r="M396" s="179"/>
      <c r="N396" s="179"/>
      <c r="O396" s="179"/>
      <c r="P396" s="179"/>
      <c r="Q396" s="179"/>
      <c r="R396" s="179"/>
      <c r="S396" s="179"/>
      <c r="T396" s="179"/>
      <c r="U396" s="179"/>
      <c r="V396" s="179"/>
      <c r="W396" s="179"/>
      <c r="X396" s="179"/>
      <c r="Y396" s="179"/>
      <c r="Z396" s="179"/>
    </row>
    <row r="397">
      <c r="A397" s="179"/>
      <c r="B397" s="179"/>
      <c r="C397" s="179"/>
      <c r="D397" s="179"/>
      <c r="E397" s="179"/>
      <c r="F397" s="179"/>
      <c r="G397" s="179"/>
      <c r="H397" s="179"/>
      <c r="I397" s="179"/>
      <c r="J397" s="179"/>
      <c r="K397" s="179"/>
      <c r="L397" s="179"/>
      <c r="M397" s="179"/>
      <c r="N397" s="179"/>
      <c r="O397" s="179"/>
      <c r="P397" s="179"/>
      <c r="Q397" s="179"/>
      <c r="R397" s="179"/>
      <c r="S397" s="179"/>
      <c r="T397" s="179"/>
      <c r="U397" s="179"/>
      <c r="V397" s="179"/>
      <c r="W397" s="179"/>
      <c r="X397" s="179"/>
      <c r="Y397" s="179"/>
      <c r="Z397" s="179"/>
    </row>
    <row r="398">
      <c r="A398" s="179"/>
      <c r="B398" s="179"/>
      <c r="C398" s="179"/>
      <c r="D398" s="179"/>
      <c r="E398" s="179"/>
      <c r="F398" s="179"/>
      <c r="G398" s="179"/>
      <c r="H398" s="179"/>
      <c r="I398" s="179"/>
      <c r="J398" s="179"/>
      <c r="K398" s="179"/>
      <c r="L398" s="179"/>
      <c r="M398" s="179"/>
      <c r="N398" s="179"/>
      <c r="O398" s="179"/>
      <c r="P398" s="179"/>
      <c r="Q398" s="179"/>
      <c r="R398" s="179"/>
      <c r="S398" s="179"/>
      <c r="T398" s="179"/>
      <c r="U398" s="179"/>
      <c r="V398" s="179"/>
      <c r="W398" s="179"/>
      <c r="X398" s="179"/>
      <c r="Y398" s="179"/>
      <c r="Z398" s="179"/>
    </row>
    <row r="399">
      <c r="A399" s="179"/>
      <c r="B399" s="179"/>
      <c r="C399" s="179"/>
      <c r="D399" s="179"/>
      <c r="E399" s="179"/>
      <c r="F399" s="179"/>
      <c r="G399" s="179"/>
      <c r="H399" s="179"/>
      <c r="I399" s="179"/>
      <c r="J399" s="179"/>
      <c r="K399" s="179"/>
      <c r="L399" s="179"/>
      <c r="M399" s="179"/>
      <c r="N399" s="179"/>
      <c r="O399" s="179"/>
      <c r="P399" s="179"/>
      <c r="Q399" s="179"/>
      <c r="R399" s="179"/>
      <c r="S399" s="179"/>
      <c r="T399" s="179"/>
      <c r="U399" s="179"/>
      <c r="V399" s="179"/>
      <c r="W399" s="179"/>
      <c r="X399" s="179"/>
      <c r="Y399" s="179"/>
      <c r="Z399" s="179"/>
    </row>
    <row r="400">
      <c r="A400" s="179"/>
      <c r="B400" s="179"/>
      <c r="C400" s="179"/>
      <c r="D400" s="179"/>
      <c r="E400" s="179"/>
      <c r="F400" s="179"/>
      <c r="G400" s="179"/>
      <c r="H400" s="179"/>
      <c r="I400" s="179"/>
      <c r="J400" s="179"/>
      <c r="K400" s="179"/>
      <c r="L400" s="179"/>
      <c r="M400" s="179"/>
      <c r="N400" s="179"/>
      <c r="O400" s="179"/>
      <c r="P400" s="179"/>
      <c r="Q400" s="179"/>
      <c r="R400" s="179"/>
      <c r="S400" s="179"/>
      <c r="T400" s="179"/>
      <c r="U400" s="179"/>
      <c r="V400" s="179"/>
      <c r="W400" s="179"/>
      <c r="X400" s="179"/>
      <c r="Y400" s="179"/>
      <c r="Z400" s="179"/>
    </row>
    <row r="401">
      <c r="A401" s="179"/>
      <c r="B401" s="179"/>
      <c r="C401" s="179"/>
      <c r="D401" s="179"/>
      <c r="E401" s="179"/>
      <c r="F401" s="179"/>
      <c r="G401" s="179"/>
      <c r="H401" s="179"/>
      <c r="I401" s="179"/>
      <c r="J401" s="179"/>
      <c r="K401" s="179"/>
      <c r="L401" s="179"/>
      <c r="M401" s="179"/>
      <c r="N401" s="179"/>
      <c r="O401" s="179"/>
      <c r="P401" s="179"/>
      <c r="Q401" s="179"/>
      <c r="R401" s="179"/>
      <c r="S401" s="179"/>
      <c r="T401" s="179"/>
      <c r="U401" s="179"/>
      <c r="V401" s="179"/>
      <c r="W401" s="179"/>
      <c r="X401" s="179"/>
      <c r="Y401" s="179"/>
      <c r="Z401" s="179"/>
    </row>
    <row r="402">
      <c r="A402" s="179"/>
      <c r="B402" s="179"/>
      <c r="C402" s="179"/>
      <c r="D402" s="179"/>
      <c r="E402" s="179"/>
      <c r="F402" s="179"/>
      <c r="G402" s="179"/>
      <c r="H402" s="179"/>
      <c r="I402" s="179"/>
      <c r="J402" s="179"/>
      <c r="K402" s="179"/>
      <c r="L402" s="179"/>
      <c r="M402" s="179"/>
      <c r="N402" s="179"/>
      <c r="O402" s="179"/>
      <c r="P402" s="179"/>
      <c r="Q402" s="179"/>
      <c r="R402" s="179"/>
      <c r="S402" s="179"/>
      <c r="T402" s="179"/>
      <c r="U402" s="179"/>
      <c r="V402" s="179"/>
      <c r="W402" s="179"/>
      <c r="X402" s="179"/>
      <c r="Y402" s="179"/>
      <c r="Z402" s="179"/>
    </row>
    <row r="403">
      <c r="A403" s="179"/>
      <c r="B403" s="179"/>
      <c r="C403" s="179"/>
      <c r="D403" s="179"/>
      <c r="E403" s="179"/>
      <c r="F403" s="179"/>
      <c r="G403" s="179"/>
      <c r="H403" s="179"/>
      <c r="I403" s="179"/>
      <c r="J403" s="179"/>
      <c r="K403" s="179"/>
      <c r="L403" s="179"/>
      <c r="M403" s="179"/>
      <c r="N403" s="179"/>
      <c r="O403" s="179"/>
      <c r="P403" s="179"/>
      <c r="Q403" s="179"/>
      <c r="R403" s="179"/>
      <c r="S403" s="179"/>
      <c r="T403" s="179"/>
      <c r="U403" s="179"/>
      <c r="V403" s="179"/>
      <c r="W403" s="179"/>
      <c r="X403" s="179"/>
      <c r="Y403" s="179"/>
      <c r="Z403" s="179"/>
    </row>
    <row r="404">
      <c r="A404" s="179"/>
      <c r="B404" s="179"/>
      <c r="C404" s="179"/>
      <c r="D404" s="179"/>
      <c r="E404" s="179"/>
      <c r="F404" s="179"/>
      <c r="G404" s="179"/>
      <c r="H404" s="179"/>
      <c r="I404" s="179"/>
      <c r="J404" s="179"/>
      <c r="K404" s="179"/>
      <c r="L404" s="179"/>
      <c r="M404" s="179"/>
      <c r="N404" s="179"/>
      <c r="O404" s="179"/>
      <c r="P404" s="179"/>
      <c r="Q404" s="179"/>
      <c r="R404" s="179"/>
      <c r="S404" s="179"/>
      <c r="T404" s="179"/>
      <c r="U404" s="179"/>
      <c r="V404" s="179"/>
      <c r="W404" s="179"/>
      <c r="X404" s="179"/>
      <c r="Y404" s="179"/>
      <c r="Z404" s="179"/>
    </row>
    <row r="405">
      <c r="A405" s="179"/>
      <c r="B405" s="179"/>
      <c r="C405" s="179"/>
      <c r="D405" s="179"/>
      <c r="E405" s="179"/>
      <c r="F405" s="179"/>
      <c r="G405" s="179"/>
      <c r="H405" s="179"/>
      <c r="I405" s="179"/>
      <c r="J405" s="179"/>
      <c r="K405" s="179"/>
      <c r="L405" s="179"/>
      <c r="M405" s="179"/>
      <c r="N405" s="179"/>
      <c r="O405" s="179"/>
      <c r="P405" s="179"/>
      <c r="Q405" s="179"/>
      <c r="R405" s="179"/>
      <c r="S405" s="179"/>
      <c r="T405" s="179"/>
      <c r="U405" s="179"/>
      <c r="V405" s="179"/>
      <c r="W405" s="179"/>
      <c r="X405" s="179"/>
      <c r="Y405" s="179"/>
      <c r="Z405" s="179"/>
    </row>
    <row r="406">
      <c r="A406" s="179"/>
      <c r="B406" s="179"/>
      <c r="C406" s="179"/>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row>
    <row r="407">
      <c r="A407" s="179"/>
      <c r="B407" s="179"/>
      <c r="C407" s="179"/>
      <c r="D407" s="179"/>
      <c r="E407" s="179"/>
      <c r="F407" s="179"/>
      <c r="G407" s="179"/>
      <c r="H407" s="179"/>
      <c r="I407" s="179"/>
      <c r="J407" s="179"/>
      <c r="K407" s="179"/>
      <c r="L407" s="179"/>
      <c r="M407" s="179"/>
      <c r="N407" s="179"/>
      <c r="O407" s="179"/>
      <c r="P407" s="179"/>
      <c r="Q407" s="179"/>
      <c r="R407" s="179"/>
      <c r="S407" s="179"/>
      <c r="T407" s="179"/>
      <c r="U407" s="179"/>
      <c r="V407" s="179"/>
      <c r="W407" s="179"/>
      <c r="X407" s="179"/>
      <c r="Y407" s="179"/>
      <c r="Z407" s="179"/>
    </row>
    <row r="408">
      <c r="A408" s="179"/>
      <c r="B408" s="179"/>
      <c r="C408" s="179"/>
      <c r="D408" s="179"/>
      <c r="E408" s="179"/>
      <c r="F408" s="179"/>
      <c r="G408" s="179"/>
      <c r="H408" s="179"/>
      <c r="I408" s="179"/>
      <c r="J408" s="179"/>
      <c r="K408" s="179"/>
      <c r="L408" s="179"/>
      <c r="M408" s="179"/>
      <c r="N408" s="179"/>
      <c r="O408" s="179"/>
      <c r="P408" s="179"/>
      <c r="Q408" s="179"/>
      <c r="R408" s="179"/>
      <c r="S408" s="179"/>
      <c r="T408" s="179"/>
      <c r="U408" s="179"/>
      <c r="V408" s="179"/>
      <c r="W408" s="179"/>
      <c r="X408" s="179"/>
      <c r="Y408" s="179"/>
      <c r="Z408" s="179"/>
    </row>
    <row r="409">
      <c r="A409" s="179"/>
      <c r="B409" s="179"/>
      <c r="C409" s="179"/>
      <c r="D409" s="179"/>
      <c r="E409" s="179"/>
      <c r="F409" s="179"/>
      <c r="G409" s="179"/>
      <c r="H409" s="179"/>
      <c r="I409" s="179"/>
      <c r="J409" s="179"/>
      <c r="K409" s="179"/>
      <c r="L409" s="179"/>
      <c r="M409" s="179"/>
      <c r="N409" s="179"/>
      <c r="O409" s="179"/>
      <c r="P409" s="179"/>
      <c r="Q409" s="179"/>
      <c r="R409" s="179"/>
      <c r="S409" s="179"/>
      <c r="T409" s="179"/>
      <c r="U409" s="179"/>
      <c r="V409" s="179"/>
      <c r="W409" s="179"/>
      <c r="X409" s="179"/>
      <c r="Y409" s="179"/>
      <c r="Z409" s="179"/>
    </row>
    <row r="410">
      <c r="A410" s="179"/>
      <c r="B410" s="179"/>
      <c r="C410" s="179"/>
      <c r="D410" s="179"/>
      <c r="E410" s="179"/>
      <c r="F410" s="179"/>
      <c r="G410" s="179"/>
      <c r="H410" s="179"/>
      <c r="I410" s="179"/>
      <c r="J410" s="179"/>
      <c r="K410" s="179"/>
      <c r="L410" s="179"/>
      <c r="M410" s="179"/>
      <c r="N410" s="179"/>
      <c r="O410" s="179"/>
      <c r="P410" s="179"/>
      <c r="Q410" s="179"/>
      <c r="R410" s="179"/>
      <c r="S410" s="179"/>
      <c r="T410" s="179"/>
      <c r="U410" s="179"/>
      <c r="V410" s="179"/>
      <c r="W410" s="179"/>
      <c r="X410" s="179"/>
      <c r="Y410" s="179"/>
      <c r="Z410" s="179"/>
    </row>
    <row r="411">
      <c r="A411" s="179"/>
      <c r="B411" s="179"/>
      <c r="C411" s="179"/>
      <c r="D411" s="179"/>
      <c r="E411" s="179"/>
      <c r="F411" s="179"/>
      <c r="G411" s="179"/>
      <c r="H411" s="179"/>
      <c r="I411" s="179"/>
      <c r="J411" s="179"/>
      <c r="K411" s="179"/>
      <c r="L411" s="179"/>
      <c r="M411" s="179"/>
      <c r="N411" s="179"/>
      <c r="O411" s="179"/>
      <c r="P411" s="179"/>
      <c r="Q411" s="179"/>
      <c r="R411" s="179"/>
      <c r="S411" s="179"/>
      <c r="T411" s="179"/>
      <c r="U411" s="179"/>
      <c r="V411" s="179"/>
      <c r="W411" s="179"/>
      <c r="X411" s="179"/>
      <c r="Y411" s="179"/>
      <c r="Z411" s="179"/>
    </row>
    <row r="412">
      <c r="A412" s="179"/>
      <c r="B412" s="179"/>
      <c r="C412" s="179"/>
      <c r="D412" s="179"/>
      <c r="E412" s="179"/>
      <c r="F412" s="179"/>
      <c r="G412" s="179"/>
      <c r="H412" s="179"/>
      <c r="I412" s="179"/>
      <c r="J412" s="179"/>
      <c r="K412" s="179"/>
      <c r="L412" s="179"/>
      <c r="M412" s="179"/>
      <c r="N412" s="179"/>
      <c r="O412" s="179"/>
      <c r="P412" s="179"/>
      <c r="Q412" s="179"/>
      <c r="R412" s="179"/>
      <c r="S412" s="179"/>
      <c r="T412" s="179"/>
      <c r="U412" s="179"/>
      <c r="V412" s="179"/>
      <c r="W412" s="179"/>
      <c r="X412" s="179"/>
      <c r="Y412" s="179"/>
      <c r="Z412" s="179"/>
    </row>
    <row r="413">
      <c r="A413" s="179"/>
      <c r="B413" s="179"/>
      <c r="C413" s="179"/>
      <c r="D413" s="179"/>
      <c r="E413" s="179"/>
      <c r="F413" s="179"/>
      <c r="G413" s="179"/>
      <c r="H413" s="179"/>
      <c r="I413" s="179"/>
      <c r="J413" s="179"/>
      <c r="K413" s="179"/>
      <c r="L413" s="179"/>
      <c r="M413" s="179"/>
      <c r="N413" s="179"/>
      <c r="O413" s="179"/>
      <c r="P413" s="179"/>
      <c r="Q413" s="179"/>
      <c r="R413" s="179"/>
      <c r="S413" s="179"/>
      <c r="T413" s="179"/>
      <c r="U413" s="179"/>
      <c r="V413" s="179"/>
      <c r="W413" s="179"/>
      <c r="X413" s="179"/>
      <c r="Y413" s="179"/>
      <c r="Z413" s="179"/>
    </row>
    <row r="414">
      <c r="A414" s="179"/>
      <c r="B414" s="179"/>
      <c r="C414" s="179"/>
      <c r="D414" s="179"/>
      <c r="E414" s="179"/>
      <c r="F414" s="179"/>
      <c r="G414" s="179"/>
      <c r="H414" s="179"/>
      <c r="I414" s="179"/>
      <c r="J414" s="179"/>
      <c r="K414" s="179"/>
      <c r="L414" s="179"/>
      <c r="M414" s="179"/>
      <c r="N414" s="179"/>
      <c r="O414" s="179"/>
      <c r="P414" s="179"/>
      <c r="Q414" s="179"/>
      <c r="R414" s="179"/>
      <c r="S414" s="179"/>
      <c r="T414" s="179"/>
      <c r="U414" s="179"/>
      <c r="V414" s="179"/>
      <c r="W414" s="179"/>
      <c r="X414" s="179"/>
      <c r="Y414" s="179"/>
      <c r="Z414" s="179"/>
    </row>
    <row r="415">
      <c r="A415" s="179"/>
      <c r="B415" s="179"/>
      <c r="C415" s="179"/>
      <c r="D415" s="179"/>
      <c r="E415" s="179"/>
      <c r="F415" s="179"/>
      <c r="G415" s="179"/>
      <c r="H415" s="179"/>
      <c r="I415" s="179"/>
      <c r="J415" s="179"/>
      <c r="K415" s="179"/>
      <c r="L415" s="179"/>
      <c r="M415" s="179"/>
      <c r="N415" s="179"/>
      <c r="O415" s="179"/>
      <c r="P415" s="179"/>
      <c r="Q415" s="179"/>
      <c r="R415" s="179"/>
      <c r="S415" s="179"/>
      <c r="T415" s="179"/>
      <c r="U415" s="179"/>
      <c r="V415" s="179"/>
      <c r="W415" s="179"/>
      <c r="X415" s="179"/>
      <c r="Y415" s="179"/>
      <c r="Z415" s="179"/>
    </row>
    <row r="416">
      <c r="A416" s="179"/>
      <c r="B416" s="179"/>
      <c r="C416" s="179"/>
      <c r="D416" s="179"/>
      <c r="E416" s="179"/>
      <c r="F416" s="179"/>
      <c r="G416" s="179"/>
      <c r="H416" s="179"/>
      <c r="I416" s="179"/>
      <c r="J416" s="179"/>
      <c r="K416" s="179"/>
      <c r="L416" s="179"/>
      <c r="M416" s="179"/>
      <c r="N416" s="179"/>
      <c r="O416" s="179"/>
      <c r="P416" s="179"/>
      <c r="Q416" s="179"/>
      <c r="R416" s="179"/>
      <c r="S416" s="179"/>
      <c r="T416" s="179"/>
      <c r="U416" s="179"/>
      <c r="V416" s="179"/>
      <c r="W416" s="179"/>
      <c r="X416" s="179"/>
      <c r="Y416" s="179"/>
      <c r="Z416" s="179"/>
    </row>
    <row r="417">
      <c r="A417" s="179"/>
      <c r="B417" s="179"/>
      <c r="C417" s="179"/>
      <c r="D417" s="179"/>
      <c r="E417" s="179"/>
      <c r="F417" s="179"/>
      <c r="G417" s="179"/>
      <c r="H417" s="179"/>
      <c r="I417" s="179"/>
      <c r="J417" s="179"/>
      <c r="K417" s="179"/>
      <c r="L417" s="179"/>
      <c r="M417" s="179"/>
      <c r="N417" s="179"/>
      <c r="O417" s="179"/>
      <c r="P417" s="179"/>
      <c r="Q417" s="179"/>
      <c r="R417" s="179"/>
      <c r="S417" s="179"/>
      <c r="T417" s="179"/>
      <c r="U417" s="179"/>
      <c r="V417" s="179"/>
      <c r="W417" s="179"/>
      <c r="X417" s="179"/>
      <c r="Y417" s="179"/>
      <c r="Z417" s="179"/>
    </row>
    <row r="418">
      <c r="A418" s="179"/>
      <c r="B418" s="179"/>
      <c r="C418" s="179"/>
      <c r="D418" s="179"/>
      <c r="E418" s="179"/>
      <c r="F418" s="179"/>
      <c r="G418" s="179"/>
      <c r="H418" s="179"/>
      <c r="I418" s="179"/>
      <c r="J418" s="179"/>
      <c r="K418" s="179"/>
      <c r="L418" s="179"/>
      <c r="M418" s="179"/>
      <c r="N418" s="179"/>
      <c r="O418" s="179"/>
      <c r="P418" s="179"/>
      <c r="Q418" s="179"/>
      <c r="R418" s="179"/>
      <c r="S418" s="179"/>
      <c r="T418" s="179"/>
      <c r="U418" s="179"/>
      <c r="V418" s="179"/>
      <c r="W418" s="179"/>
      <c r="X418" s="179"/>
      <c r="Y418" s="179"/>
      <c r="Z418" s="179"/>
    </row>
    <row r="419">
      <c r="A419" s="179"/>
      <c r="B419" s="179"/>
      <c r="C419" s="179"/>
      <c r="D419" s="179"/>
      <c r="E419" s="179"/>
      <c r="F419" s="179"/>
      <c r="G419" s="179"/>
      <c r="H419" s="179"/>
      <c r="I419" s="179"/>
      <c r="J419" s="179"/>
      <c r="K419" s="179"/>
      <c r="L419" s="179"/>
      <c r="M419" s="179"/>
      <c r="N419" s="179"/>
      <c r="O419" s="179"/>
      <c r="P419" s="179"/>
      <c r="Q419" s="179"/>
      <c r="R419" s="179"/>
      <c r="S419" s="179"/>
      <c r="T419" s="179"/>
      <c r="U419" s="179"/>
      <c r="V419" s="179"/>
      <c r="W419" s="179"/>
      <c r="X419" s="179"/>
      <c r="Y419" s="179"/>
      <c r="Z419" s="179"/>
    </row>
    <row r="420">
      <c r="A420" s="179"/>
      <c r="B420" s="179"/>
      <c r="C420" s="179"/>
      <c r="D420" s="179"/>
      <c r="E420" s="179"/>
      <c r="F420" s="179"/>
      <c r="G420" s="179"/>
      <c r="H420" s="179"/>
      <c r="I420" s="179"/>
      <c r="J420" s="179"/>
      <c r="K420" s="179"/>
      <c r="L420" s="179"/>
      <c r="M420" s="179"/>
      <c r="N420" s="179"/>
      <c r="O420" s="179"/>
      <c r="P420" s="179"/>
      <c r="Q420" s="179"/>
      <c r="R420" s="179"/>
      <c r="S420" s="179"/>
      <c r="T420" s="179"/>
      <c r="U420" s="179"/>
      <c r="V420" s="179"/>
      <c r="W420" s="179"/>
      <c r="X420" s="179"/>
      <c r="Y420" s="179"/>
      <c r="Z420" s="179"/>
    </row>
    <row r="421">
      <c r="A421" s="179"/>
      <c r="B421" s="179"/>
      <c r="C421" s="179"/>
      <c r="D421" s="179"/>
      <c r="E421" s="179"/>
      <c r="F421" s="179"/>
      <c r="G421" s="179"/>
      <c r="H421" s="179"/>
      <c r="I421" s="179"/>
      <c r="J421" s="179"/>
      <c r="K421" s="179"/>
      <c r="L421" s="179"/>
      <c r="M421" s="179"/>
      <c r="N421" s="179"/>
      <c r="O421" s="179"/>
      <c r="P421" s="179"/>
      <c r="Q421" s="179"/>
      <c r="R421" s="179"/>
      <c r="S421" s="179"/>
      <c r="T421" s="179"/>
      <c r="U421" s="179"/>
      <c r="V421" s="179"/>
      <c r="W421" s="179"/>
      <c r="X421" s="179"/>
      <c r="Y421" s="179"/>
      <c r="Z421" s="179"/>
    </row>
    <row r="422">
      <c r="A422" s="179"/>
      <c r="B422" s="179"/>
      <c r="C422" s="179"/>
      <c r="D422" s="179"/>
      <c r="E422" s="179"/>
      <c r="F422" s="179"/>
      <c r="G422" s="179"/>
      <c r="H422" s="179"/>
      <c r="I422" s="179"/>
      <c r="J422" s="179"/>
      <c r="K422" s="179"/>
      <c r="L422" s="179"/>
      <c r="M422" s="179"/>
      <c r="N422" s="179"/>
      <c r="O422" s="179"/>
      <c r="P422" s="179"/>
      <c r="Q422" s="179"/>
      <c r="R422" s="179"/>
      <c r="S422" s="179"/>
      <c r="T422" s="179"/>
      <c r="U422" s="179"/>
      <c r="V422" s="179"/>
      <c r="W422" s="179"/>
      <c r="X422" s="179"/>
      <c r="Y422" s="179"/>
      <c r="Z422" s="179"/>
    </row>
    <row r="423">
      <c r="A423" s="179"/>
      <c r="B423" s="179"/>
      <c r="C423" s="179"/>
      <c r="D423" s="179"/>
      <c r="E423" s="179"/>
      <c r="F423" s="179"/>
      <c r="G423" s="179"/>
      <c r="H423" s="179"/>
      <c r="I423" s="179"/>
      <c r="J423" s="179"/>
      <c r="K423" s="179"/>
      <c r="L423" s="179"/>
      <c r="M423" s="179"/>
      <c r="N423" s="179"/>
      <c r="O423" s="179"/>
      <c r="P423" s="179"/>
      <c r="Q423" s="179"/>
      <c r="R423" s="179"/>
      <c r="S423" s="179"/>
      <c r="T423" s="179"/>
      <c r="U423" s="179"/>
      <c r="V423" s="179"/>
      <c r="W423" s="179"/>
      <c r="X423" s="179"/>
      <c r="Y423" s="179"/>
      <c r="Z423" s="179"/>
    </row>
    <row r="424">
      <c r="A424" s="179"/>
      <c r="B424" s="179"/>
      <c r="C424" s="179"/>
      <c r="D424" s="179"/>
      <c r="E424" s="179"/>
      <c r="F424" s="179"/>
      <c r="G424" s="179"/>
      <c r="H424" s="179"/>
      <c r="I424" s="179"/>
      <c r="J424" s="179"/>
      <c r="K424" s="179"/>
      <c r="L424" s="179"/>
      <c r="M424" s="179"/>
      <c r="N424" s="179"/>
      <c r="O424" s="179"/>
      <c r="P424" s="179"/>
      <c r="Q424" s="179"/>
      <c r="R424" s="179"/>
      <c r="S424" s="179"/>
      <c r="T424" s="179"/>
      <c r="U424" s="179"/>
      <c r="V424" s="179"/>
      <c r="W424" s="179"/>
      <c r="X424" s="179"/>
      <c r="Y424" s="179"/>
      <c r="Z424" s="179"/>
    </row>
    <row r="425">
      <c r="A425" s="179"/>
      <c r="B425" s="179"/>
      <c r="C425" s="179"/>
      <c r="D425" s="179"/>
      <c r="E425" s="179"/>
      <c r="F425" s="179"/>
      <c r="G425" s="179"/>
      <c r="H425" s="179"/>
      <c r="I425" s="179"/>
      <c r="J425" s="179"/>
      <c r="K425" s="179"/>
      <c r="L425" s="179"/>
      <c r="M425" s="179"/>
      <c r="N425" s="179"/>
      <c r="O425" s="179"/>
      <c r="P425" s="179"/>
      <c r="Q425" s="179"/>
      <c r="R425" s="179"/>
      <c r="S425" s="179"/>
      <c r="T425" s="179"/>
      <c r="U425" s="179"/>
      <c r="V425" s="179"/>
      <c r="W425" s="179"/>
      <c r="X425" s="179"/>
      <c r="Y425" s="179"/>
      <c r="Z425" s="179"/>
    </row>
    <row r="426">
      <c r="A426" s="179"/>
      <c r="B426" s="179"/>
      <c r="C426" s="179"/>
      <c r="D426" s="179"/>
      <c r="E426" s="179"/>
      <c r="F426" s="179"/>
      <c r="G426" s="179"/>
      <c r="H426" s="179"/>
      <c r="I426" s="179"/>
      <c r="J426" s="179"/>
      <c r="K426" s="179"/>
      <c r="L426" s="179"/>
      <c r="M426" s="179"/>
      <c r="N426" s="179"/>
      <c r="O426" s="179"/>
      <c r="P426" s="179"/>
      <c r="Q426" s="179"/>
      <c r="R426" s="179"/>
      <c r="S426" s="179"/>
      <c r="T426" s="179"/>
      <c r="U426" s="179"/>
      <c r="V426" s="179"/>
      <c r="W426" s="179"/>
      <c r="X426" s="179"/>
      <c r="Y426" s="179"/>
      <c r="Z426" s="179"/>
    </row>
    <row r="427">
      <c r="A427" s="179"/>
      <c r="B427" s="179"/>
      <c r="C427" s="179"/>
      <c r="D427" s="179"/>
      <c r="E427" s="179"/>
      <c r="F427" s="179"/>
      <c r="G427" s="179"/>
      <c r="H427" s="179"/>
      <c r="I427" s="179"/>
      <c r="J427" s="179"/>
      <c r="K427" s="179"/>
      <c r="L427" s="179"/>
      <c r="M427" s="179"/>
      <c r="N427" s="179"/>
      <c r="O427" s="179"/>
      <c r="P427" s="179"/>
      <c r="Q427" s="179"/>
      <c r="R427" s="179"/>
      <c r="S427" s="179"/>
      <c r="T427" s="179"/>
      <c r="U427" s="179"/>
      <c r="V427" s="179"/>
      <c r="W427" s="179"/>
      <c r="X427" s="179"/>
      <c r="Y427" s="179"/>
      <c r="Z427" s="179"/>
    </row>
    <row r="428">
      <c r="A428" s="179"/>
      <c r="B428" s="179"/>
      <c r="C428" s="179"/>
      <c r="D428" s="179"/>
      <c r="E428" s="179"/>
      <c r="F428" s="179"/>
      <c r="G428" s="179"/>
      <c r="H428" s="179"/>
      <c r="I428" s="179"/>
      <c r="J428" s="179"/>
      <c r="K428" s="179"/>
      <c r="L428" s="179"/>
      <c r="M428" s="179"/>
      <c r="N428" s="179"/>
      <c r="O428" s="179"/>
      <c r="P428" s="179"/>
      <c r="Q428" s="179"/>
      <c r="R428" s="179"/>
      <c r="S428" s="179"/>
      <c r="T428" s="179"/>
      <c r="U428" s="179"/>
      <c r="V428" s="179"/>
      <c r="W428" s="179"/>
      <c r="X428" s="179"/>
      <c r="Y428" s="179"/>
      <c r="Z428" s="179"/>
    </row>
    <row r="429">
      <c r="A429" s="179"/>
      <c r="B429" s="179"/>
      <c r="C429" s="179"/>
      <c r="D429" s="179"/>
      <c r="E429" s="179"/>
      <c r="F429" s="179"/>
      <c r="G429" s="179"/>
      <c r="H429" s="179"/>
      <c r="I429" s="179"/>
      <c r="J429" s="179"/>
      <c r="K429" s="179"/>
      <c r="L429" s="179"/>
      <c r="M429" s="179"/>
      <c r="N429" s="179"/>
      <c r="O429" s="179"/>
      <c r="P429" s="179"/>
      <c r="Q429" s="179"/>
      <c r="R429" s="179"/>
      <c r="S429" s="179"/>
      <c r="T429" s="179"/>
      <c r="U429" s="179"/>
      <c r="V429" s="179"/>
      <c r="W429" s="179"/>
      <c r="X429" s="179"/>
      <c r="Y429" s="179"/>
      <c r="Z429" s="179"/>
    </row>
    <row r="430">
      <c r="A430" s="179"/>
      <c r="B430" s="179"/>
      <c r="C430" s="179"/>
      <c r="D430" s="179"/>
      <c r="E430" s="179"/>
      <c r="F430" s="179"/>
      <c r="G430" s="179"/>
      <c r="H430" s="179"/>
      <c r="I430" s="179"/>
      <c r="J430" s="179"/>
      <c r="K430" s="179"/>
      <c r="L430" s="179"/>
      <c r="M430" s="179"/>
      <c r="N430" s="179"/>
      <c r="O430" s="179"/>
      <c r="P430" s="179"/>
      <c r="Q430" s="179"/>
      <c r="R430" s="179"/>
      <c r="S430" s="179"/>
      <c r="T430" s="179"/>
      <c r="U430" s="179"/>
      <c r="V430" s="179"/>
      <c r="W430" s="179"/>
      <c r="X430" s="179"/>
      <c r="Y430" s="179"/>
      <c r="Z430" s="179"/>
    </row>
    <row r="431">
      <c r="A431" s="179"/>
      <c r="B431" s="179"/>
      <c r="C431" s="179"/>
      <c r="D431" s="179"/>
      <c r="E431" s="179"/>
      <c r="F431" s="179"/>
      <c r="G431" s="179"/>
      <c r="H431" s="179"/>
      <c r="I431" s="179"/>
      <c r="J431" s="179"/>
      <c r="K431" s="179"/>
      <c r="L431" s="179"/>
      <c r="M431" s="179"/>
      <c r="N431" s="179"/>
      <c r="O431" s="179"/>
      <c r="P431" s="179"/>
      <c r="Q431" s="179"/>
      <c r="R431" s="179"/>
      <c r="S431" s="179"/>
      <c r="T431" s="179"/>
      <c r="U431" s="179"/>
      <c r="V431" s="179"/>
      <c r="W431" s="179"/>
      <c r="X431" s="179"/>
      <c r="Y431" s="179"/>
      <c r="Z431" s="179"/>
    </row>
    <row r="432">
      <c r="A432" s="179"/>
      <c r="B432" s="179"/>
      <c r="C432" s="179"/>
      <c r="D432" s="179"/>
      <c r="E432" s="179"/>
      <c r="F432" s="179"/>
      <c r="G432" s="179"/>
      <c r="H432" s="179"/>
      <c r="I432" s="179"/>
      <c r="J432" s="179"/>
      <c r="K432" s="179"/>
      <c r="L432" s="179"/>
      <c r="M432" s="179"/>
      <c r="N432" s="179"/>
      <c r="O432" s="179"/>
      <c r="P432" s="179"/>
      <c r="Q432" s="179"/>
      <c r="R432" s="179"/>
      <c r="S432" s="179"/>
      <c r="T432" s="179"/>
      <c r="U432" s="179"/>
      <c r="V432" s="179"/>
      <c r="W432" s="179"/>
      <c r="X432" s="179"/>
      <c r="Y432" s="179"/>
      <c r="Z432" s="179"/>
    </row>
    <row r="433">
      <c r="A433" s="179"/>
      <c r="B433" s="179"/>
      <c r="C433" s="179"/>
      <c r="D433" s="179"/>
      <c r="E433" s="179"/>
      <c r="F433" s="179"/>
      <c r="G433" s="179"/>
      <c r="H433" s="179"/>
      <c r="I433" s="179"/>
      <c r="J433" s="179"/>
      <c r="K433" s="179"/>
      <c r="L433" s="179"/>
      <c r="M433" s="179"/>
      <c r="N433" s="179"/>
      <c r="O433" s="179"/>
      <c r="P433" s="179"/>
      <c r="Q433" s="179"/>
      <c r="R433" s="179"/>
      <c r="S433" s="179"/>
      <c r="T433" s="179"/>
      <c r="U433" s="179"/>
      <c r="V433" s="179"/>
      <c r="W433" s="179"/>
      <c r="X433" s="179"/>
      <c r="Y433" s="179"/>
      <c r="Z433" s="179"/>
    </row>
    <row r="434">
      <c r="A434" s="179"/>
      <c r="B434" s="179"/>
      <c r="C434" s="179"/>
      <c r="D434" s="179"/>
      <c r="E434" s="179"/>
      <c r="F434" s="179"/>
      <c r="G434" s="179"/>
      <c r="H434" s="179"/>
      <c r="I434" s="179"/>
      <c r="J434" s="179"/>
      <c r="K434" s="179"/>
      <c r="L434" s="179"/>
      <c r="M434" s="179"/>
      <c r="N434" s="179"/>
      <c r="O434" s="179"/>
      <c r="P434" s="179"/>
      <c r="Q434" s="179"/>
      <c r="R434" s="179"/>
      <c r="S434" s="179"/>
      <c r="T434" s="179"/>
      <c r="U434" s="179"/>
      <c r="V434" s="179"/>
      <c r="W434" s="179"/>
      <c r="X434" s="179"/>
      <c r="Y434" s="179"/>
      <c r="Z434" s="179"/>
    </row>
    <row r="435">
      <c r="A435" s="179"/>
      <c r="B435" s="179"/>
      <c r="C435" s="179"/>
      <c r="D435" s="179"/>
      <c r="E435" s="179"/>
      <c r="F435" s="179"/>
      <c r="G435" s="179"/>
      <c r="H435" s="179"/>
      <c r="I435" s="179"/>
      <c r="J435" s="179"/>
      <c r="K435" s="179"/>
      <c r="L435" s="179"/>
      <c r="M435" s="179"/>
      <c r="N435" s="179"/>
      <c r="O435" s="179"/>
      <c r="P435" s="179"/>
      <c r="Q435" s="179"/>
      <c r="R435" s="179"/>
      <c r="S435" s="179"/>
      <c r="T435" s="179"/>
      <c r="U435" s="179"/>
      <c r="V435" s="179"/>
      <c r="W435" s="179"/>
      <c r="X435" s="179"/>
      <c r="Y435" s="179"/>
      <c r="Z435" s="179"/>
    </row>
    <row r="436">
      <c r="A436" s="179"/>
      <c r="B436" s="179"/>
      <c r="C436" s="179"/>
      <c r="D436" s="179"/>
      <c r="E436" s="179"/>
      <c r="F436" s="179"/>
      <c r="G436" s="179"/>
      <c r="H436" s="179"/>
      <c r="I436" s="179"/>
      <c r="J436" s="179"/>
      <c r="K436" s="179"/>
      <c r="L436" s="179"/>
      <c r="M436" s="179"/>
      <c r="N436" s="179"/>
      <c r="O436" s="179"/>
      <c r="P436" s="179"/>
      <c r="Q436" s="179"/>
      <c r="R436" s="179"/>
      <c r="S436" s="179"/>
      <c r="T436" s="179"/>
      <c r="U436" s="179"/>
      <c r="V436" s="179"/>
      <c r="W436" s="179"/>
      <c r="X436" s="179"/>
      <c r="Y436" s="179"/>
      <c r="Z436" s="179"/>
    </row>
    <row r="437">
      <c r="A437" s="179"/>
      <c r="B437" s="179"/>
      <c r="C437" s="179"/>
      <c r="D437" s="179"/>
      <c r="E437" s="179"/>
      <c r="F437" s="179"/>
      <c r="G437" s="179"/>
      <c r="H437" s="179"/>
      <c r="I437" s="179"/>
      <c r="J437" s="179"/>
      <c r="K437" s="179"/>
      <c r="L437" s="179"/>
      <c r="M437" s="179"/>
      <c r="N437" s="179"/>
      <c r="O437" s="179"/>
      <c r="P437" s="179"/>
      <c r="Q437" s="179"/>
      <c r="R437" s="179"/>
      <c r="S437" s="179"/>
      <c r="T437" s="179"/>
      <c r="U437" s="179"/>
      <c r="V437" s="179"/>
      <c r="W437" s="179"/>
      <c r="X437" s="179"/>
      <c r="Y437" s="179"/>
      <c r="Z437" s="179"/>
    </row>
    <row r="438">
      <c r="A438" s="179"/>
      <c r="B438" s="179"/>
      <c r="C438" s="179"/>
      <c r="D438" s="179"/>
      <c r="E438" s="179"/>
      <c r="F438" s="179"/>
      <c r="G438" s="179"/>
      <c r="H438" s="179"/>
      <c r="I438" s="179"/>
      <c r="J438" s="179"/>
      <c r="K438" s="179"/>
      <c r="L438" s="179"/>
      <c r="M438" s="179"/>
      <c r="N438" s="179"/>
      <c r="O438" s="179"/>
      <c r="P438" s="179"/>
      <c r="Q438" s="179"/>
      <c r="R438" s="179"/>
      <c r="S438" s="179"/>
      <c r="T438" s="179"/>
      <c r="U438" s="179"/>
      <c r="V438" s="179"/>
      <c r="W438" s="179"/>
      <c r="X438" s="179"/>
      <c r="Y438" s="179"/>
      <c r="Z438" s="179"/>
    </row>
    <row r="439">
      <c r="A439" s="179"/>
      <c r="B439" s="179"/>
      <c r="C439" s="179"/>
      <c r="D439" s="179"/>
      <c r="E439" s="179"/>
      <c r="F439" s="179"/>
      <c r="G439" s="179"/>
      <c r="H439" s="179"/>
      <c r="I439" s="179"/>
      <c r="J439" s="179"/>
      <c r="K439" s="179"/>
      <c r="L439" s="179"/>
      <c r="M439" s="179"/>
      <c r="N439" s="179"/>
      <c r="O439" s="179"/>
      <c r="P439" s="179"/>
      <c r="Q439" s="179"/>
      <c r="R439" s="179"/>
      <c r="S439" s="179"/>
      <c r="T439" s="179"/>
      <c r="U439" s="179"/>
      <c r="V439" s="179"/>
      <c r="W439" s="179"/>
      <c r="X439" s="179"/>
      <c r="Y439" s="179"/>
      <c r="Z439" s="179"/>
    </row>
    <row r="440">
      <c r="A440" s="179"/>
      <c r="B440" s="179"/>
      <c r="C440" s="179"/>
      <c r="D440" s="179"/>
      <c r="E440" s="179"/>
      <c r="F440" s="179"/>
      <c r="G440" s="179"/>
      <c r="H440" s="179"/>
      <c r="I440" s="179"/>
      <c r="J440" s="179"/>
      <c r="K440" s="179"/>
      <c r="L440" s="179"/>
      <c r="M440" s="179"/>
      <c r="N440" s="179"/>
      <c r="O440" s="179"/>
      <c r="P440" s="179"/>
      <c r="Q440" s="179"/>
      <c r="R440" s="179"/>
      <c r="S440" s="179"/>
      <c r="T440" s="179"/>
      <c r="U440" s="179"/>
      <c r="V440" s="179"/>
      <c r="W440" s="179"/>
      <c r="X440" s="179"/>
      <c r="Y440" s="179"/>
      <c r="Z440" s="179"/>
    </row>
    <row r="441">
      <c r="A441" s="179"/>
      <c r="B441" s="179"/>
      <c r="C441" s="179"/>
      <c r="D441" s="179"/>
      <c r="E441" s="179"/>
      <c r="F441" s="179"/>
      <c r="G441" s="179"/>
      <c r="H441" s="179"/>
      <c r="I441" s="179"/>
      <c r="J441" s="179"/>
      <c r="K441" s="179"/>
      <c r="L441" s="179"/>
      <c r="M441" s="179"/>
      <c r="N441" s="179"/>
      <c r="O441" s="179"/>
      <c r="P441" s="179"/>
      <c r="Q441" s="179"/>
      <c r="R441" s="179"/>
      <c r="S441" s="179"/>
      <c r="T441" s="179"/>
      <c r="U441" s="179"/>
      <c r="V441" s="179"/>
      <c r="W441" s="179"/>
      <c r="X441" s="179"/>
      <c r="Y441" s="179"/>
      <c r="Z441" s="179"/>
    </row>
    <row r="442">
      <c r="A442" s="179"/>
      <c r="B442" s="179"/>
      <c r="C442" s="179"/>
      <c r="D442" s="179"/>
      <c r="E442" s="179"/>
      <c r="F442" s="179"/>
      <c r="G442" s="179"/>
      <c r="H442" s="179"/>
      <c r="I442" s="179"/>
      <c r="J442" s="179"/>
      <c r="K442" s="179"/>
      <c r="L442" s="179"/>
      <c r="M442" s="179"/>
      <c r="N442" s="179"/>
      <c r="O442" s="179"/>
      <c r="P442" s="179"/>
      <c r="Q442" s="179"/>
      <c r="R442" s="179"/>
      <c r="S442" s="179"/>
      <c r="T442" s="179"/>
      <c r="U442" s="179"/>
      <c r="V442" s="179"/>
      <c r="W442" s="179"/>
      <c r="X442" s="179"/>
      <c r="Y442" s="179"/>
      <c r="Z442" s="179"/>
    </row>
    <row r="443">
      <c r="A443" s="179"/>
      <c r="B443" s="179"/>
      <c r="C443" s="179"/>
      <c r="D443" s="179"/>
      <c r="E443" s="179"/>
      <c r="F443" s="179"/>
      <c r="G443" s="179"/>
      <c r="H443" s="179"/>
      <c r="I443" s="179"/>
      <c r="J443" s="179"/>
      <c r="K443" s="179"/>
      <c r="L443" s="179"/>
      <c r="M443" s="179"/>
      <c r="N443" s="179"/>
      <c r="O443" s="179"/>
      <c r="P443" s="179"/>
      <c r="Q443" s="179"/>
      <c r="R443" s="179"/>
      <c r="S443" s="179"/>
      <c r="T443" s="179"/>
      <c r="U443" s="179"/>
      <c r="V443" s="179"/>
      <c r="W443" s="179"/>
      <c r="X443" s="179"/>
      <c r="Y443" s="179"/>
      <c r="Z443" s="179"/>
    </row>
    <row r="444">
      <c r="A444" s="179"/>
      <c r="B444" s="179"/>
      <c r="C444" s="179"/>
      <c r="D444" s="179"/>
      <c r="E444" s="179"/>
      <c r="F444" s="179"/>
      <c r="G444" s="179"/>
      <c r="H444" s="179"/>
      <c r="I444" s="179"/>
      <c r="J444" s="179"/>
      <c r="K444" s="179"/>
      <c r="L444" s="179"/>
      <c r="M444" s="179"/>
      <c r="N444" s="179"/>
      <c r="O444" s="179"/>
      <c r="P444" s="179"/>
      <c r="Q444" s="179"/>
      <c r="R444" s="179"/>
      <c r="S444" s="179"/>
      <c r="T444" s="179"/>
      <c r="U444" s="179"/>
      <c r="V444" s="179"/>
      <c r="W444" s="179"/>
      <c r="X444" s="179"/>
      <c r="Y444" s="179"/>
      <c r="Z444" s="179"/>
    </row>
    <row r="445">
      <c r="A445" s="179"/>
      <c r="B445" s="179"/>
      <c r="C445" s="179"/>
      <c r="D445" s="179"/>
      <c r="E445" s="179"/>
      <c r="F445" s="179"/>
      <c r="G445" s="179"/>
      <c r="H445" s="179"/>
      <c r="I445" s="179"/>
      <c r="J445" s="179"/>
      <c r="K445" s="179"/>
      <c r="L445" s="179"/>
      <c r="M445" s="179"/>
      <c r="N445" s="179"/>
      <c r="O445" s="179"/>
      <c r="P445" s="179"/>
      <c r="Q445" s="179"/>
      <c r="R445" s="179"/>
      <c r="S445" s="179"/>
      <c r="T445" s="179"/>
      <c r="U445" s="179"/>
      <c r="V445" s="179"/>
      <c r="W445" s="179"/>
      <c r="X445" s="179"/>
      <c r="Y445" s="179"/>
      <c r="Z445" s="179"/>
    </row>
    <row r="446">
      <c r="A446" s="179"/>
      <c r="B446" s="179"/>
      <c r="C446" s="179"/>
      <c r="D446" s="179"/>
      <c r="E446" s="179"/>
      <c r="F446" s="179"/>
      <c r="G446" s="179"/>
      <c r="H446" s="179"/>
      <c r="I446" s="179"/>
      <c r="J446" s="179"/>
      <c r="K446" s="179"/>
      <c r="L446" s="179"/>
      <c r="M446" s="179"/>
      <c r="N446" s="179"/>
      <c r="O446" s="179"/>
      <c r="P446" s="179"/>
      <c r="Q446" s="179"/>
      <c r="R446" s="179"/>
      <c r="S446" s="179"/>
      <c r="T446" s="179"/>
      <c r="U446" s="179"/>
      <c r="V446" s="179"/>
      <c r="W446" s="179"/>
      <c r="X446" s="179"/>
      <c r="Y446" s="179"/>
      <c r="Z446" s="179"/>
    </row>
    <row r="447">
      <c r="A447" s="179"/>
      <c r="B447" s="179"/>
      <c r="C447" s="179"/>
      <c r="D447" s="179"/>
      <c r="E447" s="179"/>
      <c r="F447" s="179"/>
      <c r="G447" s="179"/>
      <c r="H447" s="179"/>
      <c r="I447" s="179"/>
      <c r="J447" s="179"/>
      <c r="K447" s="179"/>
      <c r="L447" s="179"/>
      <c r="M447" s="179"/>
      <c r="N447" s="179"/>
      <c r="O447" s="179"/>
      <c r="P447" s="179"/>
      <c r="Q447" s="179"/>
      <c r="R447" s="179"/>
      <c r="S447" s="179"/>
      <c r="T447" s="179"/>
      <c r="U447" s="179"/>
      <c r="V447" s="179"/>
      <c r="W447" s="179"/>
      <c r="X447" s="179"/>
      <c r="Y447" s="179"/>
      <c r="Z447" s="179"/>
    </row>
    <row r="448">
      <c r="A448" s="179"/>
      <c r="B448" s="179"/>
      <c r="C448" s="179"/>
      <c r="D448" s="179"/>
      <c r="E448" s="179"/>
      <c r="F448" s="179"/>
      <c r="G448" s="179"/>
      <c r="H448" s="179"/>
      <c r="I448" s="179"/>
      <c r="J448" s="179"/>
      <c r="K448" s="179"/>
      <c r="L448" s="179"/>
      <c r="M448" s="179"/>
      <c r="N448" s="179"/>
      <c r="O448" s="179"/>
      <c r="P448" s="179"/>
      <c r="Q448" s="179"/>
      <c r="R448" s="179"/>
      <c r="S448" s="179"/>
      <c r="T448" s="179"/>
      <c r="U448" s="179"/>
      <c r="V448" s="179"/>
      <c r="W448" s="179"/>
      <c r="X448" s="179"/>
      <c r="Y448" s="179"/>
      <c r="Z448" s="179"/>
    </row>
    <row r="449">
      <c r="A449" s="179"/>
      <c r="B449" s="179"/>
      <c r="C449" s="179"/>
      <c r="D449" s="179"/>
      <c r="E449" s="179"/>
      <c r="F449" s="179"/>
      <c r="G449" s="179"/>
      <c r="H449" s="179"/>
      <c r="I449" s="179"/>
      <c r="J449" s="179"/>
      <c r="K449" s="179"/>
      <c r="L449" s="179"/>
      <c r="M449" s="179"/>
      <c r="N449" s="179"/>
      <c r="O449" s="179"/>
      <c r="P449" s="179"/>
      <c r="Q449" s="179"/>
      <c r="R449" s="179"/>
      <c r="S449" s="179"/>
      <c r="T449" s="179"/>
      <c r="U449" s="179"/>
      <c r="V449" s="179"/>
      <c r="W449" s="179"/>
      <c r="X449" s="179"/>
      <c r="Y449" s="179"/>
      <c r="Z449" s="179"/>
    </row>
    <row r="450">
      <c r="A450" s="179"/>
      <c r="B450" s="179"/>
      <c r="C450" s="179"/>
      <c r="D450" s="179"/>
      <c r="E450" s="179"/>
      <c r="F450" s="179"/>
      <c r="G450" s="179"/>
      <c r="H450" s="179"/>
      <c r="I450" s="179"/>
      <c r="J450" s="179"/>
      <c r="K450" s="179"/>
      <c r="L450" s="179"/>
      <c r="M450" s="179"/>
      <c r="N450" s="179"/>
      <c r="O450" s="179"/>
      <c r="P450" s="179"/>
      <c r="Q450" s="179"/>
      <c r="R450" s="179"/>
      <c r="S450" s="179"/>
      <c r="T450" s="179"/>
      <c r="U450" s="179"/>
      <c r="V450" s="179"/>
      <c r="W450" s="179"/>
      <c r="X450" s="179"/>
      <c r="Y450" s="179"/>
      <c r="Z450" s="179"/>
    </row>
    <row r="451">
      <c r="A451" s="179"/>
      <c r="B451" s="179"/>
      <c r="C451" s="179"/>
      <c r="D451" s="179"/>
      <c r="E451" s="179"/>
      <c r="F451" s="179"/>
      <c r="G451" s="179"/>
      <c r="H451" s="179"/>
      <c r="I451" s="179"/>
      <c r="J451" s="179"/>
      <c r="K451" s="179"/>
      <c r="L451" s="179"/>
      <c r="M451" s="179"/>
      <c r="N451" s="179"/>
      <c r="O451" s="179"/>
      <c r="P451" s="179"/>
      <c r="Q451" s="179"/>
      <c r="R451" s="179"/>
      <c r="S451" s="179"/>
      <c r="T451" s="179"/>
      <c r="U451" s="179"/>
      <c r="V451" s="179"/>
      <c r="W451" s="179"/>
      <c r="X451" s="179"/>
      <c r="Y451" s="179"/>
      <c r="Z451" s="179"/>
    </row>
    <row r="452">
      <c r="A452" s="179"/>
      <c r="B452" s="179"/>
      <c r="C452" s="179"/>
      <c r="D452" s="179"/>
      <c r="E452" s="179"/>
      <c r="F452" s="179"/>
      <c r="G452" s="179"/>
      <c r="H452" s="179"/>
      <c r="I452" s="179"/>
      <c r="J452" s="179"/>
      <c r="K452" s="179"/>
      <c r="L452" s="179"/>
      <c r="M452" s="179"/>
      <c r="N452" s="179"/>
      <c r="O452" s="179"/>
      <c r="P452" s="179"/>
      <c r="Q452" s="179"/>
      <c r="R452" s="179"/>
      <c r="S452" s="179"/>
      <c r="T452" s="179"/>
      <c r="U452" s="179"/>
      <c r="V452" s="179"/>
      <c r="W452" s="179"/>
      <c r="X452" s="179"/>
      <c r="Y452" s="179"/>
      <c r="Z452" s="179"/>
    </row>
    <row r="453">
      <c r="A453" s="179"/>
      <c r="B453" s="179"/>
      <c r="C453" s="179"/>
      <c r="D453" s="179"/>
      <c r="E453" s="179"/>
      <c r="F453" s="179"/>
      <c r="G453" s="179"/>
      <c r="H453" s="179"/>
      <c r="I453" s="179"/>
      <c r="J453" s="179"/>
      <c r="K453" s="179"/>
      <c r="L453" s="179"/>
      <c r="M453" s="179"/>
      <c r="N453" s="179"/>
      <c r="O453" s="179"/>
      <c r="P453" s="179"/>
      <c r="Q453" s="179"/>
      <c r="R453" s="179"/>
      <c r="S453" s="179"/>
      <c r="T453" s="179"/>
      <c r="U453" s="179"/>
      <c r="V453" s="179"/>
      <c r="W453" s="179"/>
      <c r="X453" s="179"/>
      <c r="Y453" s="179"/>
      <c r="Z453" s="179"/>
    </row>
    <row r="454">
      <c r="A454" s="179"/>
      <c r="B454" s="179"/>
      <c r="C454" s="179"/>
      <c r="D454" s="179"/>
      <c r="E454" s="179"/>
      <c r="F454" s="179"/>
      <c r="G454" s="179"/>
      <c r="H454" s="179"/>
      <c r="I454" s="179"/>
      <c r="J454" s="179"/>
      <c r="K454" s="179"/>
      <c r="L454" s="179"/>
      <c r="M454" s="179"/>
      <c r="N454" s="179"/>
      <c r="O454" s="179"/>
      <c r="P454" s="179"/>
      <c r="Q454" s="179"/>
      <c r="R454" s="179"/>
      <c r="S454" s="179"/>
      <c r="T454" s="179"/>
      <c r="U454" s="179"/>
      <c r="V454" s="179"/>
      <c r="W454" s="179"/>
      <c r="X454" s="179"/>
      <c r="Y454" s="179"/>
      <c r="Z454" s="179"/>
    </row>
    <row r="455">
      <c r="A455" s="179"/>
      <c r="B455" s="179"/>
      <c r="C455" s="179"/>
      <c r="D455" s="179"/>
      <c r="E455" s="179"/>
      <c r="F455" s="179"/>
      <c r="G455" s="179"/>
      <c r="H455" s="179"/>
      <c r="I455" s="179"/>
      <c r="J455" s="179"/>
      <c r="K455" s="179"/>
      <c r="L455" s="179"/>
      <c r="M455" s="179"/>
      <c r="N455" s="179"/>
      <c r="O455" s="179"/>
      <c r="P455" s="179"/>
      <c r="Q455" s="179"/>
      <c r="R455" s="179"/>
      <c r="S455" s="179"/>
      <c r="T455" s="179"/>
      <c r="U455" s="179"/>
      <c r="V455" s="179"/>
      <c r="W455" s="179"/>
      <c r="X455" s="179"/>
      <c r="Y455" s="179"/>
      <c r="Z455" s="179"/>
    </row>
    <row r="456">
      <c r="A456" s="179"/>
      <c r="B456" s="179"/>
      <c r="C456" s="179"/>
      <c r="D456" s="179"/>
      <c r="E456" s="179"/>
      <c r="F456" s="179"/>
      <c r="G456" s="179"/>
      <c r="H456" s="179"/>
      <c r="I456" s="179"/>
      <c r="J456" s="179"/>
      <c r="K456" s="179"/>
      <c r="L456" s="179"/>
      <c r="M456" s="179"/>
      <c r="N456" s="179"/>
      <c r="O456" s="179"/>
      <c r="P456" s="179"/>
      <c r="Q456" s="179"/>
      <c r="R456" s="179"/>
      <c r="S456" s="179"/>
      <c r="T456" s="179"/>
      <c r="U456" s="179"/>
      <c r="V456" s="179"/>
      <c r="W456" s="179"/>
      <c r="X456" s="179"/>
      <c r="Y456" s="179"/>
      <c r="Z456" s="179"/>
    </row>
    <row r="457">
      <c r="A457" s="179"/>
      <c r="B457" s="179"/>
      <c r="C457" s="179"/>
      <c r="D457" s="179"/>
      <c r="E457" s="179"/>
      <c r="F457" s="179"/>
      <c r="G457" s="179"/>
      <c r="H457" s="179"/>
      <c r="I457" s="179"/>
      <c r="J457" s="179"/>
      <c r="K457" s="179"/>
      <c r="L457" s="179"/>
      <c r="M457" s="179"/>
      <c r="N457" s="179"/>
      <c r="O457" s="179"/>
      <c r="P457" s="179"/>
      <c r="Q457" s="179"/>
      <c r="R457" s="179"/>
      <c r="S457" s="179"/>
      <c r="T457" s="179"/>
      <c r="U457" s="179"/>
      <c r="V457" s="179"/>
      <c r="W457" s="179"/>
      <c r="X457" s="179"/>
      <c r="Y457" s="179"/>
      <c r="Z457" s="179"/>
    </row>
    <row r="458">
      <c r="A458" s="179"/>
      <c r="B458" s="179"/>
      <c r="C458" s="179"/>
      <c r="D458" s="179"/>
      <c r="E458" s="179"/>
      <c r="F458" s="179"/>
      <c r="G458" s="179"/>
      <c r="H458" s="179"/>
      <c r="I458" s="179"/>
      <c r="J458" s="179"/>
      <c r="K458" s="179"/>
      <c r="L458" s="179"/>
      <c r="M458" s="179"/>
      <c r="N458" s="179"/>
      <c r="O458" s="179"/>
      <c r="P458" s="179"/>
      <c r="Q458" s="179"/>
      <c r="R458" s="179"/>
      <c r="S458" s="179"/>
      <c r="T458" s="179"/>
      <c r="U458" s="179"/>
      <c r="V458" s="179"/>
      <c r="W458" s="179"/>
      <c r="X458" s="179"/>
      <c r="Y458" s="179"/>
      <c r="Z458" s="179"/>
    </row>
    <row r="459">
      <c r="A459" s="179"/>
      <c r="B459" s="179"/>
      <c r="C459" s="179"/>
      <c r="D459" s="179"/>
      <c r="E459" s="179"/>
      <c r="F459" s="179"/>
      <c r="G459" s="179"/>
      <c r="H459" s="179"/>
      <c r="I459" s="179"/>
      <c r="J459" s="179"/>
      <c r="K459" s="179"/>
      <c r="L459" s="179"/>
      <c r="M459" s="179"/>
      <c r="N459" s="179"/>
      <c r="O459" s="179"/>
      <c r="P459" s="179"/>
      <c r="Q459" s="179"/>
      <c r="R459" s="179"/>
      <c r="S459" s="179"/>
      <c r="T459" s="179"/>
      <c r="U459" s="179"/>
      <c r="V459" s="179"/>
      <c r="W459" s="179"/>
      <c r="X459" s="179"/>
      <c r="Y459" s="179"/>
      <c r="Z459" s="179"/>
    </row>
    <row r="460">
      <c r="A460" s="179"/>
      <c r="B460" s="179"/>
      <c r="C460" s="179"/>
      <c r="D460" s="179"/>
      <c r="E460" s="179"/>
      <c r="F460" s="179"/>
      <c r="G460" s="179"/>
      <c r="H460" s="179"/>
      <c r="I460" s="179"/>
      <c r="J460" s="179"/>
      <c r="K460" s="179"/>
      <c r="L460" s="179"/>
      <c r="M460" s="179"/>
      <c r="N460" s="179"/>
      <c r="O460" s="179"/>
      <c r="P460" s="179"/>
      <c r="Q460" s="179"/>
      <c r="R460" s="179"/>
      <c r="S460" s="179"/>
      <c r="T460" s="179"/>
      <c r="U460" s="179"/>
      <c r="V460" s="179"/>
      <c r="W460" s="179"/>
      <c r="X460" s="179"/>
      <c r="Y460" s="179"/>
      <c r="Z460" s="179"/>
    </row>
    <row r="461">
      <c r="A461" s="179"/>
      <c r="B461" s="179"/>
      <c r="C461" s="179"/>
      <c r="D461" s="179"/>
      <c r="E461" s="179"/>
      <c r="F461" s="179"/>
      <c r="G461" s="179"/>
      <c r="H461" s="179"/>
      <c r="I461" s="179"/>
      <c r="J461" s="179"/>
      <c r="K461" s="179"/>
      <c r="L461" s="179"/>
      <c r="M461" s="179"/>
      <c r="N461" s="179"/>
      <c r="O461" s="179"/>
      <c r="P461" s="179"/>
      <c r="Q461" s="179"/>
      <c r="R461" s="179"/>
      <c r="S461" s="179"/>
      <c r="T461" s="179"/>
      <c r="U461" s="179"/>
      <c r="V461" s="179"/>
      <c r="W461" s="179"/>
      <c r="X461" s="179"/>
      <c r="Y461" s="179"/>
      <c r="Z461" s="179"/>
    </row>
    <row r="462">
      <c r="A462" s="179"/>
      <c r="B462" s="179"/>
      <c r="C462" s="179"/>
      <c r="D462" s="179"/>
      <c r="E462" s="179"/>
      <c r="F462" s="179"/>
      <c r="G462" s="179"/>
      <c r="H462" s="179"/>
      <c r="I462" s="179"/>
      <c r="J462" s="179"/>
      <c r="K462" s="179"/>
      <c r="L462" s="179"/>
      <c r="M462" s="179"/>
      <c r="N462" s="179"/>
      <c r="O462" s="179"/>
      <c r="P462" s="179"/>
      <c r="Q462" s="179"/>
      <c r="R462" s="179"/>
      <c r="S462" s="179"/>
      <c r="T462" s="179"/>
      <c r="U462" s="179"/>
      <c r="V462" s="179"/>
      <c r="W462" s="179"/>
      <c r="X462" s="179"/>
      <c r="Y462" s="179"/>
      <c r="Z462" s="179"/>
    </row>
    <row r="463">
      <c r="A463" s="179"/>
      <c r="B463" s="179"/>
      <c r="C463" s="179"/>
      <c r="D463" s="179"/>
      <c r="E463" s="179"/>
      <c r="F463" s="179"/>
      <c r="G463" s="179"/>
      <c r="H463" s="179"/>
      <c r="I463" s="179"/>
      <c r="J463" s="179"/>
      <c r="K463" s="179"/>
      <c r="L463" s="179"/>
      <c r="M463" s="179"/>
      <c r="N463" s="179"/>
      <c r="O463" s="179"/>
      <c r="P463" s="179"/>
      <c r="Q463" s="179"/>
      <c r="R463" s="179"/>
      <c r="S463" s="179"/>
      <c r="T463" s="179"/>
      <c r="U463" s="179"/>
      <c r="V463" s="179"/>
      <c r="W463" s="179"/>
      <c r="X463" s="179"/>
      <c r="Y463" s="179"/>
      <c r="Z463" s="179"/>
    </row>
    <row r="464">
      <c r="A464" s="179"/>
      <c r="B464" s="179"/>
      <c r="C464" s="179"/>
      <c r="D464" s="179"/>
      <c r="E464" s="179"/>
      <c r="F464" s="179"/>
      <c r="G464" s="179"/>
      <c r="H464" s="179"/>
      <c r="I464" s="179"/>
      <c r="J464" s="179"/>
      <c r="K464" s="179"/>
      <c r="L464" s="179"/>
      <c r="M464" s="179"/>
      <c r="N464" s="179"/>
      <c r="O464" s="179"/>
      <c r="P464" s="179"/>
      <c r="Q464" s="179"/>
      <c r="R464" s="179"/>
      <c r="S464" s="179"/>
      <c r="T464" s="179"/>
      <c r="U464" s="179"/>
      <c r="V464" s="179"/>
      <c r="W464" s="179"/>
      <c r="X464" s="179"/>
      <c r="Y464" s="179"/>
      <c r="Z464" s="179"/>
    </row>
    <row r="465">
      <c r="A465" s="179"/>
      <c r="B465" s="179"/>
      <c r="C465" s="179"/>
      <c r="D465" s="179"/>
      <c r="E465" s="179"/>
      <c r="F465" s="179"/>
      <c r="G465" s="179"/>
      <c r="H465" s="179"/>
      <c r="I465" s="179"/>
      <c r="J465" s="179"/>
      <c r="K465" s="179"/>
      <c r="L465" s="179"/>
      <c r="M465" s="179"/>
      <c r="N465" s="179"/>
      <c r="O465" s="179"/>
      <c r="P465" s="179"/>
      <c r="Q465" s="179"/>
      <c r="R465" s="179"/>
      <c r="S465" s="179"/>
      <c r="T465" s="179"/>
      <c r="U465" s="179"/>
      <c r="V465" s="179"/>
      <c r="W465" s="179"/>
      <c r="X465" s="179"/>
      <c r="Y465" s="179"/>
      <c r="Z465" s="179"/>
    </row>
    <row r="466">
      <c r="A466" s="179"/>
      <c r="B466" s="179"/>
      <c r="C466" s="179"/>
      <c r="D466" s="179"/>
      <c r="E466" s="179"/>
      <c r="F466" s="179"/>
      <c r="G466" s="179"/>
      <c r="H466" s="179"/>
      <c r="I466" s="179"/>
      <c r="J466" s="179"/>
      <c r="K466" s="179"/>
      <c r="L466" s="179"/>
      <c r="M466" s="179"/>
      <c r="N466" s="179"/>
      <c r="O466" s="179"/>
      <c r="P466" s="179"/>
      <c r="Q466" s="179"/>
      <c r="R466" s="179"/>
      <c r="S466" s="179"/>
      <c r="T466" s="179"/>
      <c r="U466" s="179"/>
      <c r="V466" s="179"/>
      <c r="W466" s="179"/>
      <c r="X466" s="179"/>
      <c r="Y466" s="179"/>
      <c r="Z466" s="179"/>
    </row>
    <row r="467">
      <c r="A467" s="179"/>
      <c r="B467" s="179"/>
      <c r="C467" s="179"/>
      <c r="D467" s="179"/>
      <c r="E467" s="179"/>
      <c r="F467" s="179"/>
      <c r="G467" s="179"/>
      <c r="H467" s="179"/>
      <c r="I467" s="179"/>
      <c r="J467" s="179"/>
      <c r="K467" s="179"/>
      <c r="L467" s="179"/>
      <c r="M467" s="179"/>
      <c r="N467" s="179"/>
      <c r="O467" s="179"/>
      <c r="P467" s="179"/>
      <c r="Q467" s="179"/>
      <c r="R467" s="179"/>
      <c r="S467" s="179"/>
      <c r="T467" s="179"/>
      <c r="U467" s="179"/>
      <c r="V467" s="179"/>
      <c r="W467" s="179"/>
      <c r="X467" s="179"/>
      <c r="Y467" s="179"/>
      <c r="Z467" s="179"/>
    </row>
    <row r="468">
      <c r="A468" s="179"/>
      <c r="B468" s="179"/>
      <c r="C468" s="179"/>
      <c r="D468" s="179"/>
      <c r="E468" s="179"/>
      <c r="F468" s="179"/>
      <c r="G468" s="179"/>
      <c r="H468" s="179"/>
      <c r="I468" s="179"/>
      <c r="J468" s="179"/>
      <c r="K468" s="179"/>
      <c r="L468" s="179"/>
      <c r="M468" s="179"/>
      <c r="N468" s="179"/>
      <c r="O468" s="179"/>
      <c r="P468" s="179"/>
      <c r="Q468" s="179"/>
      <c r="R468" s="179"/>
      <c r="S468" s="179"/>
      <c r="T468" s="179"/>
      <c r="U468" s="179"/>
      <c r="V468" s="179"/>
      <c r="W468" s="179"/>
      <c r="X468" s="179"/>
      <c r="Y468" s="179"/>
      <c r="Z468" s="179"/>
    </row>
    <row r="469">
      <c r="A469" s="179"/>
      <c r="B469" s="179"/>
      <c r="C469" s="179"/>
      <c r="D469" s="179"/>
      <c r="E469" s="179"/>
      <c r="F469" s="179"/>
      <c r="G469" s="179"/>
      <c r="H469" s="179"/>
      <c r="I469" s="179"/>
      <c r="J469" s="179"/>
      <c r="K469" s="179"/>
      <c r="L469" s="179"/>
      <c r="M469" s="179"/>
      <c r="N469" s="179"/>
      <c r="O469" s="179"/>
      <c r="P469" s="179"/>
      <c r="Q469" s="179"/>
      <c r="R469" s="179"/>
      <c r="S469" s="179"/>
      <c r="T469" s="179"/>
      <c r="U469" s="179"/>
      <c r="V469" s="179"/>
      <c r="W469" s="179"/>
      <c r="X469" s="179"/>
      <c r="Y469" s="179"/>
      <c r="Z469" s="179"/>
    </row>
    <row r="470">
      <c r="A470" s="179"/>
      <c r="B470" s="179"/>
      <c r="C470" s="179"/>
      <c r="D470" s="179"/>
      <c r="E470" s="179"/>
      <c r="F470" s="179"/>
      <c r="G470" s="179"/>
      <c r="H470" s="179"/>
      <c r="I470" s="179"/>
      <c r="J470" s="179"/>
      <c r="K470" s="179"/>
      <c r="L470" s="179"/>
      <c r="M470" s="179"/>
      <c r="N470" s="179"/>
      <c r="O470" s="179"/>
      <c r="P470" s="179"/>
      <c r="Q470" s="179"/>
      <c r="R470" s="179"/>
      <c r="S470" s="179"/>
      <c r="T470" s="179"/>
      <c r="U470" s="179"/>
      <c r="V470" s="179"/>
      <c r="W470" s="179"/>
      <c r="X470" s="179"/>
      <c r="Y470" s="179"/>
      <c r="Z470" s="179"/>
    </row>
    <row r="471">
      <c r="A471" s="179"/>
      <c r="B471" s="179"/>
      <c r="C471" s="179"/>
      <c r="D471" s="179"/>
      <c r="E471" s="179"/>
      <c r="F471" s="179"/>
      <c r="G471" s="179"/>
      <c r="H471" s="179"/>
      <c r="I471" s="179"/>
      <c r="J471" s="179"/>
      <c r="K471" s="179"/>
      <c r="L471" s="179"/>
      <c r="M471" s="179"/>
      <c r="N471" s="179"/>
      <c r="O471" s="179"/>
      <c r="P471" s="179"/>
      <c r="Q471" s="179"/>
      <c r="R471" s="179"/>
      <c r="S471" s="179"/>
      <c r="T471" s="179"/>
      <c r="U471" s="179"/>
      <c r="V471" s="179"/>
      <c r="W471" s="179"/>
      <c r="X471" s="179"/>
      <c r="Y471" s="179"/>
      <c r="Z471" s="179"/>
    </row>
    <row r="472">
      <c r="A472" s="179"/>
      <c r="B472" s="179"/>
      <c r="C472" s="179"/>
      <c r="D472" s="179"/>
      <c r="E472" s="179"/>
      <c r="F472" s="179"/>
      <c r="G472" s="179"/>
      <c r="H472" s="179"/>
      <c r="I472" s="179"/>
      <c r="J472" s="179"/>
      <c r="K472" s="179"/>
      <c r="L472" s="179"/>
      <c r="M472" s="179"/>
      <c r="N472" s="179"/>
      <c r="O472" s="179"/>
      <c r="P472" s="179"/>
      <c r="Q472" s="179"/>
      <c r="R472" s="179"/>
      <c r="S472" s="179"/>
      <c r="T472" s="179"/>
      <c r="U472" s="179"/>
      <c r="V472" s="179"/>
      <c r="W472" s="179"/>
      <c r="X472" s="179"/>
      <c r="Y472" s="179"/>
      <c r="Z472" s="179"/>
    </row>
    <row r="473">
      <c r="A473" s="179"/>
      <c r="B473" s="179"/>
      <c r="C473" s="179"/>
      <c r="D473" s="179"/>
      <c r="E473" s="179"/>
      <c r="F473" s="179"/>
      <c r="G473" s="179"/>
      <c r="H473" s="179"/>
      <c r="I473" s="179"/>
      <c r="J473" s="179"/>
      <c r="K473" s="179"/>
      <c r="L473" s="179"/>
      <c r="M473" s="179"/>
      <c r="N473" s="179"/>
      <c r="O473" s="179"/>
      <c r="P473" s="179"/>
      <c r="Q473" s="179"/>
      <c r="R473" s="179"/>
      <c r="S473" s="179"/>
      <c r="T473" s="179"/>
      <c r="U473" s="179"/>
      <c r="V473" s="179"/>
      <c r="W473" s="179"/>
      <c r="X473" s="179"/>
      <c r="Y473" s="179"/>
      <c r="Z473" s="179"/>
    </row>
    <row r="474">
      <c r="A474" s="179"/>
      <c r="B474" s="179"/>
      <c r="C474" s="179"/>
      <c r="D474" s="179"/>
      <c r="E474" s="179"/>
      <c r="F474" s="179"/>
      <c r="G474" s="179"/>
      <c r="H474" s="179"/>
      <c r="I474" s="179"/>
      <c r="J474" s="179"/>
      <c r="K474" s="179"/>
      <c r="L474" s="179"/>
      <c r="M474" s="179"/>
      <c r="N474" s="179"/>
      <c r="O474" s="179"/>
      <c r="P474" s="179"/>
      <c r="Q474" s="179"/>
      <c r="R474" s="179"/>
      <c r="S474" s="179"/>
      <c r="T474" s="179"/>
      <c r="U474" s="179"/>
      <c r="V474" s="179"/>
      <c r="W474" s="179"/>
      <c r="X474" s="179"/>
      <c r="Y474" s="179"/>
      <c r="Z474" s="179"/>
    </row>
    <row r="475">
      <c r="A475" s="179"/>
      <c r="B475" s="179"/>
      <c r="C475" s="179"/>
      <c r="D475" s="179"/>
      <c r="E475" s="179"/>
      <c r="F475" s="179"/>
      <c r="G475" s="179"/>
      <c r="H475" s="179"/>
      <c r="I475" s="179"/>
      <c r="J475" s="179"/>
      <c r="K475" s="179"/>
      <c r="L475" s="179"/>
      <c r="M475" s="179"/>
      <c r="N475" s="179"/>
      <c r="O475" s="179"/>
      <c r="P475" s="179"/>
      <c r="Q475" s="179"/>
      <c r="R475" s="179"/>
      <c r="S475" s="179"/>
      <c r="T475" s="179"/>
      <c r="U475" s="179"/>
      <c r="V475" s="179"/>
      <c r="W475" s="179"/>
      <c r="X475" s="179"/>
      <c r="Y475" s="179"/>
      <c r="Z475" s="179"/>
    </row>
    <row r="476">
      <c r="A476" s="179"/>
      <c r="B476" s="179"/>
      <c r="C476" s="179"/>
      <c r="D476" s="179"/>
      <c r="E476" s="179"/>
      <c r="F476" s="179"/>
      <c r="G476" s="179"/>
      <c r="H476" s="179"/>
      <c r="I476" s="179"/>
      <c r="J476" s="179"/>
      <c r="K476" s="179"/>
      <c r="L476" s="179"/>
      <c r="M476" s="179"/>
      <c r="N476" s="179"/>
      <c r="O476" s="179"/>
      <c r="P476" s="179"/>
      <c r="Q476" s="179"/>
      <c r="R476" s="179"/>
      <c r="S476" s="179"/>
      <c r="T476" s="179"/>
      <c r="U476" s="179"/>
      <c r="V476" s="179"/>
      <c r="W476" s="179"/>
      <c r="X476" s="179"/>
      <c r="Y476" s="179"/>
      <c r="Z476" s="179"/>
    </row>
    <row r="477">
      <c r="A477" s="179"/>
      <c r="B477" s="179"/>
      <c r="C477" s="179"/>
      <c r="D477" s="179"/>
      <c r="E477" s="179"/>
      <c r="F477" s="179"/>
      <c r="G477" s="179"/>
      <c r="H477" s="179"/>
      <c r="I477" s="179"/>
      <c r="J477" s="179"/>
      <c r="K477" s="179"/>
      <c r="L477" s="179"/>
      <c r="M477" s="179"/>
      <c r="N477" s="179"/>
      <c r="O477" s="179"/>
      <c r="P477" s="179"/>
      <c r="Q477" s="179"/>
      <c r="R477" s="179"/>
      <c r="S477" s="179"/>
      <c r="T477" s="179"/>
      <c r="U477" s="179"/>
      <c r="V477" s="179"/>
      <c r="W477" s="179"/>
      <c r="X477" s="179"/>
      <c r="Y477" s="179"/>
      <c r="Z477" s="179"/>
    </row>
    <row r="478">
      <c r="A478" s="179"/>
      <c r="B478" s="179"/>
      <c r="C478" s="179"/>
      <c r="D478" s="179"/>
      <c r="E478" s="179"/>
      <c r="F478" s="179"/>
      <c r="G478" s="179"/>
      <c r="H478" s="179"/>
      <c r="I478" s="179"/>
      <c r="J478" s="179"/>
      <c r="K478" s="179"/>
      <c r="L478" s="179"/>
      <c r="M478" s="179"/>
      <c r="N478" s="179"/>
      <c r="O478" s="179"/>
      <c r="P478" s="179"/>
      <c r="Q478" s="179"/>
      <c r="R478" s="179"/>
      <c r="S478" s="179"/>
      <c r="T478" s="179"/>
      <c r="U478" s="179"/>
      <c r="V478" s="179"/>
      <c r="W478" s="179"/>
      <c r="X478" s="179"/>
      <c r="Y478" s="179"/>
      <c r="Z478" s="179"/>
    </row>
    <row r="479">
      <c r="A479" s="179"/>
      <c r="B479" s="179"/>
      <c r="C479" s="179"/>
      <c r="D479" s="179"/>
      <c r="E479" s="179"/>
      <c r="F479" s="179"/>
      <c r="G479" s="179"/>
      <c r="H479" s="179"/>
      <c r="I479" s="179"/>
      <c r="J479" s="179"/>
      <c r="K479" s="179"/>
      <c r="L479" s="179"/>
      <c r="M479" s="179"/>
      <c r="N479" s="179"/>
      <c r="O479" s="179"/>
      <c r="P479" s="179"/>
      <c r="Q479" s="179"/>
      <c r="R479" s="179"/>
      <c r="S479" s="179"/>
      <c r="T479" s="179"/>
      <c r="U479" s="179"/>
      <c r="V479" s="179"/>
      <c r="W479" s="179"/>
      <c r="X479" s="179"/>
      <c r="Y479" s="179"/>
      <c r="Z479" s="179"/>
    </row>
    <row r="480">
      <c r="A480" s="179"/>
      <c r="B480" s="179"/>
      <c r="C480" s="179"/>
      <c r="D480" s="179"/>
      <c r="E480" s="179"/>
      <c r="F480" s="179"/>
      <c r="G480" s="179"/>
      <c r="H480" s="179"/>
      <c r="I480" s="179"/>
      <c r="J480" s="179"/>
      <c r="K480" s="179"/>
      <c r="L480" s="179"/>
      <c r="M480" s="179"/>
      <c r="N480" s="179"/>
      <c r="O480" s="179"/>
      <c r="P480" s="179"/>
      <c r="Q480" s="179"/>
      <c r="R480" s="179"/>
      <c r="S480" s="179"/>
      <c r="T480" s="179"/>
      <c r="U480" s="179"/>
      <c r="V480" s="179"/>
      <c r="W480" s="179"/>
      <c r="X480" s="179"/>
      <c r="Y480" s="179"/>
      <c r="Z480" s="179"/>
    </row>
    <row r="481">
      <c r="A481" s="179"/>
      <c r="B481" s="179"/>
      <c r="C481" s="179"/>
      <c r="D481" s="179"/>
      <c r="E481" s="179"/>
      <c r="F481" s="179"/>
      <c r="G481" s="179"/>
      <c r="H481" s="179"/>
      <c r="I481" s="179"/>
      <c r="J481" s="179"/>
      <c r="K481" s="179"/>
      <c r="L481" s="179"/>
      <c r="M481" s="179"/>
      <c r="N481" s="179"/>
      <c r="O481" s="179"/>
      <c r="P481" s="179"/>
      <c r="Q481" s="179"/>
      <c r="R481" s="179"/>
      <c r="S481" s="179"/>
      <c r="T481" s="179"/>
      <c r="U481" s="179"/>
      <c r="V481" s="179"/>
      <c r="W481" s="179"/>
      <c r="X481" s="179"/>
      <c r="Y481" s="179"/>
      <c r="Z481" s="179"/>
    </row>
    <row r="482">
      <c r="A482" s="179"/>
      <c r="B482" s="179"/>
      <c r="C482" s="179"/>
      <c r="D482" s="179"/>
      <c r="E482" s="179"/>
      <c r="F482" s="179"/>
      <c r="G482" s="179"/>
      <c r="H482" s="179"/>
      <c r="I482" s="179"/>
      <c r="J482" s="179"/>
      <c r="K482" s="179"/>
      <c r="L482" s="179"/>
      <c r="M482" s="179"/>
      <c r="N482" s="179"/>
      <c r="O482" s="179"/>
      <c r="P482" s="179"/>
      <c r="Q482" s="179"/>
      <c r="R482" s="179"/>
      <c r="S482" s="179"/>
      <c r="T482" s="179"/>
      <c r="U482" s="179"/>
      <c r="V482" s="179"/>
      <c r="W482" s="179"/>
      <c r="X482" s="179"/>
      <c r="Y482" s="179"/>
      <c r="Z482" s="179"/>
    </row>
    <row r="483">
      <c r="A483" s="179"/>
      <c r="B483" s="179"/>
      <c r="C483" s="179"/>
      <c r="D483" s="179"/>
      <c r="E483" s="179"/>
      <c r="F483" s="179"/>
      <c r="G483" s="179"/>
      <c r="H483" s="179"/>
      <c r="I483" s="179"/>
      <c r="J483" s="179"/>
      <c r="K483" s="179"/>
      <c r="L483" s="179"/>
      <c r="M483" s="179"/>
      <c r="N483" s="179"/>
      <c r="O483" s="179"/>
      <c r="P483" s="179"/>
      <c r="Q483" s="179"/>
      <c r="R483" s="179"/>
      <c r="S483" s="179"/>
      <c r="T483" s="179"/>
      <c r="U483" s="179"/>
      <c r="V483" s="179"/>
      <c r="W483" s="179"/>
      <c r="X483" s="179"/>
      <c r="Y483" s="179"/>
      <c r="Z483" s="179"/>
    </row>
    <row r="484">
      <c r="A484" s="179"/>
      <c r="B484" s="179"/>
      <c r="C484" s="179"/>
      <c r="D484" s="179"/>
      <c r="E484" s="179"/>
      <c r="F484" s="179"/>
      <c r="G484" s="179"/>
      <c r="H484" s="179"/>
      <c r="I484" s="179"/>
      <c r="J484" s="179"/>
      <c r="K484" s="179"/>
      <c r="L484" s="179"/>
      <c r="M484" s="179"/>
      <c r="N484" s="179"/>
      <c r="O484" s="179"/>
      <c r="P484" s="179"/>
      <c r="Q484" s="179"/>
      <c r="R484" s="179"/>
      <c r="S484" s="179"/>
      <c r="T484" s="179"/>
      <c r="U484" s="179"/>
      <c r="V484" s="179"/>
      <c r="W484" s="179"/>
      <c r="X484" s="179"/>
      <c r="Y484" s="179"/>
      <c r="Z484" s="179"/>
    </row>
    <row r="485">
      <c r="A485" s="179"/>
      <c r="B485" s="179"/>
      <c r="C485" s="179"/>
      <c r="D485" s="179"/>
      <c r="E485" s="179"/>
      <c r="F485" s="179"/>
      <c r="G485" s="179"/>
      <c r="H485" s="179"/>
      <c r="I485" s="179"/>
      <c r="J485" s="179"/>
      <c r="K485" s="179"/>
      <c r="L485" s="179"/>
      <c r="M485" s="179"/>
      <c r="N485" s="179"/>
      <c r="O485" s="179"/>
      <c r="P485" s="179"/>
      <c r="Q485" s="179"/>
      <c r="R485" s="179"/>
      <c r="S485" s="179"/>
      <c r="T485" s="179"/>
      <c r="U485" s="179"/>
      <c r="V485" s="179"/>
      <c r="W485" s="179"/>
      <c r="X485" s="179"/>
      <c r="Y485" s="179"/>
      <c r="Z485" s="179"/>
    </row>
    <row r="486">
      <c r="A486" s="179"/>
      <c r="B486" s="179"/>
      <c r="C486" s="179"/>
      <c r="D486" s="179"/>
      <c r="E486" s="179"/>
      <c r="F486" s="179"/>
      <c r="G486" s="179"/>
      <c r="H486" s="179"/>
      <c r="I486" s="179"/>
      <c r="J486" s="179"/>
      <c r="K486" s="179"/>
      <c r="L486" s="179"/>
      <c r="M486" s="179"/>
      <c r="N486" s="179"/>
      <c r="O486" s="179"/>
      <c r="P486" s="179"/>
      <c r="Q486" s="179"/>
      <c r="R486" s="179"/>
      <c r="S486" s="179"/>
      <c r="T486" s="179"/>
      <c r="U486" s="179"/>
      <c r="V486" s="179"/>
      <c r="W486" s="179"/>
      <c r="X486" s="179"/>
      <c r="Y486" s="179"/>
      <c r="Z486" s="179"/>
    </row>
    <row r="487">
      <c r="A487" s="179"/>
      <c r="B487" s="179"/>
      <c r="C487" s="179"/>
      <c r="D487" s="179"/>
      <c r="E487" s="179"/>
      <c r="F487" s="179"/>
      <c r="G487" s="179"/>
      <c r="H487" s="179"/>
      <c r="I487" s="179"/>
      <c r="J487" s="179"/>
      <c r="K487" s="179"/>
      <c r="L487" s="179"/>
      <c r="M487" s="179"/>
      <c r="N487" s="179"/>
      <c r="O487" s="179"/>
      <c r="P487" s="179"/>
      <c r="Q487" s="179"/>
      <c r="R487" s="179"/>
      <c r="S487" s="179"/>
      <c r="T487" s="179"/>
      <c r="U487" s="179"/>
      <c r="V487" s="179"/>
      <c r="W487" s="179"/>
      <c r="X487" s="179"/>
      <c r="Y487" s="179"/>
      <c r="Z487" s="179"/>
    </row>
    <row r="488">
      <c r="A488" s="179"/>
      <c r="B488" s="179"/>
      <c r="C488" s="179"/>
      <c r="D488" s="179"/>
      <c r="E488" s="179"/>
      <c r="F488" s="179"/>
      <c r="G488" s="179"/>
      <c r="H488" s="179"/>
      <c r="I488" s="179"/>
      <c r="J488" s="179"/>
      <c r="K488" s="179"/>
      <c r="L488" s="179"/>
      <c r="M488" s="179"/>
      <c r="N488" s="179"/>
      <c r="O488" s="179"/>
      <c r="P488" s="179"/>
      <c r="Q488" s="179"/>
      <c r="R488" s="179"/>
      <c r="S488" s="179"/>
      <c r="T488" s="179"/>
      <c r="U488" s="179"/>
      <c r="V488" s="179"/>
      <c r="W488" s="179"/>
      <c r="X488" s="179"/>
      <c r="Y488" s="179"/>
      <c r="Z488" s="179"/>
    </row>
    <row r="489">
      <c r="A489" s="179"/>
      <c r="B489" s="179"/>
      <c r="C489" s="179"/>
      <c r="D489" s="179"/>
      <c r="E489" s="179"/>
      <c r="F489" s="179"/>
      <c r="G489" s="179"/>
      <c r="H489" s="179"/>
      <c r="I489" s="179"/>
      <c r="J489" s="179"/>
      <c r="K489" s="179"/>
      <c r="L489" s="179"/>
      <c r="M489" s="179"/>
      <c r="N489" s="179"/>
      <c r="O489" s="179"/>
      <c r="P489" s="179"/>
      <c r="Q489" s="179"/>
      <c r="R489" s="179"/>
      <c r="S489" s="179"/>
      <c r="T489" s="179"/>
      <c r="U489" s="179"/>
      <c r="V489" s="179"/>
      <c r="W489" s="179"/>
      <c r="X489" s="179"/>
      <c r="Y489" s="179"/>
      <c r="Z489" s="179"/>
    </row>
    <row r="490">
      <c r="A490" s="179"/>
      <c r="B490" s="179"/>
      <c r="C490" s="179"/>
      <c r="D490" s="179"/>
      <c r="E490" s="179"/>
      <c r="F490" s="179"/>
      <c r="G490" s="179"/>
      <c r="H490" s="179"/>
      <c r="I490" s="179"/>
      <c r="J490" s="179"/>
      <c r="K490" s="179"/>
      <c r="L490" s="179"/>
      <c r="M490" s="179"/>
      <c r="N490" s="179"/>
      <c r="O490" s="179"/>
      <c r="P490" s="179"/>
      <c r="Q490" s="179"/>
      <c r="R490" s="179"/>
      <c r="S490" s="179"/>
      <c r="T490" s="179"/>
      <c r="U490" s="179"/>
      <c r="V490" s="179"/>
      <c r="W490" s="179"/>
      <c r="X490" s="179"/>
      <c r="Y490" s="179"/>
      <c r="Z490" s="179"/>
    </row>
    <row r="491">
      <c r="A491" s="179"/>
      <c r="B491" s="179"/>
      <c r="C491" s="179"/>
      <c r="D491" s="179"/>
      <c r="E491" s="179"/>
      <c r="F491" s="179"/>
      <c r="G491" s="179"/>
      <c r="H491" s="179"/>
      <c r="I491" s="179"/>
      <c r="J491" s="179"/>
      <c r="K491" s="179"/>
      <c r="L491" s="179"/>
      <c r="M491" s="179"/>
      <c r="N491" s="179"/>
      <c r="O491" s="179"/>
      <c r="P491" s="179"/>
      <c r="Q491" s="179"/>
      <c r="R491" s="179"/>
      <c r="S491" s="179"/>
      <c r="T491" s="179"/>
      <c r="U491" s="179"/>
      <c r="V491" s="179"/>
      <c r="W491" s="179"/>
      <c r="X491" s="179"/>
      <c r="Y491" s="179"/>
      <c r="Z491" s="179"/>
    </row>
    <row r="492">
      <c r="A492" s="179"/>
      <c r="B492" s="179"/>
      <c r="C492" s="179"/>
      <c r="D492" s="179"/>
      <c r="E492" s="179"/>
      <c r="F492" s="179"/>
      <c r="G492" s="179"/>
      <c r="H492" s="179"/>
      <c r="I492" s="179"/>
      <c r="J492" s="179"/>
      <c r="K492" s="179"/>
      <c r="L492" s="179"/>
      <c r="M492" s="179"/>
      <c r="N492" s="179"/>
      <c r="O492" s="179"/>
      <c r="P492" s="179"/>
      <c r="Q492" s="179"/>
      <c r="R492" s="179"/>
      <c r="S492" s="179"/>
      <c r="T492" s="179"/>
      <c r="U492" s="179"/>
      <c r="V492" s="179"/>
      <c r="W492" s="179"/>
      <c r="X492" s="179"/>
      <c r="Y492" s="179"/>
      <c r="Z492" s="179"/>
    </row>
    <row r="493">
      <c r="A493" s="179"/>
      <c r="B493" s="179"/>
      <c r="C493" s="179"/>
      <c r="D493" s="179"/>
      <c r="E493" s="179"/>
      <c r="F493" s="179"/>
      <c r="G493" s="179"/>
      <c r="H493" s="179"/>
      <c r="I493" s="179"/>
      <c r="J493" s="179"/>
      <c r="K493" s="179"/>
      <c r="L493" s="179"/>
      <c r="M493" s="179"/>
      <c r="N493" s="179"/>
      <c r="O493" s="179"/>
      <c r="P493" s="179"/>
      <c r="Q493" s="179"/>
      <c r="R493" s="179"/>
      <c r="S493" s="179"/>
      <c r="T493" s="179"/>
      <c r="U493" s="179"/>
      <c r="V493" s="179"/>
      <c r="W493" s="179"/>
      <c r="X493" s="179"/>
      <c r="Y493" s="179"/>
      <c r="Z493" s="179"/>
    </row>
    <row r="494">
      <c r="A494" s="179"/>
      <c r="B494" s="179"/>
      <c r="C494" s="179"/>
      <c r="D494" s="179"/>
      <c r="E494" s="179"/>
      <c r="F494" s="179"/>
      <c r="G494" s="179"/>
      <c r="H494" s="179"/>
      <c r="I494" s="179"/>
      <c r="J494" s="179"/>
      <c r="K494" s="179"/>
      <c r="L494" s="179"/>
      <c r="M494" s="179"/>
      <c r="N494" s="179"/>
      <c r="O494" s="179"/>
      <c r="P494" s="179"/>
      <c r="Q494" s="179"/>
      <c r="R494" s="179"/>
      <c r="S494" s="179"/>
      <c r="T494" s="179"/>
      <c r="U494" s="179"/>
      <c r="V494" s="179"/>
      <c r="W494" s="179"/>
      <c r="X494" s="179"/>
      <c r="Y494" s="179"/>
      <c r="Z494" s="179"/>
    </row>
    <row r="495">
      <c r="A495" s="179"/>
      <c r="B495" s="179"/>
      <c r="C495" s="179"/>
      <c r="D495" s="179"/>
      <c r="E495" s="179"/>
      <c r="F495" s="179"/>
      <c r="G495" s="179"/>
      <c r="H495" s="179"/>
      <c r="I495" s="179"/>
      <c r="J495" s="179"/>
      <c r="K495" s="179"/>
      <c r="L495" s="179"/>
      <c r="M495" s="179"/>
      <c r="N495" s="179"/>
      <c r="O495" s="179"/>
      <c r="P495" s="179"/>
      <c r="Q495" s="179"/>
      <c r="R495" s="179"/>
      <c r="S495" s="179"/>
      <c r="T495" s="179"/>
      <c r="U495" s="179"/>
      <c r="V495" s="179"/>
      <c r="W495" s="179"/>
      <c r="X495" s="179"/>
      <c r="Y495" s="179"/>
      <c r="Z495" s="179"/>
    </row>
    <row r="496">
      <c r="A496" s="179"/>
      <c r="B496" s="179"/>
      <c r="C496" s="179"/>
      <c r="D496" s="179"/>
      <c r="E496" s="179"/>
      <c r="F496" s="179"/>
      <c r="G496" s="179"/>
      <c r="H496" s="179"/>
      <c r="I496" s="179"/>
      <c r="J496" s="179"/>
      <c r="K496" s="179"/>
      <c r="L496" s="179"/>
      <c r="M496" s="179"/>
      <c r="N496" s="179"/>
      <c r="O496" s="179"/>
      <c r="P496" s="179"/>
      <c r="Q496" s="179"/>
      <c r="R496" s="179"/>
      <c r="S496" s="179"/>
      <c r="T496" s="179"/>
      <c r="U496" s="179"/>
      <c r="V496" s="179"/>
      <c r="W496" s="179"/>
      <c r="X496" s="179"/>
      <c r="Y496" s="179"/>
      <c r="Z496" s="179"/>
    </row>
    <row r="497">
      <c r="A497" s="179"/>
      <c r="B497" s="179"/>
      <c r="C497" s="179"/>
      <c r="D497" s="179"/>
      <c r="E497" s="179"/>
      <c r="F497" s="179"/>
      <c r="G497" s="179"/>
      <c r="H497" s="179"/>
      <c r="I497" s="179"/>
      <c r="J497" s="179"/>
      <c r="K497" s="179"/>
      <c r="L497" s="179"/>
      <c r="M497" s="179"/>
      <c r="N497" s="179"/>
      <c r="O497" s="179"/>
      <c r="P497" s="179"/>
      <c r="Q497" s="179"/>
      <c r="R497" s="179"/>
      <c r="S497" s="179"/>
      <c r="T497" s="179"/>
      <c r="U497" s="179"/>
      <c r="V497" s="179"/>
      <c r="W497" s="179"/>
      <c r="X497" s="179"/>
      <c r="Y497" s="179"/>
      <c r="Z497" s="179"/>
    </row>
    <row r="498">
      <c r="A498" s="179"/>
      <c r="B498" s="179"/>
      <c r="C498" s="179"/>
      <c r="D498" s="179"/>
      <c r="E498" s="179"/>
      <c r="F498" s="179"/>
      <c r="G498" s="179"/>
      <c r="H498" s="179"/>
      <c r="I498" s="179"/>
      <c r="J498" s="179"/>
      <c r="K498" s="179"/>
      <c r="L498" s="179"/>
      <c r="M498" s="179"/>
      <c r="N498" s="179"/>
      <c r="O498" s="179"/>
      <c r="P498" s="179"/>
      <c r="Q498" s="179"/>
      <c r="R498" s="179"/>
      <c r="S498" s="179"/>
      <c r="T498" s="179"/>
      <c r="U498" s="179"/>
      <c r="V498" s="179"/>
      <c r="W498" s="179"/>
      <c r="X498" s="179"/>
      <c r="Y498" s="179"/>
      <c r="Z498" s="179"/>
    </row>
    <row r="499">
      <c r="A499" s="179"/>
      <c r="B499" s="179"/>
      <c r="C499" s="179"/>
      <c r="D499" s="179"/>
      <c r="E499" s="179"/>
      <c r="F499" s="179"/>
      <c r="G499" s="179"/>
      <c r="H499" s="179"/>
      <c r="I499" s="179"/>
      <c r="J499" s="179"/>
      <c r="K499" s="179"/>
      <c r="L499" s="179"/>
      <c r="M499" s="179"/>
      <c r="N499" s="179"/>
      <c r="O499" s="179"/>
      <c r="P499" s="179"/>
      <c r="Q499" s="179"/>
      <c r="R499" s="179"/>
      <c r="S499" s="179"/>
      <c r="T499" s="179"/>
      <c r="U499" s="179"/>
      <c r="V499" s="179"/>
      <c r="W499" s="179"/>
      <c r="X499" s="179"/>
      <c r="Y499" s="179"/>
      <c r="Z499" s="179"/>
    </row>
    <row r="500">
      <c r="A500" s="179"/>
      <c r="B500" s="179"/>
      <c r="C500" s="179"/>
      <c r="D500" s="179"/>
      <c r="E500" s="179"/>
      <c r="F500" s="179"/>
      <c r="G500" s="179"/>
      <c r="H500" s="179"/>
      <c r="I500" s="179"/>
      <c r="J500" s="179"/>
      <c r="K500" s="179"/>
      <c r="L500" s="179"/>
      <c r="M500" s="179"/>
      <c r="N500" s="179"/>
      <c r="O500" s="179"/>
      <c r="P500" s="179"/>
      <c r="Q500" s="179"/>
      <c r="R500" s="179"/>
      <c r="S500" s="179"/>
      <c r="T500" s="179"/>
      <c r="U500" s="179"/>
      <c r="V500" s="179"/>
      <c r="W500" s="179"/>
      <c r="X500" s="179"/>
      <c r="Y500" s="179"/>
      <c r="Z500" s="179"/>
    </row>
    <row r="501">
      <c r="A501" s="179"/>
      <c r="B501" s="179"/>
      <c r="C501" s="179"/>
      <c r="D501" s="179"/>
      <c r="E501" s="179"/>
      <c r="F501" s="179"/>
      <c r="G501" s="179"/>
      <c r="H501" s="179"/>
      <c r="I501" s="179"/>
      <c r="J501" s="179"/>
      <c r="K501" s="179"/>
      <c r="L501" s="179"/>
      <c r="M501" s="179"/>
      <c r="N501" s="179"/>
      <c r="O501" s="179"/>
      <c r="P501" s="179"/>
      <c r="Q501" s="179"/>
      <c r="R501" s="179"/>
      <c r="S501" s="179"/>
      <c r="T501" s="179"/>
      <c r="U501" s="179"/>
      <c r="V501" s="179"/>
      <c r="W501" s="179"/>
      <c r="X501" s="179"/>
      <c r="Y501" s="179"/>
      <c r="Z501" s="179"/>
    </row>
    <row r="502">
      <c r="A502" s="179"/>
      <c r="B502" s="179"/>
      <c r="C502" s="179"/>
      <c r="D502" s="179"/>
      <c r="E502" s="179"/>
      <c r="F502" s="179"/>
      <c r="G502" s="179"/>
      <c r="H502" s="179"/>
      <c r="I502" s="179"/>
      <c r="J502" s="179"/>
      <c r="K502" s="179"/>
      <c r="L502" s="179"/>
      <c r="M502" s="179"/>
      <c r="N502" s="179"/>
      <c r="O502" s="179"/>
      <c r="P502" s="179"/>
      <c r="Q502" s="179"/>
      <c r="R502" s="179"/>
      <c r="S502" s="179"/>
      <c r="T502" s="179"/>
      <c r="U502" s="179"/>
      <c r="V502" s="179"/>
      <c r="W502" s="179"/>
      <c r="X502" s="179"/>
      <c r="Y502" s="179"/>
      <c r="Z502" s="179"/>
    </row>
    <row r="503">
      <c r="A503" s="179"/>
      <c r="B503" s="179"/>
      <c r="C503" s="179"/>
      <c r="D503" s="179"/>
      <c r="E503" s="179"/>
      <c r="F503" s="179"/>
      <c r="G503" s="179"/>
      <c r="H503" s="179"/>
      <c r="I503" s="179"/>
      <c r="J503" s="179"/>
      <c r="K503" s="179"/>
      <c r="L503" s="179"/>
      <c r="M503" s="179"/>
      <c r="N503" s="179"/>
      <c r="O503" s="179"/>
      <c r="P503" s="179"/>
      <c r="Q503" s="179"/>
      <c r="R503" s="179"/>
      <c r="S503" s="179"/>
      <c r="T503" s="179"/>
      <c r="U503" s="179"/>
      <c r="V503" s="179"/>
      <c r="W503" s="179"/>
      <c r="X503" s="179"/>
      <c r="Y503" s="179"/>
      <c r="Z503" s="179"/>
    </row>
    <row r="504">
      <c r="A504" s="179"/>
      <c r="B504" s="179"/>
      <c r="C504" s="179"/>
      <c r="D504" s="179"/>
      <c r="E504" s="179"/>
      <c r="F504" s="179"/>
      <c r="G504" s="179"/>
      <c r="H504" s="179"/>
      <c r="I504" s="179"/>
      <c r="J504" s="179"/>
      <c r="K504" s="179"/>
      <c r="L504" s="179"/>
      <c r="M504" s="179"/>
      <c r="N504" s="179"/>
      <c r="O504" s="179"/>
      <c r="P504" s="179"/>
      <c r="Q504" s="179"/>
      <c r="R504" s="179"/>
      <c r="S504" s="179"/>
      <c r="T504" s="179"/>
      <c r="U504" s="179"/>
      <c r="V504" s="179"/>
      <c r="W504" s="179"/>
      <c r="X504" s="179"/>
      <c r="Y504" s="179"/>
      <c r="Z504" s="179"/>
    </row>
    <row r="505">
      <c r="A505" s="179"/>
      <c r="B505" s="179"/>
      <c r="C505" s="179"/>
      <c r="D505" s="179"/>
      <c r="E505" s="179"/>
      <c r="F505" s="179"/>
      <c r="G505" s="179"/>
      <c r="H505" s="179"/>
      <c r="I505" s="179"/>
      <c r="J505" s="179"/>
      <c r="K505" s="179"/>
      <c r="L505" s="179"/>
      <c r="M505" s="179"/>
      <c r="N505" s="179"/>
      <c r="O505" s="179"/>
      <c r="P505" s="179"/>
      <c r="Q505" s="179"/>
      <c r="R505" s="179"/>
      <c r="S505" s="179"/>
      <c r="T505" s="179"/>
      <c r="U505" s="179"/>
      <c r="V505" s="179"/>
      <c r="W505" s="179"/>
      <c r="X505" s="179"/>
      <c r="Y505" s="179"/>
      <c r="Z505" s="179"/>
    </row>
    <row r="506">
      <c r="A506" s="179"/>
      <c r="B506" s="179"/>
      <c r="C506" s="179"/>
      <c r="D506" s="179"/>
      <c r="E506" s="179"/>
      <c r="F506" s="179"/>
      <c r="G506" s="179"/>
      <c r="H506" s="179"/>
      <c r="I506" s="179"/>
      <c r="J506" s="179"/>
      <c r="K506" s="179"/>
      <c r="L506" s="179"/>
      <c r="M506" s="179"/>
      <c r="N506" s="179"/>
      <c r="O506" s="179"/>
      <c r="P506" s="179"/>
      <c r="Q506" s="179"/>
      <c r="R506" s="179"/>
      <c r="S506" s="179"/>
      <c r="T506" s="179"/>
      <c r="U506" s="179"/>
      <c r="V506" s="179"/>
      <c r="W506" s="179"/>
      <c r="X506" s="179"/>
      <c r="Y506" s="179"/>
      <c r="Z506" s="179"/>
    </row>
    <row r="507">
      <c r="A507" s="179"/>
      <c r="B507" s="179"/>
      <c r="C507" s="179"/>
      <c r="D507" s="179"/>
      <c r="E507" s="179"/>
      <c r="F507" s="179"/>
      <c r="G507" s="179"/>
      <c r="H507" s="179"/>
      <c r="I507" s="179"/>
      <c r="J507" s="179"/>
      <c r="K507" s="179"/>
      <c r="L507" s="179"/>
      <c r="M507" s="179"/>
      <c r="N507" s="179"/>
      <c r="O507" s="179"/>
      <c r="P507" s="179"/>
      <c r="Q507" s="179"/>
      <c r="R507" s="179"/>
      <c r="S507" s="179"/>
      <c r="T507" s="179"/>
      <c r="U507" s="179"/>
      <c r="V507" s="179"/>
      <c r="W507" s="179"/>
      <c r="X507" s="179"/>
      <c r="Y507" s="179"/>
      <c r="Z507" s="179"/>
    </row>
    <row r="508">
      <c r="A508" s="179"/>
      <c r="B508" s="179"/>
      <c r="C508" s="179"/>
      <c r="D508" s="179"/>
      <c r="E508" s="179"/>
      <c r="F508" s="179"/>
      <c r="G508" s="179"/>
      <c r="H508" s="179"/>
      <c r="I508" s="179"/>
      <c r="J508" s="179"/>
      <c r="K508" s="179"/>
      <c r="L508" s="179"/>
      <c r="M508" s="179"/>
      <c r="N508" s="179"/>
      <c r="O508" s="179"/>
      <c r="P508" s="179"/>
      <c r="Q508" s="179"/>
      <c r="R508" s="179"/>
      <c r="S508" s="179"/>
      <c r="T508" s="179"/>
      <c r="U508" s="179"/>
      <c r="V508" s="179"/>
      <c r="W508" s="179"/>
      <c r="X508" s="179"/>
      <c r="Y508" s="179"/>
      <c r="Z508" s="179"/>
    </row>
    <row r="509">
      <c r="A509" s="179"/>
      <c r="B509" s="179"/>
      <c r="C509" s="179"/>
      <c r="D509" s="179"/>
      <c r="E509" s="179"/>
      <c r="F509" s="179"/>
      <c r="G509" s="179"/>
      <c r="H509" s="179"/>
      <c r="I509" s="179"/>
      <c r="J509" s="179"/>
      <c r="K509" s="179"/>
      <c r="L509" s="179"/>
      <c r="M509" s="179"/>
      <c r="N509" s="179"/>
      <c r="O509" s="179"/>
      <c r="P509" s="179"/>
      <c r="Q509" s="179"/>
      <c r="R509" s="179"/>
      <c r="S509" s="179"/>
      <c r="T509" s="179"/>
      <c r="U509" s="179"/>
      <c r="V509" s="179"/>
      <c r="W509" s="179"/>
      <c r="X509" s="179"/>
      <c r="Y509" s="179"/>
      <c r="Z509" s="179"/>
    </row>
    <row r="510">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row>
    <row r="511">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row>
    <row r="512">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row>
    <row r="513">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row>
    <row r="514">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row>
    <row r="515">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row>
    <row r="516">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row>
    <row r="517">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row>
    <row r="518">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row>
    <row r="519">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row>
    <row r="520">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row>
    <row r="521">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row>
    <row r="522">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row>
    <row r="523">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row>
    <row r="524">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row>
    <row r="525">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row>
    <row r="526">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row>
    <row r="527">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row>
    <row r="528">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row>
    <row r="529">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row>
    <row r="530">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row>
    <row r="531">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row>
    <row r="532">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row>
    <row r="533">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row>
    <row r="534">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row>
    <row r="535">
      <c r="A535" s="179"/>
      <c r="B535" s="179"/>
      <c r="C535" s="179"/>
      <c r="D535" s="179"/>
      <c r="E535" s="179"/>
      <c r="F535" s="179"/>
      <c r="G535" s="179"/>
      <c r="H535" s="179"/>
      <c r="I535" s="179"/>
      <c r="J535" s="179"/>
      <c r="K535" s="179"/>
      <c r="L535" s="179"/>
      <c r="M535" s="179"/>
      <c r="N535" s="179"/>
      <c r="O535" s="179"/>
      <c r="P535" s="179"/>
      <c r="Q535" s="179"/>
      <c r="R535" s="179"/>
      <c r="S535" s="179"/>
      <c r="T535" s="179"/>
      <c r="U535" s="179"/>
      <c r="V535" s="179"/>
      <c r="W535" s="179"/>
      <c r="X535" s="179"/>
      <c r="Y535" s="179"/>
      <c r="Z535" s="179"/>
    </row>
    <row r="536">
      <c r="A536" s="179"/>
      <c r="B536" s="179"/>
      <c r="C536" s="179"/>
      <c r="D536" s="179"/>
      <c r="E536" s="179"/>
      <c r="F536" s="179"/>
      <c r="G536" s="179"/>
      <c r="H536" s="179"/>
      <c r="I536" s="179"/>
      <c r="J536" s="179"/>
      <c r="K536" s="179"/>
      <c r="L536" s="179"/>
      <c r="M536" s="179"/>
      <c r="N536" s="179"/>
      <c r="O536" s="179"/>
      <c r="P536" s="179"/>
      <c r="Q536" s="179"/>
      <c r="R536" s="179"/>
      <c r="S536" s="179"/>
      <c r="T536" s="179"/>
      <c r="U536" s="179"/>
      <c r="V536" s="179"/>
      <c r="W536" s="179"/>
      <c r="X536" s="179"/>
      <c r="Y536" s="179"/>
      <c r="Z536" s="179"/>
    </row>
    <row r="537">
      <c r="A537" s="179"/>
      <c r="B537" s="179"/>
      <c r="C537" s="179"/>
      <c r="D537" s="179"/>
      <c r="E537" s="179"/>
      <c r="F537" s="179"/>
      <c r="G537" s="179"/>
      <c r="H537" s="179"/>
      <c r="I537" s="179"/>
      <c r="J537" s="179"/>
      <c r="K537" s="179"/>
      <c r="L537" s="179"/>
      <c r="M537" s="179"/>
      <c r="N537" s="179"/>
      <c r="O537" s="179"/>
      <c r="P537" s="179"/>
      <c r="Q537" s="179"/>
      <c r="R537" s="179"/>
      <c r="S537" s="179"/>
      <c r="T537" s="179"/>
      <c r="U537" s="179"/>
      <c r="V537" s="179"/>
      <c r="W537" s="179"/>
      <c r="X537" s="179"/>
      <c r="Y537" s="179"/>
      <c r="Z537" s="179"/>
    </row>
    <row r="538">
      <c r="A538" s="179"/>
      <c r="B538" s="179"/>
      <c r="C538" s="179"/>
      <c r="D538" s="179"/>
      <c r="E538" s="179"/>
      <c r="F538" s="179"/>
      <c r="G538" s="179"/>
      <c r="H538" s="179"/>
      <c r="I538" s="179"/>
      <c r="J538" s="179"/>
      <c r="K538" s="179"/>
      <c r="L538" s="179"/>
      <c r="M538" s="179"/>
      <c r="N538" s="179"/>
      <c r="O538" s="179"/>
      <c r="P538" s="179"/>
      <c r="Q538" s="179"/>
      <c r="R538" s="179"/>
      <c r="S538" s="179"/>
      <c r="T538" s="179"/>
      <c r="U538" s="179"/>
      <c r="V538" s="179"/>
      <c r="W538" s="179"/>
      <c r="X538" s="179"/>
      <c r="Y538" s="179"/>
      <c r="Z538" s="179"/>
    </row>
    <row r="539">
      <c r="A539" s="179"/>
      <c r="B539" s="179"/>
      <c r="C539" s="179"/>
      <c r="D539" s="179"/>
      <c r="E539" s="179"/>
      <c r="F539" s="179"/>
      <c r="G539" s="179"/>
      <c r="H539" s="179"/>
      <c r="I539" s="179"/>
      <c r="J539" s="179"/>
      <c r="K539" s="179"/>
      <c r="L539" s="179"/>
      <c r="M539" s="179"/>
      <c r="N539" s="179"/>
      <c r="O539" s="179"/>
      <c r="P539" s="179"/>
      <c r="Q539" s="179"/>
      <c r="R539" s="179"/>
      <c r="S539" s="179"/>
      <c r="T539" s="179"/>
      <c r="U539" s="179"/>
      <c r="V539" s="179"/>
      <c r="W539" s="179"/>
      <c r="X539" s="179"/>
      <c r="Y539" s="179"/>
      <c r="Z539" s="179"/>
    </row>
    <row r="540">
      <c r="A540" s="179"/>
      <c r="B540" s="179"/>
      <c r="C540" s="179"/>
      <c r="D540" s="179"/>
      <c r="E540" s="179"/>
      <c r="F540" s="179"/>
      <c r="G540" s="179"/>
      <c r="H540" s="179"/>
      <c r="I540" s="179"/>
      <c r="J540" s="179"/>
      <c r="K540" s="179"/>
      <c r="L540" s="179"/>
      <c r="M540" s="179"/>
      <c r="N540" s="179"/>
      <c r="O540" s="179"/>
      <c r="P540" s="179"/>
      <c r="Q540" s="179"/>
      <c r="R540" s="179"/>
      <c r="S540" s="179"/>
      <c r="T540" s="179"/>
      <c r="U540" s="179"/>
      <c r="V540" s="179"/>
      <c r="W540" s="179"/>
      <c r="X540" s="179"/>
      <c r="Y540" s="179"/>
      <c r="Z540" s="179"/>
    </row>
    <row r="541">
      <c r="A541" s="179"/>
      <c r="B541" s="179"/>
      <c r="C541" s="179"/>
      <c r="D541" s="179"/>
      <c r="E541" s="179"/>
      <c r="F541" s="179"/>
      <c r="G541" s="179"/>
      <c r="H541" s="179"/>
      <c r="I541" s="179"/>
      <c r="J541" s="179"/>
      <c r="K541" s="179"/>
      <c r="L541" s="179"/>
      <c r="M541" s="179"/>
      <c r="N541" s="179"/>
      <c r="O541" s="179"/>
      <c r="P541" s="179"/>
      <c r="Q541" s="179"/>
      <c r="R541" s="179"/>
      <c r="S541" s="179"/>
      <c r="T541" s="179"/>
      <c r="U541" s="179"/>
      <c r="V541" s="179"/>
      <c r="W541" s="179"/>
      <c r="X541" s="179"/>
      <c r="Y541" s="179"/>
      <c r="Z541" s="179"/>
    </row>
    <row r="542">
      <c r="A542" s="179"/>
      <c r="B542" s="179"/>
      <c r="C542" s="179"/>
      <c r="D542" s="179"/>
      <c r="E542" s="179"/>
      <c r="F542" s="179"/>
      <c r="G542" s="179"/>
      <c r="H542" s="179"/>
      <c r="I542" s="179"/>
      <c r="J542" s="179"/>
      <c r="K542" s="179"/>
      <c r="L542" s="179"/>
      <c r="M542" s="179"/>
      <c r="N542" s="179"/>
      <c r="O542" s="179"/>
      <c r="P542" s="179"/>
      <c r="Q542" s="179"/>
      <c r="R542" s="179"/>
      <c r="S542" s="179"/>
      <c r="T542" s="179"/>
      <c r="U542" s="179"/>
      <c r="V542" s="179"/>
      <c r="W542" s="179"/>
      <c r="X542" s="179"/>
      <c r="Y542" s="179"/>
      <c r="Z542" s="179"/>
    </row>
    <row r="543">
      <c r="A543" s="179"/>
      <c r="B543" s="179"/>
      <c r="C543" s="179"/>
      <c r="D543" s="179"/>
      <c r="E543" s="179"/>
      <c r="F543" s="179"/>
      <c r="G543" s="179"/>
      <c r="H543" s="179"/>
      <c r="I543" s="179"/>
      <c r="J543" s="179"/>
      <c r="K543" s="179"/>
      <c r="L543" s="179"/>
      <c r="M543" s="179"/>
      <c r="N543" s="179"/>
      <c r="O543" s="179"/>
      <c r="P543" s="179"/>
      <c r="Q543" s="179"/>
      <c r="R543" s="179"/>
      <c r="S543" s="179"/>
      <c r="T543" s="179"/>
      <c r="U543" s="179"/>
      <c r="V543" s="179"/>
      <c r="W543" s="179"/>
      <c r="X543" s="179"/>
      <c r="Y543" s="179"/>
      <c r="Z543" s="179"/>
    </row>
    <row r="544">
      <c r="A544" s="179"/>
      <c r="B544" s="179"/>
      <c r="C544" s="179"/>
      <c r="D544" s="179"/>
      <c r="E544" s="179"/>
      <c r="F544" s="179"/>
      <c r="G544" s="179"/>
      <c r="H544" s="179"/>
      <c r="I544" s="179"/>
      <c r="J544" s="179"/>
      <c r="K544" s="179"/>
      <c r="L544" s="179"/>
      <c r="M544" s="179"/>
      <c r="N544" s="179"/>
      <c r="O544" s="179"/>
      <c r="P544" s="179"/>
      <c r="Q544" s="179"/>
      <c r="R544" s="179"/>
      <c r="S544" s="179"/>
      <c r="T544" s="179"/>
      <c r="U544" s="179"/>
      <c r="V544" s="179"/>
      <c r="W544" s="179"/>
      <c r="X544" s="179"/>
      <c r="Y544" s="179"/>
      <c r="Z544" s="179"/>
    </row>
    <row r="545">
      <c r="A545" s="179"/>
      <c r="B545" s="179"/>
      <c r="C545" s="179"/>
      <c r="D545" s="179"/>
      <c r="E545" s="179"/>
      <c r="F545" s="179"/>
      <c r="G545" s="179"/>
      <c r="H545" s="179"/>
      <c r="I545" s="179"/>
      <c r="J545" s="179"/>
      <c r="K545" s="179"/>
      <c r="L545" s="179"/>
      <c r="M545" s="179"/>
      <c r="N545" s="179"/>
      <c r="O545" s="179"/>
      <c r="P545" s="179"/>
      <c r="Q545" s="179"/>
      <c r="R545" s="179"/>
      <c r="S545" s="179"/>
      <c r="T545" s="179"/>
      <c r="U545" s="179"/>
      <c r="V545" s="179"/>
      <c r="W545" s="179"/>
      <c r="X545" s="179"/>
      <c r="Y545" s="179"/>
      <c r="Z545" s="179"/>
    </row>
    <row r="546">
      <c r="A546" s="179"/>
      <c r="B546" s="179"/>
      <c r="C546" s="179"/>
      <c r="D546" s="179"/>
      <c r="E546" s="179"/>
      <c r="F546" s="179"/>
      <c r="G546" s="179"/>
      <c r="H546" s="179"/>
      <c r="I546" s="179"/>
      <c r="J546" s="179"/>
      <c r="K546" s="179"/>
      <c r="L546" s="179"/>
      <c r="M546" s="179"/>
      <c r="N546" s="179"/>
      <c r="O546" s="179"/>
      <c r="P546" s="179"/>
      <c r="Q546" s="179"/>
      <c r="R546" s="179"/>
      <c r="S546" s="179"/>
      <c r="T546" s="179"/>
      <c r="U546" s="179"/>
      <c r="V546" s="179"/>
      <c r="W546" s="179"/>
      <c r="X546" s="179"/>
      <c r="Y546" s="179"/>
      <c r="Z546" s="179"/>
    </row>
    <row r="547">
      <c r="A547" s="179"/>
      <c r="B547" s="179"/>
      <c r="C547" s="179"/>
      <c r="D547" s="179"/>
      <c r="E547" s="179"/>
      <c r="F547" s="179"/>
      <c r="G547" s="179"/>
      <c r="H547" s="179"/>
      <c r="I547" s="179"/>
      <c r="J547" s="179"/>
      <c r="K547" s="179"/>
      <c r="L547" s="179"/>
      <c r="M547" s="179"/>
      <c r="N547" s="179"/>
      <c r="O547" s="179"/>
      <c r="P547" s="179"/>
      <c r="Q547" s="179"/>
      <c r="R547" s="179"/>
      <c r="S547" s="179"/>
      <c r="T547" s="179"/>
      <c r="U547" s="179"/>
      <c r="V547" s="179"/>
      <c r="W547" s="179"/>
      <c r="X547" s="179"/>
      <c r="Y547" s="179"/>
      <c r="Z547" s="179"/>
    </row>
    <row r="548">
      <c r="A548" s="179"/>
      <c r="B548" s="179"/>
      <c r="C548" s="179"/>
      <c r="D548" s="179"/>
      <c r="E548" s="179"/>
      <c r="F548" s="179"/>
      <c r="G548" s="179"/>
      <c r="H548" s="179"/>
      <c r="I548" s="179"/>
      <c r="J548" s="179"/>
      <c r="K548" s="179"/>
      <c r="L548" s="179"/>
      <c r="M548" s="179"/>
      <c r="N548" s="179"/>
      <c r="O548" s="179"/>
      <c r="P548" s="179"/>
      <c r="Q548" s="179"/>
      <c r="R548" s="179"/>
      <c r="S548" s="179"/>
      <c r="T548" s="179"/>
      <c r="U548" s="179"/>
      <c r="V548" s="179"/>
      <c r="W548" s="179"/>
      <c r="X548" s="179"/>
      <c r="Y548" s="179"/>
      <c r="Z548" s="179"/>
    </row>
    <row r="549">
      <c r="A549" s="179"/>
      <c r="B549" s="179"/>
      <c r="C549" s="179"/>
      <c r="D549" s="179"/>
      <c r="E549" s="179"/>
      <c r="F549" s="179"/>
      <c r="G549" s="179"/>
      <c r="H549" s="179"/>
      <c r="I549" s="179"/>
      <c r="J549" s="179"/>
      <c r="K549" s="179"/>
      <c r="L549" s="179"/>
      <c r="M549" s="179"/>
      <c r="N549" s="179"/>
      <c r="O549" s="179"/>
      <c r="P549" s="179"/>
      <c r="Q549" s="179"/>
      <c r="R549" s="179"/>
      <c r="S549" s="179"/>
      <c r="T549" s="179"/>
      <c r="U549" s="179"/>
      <c r="V549" s="179"/>
      <c r="W549" s="179"/>
      <c r="X549" s="179"/>
      <c r="Y549" s="179"/>
      <c r="Z549" s="179"/>
    </row>
    <row r="550">
      <c r="A550" s="179"/>
      <c r="B550" s="179"/>
      <c r="C550" s="179"/>
      <c r="D550" s="179"/>
      <c r="E550" s="179"/>
      <c r="F550" s="179"/>
      <c r="G550" s="179"/>
      <c r="H550" s="179"/>
      <c r="I550" s="179"/>
      <c r="J550" s="179"/>
      <c r="K550" s="179"/>
      <c r="L550" s="179"/>
      <c r="M550" s="179"/>
      <c r="N550" s="179"/>
      <c r="O550" s="179"/>
      <c r="P550" s="179"/>
      <c r="Q550" s="179"/>
      <c r="R550" s="179"/>
      <c r="S550" s="179"/>
      <c r="T550" s="179"/>
      <c r="U550" s="179"/>
      <c r="V550" s="179"/>
      <c r="W550" s="179"/>
      <c r="X550" s="179"/>
      <c r="Y550" s="179"/>
      <c r="Z550" s="179"/>
    </row>
    <row r="551">
      <c r="A551" s="179"/>
      <c r="B551" s="179"/>
      <c r="C551" s="179"/>
      <c r="D551" s="179"/>
      <c r="E551" s="179"/>
      <c r="F551" s="179"/>
      <c r="G551" s="179"/>
      <c r="H551" s="179"/>
      <c r="I551" s="179"/>
      <c r="J551" s="179"/>
      <c r="K551" s="179"/>
      <c r="L551" s="179"/>
      <c r="M551" s="179"/>
      <c r="N551" s="179"/>
      <c r="O551" s="179"/>
      <c r="P551" s="179"/>
      <c r="Q551" s="179"/>
      <c r="R551" s="179"/>
      <c r="S551" s="179"/>
      <c r="T551" s="179"/>
      <c r="U551" s="179"/>
      <c r="V551" s="179"/>
      <c r="W551" s="179"/>
      <c r="X551" s="179"/>
      <c r="Y551" s="179"/>
      <c r="Z551" s="179"/>
    </row>
    <row r="552">
      <c r="A552" s="179"/>
      <c r="B552" s="179"/>
      <c r="C552" s="179"/>
      <c r="D552" s="179"/>
      <c r="E552" s="179"/>
      <c r="F552" s="179"/>
      <c r="G552" s="179"/>
      <c r="H552" s="179"/>
      <c r="I552" s="179"/>
      <c r="J552" s="179"/>
      <c r="K552" s="179"/>
      <c r="L552" s="179"/>
      <c r="M552" s="179"/>
      <c r="N552" s="179"/>
      <c r="O552" s="179"/>
      <c r="P552" s="179"/>
      <c r="Q552" s="179"/>
      <c r="R552" s="179"/>
      <c r="S552" s="179"/>
      <c r="T552" s="179"/>
      <c r="U552" s="179"/>
      <c r="V552" s="179"/>
      <c r="W552" s="179"/>
      <c r="X552" s="179"/>
      <c r="Y552" s="179"/>
      <c r="Z552" s="179"/>
    </row>
    <row r="553">
      <c r="A553" s="179"/>
      <c r="B553" s="179"/>
      <c r="C553" s="179"/>
      <c r="D553" s="179"/>
      <c r="E553" s="179"/>
      <c r="F553" s="179"/>
      <c r="G553" s="179"/>
      <c r="H553" s="179"/>
      <c r="I553" s="179"/>
      <c r="J553" s="179"/>
      <c r="K553" s="179"/>
      <c r="L553" s="179"/>
      <c r="M553" s="179"/>
      <c r="N553" s="179"/>
      <c r="O553" s="179"/>
      <c r="P553" s="179"/>
      <c r="Q553" s="179"/>
      <c r="R553" s="179"/>
      <c r="S553" s="179"/>
      <c r="T553" s="179"/>
      <c r="U553" s="179"/>
      <c r="V553" s="179"/>
      <c r="W553" s="179"/>
      <c r="X553" s="179"/>
      <c r="Y553" s="179"/>
      <c r="Z553" s="179"/>
    </row>
    <row r="554">
      <c r="A554" s="179"/>
      <c r="B554" s="179"/>
      <c r="C554" s="179"/>
      <c r="D554" s="179"/>
      <c r="E554" s="179"/>
      <c r="F554" s="179"/>
      <c r="G554" s="179"/>
      <c r="H554" s="179"/>
      <c r="I554" s="179"/>
      <c r="J554" s="179"/>
      <c r="K554" s="179"/>
      <c r="L554" s="179"/>
      <c r="M554" s="179"/>
      <c r="N554" s="179"/>
      <c r="O554" s="179"/>
      <c r="P554" s="179"/>
      <c r="Q554" s="179"/>
      <c r="R554" s="179"/>
      <c r="S554" s="179"/>
      <c r="T554" s="179"/>
      <c r="U554" s="179"/>
      <c r="V554" s="179"/>
      <c r="W554" s="179"/>
      <c r="X554" s="179"/>
      <c r="Y554" s="179"/>
      <c r="Z554" s="179"/>
    </row>
    <row r="555">
      <c r="A555" s="179"/>
      <c r="B555" s="179"/>
      <c r="C555" s="179"/>
      <c r="D555" s="179"/>
      <c r="E555" s="179"/>
      <c r="F555" s="179"/>
      <c r="G555" s="179"/>
      <c r="H555" s="179"/>
      <c r="I555" s="179"/>
      <c r="J555" s="179"/>
      <c r="K555" s="179"/>
      <c r="L555" s="179"/>
      <c r="M555" s="179"/>
      <c r="N555" s="179"/>
      <c r="O555" s="179"/>
      <c r="P555" s="179"/>
      <c r="Q555" s="179"/>
      <c r="R555" s="179"/>
      <c r="S555" s="179"/>
      <c r="T555" s="179"/>
      <c r="U555" s="179"/>
      <c r="V555" s="179"/>
      <c r="W555" s="179"/>
      <c r="X555" s="179"/>
      <c r="Y555" s="179"/>
      <c r="Z555" s="179"/>
    </row>
    <row r="556">
      <c r="A556" s="179"/>
      <c r="B556" s="179"/>
      <c r="C556" s="179"/>
      <c r="D556" s="179"/>
      <c r="E556" s="179"/>
      <c r="F556" s="179"/>
      <c r="G556" s="179"/>
      <c r="H556" s="179"/>
      <c r="I556" s="179"/>
      <c r="J556" s="179"/>
      <c r="K556" s="179"/>
      <c r="L556" s="179"/>
      <c r="M556" s="179"/>
      <c r="N556" s="179"/>
      <c r="O556" s="179"/>
      <c r="P556" s="179"/>
      <c r="Q556" s="179"/>
      <c r="R556" s="179"/>
      <c r="S556" s="179"/>
      <c r="T556" s="179"/>
      <c r="U556" s="179"/>
      <c r="V556" s="179"/>
      <c r="W556" s="179"/>
      <c r="X556" s="179"/>
      <c r="Y556" s="179"/>
      <c r="Z556" s="179"/>
    </row>
    <row r="557">
      <c r="A557" s="179"/>
      <c r="B557" s="179"/>
      <c r="C557" s="179"/>
      <c r="D557" s="179"/>
      <c r="E557" s="179"/>
      <c r="F557" s="179"/>
      <c r="G557" s="179"/>
      <c r="H557" s="179"/>
      <c r="I557" s="179"/>
      <c r="J557" s="179"/>
      <c r="K557" s="179"/>
      <c r="L557" s="179"/>
      <c r="M557" s="179"/>
      <c r="N557" s="179"/>
      <c r="O557" s="179"/>
      <c r="P557" s="179"/>
      <c r="Q557" s="179"/>
      <c r="R557" s="179"/>
      <c r="S557" s="179"/>
      <c r="T557" s="179"/>
      <c r="U557" s="179"/>
      <c r="V557" s="179"/>
      <c r="W557" s="179"/>
      <c r="X557" s="179"/>
      <c r="Y557" s="179"/>
      <c r="Z557" s="179"/>
    </row>
    <row r="558">
      <c r="A558" s="179"/>
      <c r="B558" s="179"/>
      <c r="C558" s="179"/>
      <c r="D558" s="179"/>
      <c r="E558" s="179"/>
      <c r="F558" s="179"/>
      <c r="G558" s="179"/>
      <c r="H558" s="179"/>
      <c r="I558" s="179"/>
      <c r="J558" s="179"/>
      <c r="K558" s="179"/>
      <c r="L558" s="179"/>
      <c r="M558" s="179"/>
      <c r="N558" s="179"/>
      <c r="O558" s="179"/>
      <c r="P558" s="179"/>
      <c r="Q558" s="179"/>
      <c r="R558" s="179"/>
      <c r="S558" s="179"/>
      <c r="T558" s="179"/>
      <c r="U558" s="179"/>
      <c r="V558" s="179"/>
      <c r="W558" s="179"/>
      <c r="X558" s="179"/>
      <c r="Y558" s="179"/>
      <c r="Z558" s="179"/>
    </row>
    <row r="559">
      <c r="A559" s="179"/>
      <c r="B559" s="179"/>
      <c r="C559" s="179"/>
      <c r="D559" s="179"/>
      <c r="E559" s="179"/>
      <c r="F559" s="179"/>
      <c r="G559" s="179"/>
      <c r="H559" s="179"/>
      <c r="I559" s="179"/>
      <c r="J559" s="179"/>
      <c r="K559" s="179"/>
      <c r="L559" s="179"/>
      <c r="M559" s="179"/>
      <c r="N559" s="179"/>
      <c r="O559" s="179"/>
      <c r="P559" s="179"/>
      <c r="Q559" s="179"/>
      <c r="R559" s="179"/>
      <c r="S559" s="179"/>
      <c r="T559" s="179"/>
      <c r="U559" s="179"/>
      <c r="V559" s="179"/>
      <c r="W559" s="179"/>
      <c r="X559" s="179"/>
      <c r="Y559" s="179"/>
      <c r="Z559" s="179"/>
    </row>
    <row r="560">
      <c r="A560" s="179"/>
      <c r="B560" s="179"/>
      <c r="C560" s="179"/>
      <c r="D560" s="179"/>
      <c r="E560" s="179"/>
      <c r="F560" s="179"/>
      <c r="G560" s="179"/>
      <c r="H560" s="179"/>
      <c r="I560" s="179"/>
      <c r="J560" s="179"/>
      <c r="K560" s="179"/>
      <c r="L560" s="179"/>
      <c r="M560" s="179"/>
      <c r="N560" s="179"/>
      <c r="O560" s="179"/>
      <c r="P560" s="179"/>
      <c r="Q560" s="179"/>
      <c r="R560" s="179"/>
      <c r="S560" s="179"/>
      <c r="T560" s="179"/>
      <c r="U560" s="179"/>
      <c r="V560" s="179"/>
      <c r="W560" s="179"/>
      <c r="X560" s="179"/>
      <c r="Y560" s="179"/>
      <c r="Z560" s="179"/>
    </row>
    <row r="561">
      <c r="A561" s="179"/>
      <c r="B561" s="179"/>
      <c r="C561" s="179"/>
      <c r="D561" s="179"/>
      <c r="E561" s="179"/>
      <c r="F561" s="179"/>
      <c r="G561" s="179"/>
      <c r="H561" s="179"/>
      <c r="I561" s="179"/>
      <c r="J561" s="179"/>
      <c r="K561" s="179"/>
      <c r="L561" s="179"/>
      <c r="M561" s="179"/>
      <c r="N561" s="179"/>
      <c r="O561" s="179"/>
      <c r="P561" s="179"/>
      <c r="Q561" s="179"/>
      <c r="R561" s="179"/>
      <c r="S561" s="179"/>
      <c r="T561" s="179"/>
      <c r="U561" s="179"/>
      <c r="V561" s="179"/>
      <c r="W561" s="179"/>
      <c r="X561" s="179"/>
      <c r="Y561" s="179"/>
      <c r="Z561" s="179"/>
    </row>
    <row r="562">
      <c r="A562" s="179"/>
      <c r="B562" s="179"/>
      <c r="C562" s="179"/>
      <c r="D562" s="179"/>
      <c r="E562" s="179"/>
      <c r="F562" s="179"/>
      <c r="G562" s="179"/>
      <c r="H562" s="179"/>
      <c r="I562" s="179"/>
      <c r="J562" s="179"/>
      <c r="K562" s="179"/>
      <c r="L562" s="179"/>
      <c r="M562" s="179"/>
      <c r="N562" s="179"/>
      <c r="O562" s="179"/>
      <c r="P562" s="179"/>
      <c r="Q562" s="179"/>
      <c r="R562" s="179"/>
      <c r="S562" s="179"/>
      <c r="T562" s="179"/>
      <c r="U562" s="179"/>
      <c r="V562" s="179"/>
      <c r="W562" s="179"/>
      <c r="X562" s="179"/>
      <c r="Y562" s="179"/>
      <c r="Z562" s="179"/>
    </row>
    <row r="563">
      <c r="A563" s="179"/>
      <c r="B563" s="179"/>
      <c r="C563" s="179"/>
      <c r="D563" s="179"/>
      <c r="E563" s="179"/>
      <c r="F563" s="179"/>
      <c r="G563" s="179"/>
      <c r="H563" s="179"/>
      <c r="I563" s="179"/>
      <c r="J563" s="179"/>
      <c r="K563" s="179"/>
      <c r="L563" s="179"/>
      <c r="M563" s="179"/>
      <c r="N563" s="179"/>
      <c r="O563" s="179"/>
      <c r="P563" s="179"/>
      <c r="Q563" s="179"/>
      <c r="R563" s="179"/>
      <c r="S563" s="179"/>
      <c r="T563" s="179"/>
      <c r="U563" s="179"/>
      <c r="V563" s="179"/>
      <c r="W563" s="179"/>
      <c r="X563" s="179"/>
      <c r="Y563" s="179"/>
      <c r="Z563" s="179"/>
    </row>
    <row r="564">
      <c r="A564" s="179"/>
      <c r="B564" s="179"/>
      <c r="C564" s="179"/>
      <c r="D564" s="179"/>
      <c r="E564" s="179"/>
      <c r="F564" s="179"/>
      <c r="G564" s="179"/>
      <c r="H564" s="179"/>
      <c r="I564" s="179"/>
      <c r="J564" s="179"/>
      <c r="K564" s="179"/>
      <c r="L564" s="179"/>
      <c r="M564" s="179"/>
      <c r="N564" s="179"/>
      <c r="O564" s="179"/>
      <c r="P564" s="179"/>
      <c r="Q564" s="179"/>
      <c r="R564" s="179"/>
      <c r="S564" s="179"/>
      <c r="T564" s="179"/>
      <c r="U564" s="179"/>
      <c r="V564" s="179"/>
      <c r="W564" s="179"/>
      <c r="X564" s="179"/>
      <c r="Y564" s="179"/>
      <c r="Z564" s="179"/>
    </row>
    <row r="565">
      <c r="A565" s="179"/>
      <c r="B565" s="179"/>
      <c r="C565" s="179"/>
      <c r="D565" s="179"/>
      <c r="E565" s="179"/>
      <c r="F565" s="179"/>
      <c r="G565" s="179"/>
      <c r="H565" s="179"/>
      <c r="I565" s="179"/>
      <c r="J565" s="179"/>
      <c r="K565" s="179"/>
      <c r="L565" s="179"/>
      <c r="M565" s="179"/>
      <c r="N565" s="179"/>
      <c r="O565" s="179"/>
      <c r="P565" s="179"/>
      <c r="Q565" s="179"/>
      <c r="R565" s="179"/>
      <c r="S565" s="179"/>
      <c r="T565" s="179"/>
      <c r="U565" s="179"/>
      <c r="V565" s="179"/>
      <c r="W565" s="179"/>
      <c r="X565" s="179"/>
      <c r="Y565" s="179"/>
      <c r="Z565" s="179"/>
    </row>
    <row r="566">
      <c r="A566" s="179"/>
      <c r="B566" s="179"/>
      <c r="C566" s="179"/>
      <c r="D566" s="179"/>
      <c r="E566" s="179"/>
      <c r="F566" s="179"/>
      <c r="G566" s="179"/>
      <c r="H566" s="179"/>
      <c r="I566" s="179"/>
      <c r="J566" s="179"/>
      <c r="K566" s="179"/>
      <c r="L566" s="179"/>
      <c r="M566" s="179"/>
      <c r="N566" s="179"/>
      <c r="O566" s="179"/>
      <c r="P566" s="179"/>
      <c r="Q566" s="179"/>
      <c r="R566" s="179"/>
      <c r="S566" s="179"/>
      <c r="T566" s="179"/>
      <c r="U566" s="179"/>
      <c r="V566" s="179"/>
      <c r="W566" s="179"/>
      <c r="X566" s="179"/>
      <c r="Y566" s="179"/>
      <c r="Z566" s="179"/>
    </row>
    <row r="567">
      <c r="A567" s="179"/>
      <c r="B567" s="179"/>
      <c r="C567" s="179"/>
      <c r="D567" s="179"/>
      <c r="E567" s="179"/>
      <c r="F567" s="179"/>
      <c r="G567" s="179"/>
      <c r="H567" s="179"/>
      <c r="I567" s="179"/>
      <c r="J567" s="179"/>
      <c r="K567" s="179"/>
      <c r="L567" s="179"/>
      <c r="M567" s="179"/>
      <c r="N567" s="179"/>
      <c r="O567" s="179"/>
      <c r="P567" s="179"/>
      <c r="Q567" s="179"/>
      <c r="R567" s="179"/>
      <c r="S567" s="179"/>
      <c r="T567" s="179"/>
      <c r="U567" s="179"/>
      <c r="V567" s="179"/>
      <c r="W567" s="179"/>
      <c r="X567" s="179"/>
      <c r="Y567" s="179"/>
      <c r="Z567" s="179"/>
    </row>
    <row r="568">
      <c r="A568" s="179"/>
      <c r="B568" s="179"/>
      <c r="C568" s="179"/>
      <c r="D568" s="179"/>
      <c r="E568" s="179"/>
      <c r="F568" s="179"/>
      <c r="G568" s="179"/>
      <c r="H568" s="179"/>
      <c r="I568" s="179"/>
      <c r="J568" s="179"/>
      <c r="K568" s="179"/>
      <c r="L568" s="179"/>
      <c r="M568" s="179"/>
      <c r="N568" s="179"/>
      <c r="O568" s="179"/>
      <c r="P568" s="179"/>
      <c r="Q568" s="179"/>
      <c r="R568" s="179"/>
      <c r="S568" s="179"/>
      <c r="T568" s="179"/>
      <c r="U568" s="179"/>
      <c r="V568" s="179"/>
      <c r="W568" s="179"/>
      <c r="X568" s="179"/>
      <c r="Y568" s="179"/>
      <c r="Z568" s="179"/>
    </row>
    <row r="569">
      <c r="A569" s="179"/>
      <c r="B569" s="179"/>
      <c r="C569" s="179"/>
      <c r="D569" s="179"/>
      <c r="E569" s="179"/>
      <c r="F569" s="179"/>
      <c r="G569" s="179"/>
      <c r="H569" s="179"/>
      <c r="I569" s="179"/>
      <c r="J569" s="179"/>
      <c r="K569" s="179"/>
      <c r="L569" s="179"/>
      <c r="M569" s="179"/>
      <c r="N569" s="179"/>
      <c r="O569" s="179"/>
      <c r="P569" s="179"/>
      <c r="Q569" s="179"/>
      <c r="R569" s="179"/>
      <c r="S569" s="179"/>
      <c r="T569" s="179"/>
      <c r="U569" s="179"/>
      <c r="V569" s="179"/>
      <c r="W569" s="179"/>
      <c r="X569" s="179"/>
      <c r="Y569" s="179"/>
      <c r="Z569" s="179"/>
    </row>
    <row r="570">
      <c r="A570" s="179"/>
      <c r="B570" s="179"/>
      <c r="C570" s="179"/>
      <c r="D570" s="179"/>
      <c r="E570" s="179"/>
      <c r="F570" s="179"/>
      <c r="G570" s="179"/>
      <c r="H570" s="179"/>
      <c r="I570" s="179"/>
      <c r="J570" s="179"/>
      <c r="K570" s="179"/>
      <c r="L570" s="179"/>
      <c r="M570" s="179"/>
      <c r="N570" s="179"/>
      <c r="O570" s="179"/>
      <c r="P570" s="179"/>
      <c r="Q570" s="179"/>
      <c r="R570" s="179"/>
      <c r="S570" s="179"/>
      <c r="T570" s="179"/>
      <c r="U570" s="179"/>
      <c r="V570" s="179"/>
      <c r="W570" s="179"/>
      <c r="X570" s="179"/>
      <c r="Y570" s="179"/>
      <c r="Z570" s="179"/>
    </row>
    <row r="571">
      <c r="A571" s="179"/>
      <c r="B571" s="179"/>
      <c r="C571" s="179"/>
      <c r="D571" s="179"/>
      <c r="E571" s="179"/>
      <c r="F571" s="179"/>
      <c r="G571" s="179"/>
      <c r="H571" s="179"/>
      <c r="I571" s="179"/>
      <c r="J571" s="179"/>
      <c r="K571" s="179"/>
      <c r="L571" s="179"/>
      <c r="M571" s="179"/>
      <c r="N571" s="179"/>
      <c r="O571" s="179"/>
      <c r="P571" s="179"/>
      <c r="Q571" s="179"/>
      <c r="R571" s="179"/>
      <c r="S571" s="179"/>
      <c r="T571" s="179"/>
      <c r="U571" s="179"/>
      <c r="V571" s="179"/>
      <c r="W571" s="179"/>
      <c r="X571" s="179"/>
      <c r="Y571" s="179"/>
      <c r="Z571" s="179"/>
    </row>
    <row r="572">
      <c r="A572" s="179"/>
      <c r="B572" s="179"/>
      <c r="C572" s="179"/>
      <c r="D572" s="179"/>
      <c r="E572" s="179"/>
      <c r="F572" s="179"/>
      <c r="G572" s="179"/>
      <c r="H572" s="179"/>
      <c r="I572" s="179"/>
      <c r="J572" s="179"/>
      <c r="K572" s="179"/>
      <c r="L572" s="179"/>
      <c r="M572" s="179"/>
      <c r="N572" s="179"/>
      <c r="O572" s="179"/>
      <c r="P572" s="179"/>
      <c r="Q572" s="179"/>
      <c r="R572" s="179"/>
      <c r="S572" s="179"/>
      <c r="T572" s="179"/>
      <c r="U572" s="179"/>
      <c r="V572" s="179"/>
      <c r="W572" s="179"/>
      <c r="X572" s="179"/>
      <c r="Y572" s="179"/>
      <c r="Z572" s="179"/>
    </row>
    <row r="573">
      <c r="A573" s="179"/>
      <c r="B573" s="179"/>
      <c r="C573" s="179"/>
      <c r="D573" s="179"/>
      <c r="E573" s="179"/>
      <c r="F573" s="179"/>
      <c r="G573" s="179"/>
      <c r="H573" s="179"/>
      <c r="I573" s="179"/>
      <c r="J573" s="179"/>
      <c r="K573" s="179"/>
      <c r="L573" s="179"/>
      <c r="M573" s="179"/>
      <c r="N573" s="179"/>
      <c r="O573" s="179"/>
      <c r="P573" s="179"/>
      <c r="Q573" s="179"/>
      <c r="R573" s="179"/>
      <c r="S573" s="179"/>
      <c r="T573" s="179"/>
      <c r="U573" s="179"/>
      <c r="V573" s="179"/>
      <c r="W573" s="179"/>
      <c r="X573" s="179"/>
      <c r="Y573" s="179"/>
      <c r="Z573" s="179"/>
    </row>
    <row r="574">
      <c r="A574" s="179"/>
      <c r="B574" s="179"/>
      <c r="C574" s="179"/>
      <c r="D574" s="179"/>
      <c r="E574" s="179"/>
      <c r="F574" s="179"/>
      <c r="G574" s="179"/>
      <c r="H574" s="179"/>
      <c r="I574" s="179"/>
      <c r="J574" s="179"/>
      <c r="K574" s="179"/>
      <c r="L574" s="179"/>
      <c r="M574" s="179"/>
      <c r="N574" s="179"/>
      <c r="O574" s="179"/>
      <c r="P574" s="179"/>
      <c r="Q574" s="179"/>
      <c r="R574" s="179"/>
      <c r="S574" s="179"/>
      <c r="T574" s="179"/>
      <c r="U574" s="179"/>
      <c r="V574" s="179"/>
      <c r="W574" s="179"/>
      <c r="X574" s="179"/>
      <c r="Y574" s="179"/>
      <c r="Z574" s="179"/>
    </row>
    <row r="575">
      <c r="A575" s="179"/>
      <c r="B575" s="179"/>
      <c r="C575" s="179"/>
      <c r="D575" s="179"/>
      <c r="E575" s="179"/>
      <c r="F575" s="179"/>
      <c r="G575" s="179"/>
      <c r="H575" s="179"/>
      <c r="I575" s="179"/>
      <c r="J575" s="179"/>
      <c r="K575" s="179"/>
      <c r="L575" s="179"/>
      <c r="M575" s="179"/>
      <c r="N575" s="179"/>
      <c r="O575" s="179"/>
      <c r="P575" s="179"/>
      <c r="Q575" s="179"/>
      <c r="R575" s="179"/>
      <c r="S575" s="179"/>
      <c r="T575" s="179"/>
      <c r="U575" s="179"/>
      <c r="V575" s="179"/>
      <c r="W575" s="179"/>
      <c r="X575" s="179"/>
      <c r="Y575" s="179"/>
      <c r="Z575" s="179"/>
    </row>
    <row r="576">
      <c r="A576" s="179"/>
      <c r="B576" s="179"/>
      <c r="C576" s="179"/>
      <c r="D576" s="179"/>
      <c r="E576" s="179"/>
      <c r="F576" s="179"/>
      <c r="G576" s="179"/>
      <c r="H576" s="179"/>
      <c r="I576" s="179"/>
      <c r="J576" s="179"/>
      <c r="K576" s="179"/>
      <c r="L576" s="179"/>
      <c r="M576" s="179"/>
      <c r="N576" s="179"/>
      <c r="O576" s="179"/>
      <c r="P576" s="179"/>
      <c r="Q576" s="179"/>
      <c r="R576" s="179"/>
      <c r="S576" s="179"/>
      <c r="T576" s="179"/>
      <c r="U576" s="179"/>
      <c r="V576" s="179"/>
      <c r="W576" s="179"/>
      <c r="X576" s="179"/>
      <c r="Y576" s="179"/>
      <c r="Z576" s="179"/>
    </row>
    <row r="577">
      <c r="A577" s="179"/>
      <c r="B577" s="179"/>
      <c r="C577" s="179"/>
      <c r="D577" s="179"/>
      <c r="E577" s="179"/>
      <c r="F577" s="179"/>
      <c r="G577" s="179"/>
      <c r="H577" s="179"/>
      <c r="I577" s="179"/>
      <c r="J577" s="179"/>
      <c r="K577" s="179"/>
      <c r="L577" s="179"/>
      <c r="M577" s="179"/>
      <c r="N577" s="179"/>
      <c r="O577" s="179"/>
      <c r="P577" s="179"/>
      <c r="Q577" s="179"/>
      <c r="R577" s="179"/>
      <c r="S577" s="179"/>
      <c r="T577" s="179"/>
      <c r="U577" s="179"/>
      <c r="V577" s="179"/>
      <c r="W577" s="179"/>
      <c r="X577" s="179"/>
      <c r="Y577" s="179"/>
      <c r="Z577" s="179"/>
    </row>
    <row r="578">
      <c r="A578" s="179"/>
      <c r="B578" s="179"/>
      <c r="C578" s="179"/>
      <c r="D578" s="179"/>
      <c r="E578" s="179"/>
      <c r="F578" s="179"/>
      <c r="G578" s="179"/>
      <c r="H578" s="179"/>
      <c r="I578" s="179"/>
      <c r="J578" s="179"/>
      <c r="K578" s="179"/>
      <c r="L578" s="179"/>
      <c r="M578" s="179"/>
      <c r="N578" s="179"/>
      <c r="O578" s="179"/>
      <c r="P578" s="179"/>
      <c r="Q578" s="179"/>
      <c r="R578" s="179"/>
      <c r="S578" s="179"/>
      <c r="T578" s="179"/>
      <c r="U578" s="179"/>
      <c r="V578" s="179"/>
      <c r="W578" s="179"/>
      <c r="X578" s="179"/>
      <c r="Y578" s="179"/>
      <c r="Z578" s="179"/>
    </row>
    <row r="579">
      <c r="A579" s="179"/>
      <c r="B579" s="179"/>
      <c r="C579" s="179"/>
      <c r="D579" s="179"/>
      <c r="E579" s="179"/>
      <c r="F579" s="179"/>
      <c r="G579" s="179"/>
      <c r="H579" s="179"/>
      <c r="I579" s="179"/>
      <c r="J579" s="179"/>
      <c r="K579" s="179"/>
      <c r="L579" s="179"/>
      <c r="M579" s="179"/>
      <c r="N579" s="179"/>
      <c r="O579" s="179"/>
      <c r="P579" s="179"/>
      <c r="Q579" s="179"/>
      <c r="R579" s="179"/>
      <c r="S579" s="179"/>
      <c r="T579" s="179"/>
      <c r="U579" s="179"/>
      <c r="V579" s="179"/>
      <c r="W579" s="179"/>
      <c r="X579" s="179"/>
      <c r="Y579" s="179"/>
      <c r="Z579" s="179"/>
    </row>
    <row r="580">
      <c r="A580" s="179"/>
      <c r="B580" s="179"/>
      <c r="C580" s="179"/>
      <c r="D580" s="179"/>
      <c r="E580" s="179"/>
      <c r="F580" s="179"/>
      <c r="G580" s="179"/>
      <c r="H580" s="179"/>
      <c r="I580" s="179"/>
      <c r="J580" s="179"/>
      <c r="K580" s="179"/>
      <c r="L580" s="179"/>
      <c r="M580" s="179"/>
      <c r="N580" s="179"/>
      <c r="O580" s="179"/>
      <c r="P580" s="179"/>
      <c r="Q580" s="179"/>
      <c r="R580" s="179"/>
      <c r="S580" s="179"/>
      <c r="T580" s="179"/>
      <c r="U580" s="179"/>
      <c r="V580" s="179"/>
      <c r="W580" s="179"/>
      <c r="X580" s="179"/>
      <c r="Y580" s="179"/>
      <c r="Z580" s="179"/>
    </row>
    <row r="581">
      <c r="A581" s="179"/>
      <c r="B581" s="179"/>
      <c r="C581" s="179"/>
      <c r="D581" s="179"/>
      <c r="E581" s="179"/>
      <c r="F581" s="179"/>
      <c r="G581" s="179"/>
      <c r="H581" s="179"/>
      <c r="I581" s="179"/>
      <c r="J581" s="179"/>
      <c r="K581" s="179"/>
      <c r="L581" s="179"/>
      <c r="M581" s="179"/>
      <c r="N581" s="179"/>
      <c r="O581" s="179"/>
      <c r="P581" s="179"/>
      <c r="Q581" s="179"/>
      <c r="R581" s="179"/>
      <c r="S581" s="179"/>
      <c r="T581" s="179"/>
      <c r="U581" s="179"/>
      <c r="V581" s="179"/>
      <c r="W581" s="179"/>
      <c r="X581" s="179"/>
      <c r="Y581" s="179"/>
      <c r="Z581" s="179"/>
    </row>
    <row r="582">
      <c r="A582" s="179"/>
      <c r="B582" s="179"/>
      <c r="C582" s="179"/>
      <c r="D582" s="179"/>
      <c r="E582" s="179"/>
      <c r="F582" s="179"/>
      <c r="G582" s="179"/>
      <c r="H582" s="179"/>
      <c r="I582" s="179"/>
      <c r="J582" s="179"/>
      <c r="K582" s="179"/>
      <c r="L582" s="179"/>
      <c r="M582" s="179"/>
      <c r="N582" s="179"/>
      <c r="O582" s="179"/>
      <c r="P582" s="179"/>
      <c r="Q582" s="179"/>
      <c r="R582" s="179"/>
      <c r="S582" s="179"/>
      <c r="T582" s="179"/>
      <c r="U582" s="179"/>
      <c r="V582" s="179"/>
      <c r="W582" s="179"/>
      <c r="X582" s="179"/>
      <c r="Y582" s="179"/>
      <c r="Z582" s="179"/>
    </row>
    <row r="583">
      <c r="A583" s="179"/>
      <c r="B583" s="179"/>
      <c r="C583" s="179"/>
      <c r="D583" s="179"/>
      <c r="E583" s="179"/>
      <c r="F583" s="179"/>
      <c r="G583" s="179"/>
      <c r="H583" s="179"/>
      <c r="I583" s="179"/>
      <c r="J583" s="179"/>
      <c r="K583" s="179"/>
      <c r="L583" s="179"/>
      <c r="M583" s="179"/>
      <c r="N583" s="179"/>
      <c r="O583" s="179"/>
      <c r="P583" s="179"/>
      <c r="Q583" s="179"/>
      <c r="R583" s="179"/>
      <c r="S583" s="179"/>
      <c r="T583" s="179"/>
      <c r="U583" s="179"/>
      <c r="V583" s="179"/>
      <c r="W583" s="179"/>
      <c r="X583" s="179"/>
      <c r="Y583" s="179"/>
      <c r="Z583" s="179"/>
    </row>
    <row r="584">
      <c r="A584" s="179"/>
      <c r="B584" s="179"/>
      <c r="C584" s="179"/>
      <c r="D584" s="179"/>
      <c r="E584" s="179"/>
      <c r="F584" s="179"/>
      <c r="G584" s="179"/>
      <c r="H584" s="179"/>
      <c r="I584" s="179"/>
      <c r="J584" s="179"/>
      <c r="K584" s="179"/>
      <c r="L584" s="179"/>
      <c r="M584" s="179"/>
      <c r="N584" s="179"/>
      <c r="O584" s="179"/>
      <c r="P584" s="179"/>
      <c r="Q584" s="179"/>
      <c r="R584" s="179"/>
      <c r="S584" s="179"/>
      <c r="T584" s="179"/>
      <c r="U584" s="179"/>
      <c r="V584" s="179"/>
      <c r="W584" s="179"/>
      <c r="X584" s="179"/>
      <c r="Y584" s="179"/>
      <c r="Z584" s="179"/>
    </row>
    <row r="585">
      <c r="A585" s="179"/>
      <c r="B585" s="179"/>
      <c r="C585" s="179"/>
      <c r="D585" s="179"/>
      <c r="E585" s="179"/>
      <c r="F585" s="179"/>
      <c r="G585" s="179"/>
      <c r="H585" s="179"/>
      <c r="I585" s="179"/>
      <c r="J585" s="179"/>
      <c r="K585" s="179"/>
      <c r="L585" s="179"/>
      <c r="M585" s="179"/>
      <c r="N585" s="179"/>
      <c r="O585" s="179"/>
      <c r="P585" s="179"/>
      <c r="Q585" s="179"/>
      <c r="R585" s="179"/>
      <c r="S585" s="179"/>
      <c r="T585" s="179"/>
      <c r="U585" s="179"/>
      <c r="V585" s="179"/>
      <c r="W585" s="179"/>
      <c r="X585" s="179"/>
      <c r="Y585" s="179"/>
      <c r="Z585" s="179"/>
    </row>
    <row r="586">
      <c r="A586" s="179"/>
      <c r="B586" s="179"/>
      <c r="C586" s="179"/>
      <c r="D586" s="179"/>
      <c r="E586" s="179"/>
      <c r="F586" s="179"/>
      <c r="G586" s="179"/>
      <c r="H586" s="179"/>
      <c r="I586" s="179"/>
      <c r="J586" s="179"/>
      <c r="K586" s="179"/>
      <c r="L586" s="179"/>
      <c r="M586" s="179"/>
      <c r="N586" s="179"/>
      <c r="O586" s="179"/>
      <c r="P586" s="179"/>
      <c r="Q586" s="179"/>
      <c r="R586" s="179"/>
      <c r="S586" s="179"/>
      <c r="T586" s="179"/>
      <c r="U586" s="179"/>
      <c r="V586" s="179"/>
      <c r="W586" s="179"/>
      <c r="X586" s="179"/>
      <c r="Y586" s="179"/>
      <c r="Z586" s="179"/>
    </row>
    <row r="587">
      <c r="A587" s="179"/>
      <c r="B587" s="179"/>
      <c r="C587" s="179"/>
      <c r="D587" s="179"/>
      <c r="E587" s="179"/>
      <c r="F587" s="179"/>
      <c r="G587" s="179"/>
      <c r="H587" s="179"/>
      <c r="I587" s="179"/>
      <c r="J587" s="179"/>
      <c r="K587" s="179"/>
      <c r="L587" s="179"/>
      <c r="M587" s="179"/>
      <c r="N587" s="179"/>
      <c r="O587" s="179"/>
      <c r="P587" s="179"/>
      <c r="Q587" s="179"/>
      <c r="R587" s="179"/>
      <c r="S587" s="179"/>
      <c r="T587" s="179"/>
      <c r="U587" s="179"/>
      <c r="V587" s="179"/>
      <c r="W587" s="179"/>
      <c r="X587" s="179"/>
      <c r="Y587" s="179"/>
      <c r="Z587" s="179"/>
    </row>
    <row r="588">
      <c r="A588" s="179"/>
      <c r="B588" s="179"/>
      <c r="C588" s="179"/>
      <c r="D588" s="179"/>
      <c r="E588" s="179"/>
      <c r="F588" s="179"/>
      <c r="G588" s="179"/>
      <c r="H588" s="179"/>
      <c r="I588" s="179"/>
      <c r="J588" s="179"/>
      <c r="K588" s="179"/>
      <c r="L588" s="179"/>
      <c r="M588" s="179"/>
      <c r="N588" s="179"/>
      <c r="O588" s="179"/>
      <c r="P588" s="179"/>
      <c r="Q588" s="179"/>
      <c r="R588" s="179"/>
      <c r="S588" s="179"/>
      <c r="T588" s="179"/>
      <c r="U588" s="179"/>
      <c r="V588" s="179"/>
      <c r="W588" s="179"/>
      <c r="X588" s="179"/>
      <c r="Y588" s="179"/>
      <c r="Z588" s="179"/>
    </row>
    <row r="589">
      <c r="A589" s="179"/>
      <c r="B589" s="179"/>
      <c r="C589" s="179"/>
      <c r="D589" s="179"/>
      <c r="E589" s="179"/>
      <c r="F589" s="179"/>
      <c r="G589" s="179"/>
      <c r="H589" s="179"/>
      <c r="I589" s="179"/>
      <c r="J589" s="179"/>
      <c r="K589" s="179"/>
      <c r="L589" s="179"/>
      <c r="M589" s="179"/>
      <c r="N589" s="179"/>
      <c r="O589" s="179"/>
      <c r="P589" s="179"/>
      <c r="Q589" s="179"/>
      <c r="R589" s="179"/>
      <c r="S589" s="179"/>
      <c r="T589" s="179"/>
      <c r="U589" s="179"/>
      <c r="V589" s="179"/>
      <c r="W589" s="179"/>
      <c r="X589" s="179"/>
      <c r="Y589" s="179"/>
      <c r="Z589" s="179"/>
    </row>
    <row r="590">
      <c r="A590" s="179"/>
      <c r="B590" s="179"/>
      <c r="C590" s="179"/>
      <c r="D590" s="179"/>
      <c r="E590" s="179"/>
      <c r="F590" s="179"/>
      <c r="G590" s="179"/>
      <c r="H590" s="179"/>
      <c r="I590" s="179"/>
      <c r="J590" s="179"/>
      <c r="K590" s="179"/>
      <c r="L590" s="179"/>
      <c r="M590" s="179"/>
      <c r="N590" s="179"/>
      <c r="O590" s="179"/>
      <c r="P590" s="179"/>
      <c r="Q590" s="179"/>
      <c r="R590" s="179"/>
      <c r="S590" s="179"/>
      <c r="T590" s="179"/>
      <c r="U590" s="179"/>
      <c r="V590" s="179"/>
      <c r="W590" s="179"/>
      <c r="X590" s="179"/>
      <c r="Y590" s="179"/>
      <c r="Z590" s="179"/>
    </row>
    <row r="591">
      <c r="A591" s="179"/>
      <c r="B591" s="179"/>
      <c r="C591" s="179"/>
      <c r="D591" s="179"/>
      <c r="E591" s="179"/>
      <c r="F591" s="179"/>
      <c r="G591" s="179"/>
      <c r="H591" s="179"/>
      <c r="I591" s="179"/>
      <c r="J591" s="179"/>
      <c r="K591" s="179"/>
      <c r="L591" s="179"/>
      <c r="M591" s="179"/>
      <c r="N591" s="179"/>
      <c r="O591" s="179"/>
      <c r="P591" s="179"/>
      <c r="Q591" s="179"/>
      <c r="R591" s="179"/>
      <c r="S591" s="179"/>
      <c r="T591" s="179"/>
      <c r="U591" s="179"/>
      <c r="V591" s="179"/>
      <c r="W591" s="179"/>
      <c r="X591" s="179"/>
      <c r="Y591" s="179"/>
      <c r="Z591" s="179"/>
    </row>
    <row r="592">
      <c r="A592" s="179"/>
      <c r="B592" s="179"/>
      <c r="C592" s="179"/>
      <c r="D592" s="179"/>
      <c r="E592" s="179"/>
      <c r="F592" s="179"/>
      <c r="G592" s="179"/>
      <c r="H592" s="179"/>
      <c r="I592" s="179"/>
      <c r="J592" s="179"/>
      <c r="K592" s="179"/>
      <c r="L592" s="179"/>
      <c r="M592" s="179"/>
      <c r="N592" s="179"/>
      <c r="O592" s="179"/>
      <c r="P592" s="179"/>
      <c r="Q592" s="179"/>
      <c r="R592" s="179"/>
      <c r="S592" s="179"/>
      <c r="T592" s="179"/>
      <c r="U592" s="179"/>
      <c r="V592" s="179"/>
      <c r="W592" s="179"/>
      <c r="X592" s="179"/>
      <c r="Y592" s="179"/>
      <c r="Z592" s="179"/>
    </row>
    <row r="593">
      <c r="A593" s="179"/>
      <c r="B593" s="179"/>
      <c r="C593" s="179"/>
      <c r="D593" s="179"/>
      <c r="E593" s="179"/>
      <c r="F593" s="179"/>
      <c r="G593" s="179"/>
      <c r="H593" s="179"/>
      <c r="I593" s="179"/>
      <c r="J593" s="179"/>
      <c r="K593" s="179"/>
      <c r="L593" s="179"/>
      <c r="M593" s="179"/>
      <c r="N593" s="179"/>
      <c r="O593" s="179"/>
      <c r="P593" s="179"/>
      <c r="Q593" s="179"/>
      <c r="R593" s="179"/>
      <c r="S593" s="179"/>
      <c r="T593" s="179"/>
      <c r="U593" s="179"/>
      <c r="V593" s="179"/>
      <c r="W593" s="179"/>
      <c r="X593" s="179"/>
      <c r="Y593" s="179"/>
      <c r="Z593" s="179"/>
    </row>
    <row r="594">
      <c r="A594" s="179"/>
      <c r="B594" s="179"/>
      <c r="C594" s="179"/>
      <c r="D594" s="179"/>
      <c r="E594" s="179"/>
      <c r="F594" s="179"/>
      <c r="G594" s="179"/>
      <c r="H594" s="179"/>
      <c r="I594" s="179"/>
      <c r="J594" s="179"/>
      <c r="K594" s="179"/>
      <c r="L594" s="179"/>
      <c r="M594" s="179"/>
      <c r="N594" s="179"/>
      <c r="O594" s="179"/>
      <c r="P594" s="179"/>
      <c r="Q594" s="179"/>
      <c r="R594" s="179"/>
      <c r="S594" s="179"/>
      <c r="T594" s="179"/>
      <c r="U594" s="179"/>
      <c r="V594" s="179"/>
      <c r="W594" s="179"/>
      <c r="X594" s="179"/>
      <c r="Y594" s="179"/>
      <c r="Z594" s="179"/>
    </row>
    <row r="595">
      <c r="A595" s="179"/>
      <c r="B595" s="179"/>
      <c r="C595" s="179"/>
      <c r="D595" s="179"/>
      <c r="E595" s="179"/>
      <c r="F595" s="179"/>
      <c r="G595" s="179"/>
      <c r="H595" s="179"/>
      <c r="I595" s="179"/>
      <c r="J595" s="179"/>
      <c r="K595" s="179"/>
      <c r="L595" s="179"/>
      <c r="M595" s="179"/>
      <c r="N595" s="179"/>
      <c r="O595" s="179"/>
      <c r="P595" s="179"/>
      <c r="Q595" s="179"/>
      <c r="R595" s="179"/>
      <c r="S595" s="179"/>
      <c r="T595" s="179"/>
      <c r="U595" s="179"/>
      <c r="V595" s="179"/>
      <c r="W595" s="179"/>
      <c r="X595" s="179"/>
      <c r="Y595" s="179"/>
      <c r="Z595" s="179"/>
    </row>
    <row r="596">
      <c r="A596" s="179"/>
      <c r="B596" s="179"/>
      <c r="C596" s="179"/>
      <c r="D596" s="179"/>
      <c r="E596" s="179"/>
      <c r="F596" s="179"/>
      <c r="G596" s="179"/>
      <c r="H596" s="179"/>
      <c r="I596" s="179"/>
      <c r="J596" s="179"/>
      <c r="K596" s="179"/>
      <c r="L596" s="179"/>
      <c r="M596" s="179"/>
      <c r="N596" s="179"/>
      <c r="O596" s="179"/>
      <c r="P596" s="179"/>
      <c r="Q596" s="179"/>
      <c r="R596" s="179"/>
      <c r="S596" s="179"/>
      <c r="T596" s="179"/>
      <c r="U596" s="179"/>
      <c r="V596" s="179"/>
      <c r="W596" s="179"/>
      <c r="X596" s="179"/>
      <c r="Y596" s="179"/>
      <c r="Z596" s="179"/>
    </row>
    <row r="597">
      <c r="A597" s="179"/>
      <c r="B597" s="179"/>
      <c r="C597" s="179"/>
      <c r="D597" s="179"/>
      <c r="E597" s="179"/>
      <c r="F597" s="179"/>
      <c r="G597" s="179"/>
      <c r="H597" s="179"/>
      <c r="I597" s="179"/>
      <c r="J597" s="179"/>
      <c r="K597" s="179"/>
      <c r="L597" s="179"/>
      <c r="M597" s="179"/>
      <c r="N597" s="179"/>
      <c r="O597" s="179"/>
      <c r="P597" s="179"/>
      <c r="Q597" s="179"/>
      <c r="R597" s="179"/>
      <c r="S597" s="179"/>
      <c r="T597" s="179"/>
      <c r="U597" s="179"/>
      <c r="V597" s="179"/>
      <c r="W597" s="179"/>
      <c r="X597" s="179"/>
      <c r="Y597" s="179"/>
      <c r="Z597" s="179"/>
    </row>
    <row r="598">
      <c r="A598" s="179"/>
      <c r="B598" s="179"/>
      <c r="C598" s="179"/>
      <c r="D598" s="179"/>
      <c r="E598" s="179"/>
      <c r="F598" s="179"/>
      <c r="G598" s="179"/>
      <c r="H598" s="179"/>
      <c r="I598" s="179"/>
      <c r="J598" s="179"/>
      <c r="K598" s="179"/>
      <c r="L598" s="179"/>
      <c r="M598" s="179"/>
      <c r="N598" s="179"/>
      <c r="O598" s="179"/>
      <c r="P598" s="179"/>
      <c r="Q598" s="179"/>
      <c r="R598" s="179"/>
      <c r="S598" s="179"/>
      <c r="T598" s="179"/>
      <c r="U598" s="179"/>
      <c r="V598" s="179"/>
      <c r="W598" s="179"/>
      <c r="X598" s="179"/>
      <c r="Y598" s="179"/>
      <c r="Z598" s="179"/>
    </row>
    <row r="599">
      <c r="A599" s="179"/>
      <c r="B599" s="179"/>
      <c r="C599" s="179"/>
      <c r="D599" s="179"/>
      <c r="E599" s="179"/>
      <c r="F599" s="179"/>
      <c r="G599" s="179"/>
      <c r="H599" s="179"/>
      <c r="I599" s="179"/>
      <c r="J599" s="179"/>
      <c r="K599" s="179"/>
      <c r="L599" s="179"/>
      <c r="M599" s="179"/>
      <c r="N599" s="179"/>
      <c r="O599" s="179"/>
      <c r="P599" s="179"/>
      <c r="Q599" s="179"/>
      <c r="R599" s="179"/>
      <c r="S599" s="179"/>
      <c r="T599" s="179"/>
      <c r="U599" s="179"/>
      <c r="V599" s="179"/>
      <c r="W599" s="179"/>
      <c r="X599" s="179"/>
      <c r="Y599" s="179"/>
      <c r="Z599" s="179"/>
    </row>
    <row r="600">
      <c r="A600" s="179"/>
      <c r="B600" s="179"/>
      <c r="C600" s="179"/>
      <c r="D600" s="179"/>
      <c r="E600" s="179"/>
      <c r="F600" s="179"/>
      <c r="G600" s="179"/>
      <c r="H600" s="179"/>
      <c r="I600" s="179"/>
      <c r="J600" s="179"/>
      <c r="K600" s="179"/>
      <c r="L600" s="179"/>
      <c r="M600" s="179"/>
      <c r="N600" s="179"/>
      <c r="O600" s="179"/>
      <c r="P600" s="179"/>
      <c r="Q600" s="179"/>
      <c r="R600" s="179"/>
      <c r="S600" s="179"/>
      <c r="T600" s="179"/>
      <c r="U600" s="179"/>
      <c r="V600" s="179"/>
      <c r="W600" s="179"/>
      <c r="X600" s="179"/>
      <c r="Y600" s="179"/>
      <c r="Z600" s="179"/>
    </row>
    <row r="601">
      <c r="A601" s="179"/>
      <c r="B601" s="179"/>
      <c r="C601" s="179"/>
      <c r="D601" s="179"/>
      <c r="E601" s="179"/>
      <c r="F601" s="179"/>
      <c r="G601" s="179"/>
      <c r="H601" s="179"/>
      <c r="I601" s="179"/>
      <c r="J601" s="179"/>
      <c r="K601" s="179"/>
      <c r="L601" s="179"/>
      <c r="M601" s="179"/>
      <c r="N601" s="179"/>
      <c r="O601" s="179"/>
      <c r="P601" s="179"/>
      <c r="Q601" s="179"/>
      <c r="R601" s="179"/>
      <c r="S601" s="179"/>
      <c r="T601" s="179"/>
      <c r="U601" s="179"/>
      <c r="V601" s="179"/>
      <c r="W601" s="179"/>
      <c r="X601" s="179"/>
      <c r="Y601" s="179"/>
      <c r="Z601" s="179"/>
    </row>
    <row r="602">
      <c r="A602" s="179"/>
      <c r="B602" s="179"/>
      <c r="C602" s="179"/>
      <c r="D602" s="179"/>
      <c r="E602" s="179"/>
      <c r="F602" s="179"/>
      <c r="G602" s="179"/>
      <c r="H602" s="179"/>
      <c r="I602" s="179"/>
      <c r="J602" s="179"/>
      <c r="K602" s="179"/>
      <c r="L602" s="179"/>
      <c r="M602" s="179"/>
      <c r="N602" s="179"/>
      <c r="O602" s="179"/>
      <c r="P602" s="179"/>
      <c r="Q602" s="179"/>
      <c r="R602" s="179"/>
      <c r="S602" s="179"/>
      <c r="T602" s="179"/>
      <c r="U602" s="179"/>
      <c r="V602" s="179"/>
      <c r="W602" s="179"/>
      <c r="X602" s="179"/>
      <c r="Y602" s="179"/>
      <c r="Z602" s="179"/>
    </row>
    <row r="603">
      <c r="A603" s="179"/>
      <c r="B603" s="179"/>
      <c r="C603" s="179"/>
      <c r="D603" s="179"/>
      <c r="E603" s="179"/>
      <c r="F603" s="179"/>
      <c r="G603" s="179"/>
      <c r="H603" s="179"/>
      <c r="I603" s="179"/>
      <c r="J603" s="179"/>
      <c r="K603" s="179"/>
      <c r="L603" s="179"/>
      <c r="M603" s="179"/>
      <c r="N603" s="179"/>
      <c r="O603" s="179"/>
      <c r="P603" s="179"/>
      <c r="Q603" s="179"/>
      <c r="R603" s="179"/>
      <c r="S603" s="179"/>
      <c r="T603" s="179"/>
      <c r="U603" s="179"/>
      <c r="V603" s="179"/>
      <c r="W603" s="179"/>
      <c r="X603" s="179"/>
      <c r="Y603" s="179"/>
      <c r="Z603" s="179"/>
    </row>
    <row r="604">
      <c r="A604" s="179"/>
      <c r="B604" s="179"/>
      <c r="C604" s="179"/>
      <c r="D604" s="179"/>
      <c r="E604" s="179"/>
      <c r="F604" s="179"/>
      <c r="G604" s="179"/>
      <c r="H604" s="179"/>
      <c r="I604" s="179"/>
      <c r="J604" s="179"/>
      <c r="K604" s="179"/>
      <c r="L604" s="179"/>
      <c r="M604" s="179"/>
      <c r="N604" s="179"/>
      <c r="O604" s="179"/>
      <c r="P604" s="179"/>
      <c r="Q604" s="179"/>
      <c r="R604" s="179"/>
      <c r="S604" s="179"/>
      <c r="T604" s="179"/>
      <c r="U604" s="179"/>
      <c r="V604" s="179"/>
      <c r="W604" s="179"/>
      <c r="X604" s="179"/>
      <c r="Y604" s="179"/>
      <c r="Z604" s="179"/>
    </row>
    <row r="605">
      <c r="A605" s="179"/>
      <c r="B605" s="179"/>
      <c r="C605" s="179"/>
      <c r="D605" s="179"/>
      <c r="E605" s="179"/>
      <c r="F605" s="179"/>
      <c r="G605" s="179"/>
      <c r="H605" s="179"/>
      <c r="I605" s="179"/>
      <c r="J605" s="179"/>
      <c r="K605" s="179"/>
      <c r="L605" s="179"/>
      <c r="M605" s="179"/>
      <c r="N605" s="179"/>
      <c r="O605" s="179"/>
      <c r="P605" s="179"/>
      <c r="Q605" s="179"/>
      <c r="R605" s="179"/>
      <c r="S605" s="179"/>
      <c r="T605" s="179"/>
      <c r="U605" s="179"/>
      <c r="V605" s="179"/>
      <c r="W605" s="179"/>
      <c r="X605" s="179"/>
      <c r="Y605" s="179"/>
      <c r="Z605" s="179"/>
    </row>
    <row r="606">
      <c r="A606" s="179"/>
      <c r="B606" s="179"/>
      <c r="C606" s="179"/>
      <c r="D606" s="179"/>
      <c r="E606" s="179"/>
      <c r="F606" s="179"/>
      <c r="G606" s="179"/>
      <c r="H606" s="179"/>
      <c r="I606" s="179"/>
      <c r="J606" s="179"/>
      <c r="K606" s="179"/>
      <c r="L606" s="179"/>
      <c r="M606" s="179"/>
      <c r="N606" s="179"/>
      <c r="O606" s="179"/>
      <c r="P606" s="179"/>
      <c r="Q606" s="179"/>
      <c r="R606" s="179"/>
      <c r="S606" s="179"/>
      <c r="T606" s="179"/>
      <c r="U606" s="179"/>
      <c r="V606" s="179"/>
      <c r="W606" s="179"/>
      <c r="X606" s="179"/>
      <c r="Y606" s="179"/>
      <c r="Z606" s="179"/>
    </row>
    <row r="607">
      <c r="A607" s="179"/>
      <c r="B607" s="179"/>
      <c r="C607" s="179"/>
      <c r="D607" s="179"/>
      <c r="E607" s="179"/>
      <c r="F607" s="179"/>
      <c r="G607" s="179"/>
      <c r="H607" s="179"/>
      <c r="I607" s="179"/>
      <c r="J607" s="179"/>
      <c r="K607" s="179"/>
      <c r="L607" s="179"/>
      <c r="M607" s="179"/>
      <c r="N607" s="179"/>
      <c r="O607" s="179"/>
      <c r="P607" s="179"/>
      <c r="Q607" s="179"/>
      <c r="R607" s="179"/>
      <c r="S607" s="179"/>
      <c r="T607" s="179"/>
      <c r="U607" s="179"/>
      <c r="V607" s="179"/>
      <c r="W607" s="179"/>
      <c r="X607" s="179"/>
      <c r="Y607" s="179"/>
      <c r="Z607" s="179"/>
    </row>
    <row r="608">
      <c r="A608" s="179"/>
      <c r="B608" s="179"/>
      <c r="C608" s="179"/>
      <c r="D608" s="179"/>
      <c r="E608" s="179"/>
      <c r="F608" s="179"/>
      <c r="G608" s="179"/>
      <c r="H608" s="179"/>
      <c r="I608" s="179"/>
      <c r="J608" s="179"/>
      <c r="K608" s="179"/>
      <c r="L608" s="179"/>
      <c r="M608" s="179"/>
      <c r="N608" s="179"/>
      <c r="O608" s="179"/>
      <c r="P608" s="179"/>
      <c r="Q608" s="179"/>
      <c r="R608" s="179"/>
      <c r="S608" s="179"/>
      <c r="T608" s="179"/>
      <c r="U608" s="179"/>
      <c r="V608" s="179"/>
      <c r="W608" s="179"/>
      <c r="X608" s="179"/>
      <c r="Y608" s="179"/>
      <c r="Z608" s="179"/>
    </row>
    <row r="609">
      <c r="A609" s="179"/>
      <c r="B609" s="179"/>
      <c r="C609" s="179"/>
      <c r="D609" s="179"/>
      <c r="E609" s="179"/>
      <c r="F609" s="179"/>
      <c r="G609" s="179"/>
      <c r="H609" s="179"/>
      <c r="I609" s="179"/>
      <c r="J609" s="179"/>
      <c r="K609" s="179"/>
      <c r="L609" s="179"/>
      <c r="M609" s="179"/>
      <c r="N609" s="179"/>
      <c r="O609" s="179"/>
      <c r="P609" s="179"/>
      <c r="Q609" s="179"/>
      <c r="R609" s="179"/>
      <c r="S609" s="179"/>
      <c r="T609" s="179"/>
      <c r="U609" s="179"/>
      <c r="V609" s="179"/>
      <c r="W609" s="179"/>
      <c r="X609" s="179"/>
      <c r="Y609" s="179"/>
      <c r="Z609" s="179"/>
    </row>
    <row r="610">
      <c r="A610" s="179"/>
      <c r="B610" s="179"/>
      <c r="C610" s="179"/>
      <c r="D610" s="179"/>
      <c r="E610" s="179"/>
      <c r="F610" s="179"/>
      <c r="G610" s="179"/>
      <c r="H610" s="179"/>
      <c r="I610" s="179"/>
      <c r="J610" s="179"/>
      <c r="K610" s="179"/>
      <c r="L610" s="179"/>
      <c r="M610" s="179"/>
      <c r="N610" s="179"/>
      <c r="O610" s="179"/>
      <c r="P610" s="179"/>
      <c r="Q610" s="179"/>
      <c r="R610" s="179"/>
      <c r="S610" s="179"/>
      <c r="T610" s="179"/>
      <c r="U610" s="179"/>
      <c r="V610" s="179"/>
      <c r="W610" s="179"/>
      <c r="X610" s="179"/>
      <c r="Y610" s="179"/>
      <c r="Z610" s="179"/>
    </row>
    <row r="611">
      <c r="A611" s="179"/>
      <c r="B611" s="179"/>
      <c r="C611" s="179"/>
      <c r="D611" s="179"/>
      <c r="E611" s="179"/>
      <c r="F611" s="179"/>
      <c r="G611" s="179"/>
      <c r="H611" s="179"/>
      <c r="I611" s="179"/>
      <c r="J611" s="179"/>
      <c r="K611" s="179"/>
      <c r="L611" s="179"/>
      <c r="M611" s="179"/>
      <c r="N611" s="179"/>
      <c r="O611" s="179"/>
      <c r="P611" s="179"/>
      <c r="Q611" s="179"/>
      <c r="R611" s="179"/>
      <c r="S611" s="179"/>
      <c r="T611" s="179"/>
      <c r="U611" s="179"/>
      <c r="V611" s="179"/>
      <c r="W611" s="179"/>
      <c r="X611" s="179"/>
      <c r="Y611" s="179"/>
      <c r="Z611" s="179"/>
    </row>
    <row r="612">
      <c r="A612" s="179"/>
      <c r="B612" s="179"/>
      <c r="C612" s="179"/>
      <c r="D612" s="179"/>
      <c r="E612" s="179"/>
      <c r="F612" s="179"/>
      <c r="G612" s="179"/>
      <c r="H612" s="179"/>
      <c r="I612" s="179"/>
      <c r="J612" s="179"/>
      <c r="K612" s="179"/>
      <c r="L612" s="179"/>
      <c r="M612" s="179"/>
      <c r="N612" s="179"/>
      <c r="O612" s="179"/>
      <c r="P612" s="179"/>
      <c r="Q612" s="179"/>
      <c r="R612" s="179"/>
      <c r="S612" s="179"/>
      <c r="T612" s="179"/>
      <c r="U612" s="179"/>
      <c r="V612" s="179"/>
      <c r="W612" s="179"/>
      <c r="X612" s="179"/>
      <c r="Y612" s="179"/>
      <c r="Z612" s="179"/>
    </row>
    <row r="613">
      <c r="A613" s="179"/>
      <c r="B613" s="179"/>
      <c r="C613" s="179"/>
      <c r="D613" s="179"/>
      <c r="E613" s="179"/>
      <c r="F613" s="179"/>
      <c r="G613" s="179"/>
      <c r="H613" s="179"/>
      <c r="I613" s="179"/>
      <c r="J613" s="179"/>
      <c r="K613" s="179"/>
      <c r="L613" s="179"/>
      <c r="M613" s="179"/>
      <c r="N613" s="179"/>
      <c r="O613" s="179"/>
      <c r="P613" s="179"/>
      <c r="Q613" s="179"/>
      <c r="R613" s="179"/>
      <c r="S613" s="179"/>
      <c r="T613" s="179"/>
      <c r="U613" s="179"/>
      <c r="V613" s="179"/>
      <c r="W613" s="179"/>
      <c r="X613" s="179"/>
      <c r="Y613" s="179"/>
      <c r="Z613" s="179"/>
    </row>
    <row r="614">
      <c r="A614" s="179"/>
      <c r="B614" s="179"/>
      <c r="C614" s="179"/>
      <c r="D614" s="179"/>
      <c r="E614" s="179"/>
      <c r="F614" s="179"/>
      <c r="G614" s="179"/>
      <c r="H614" s="179"/>
      <c r="I614" s="179"/>
      <c r="J614" s="179"/>
      <c r="K614" s="179"/>
      <c r="L614" s="179"/>
      <c r="M614" s="179"/>
      <c r="N614" s="179"/>
      <c r="O614" s="179"/>
      <c r="P614" s="179"/>
      <c r="Q614" s="179"/>
      <c r="R614" s="179"/>
      <c r="S614" s="179"/>
      <c r="T614" s="179"/>
      <c r="U614" s="179"/>
      <c r="V614" s="179"/>
      <c r="W614" s="179"/>
      <c r="X614" s="179"/>
      <c r="Y614" s="179"/>
      <c r="Z614" s="179"/>
    </row>
    <row r="615">
      <c r="A615" s="179"/>
      <c r="B615" s="179"/>
      <c r="C615" s="179"/>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row>
    <row r="616">
      <c r="A616" s="179"/>
      <c r="B616" s="179"/>
      <c r="C616" s="179"/>
      <c r="D616" s="179"/>
      <c r="E616" s="179"/>
      <c r="F616" s="179"/>
      <c r="G616" s="179"/>
      <c r="H616" s="179"/>
      <c r="I616" s="179"/>
      <c r="J616" s="179"/>
      <c r="K616" s="179"/>
      <c r="L616" s="179"/>
      <c r="M616" s="179"/>
      <c r="N616" s="179"/>
      <c r="O616" s="179"/>
      <c r="P616" s="179"/>
      <c r="Q616" s="179"/>
      <c r="R616" s="179"/>
      <c r="S616" s="179"/>
      <c r="T616" s="179"/>
      <c r="U616" s="179"/>
      <c r="V616" s="179"/>
      <c r="W616" s="179"/>
      <c r="X616" s="179"/>
      <c r="Y616" s="179"/>
      <c r="Z616" s="179"/>
    </row>
    <row r="617">
      <c r="A617" s="179"/>
      <c r="B617" s="179"/>
      <c r="C617" s="179"/>
      <c r="D617" s="179"/>
      <c r="E617" s="179"/>
      <c r="F617" s="179"/>
      <c r="G617" s="179"/>
      <c r="H617" s="179"/>
      <c r="I617" s="179"/>
      <c r="J617" s="179"/>
      <c r="K617" s="179"/>
      <c r="L617" s="179"/>
      <c r="M617" s="179"/>
      <c r="N617" s="179"/>
      <c r="O617" s="179"/>
      <c r="P617" s="179"/>
      <c r="Q617" s="179"/>
      <c r="R617" s="179"/>
      <c r="S617" s="179"/>
      <c r="T617" s="179"/>
      <c r="U617" s="179"/>
      <c r="V617" s="179"/>
      <c r="W617" s="179"/>
      <c r="X617" s="179"/>
      <c r="Y617" s="179"/>
      <c r="Z617" s="179"/>
    </row>
    <row r="618">
      <c r="A618" s="179"/>
      <c r="B618" s="179"/>
      <c r="C618" s="179"/>
      <c r="D618" s="179"/>
      <c r="E618" s="179"/>
      <c r="F618" s="179"/>
      <c r="G618" s="179"/>
      <c r="H618" s="179"/>
      <c r="I618" s="179"/>
      <c r="J618" s="179"/>
      <c r="K618" s="179"/>
      <c r="L618" s="179"/>
      <c r="M618" s="179"/>
      <c r="N618" s="179"/>
      <c r="O618" s="179"/>
      <c r="P618" s="179"/>
      <c r="Q618" s="179"/>
      <c r="R618" s="179"/>
      <c r="S618" s="179"/>
      <c r="T618" s="179"/>
      <c r="U618" s="179"/>
      <c r="V618" s="179"/>
      <c r="W618" s="179"/>
      <c r="X618" s="179"/>
      <c r="Y618" s="179"/>
      <c r="Z618" s="179"/>
    </row>
    <row r="619">
      <c r="A619" s="179"/>
      <c r="B619" s="179"/>
      <c r="C619" s="179"/>
      <c r="D619" s="179"/>
      <c r="E619" s="179"/>
      <c r="F619" s="179"/>
      <c r="G619" s="179"/>
      <c r="H619" s="179"/>
      <c r="I619" s="179"/>
      <c r="J619" s="179"/>
      <c r="K619" s="179"/>
      <c r="L619" s="179"/>
      <c r="M619" s="179"/>
      <c r="N619" s="179"/>
      <c r="O619" s="179"/>
      <c r="P619" s="179"/>
      <c r="Q619" s="179"/>
      <c r="R619" s="179"/>
      <c r="S619" s="179"/>
      <c r="T619" s="179"/>
      <c r="U619" s="179"/>
      <c r="V619" s="179"/>
      <c r="W619" s="179"/>
      <c r="X619" s="179"/>
      <c r="Y619" s="179"/>
      <c r="Z619" s="179"/>
    </row>
    <row r="620">
      <c r="A620" s="179"/>
      <c r="B620" s="179"/>
      <c r="C620" s="179"/>
      <c r="D620" s="179"/>
      <c r="E620" s="179"/>
      <c r="F620" s="179"/>
      <c r="G620" s="179"/>
      <c r="H620" s="179"/>
      <c r="I620" s="179"/>
      <c r="J620" s="179"/>
      <c r="K620" s="179"/>
      <c r="L620" s="179"/>
      <c r="M620" s="179"/>
      <c r="N620" s="179"/>
      <c r="O620" s="179"/>
      <c r="P620" s="179"/>
      <c r="Q620" s="179"/>
      <c r="R620" s="179"/>
      <c r="S620" s="179"/>
      <c r="T620" s="179"/>
      <c r="U620" s="179"/>
      <c r="V620" s="179"/>
      <c r="W620" s="179"/>
      <c r="X620" s="179"/>
      <c r="Y620" s="179"/>
      <c r="Z620" s="179"/>
    </row>
    <row r="621">
      <c r="A621" s="179"/>
      <c r="B621" s="179"/>
      <c r="C621" s="179"/>
      <c r="D621" s="179"/>
      <c r="E621" s="179"/>
      <c r="F621" s="179"/>
      <c r="G621" s="179"/>
      <c r="H621" s="179"/>
      <c r="I621" s="179"/>
      <c r="J621" s="179"/>
      <c r="K621" s="179"/>
      <c r="L621" s="179"/>
      <c r="M621" s="179"/>
      <c r="N621" s="179"/>
      <c r="O621" s="179"/>
      <c r="P621" s="179"/>
      <c r="Q621" s="179"/>
      <c r="R621" s="179"/>
      <c r="S621" s="179"/>
      <c r="T621" s="179"/>
      <c r="U621" s="179"/>
      <c r="V621" s="179"/>
      <c r="W621" s="179"/>
      <c r="X621" s="179"/>
      <c r="Y621" s="179"/>
      <c r="Z621" s="179"/>
    </row>
    <row r="622">
      <c r="A622" s="179"/>
      <c r="B622" s="179"/>
      <c r="C622" s="179"/>
      <c r="D622" s="179"/>
      <c r="E622" s="179"/>
      <c r="F622" s="179"/>
      <c r="G622" s="179"/>
      <c r="H622" s="179"/>
      <c r="I622" s="179"/>
      <c r="J622" s="179"/>
      <c r="K622" s="179"/>
      <c r="L622" s="179"/>
      <c r="M622" s="179"/>
      <c r="N622" s="179"/>
      <c r="O622" s="179"/>
      <c r="P622" s="179"/>
      <c r="Q622" s="179"/>
      <c r="R622" s="179"/>
      <c r="S622" s="179"/>
      <c r="T622" s="179"/>
      <c r="U622" s="179"/>
      <c r="V622" s="179"/>
      <c r="W622" s="179"/>
      <c r="X622" s="179"/>
      <c r="Y622" s="179"/>
      <c r="Z622" s="179"/>
    </row>
    <row r="623">
      <c r="A623" s="179"/>
      <c r="B623" s="179"/>
      <c r="C623" s="179"/>
      <c r="D623" s="179"/>
      <c r="E623" s="179"/>
      <c r="F623" s="179"/>
      <c r="G623" s="179"/>
      <c r="H623" s="179"/>
      <c r="I623" s="179"/>
      <c r="J623" s="179"/>
      <c r="K623" s="179"/>
      <c r="L623" s="179"/>
      <c r="M623" s="179"/>
      <c r="N623" s="179"/>
      <c r="O623" s="179"/>
      <c r="P623" s="179"/>
      <c r="Q623" s="179"/>
      <c r="R623" s="179"/>
      <c r="S623" s="179"/>
      <c r="T623" s="179"/>
      <c r="U623" s="179"/>
      <c r="V623" s="179"/>
      <c r="W623" s="179"/>
      <c r="X623" s="179"/>
      <c r="Y623" s="179"/>
      <c r="Z623" s="179"/>
    </row>
    <row r="624">
      <c r="A624" s="179"/>
      <c r="B624" s="179"/>
      <c r="C624" s="179"/>
      <c r="D624" s="179"/>
      <c r="E624" s="179"/>
      <c r="F624" s="179"/>
      <c r="G624" s="179"/>
      <c r="H624" s="179"/>
      <c r="I624" s="179"/>
      <c r="J624" s="179"/>
      <c r="K624" s="179"/>
      <c r="L624" s="179"/>
      <c r="M624" s="179"/>
      <c r="N624" s="179"/>
      <c r="O624" s="179"/>
      <c r="P624" s="179"/>
      <c r="Q624" s="179"/>
      <c r="R624" s="179"/>
      <c r="S624" s="179"/>
      <c r="T624" s="179"/>
      <c r="U624" s="179"/>
      <c r="V624" s="179"/>
      <c r="W624" s="179"/>
      <c r="X624" s="179"/>
      <c r="Y624" s="179"/>
      <c r="Z624" s="179"/>
    </row>
    <row r="625">
      <c r="A625" s="179"/>
      <c r="B625" s="179"/>
      <c r="C625" s="179"/>
      <c r="D625" s="179"/>
      <c r="E625" s="179"/>
      <c r="F625" s="179"/>
      <c r="G625" s="179"/>
      <c r="H625" s="179"/>
      <c r="I625" s="179"/>
      <c r="J625" s="179"/>
      <c r="K625" s="179"/>
      <c r="L625" s="179"/>
      <c r="M625" s="179"/>
      <c r="N625" s="179"/>
      <c r="O625" s="179"/>
      <c r="P625" s="179"/>
      <c r="Q625" s="179"/>
      <c r="R625" s="179"/>
      <c r="S625" s="179"/>
      <c r="T625" s="179"/>
      <c r="U625" s="179"/>
      <c r="V625" s="179"/>
      <c r="W625" s="179"/>
      <c r="X625" s="179"/>
      <c r="Y625" s="179"/>
      <c r="Z625" s="179"/>
    </row>
    <row r="626">
      <c r="A626" s="179"/>
      <c r="B626" s="179"/>
      <c r="C626" s="179"/>
      <c r="D626" s="179"/>
      <c r="E626" s="179"/>
      <c r="F626" s="179"/>
      <c r="G626" s="179"/>
      <c r="H626" s="179"/>
      <c r="I626" s="179"/>
      <c r="J626" s="179"/>
      <c r="K626" s="179"/>
      <c r="L626" s="179"/>
      <c r="M626" s="179"/>
      <c r="N626" s="179"/>
      <c r="O626" s="179"/>
      <c r="P626" s="179"/>
      <c r="Q626" s="179"/>
      <c r="R626" s="179"/>
      <c r="S626" s="179"/>
      <c r="T626" s="179"/>
      <c r="U626" s="179"/>
      <c r="V626" s="179"/>
      <c r="W626" s="179"/>
      <c r="X626" s="179"/>
      <c r="Y626" s="179"/>
      <c r="Z626" s="179"/>
    </row>
    <row r="627">
      <c r="A627" s="179"/>
      <c r="B627" s="179"/>
      <c r="C627" s="179"/>
      <c r="D627" s="179"/>
      <c r="E627" s="179"/>
      <c r="F627" s="179"/>
      <c r="G627" s="179"/>
      <c r="H627" s="179"/>
      <c r="I627" s="179"/>
      <c r="J627" s="179"/>
      <c r="K627" s="179"/>
      <c r="L627" s="179"/>
      <c r="M627" s="179"/>
      <c r="N627" s="179"/>
      <c r="O627" s="179"/>
      <c r="P627" s="179"/>
      <c r="Q627" s="179"/>
      <c r="R627" s="179"/>
      <c r="S627" s="179"/>
      <c r="T627" s="179"/>
      <c r="U627" s="179"/>
      <c r="V627" s="179"/>
      <c r="W627" s="179"/>
      <c r="X627" s="179"/>
      <c r="Y627" s="179"/>
      <c r="Z627" s="179"/>
    </row>
    <row r="628">
      <c r="A628" s="179"/>
      <c r="B628" s="179"/>
      <c r="C628" s="179"/>
      <c r="D628" s="179"/>
      <c r="E628" s="179"/>
      <c r="F628" s="179"/>
      <c r="G628" s="179"/>
      <c r="H628" s="179"/>
      <c r="I628" s="179"/>
      <c r="J628" s="179"/>
      <c r="K628" s="179"/>
      <c r="L628" s="179"/>
      <c r="M628" s="179"/>
      <c r="N628" s="179"/>
      <c r="O628" s="179"/>
      <c r="P628" s="179"/>
      <c r="Q628" s="179"/>
      <c r="R628" s="179"/>
      <c r="S628" s="179"/>
      <c r="T628" s="179"/>
      <c r="U628" s="179"/>
      <c r="V628" s="179"/>
      <c r="W628" s="179"/>
      <c r="X628" s="179"/>
      <c r="Y628" s="179"/>
      <c r="Z628" s="179"/>
    </row>
    <row r="629">
      <c r="A629" s="179"/>
      <c r="B629" s="179"/>
      <c r="C629" s="179"/>
      <c r="D629" s="179"/>
      <c r="E629" s="179"/>
      <c r="F629" s="179"/>
      <c r="G629" s="179"/>
      <c r="H629" s="179"/>
      <c r="I629" s="179"/>
      <c r="J629" s="179"/>
      <c r="K629" s="179"/>
      <c r="L629" s="179"/>
      <c r="M629" s="179"/>
      <c r="N629" s="179"/>
      <c r="O629" s="179"/>
      <c r="P629" s="179"/>
      <c r="Q629" s="179"/>
      <c r="R629" s="179"/>
      <c r="S629" s="179"/>
      <c r="T629" s="179"/>
      <c r="U629" s="179"/>
      <c r="V629" s="179"/>
      <c r="W629" s="179"/>
      <c r="X629" s="179"/>
      <c r="Y629" s="179"/>
      <c r="Z629" s="179"/>
    </row>
    <row r="630">
      <c r="A630" s="179"/>
      <c r="B630" s="179"/>
      <c r="C630" s="179"/>
      <c r="D630" s="179"/>
      <c r="E630" s="179"/>
      <c r="F630" s="179"/>
      <c r="G630" s="179"/>
      <c r="H630" s="179"/>
      <c r="I630" s="179"/>
      <c r="J630" s="179"/>
      <c r="K630" s="179"/>
      <c r="L630" s="179"/>
      <c r="M630" s="179"/>
      <c r="N630" s="179"/>
      <c r="O630" s="179"/>
      <c r="P630" s="179"/>
      <c r="Q630" s="179"/>
      <c r="R630" s="179"/>
      <c r="S630" s="179"/>
      <c r="T630" s="179"/>
      <c r="U630" s="179"/>
      <c r="V630" s="179"/>
      <c r="W630" s="179"/>
      <c r="X630" s="179"/>
      <c r="Y630" s="179"/>
      <c r="Z630" s="179"/>
    </row>
    <row r="631">
      <c r="A631" s="179"/>
      <c r="B631" s="179"/>
      <c r="C631" s="179"/>
      <c r="D631" s="179"/>
      <c r="E631" s="179"/>
      <c r="F631" s="179"/>
      <c r="G631" s="179"/>
      <c r="H631" s="179"/>
      <c r="I631" s="179"/>
      <c r="J631" s="179"/>
      <c r="K631" s="179"/>
      <c r="L631" s="179"/>
      <c r="M631" s="179"/>
      <c r="N631" s="179"/>
      <c r="O631" s="179"/>
      <c r="P631" s="179"/>
      <c r="Q631" s="179"/>
      <c r="R631" s="179"/>
      <c r="S631" s="179"/>
      <c r="T631" s="179"/>
      <c r="U631" s="179"/>
      <c r="V631" s="179"/>
      <c r="W631" s="179"/>
      <c r="X631" s="179"/>
      <c r="Y631" s="179"/>
      <c r="Z631" s="179"/>
    </row>
    <row r="632">
      <c r="A632" s="179"/>
      <c r="B632" s="179"/>
      <c r="C632" s="179"/>
      <c r="D632" s="179"/>
      <c r="E632" s="179"/>
      <c r="F632" s="179"/>
      <c r="G632" s="179"/>
      <c r="H632" s="179"/>
      <c r="I632" s="179"/>
      <c r="J632" s="179"/>
      <c r="K632" s="179"/>
      <c r="L632" s="179"/>
      <c r="M632" s="179"/>
      <c r="N632" s="179"/>
      <c r="O632" s="179"/>
      <c r="P632" s="179"/>
      <c r="Q632" s="179"/>
      <c r="R632" s="179"/>
      <c r="S632" s="179"/>
      <c r="T632" s="179"/>
      <c r="U632" s="179"/>
      <c r="V632" s="179"/>
      <c r="W632" s="179"/>
      <c r="X632" s="179"/>
      <c r="Y632" s="179"/>
      <c r="Z632" s="179"/>
    </row>
    <row r="633">
      <c r="A633" s="179"/>
      <c r="B633" s="179"/>
      <c r="C633" s="179"/>
      <c r="D633" s="179"/>
      <c r="E633" s="179"/>
      <c r="F633" s="179"/>
      <c r="G633" s="179"/>
      <c r="H633" s="179"/>
      <c r="I633" s="179"/>
      <c r="J633" s="179"/>
      <c r="K633" s="179"/>
      <c r="L633" s="179"/>
      <c r="M633" s="179"/>
      <c r="N633" s="179"/>
      <c r="O633" s="179"/>
      <c r="P633" s="179"/>
      <c r="Q633" s="179"/>
      <c r="R633" s="179"/>
      <c r="S633" s="179"/>
      <c r="T633" s="179"/>
      <c r="U633" s="179"/>
      <c r="V633" s="179"/>
      <c r="W633" s="179"/>
      <c r="X633" s="179"/>
      <c r="Y633" s="179"/>
      <c r="Z633" s="179"/>
    </row>
    <row r="634">
      <c r="A634" s="179"/>
      <c r="B634" s="179"/>
      <c r="C634" s="179"/>
      <c r="D634" s="179"/>
      <c r="E634" s="179"/>
      <c r="F634" s="179"/>
      <c r="G634" s="179"/>
      <c r="H634" s="179"/>
      <c r="I634" s="179"/>
      <c r="J634" s="179"/>
      <c r="K634" s="179"/>
      <c r="L634" s="179"/>
      <c r="M634" s="179"/>
      <c r="N634" s="179"/>
      <c r="O634" s="179"/>
      <c r="P634" s="179"/>
      <c r="Q634" s="179"/>
      <c r="R634" s="179"/>
      <c r="S634" s="179"/>
      <c r="T634" s="179"/>
      <c r="U634" s="179"/>
      <c r="V634" s="179"/>
      <c r="W634" s="179"/>
      <c r="X634" s="179"/>
      <c r="Y634" s="179"/>
      <c r="Z634" s="179"/>
    </row>
    <row r="635">
      <c r="A635" s="179"/>
      <c r="B635" s="179"/>
      <c r="C635" s="179"/>
      <c r="D635" s="179"/>
      <c r="E635" s="179"/>
      <c r="F635" s="179"/>
      <c r="G635" s="179"/>
      <c r="H635" s="179"/>
      <c r="I635" s="179"/>
      <c r="J635" s="179"/>
      <c r="K635" s="179"/>
      <c r="L635" s="179"/>
      <c r="M635" s="179"/>
      <c r="N635" s="179"/>
      <c r="O635" s="179"/>
      <c r="P635" s="179"/>
      <c r="Q635" s="179"/>
      <c r="R635" s="179"/>
      <c r="S635" s="179"/>
      <c r="T635" s="179"/>
      <c r="U635" s="179"/>
      <c r="V635" s="179"/>
      <c r="W635" s="179"/>
      <c r="X635" s="179"/>
      <c r="Y635" s="179"/>
      <c r="Z635" s="179"/>
    </row>
    <row r="636">
      <c r="A636" s="179"/>
      <c r="B636" s="179"/>
      <c r="C636" s="179"/>
      <c r="D636" s="179"/>
      <c r="E636" s="179"/>
      <c r="F636" s="179"/>
      <c r="G636" s="179"/>
      <c r="H636" s="179"/>
      <c r="I636" s="179"/>
      <c r="J636" s="179"/>
      <c r="K636" s="179"/>
      <c r="L636" s="179"/>
      <c r="M636" s="179"/>
      <c r="N636" s="179"/>
      <c r="O636" s="179"/>
      <c r="P636" s="179"/>
      <c r="Q636" s="179"/>
      <c r="R636" s="179"/>
      <c r="S636" s="179"/>
      <c r="T636" s="179"/>
      <c r="U636" s="179"/>
      <c r="V636" s="179"/>
      <c r="W636" s="179"/>
      <c r="X636" s="179"/>
      <c r="Y636" s="179"/>
      <c r="Z636" s="179"/>
    </row>
    <row r="637">
      <c r="A637" s="179"/>
      <c r="B637" s="179"/>
      <c r="C637" s="179"/>
      <c r="D637" s="179"/>
      <c r="E637" s="179"/>
      <c r="F637" s="179"/>
      <c r="G637" s="179"/>
      <c r="H637" s="179"/>
      <c r="I637" s="179"/>
      <c r="J637" s="179"/>
      <c r="K637" s="179"/>
      <c r="L637" s="179"/>
      <c r="M637" s="179"/>
      <c r="N637" s="179"/>
      <c r="O637" s="179"/>
      <c r="P637" s="179"/>
      <c r="Q637" s="179"/>
      <c r="R637" s="179"/>
      <c r="S637" s="179"/>
      <c r="T637" s="179"/>
      <c r="U637" s="179"/>
      <c r="V637" s="179"/>
      <c r="W637" s="179"/>
      <c r="X637" s="179"/>
      <c r="Y637" s="179"/>
      <c r="Z637" s="179"/>
    </row>
    <row r="638">
      <c r="A638" s="179"/>
      <c r="B638" s="179"/>
      <c r="C638" s="179"/>
      <c r="D638" s="179"/>
      <c r="E638" s="179"/>
      <c r="F638" s="179"/>
      <c r="G638" s="179"/>
      <c r="H638" s="179"/>
      <c r="I638" s="179"/>
      <c r="J638" s="179"/>
      <c r="K638" s="179"/>
      <c r="L638" s="179"/>
      <c r="M638" s="179"/>
      <c r="N638" s="179"/>
      <c r="O638" s="179"/>
      <c r="P638" s="179"/>
      <c r="Q638" s="179"/>
      <c r="R638" s="179"/>
      <c r="S638" s="179"/>
      <c r="T638" s="179"/>
      <c r="U638" s="179"/>
      <c r="V638" s="179"/>
      <c r="W638" s="179"/>
      <c r="X638" s="179"/>
      <c r="Y638" s="179"/>
      <c r="Z638" s="179"/>
    </row>
    <row r="639">
      <c r="A639" s="179"/>
      <c r="B639" s="179"/>
      <c r="C639" s="179"/>
      <c r="D639" s="179"/>
      <c r="E639" s="179"/>
      <c r="F639" s="179"/>
      <c r="G639" s="179"/>
      <c r="H639" s="179"/>
      <c r="I639" s="179"/>
      <c r="J639" s="179"/>
      <c r="K639" s="179"/>
      <c r="L639" s="179"/>
      <c r="M639" s="179"/>
      <c r="N639" s="179"/>
      <c r="O639" s="179"/>
      <c r="P639" s="179"/>
      <c r="Q639" s="179"/>
      <c r="R639" s="179"/>
      <c r="S639" s="179"/>
      <c r="T639" s="179"/>
      <c r="U639" s="179"/>
      <c r="V639" s="179"/>
      <c r="W639" s="179"/>
      <c r="X639" s="179"/>
      <c r="Y639" s="179"/>
      <c r="Z639" s="179"/>
    </row>
    <row r="640">
      <c r="A640" s="179"/>
      <c r="B640" s="179"/>
      <c r="C640" s="179"/>
      <c r="D640" s="179"/>
      <c r="E640" s="179"/>
      <c r="F640" s="179"/>
      <c r="G640" s="179"/>
      <c r="H640" s="179"/>
      <c r="I640" s="179"/>
      <c r="J640" s="179"/>
      <c r="K640" s="179"/>
      <c r="L640" s="179"/>
      <c r="M640" s="179"/>
      <c r="N640" s="179"/>
      <c r="O640" s="179"/>
      <c r="P640" s="179"/>
      <c r="Q640" s="179"/>
      <c r="R640" s="179"/>
      <c r="S640" s="179"/>
      <c r="T640" s="179"/>
      <c r="U640" s="179"/>
      <c r="V640" s="179"/>
      <c r="W640" s="179"/>
      <c r="X640" s="179"/>
      <c r="Y640" s="179"/>
      <c r="Z640" s="179"/>
    </row>
    <row r="641">
      <c r="A641" s="179"/>
      <c r="B641" s="179"/>
      <c r="C641" s="179"/>
      <c r="D641" s="179"/>
      <c r="E641" s="179"/>
      <c r="F641" s="179"/>
      <c r="G641" s="179"/>
      <c r="H641" s="179"/>
      <c r="I641" s="179"/>
      <c r="J641" s="179"/>
      <c r="K641" s="179"/>
      <c r="L641" s="179"/>
      <c r="M641" s="179"/>
      <c r="N641" s="179"/>
      <c r="O641" s="179"/>
      <c r="P641" s="179"/>
      <c r="Q641" s="179"/>
      <c r="R641" s="179"/>
      <c r="S641" s="179"/>
      <c r="T641" s="179"/>
      <c r="U641" s="179"/>
      <c r="V641" s="179"/>
      <c r="W641" s="179"/>
      <c r="X641" s="179"/>
      <c r="Y641" s="179"/>
      <c r="Z641" s="179"/>
    </row>
    <row r="642">
      <c r="A642" s="179"/>
      <c r="B642" s="179"/>
      <c r="C642" s="179"/>
      <c r="D642" s="179"/>
      <c r="E642" s="179"/>
      <c r="F642" s="179"/>
      <c r="G642" s="179"/>
      <c r="H642" s="179"/>
      <c r="I642" s="179"/>
      <c r="J642" s="179"/>
      <c r="K642" s="179"/>
      <c r="L642" s="179"/>
      <c r="M642" s="179"/>
      <c r="N642" s="179"/>
      <c r="O642" s="179"/>
      <c r="P642" s="179"/>
      <c r="Q642" s="179"/>
      <c r="R642" s="179"/>
      <c r="S642" s="179"/>
      <c r="T642" s="179"/>
      <c r="U642" s="179"/>
      <c r="V642" s="179"/>
      <c r="W642" s="179"/>
      <c r="X642" s="179"/>
      <c r="Y642" s="179"/>
      <c r="Z642" s="179"/>
    </row>
    <row r="643">
      <c r="A643" s="179"/>
      <c r="B643" s="179"/>
      <c r="C643" s="179"/>
      <c r="D643" s="179"/>
      <c r="E643" s="179"/>
      <c r="F643" s="179"/>
      <c r="G643" s="179"/>
      <c r="H643" s="179"/>
      <c r="I643" s="179"/>
      <c r="J643" s="179"/>
      <c r="K643" s="179"/>
      <c r="L643" s="179"/>
      <c r="M643" s="179"/>
      <c r="N643" s="179"/>
      <c r="O643" s="179"/>
      <c r="P643" s="179"/>
      <c r="Q643" s="179"/>
      <c r="R643" s="179"/>
      <c r="S643" s="179"/>
      <c r="T643" s="179"/>
      <c r="U643" s="179"/>
      <c r="V643" s="179"/>
      <c r="W643" s="179"/>
      <c r="X643" s="179"/>
      <c r="Y643" s="179"/>
      <c r="Z643" s="179"/>
    </row>
    <row r="644">
      <c r="A644" s="179"/>
      <c r="B644" s="179"/>
      <c r="C644" s="179"/>
      <c r="D644" s="179"/>
      <c r="E644" s="179"/>
      <c r="F644" s="179"/>
      <c r="G644" s="179"/>
      <c r="H644" s="179"/>
      <c r="I644" s="179"/>
      <c r="J644" s="179"/>
      <c r="K644" s="179"/>
      <c r="L644" s="179"/>
      <c r="M644" s="179"/>
      <c r="N644" s="179"/>
      <c r="O644" s="179"/>
      <c r="P644" s="179"/>
      <c r="Q644" s="179"/>
      <c r="R644" s="179"/>
      <c r="S644" s="179"/>
      <c r="T644" s="179"/>
      <c r="U644" s="179"/>
      <c r="V644" s="179"/>
      <c r="W644" s="179"/>
      <c r="X644" s="179"/>
      <c r="Y644" s="179"/>
      <c r="Z644" s="179"/>
    </row>
    <row r="645">
      <c r="A645" s="179"/>
      <c r="B645" s="179"/>
      <c r="C645" s="179"/>
      <c r="D645" s="179"/>
      <c r="E645" s="179"/>
      <c r="F645" s="179"/>
      <c r="G645" s="179"/>
      <c r="H645" s="179"/>
      <c r="I645" s="179"/>
      <c r="J645" s="179"/>
      <c r="K645" s="179"/>
      <c r="L645" s="179"/>
      <c r="M645" s="179"/>
      <c r="N645" s="179"/>
      <c r="O645" s="179"/>
      <c r="P645" s="179"/>
      <c r="Q645" s="179"/>
      <c r="R645" s="179"/>
      <c r="S645" s="179"/>
      <c r="T645" s="179"/>
      <c r="U645" s="179"/>
      <c r="V645" s="179"/>
      <c r="W645" s="179"/>
      <c r="X645" s="179"/>
      <c r="Y645" s="179"/>
      <c r="Z645" s="179"/>
    </row>
    <row r="646">
      <c r="A646" s="179"/>
      <c r="B646" s="179"/>
      <c r="C646" s="179"/>
      <c r="D646" s="179"/>
      <c r="E646" s="179"/>
      <c r="F646" s="179"/>
      <c r="G646" s="179"/>
      <c r="H646" s="179"/>
      <c r="I646" s="179"/>
      <c r="J646" s="179"/>
      <c r="K646" s="179"/>
      <c r="L646" s="179"/>
      <c r="M646" s="179"/>
      <c r="N646" s="179"/>
      <c r="O646" s="179"/>
      <c r="P646" s="179"/>
      <c r="Q646" s="179"/>
      <c r="R646" s="179"/>
      <c r="S646" s="179"/>
      <c r="T646" s="179"/>
      <c r="U646" s="179"/>
      <c r="V646" s="179"/>
      <c r="W646" s="179"/>
      <c r="X646" s="179"/>
      <c r="Y646" s="179"/>
      <c r="Z646" s="179"/>
    </row>
    <row r="647">
      <c r="A647" s="179"/>
      <c r="B647" s="179"/>
      <c r="C647" s="179"/>
      <c r="D647" s="179"/>
      <c r="E647" s="179"/>
      <c r="F647" s="179"/>
      <c r="G647" s="179"/>
      <c r="H647" s="179"/>
      <c r="I647" s="179"/>
      <c r="J647" s="179"/>
      <c r="K647" s="179"/>
      <c r="L647" s="179"/>
      <c r="M647" s="179"/>
      <c r="N647" s="179"/>
      <c r="O647" s="179"/>
      <c r="P647" s="179"/>
      <c r="Q647" s="179"/>
      <c r="R647" s="179"/>
      <c r="S647" s="179"/>
      <c r="T647" s="179"/>
      <c r="U647" s="179"/>
      <c r="V647" s="179"/>
      <c r="W647" s="179"/>
      <c r="X647" s="179"/>
      <c r="Y647" s="179"/>
      <c r="Z647" s="179"/>
    </row>
    <row r="648">
      <c r="A648" s="179"/>
      <c r="B648" s="179"/>
      <c r="C648" s="179"/>
      <c r="D648" s="179"/>
      <c r="E648" s="179"/>
      <c r="F648" s="179"/>
      <c r="G648" s="179"/>
      <c r="H648" s="179"/>
      <c r="I648" s="179"/>
      <c r="J648" s="179"/>
      <c r="K648" s="179"/>
      <c r="L648" s="179"/>
      <c r="M648" s="179"/>
      <c r="N648" s="179"/>
      <c r="O648" s="179"/>
      <c r="P648" s="179"/>
      <c r="Q648" s="179"/>
      <c r="R648" s="179"/>
      <c r="S648" s="179"/>
      <c r="T648" s="179"/>
      <c r="U648" s="179"/>
      <c r="V648" s="179"/>
      <c r="W648" s="179"/>
      <c r="X648" s="179"/>
      <c r="Y648" s="179"/>
      <c r="Z648" s="179"/>
    </row>
    <row r="649">
      <c r="A649" s="179"/>
      <c r="B649" s="179"/>
      <c r="C649" s="179"/>
      <c r="D649" s="179"/>
      <c r="E649" s="179"/>
      <c r="F649" s="179"/>
      <c r="G649" s="179"/>
      <c r="H649" s="179"/>
      <c r="I649" s="179"/>
      <c r="J649" s="179"/>
      <c r="K649" s="179"/>
      <c r="L649" s="179"/>
      <c r="M649" s="179"/>
      <c r="N649" s="179"/>
      <c r="O649" s="179"/>
      <c r="P649" s="179"/>
      <c r="Q649" s="179"/>
      <c r="R649" s="179"/>
      <c r="S649" s="179"/>
      <c r="T649" s="179"/>
      <c r="U649" s="179"/>
      <c r="V649" s="179"/>
      <c r="W649" s="179"/>
      <c r="X649" s="179"/>
      <c r="Y649" s="179"/>
      <c r="Z649" s="179"/>
    </row>
    <row r="650">
      <c r="A650" s="179"/>
      <c r="B650" s="179"/>
      <c r="C650" s="179"/>
      <c r="D650" s="179"/>
      <c r="E650" s="179"/>
      <c r="F650" s="179"/>
      <c r="G650" s="179"/>
      <c r="H650" s="179"/>
      <c r="I650" s="179"/>
      <c r="J650" s="179"/>
      <c r="K650" s="179"/>
      <c r="L650" s="179"/>
      <c r="M650" s="179"/>
      <c r="N650" s="179"/>
      <c r="O650" s="179"/>
      <c r="P650" s="179"/>
      <c r="Q650" s="179"/>
      <c r="R650" s="179"/>
      <c r="S650" s="179"/>
      <c r="T650" s="179"/>
      <c r="U650" s="179"/>
      <c r="V650" s="179"/>
      <c r="W650" s="179"/>
      <c r="X650" s="179"/>
      <c r="Y650" s="179"/>
      <c r="Z650" s="179"/>
    </row>
    <row r="651">
      <c r="A651" s="179"/>
      <c r="B651" s="179"/>
      <c r="C651" s="179"/>
      <c r="D651" s="179"/>
      <c r="E651" s="179"/>
      <c r="F651" s="179"/>
      <c r="G651" s="179"/>
      <c r="H651" s="179"/>
      <c r="I651" s="179"/>
      <c r="J651" s="179"/>
      <c r="K651" s="179"/>
      <c r="L651" s="179"/>
      <c r="M651" s="179"/>
      <c r="N651" s="179"/>
      <c r="O651" s="179"/>
      <c r="P651" s="179"/>
      <c r="Q651" s="179"/>
      <c r="R651" s="179"/>
      <c r="S651" s="179"/>
      <c r="T651" s="179"/>
      <c r="U651" s="179"/>
      <c r="V651" s="179"/>
      <c r="W651" s="179"/>
      <c r="X651" s="179"/>
      <c r="Y651" s="179"/>
      <c r="Z651" s="179"/>
    </row>
    <row r="652">
      <c r="A652" s="179"/>
      <c r="B652" s="179"/>
      <c r="C652" s="179"/>
      <c r="D652" s="179"/>
      <c r="E652" s="179"/>
      <c r="F652" s="179"/>
      <c r="G652" s="179"/>
      <c r="H652" s="179"/>
      <c r="I652" s="179"/>
      <c r="J652" s="179"/>
      <c r="K652" s="179"/>
      <c r="L652" s="179"/>
      <c r="M652" s="179"/>
      <c r="N652" s="179"/>
      <c r="O652" s="179"/>
      <c r="P652" s="179"/>
      <c r="Q652" s="179"/>
      <c r="R652" s="179"/>
      <c r="S652" s="179"/>
      <c r="T652" s="179"/>
      <c r="U652" s="179"/>
      <c r="V652" s="179"/>
      <c r="W652" s="179"/>
      <c r="X652" s="179"/>
      <c r="Y652" s="179"/>
      <c r="Z652" s="179"/>
    </row>
    <row r="653">
      <c r="A653" s="179"/>
      <c r="B653" s="179"/>
      <c r="C653" s="179"/>
      <c r="D653" s="179"/>
      <c r="E653" s="179"/>
      <c r="F653" s="179"/>
      <c r="G653" s="179"/>
      <c r="H653" s="179"/>
      <c r="I653" s="179"/>
      <c r="J653" s="179"/>
      <c r="K653" s="179"/>
      <c r="L653" s="179"/>
      <c r="M653" s="179"/>
      <c r="N653" s="179"/>
      <c r="O653" s="179"/>
      <c r="P653" s="179"/>
      <c r="Q653" s="179"/>
      <c r="R653" s="179"/>
      <c r="S653" s="179"/>
      <c r="T653" s="179"/>
      <c r="U653" s="179"/>
      <c r="V653" s="179"/>
      <c r="W653" s="179"/>
      <c r="X653" s="179"/>
      <c r="Y653" s="179"/>
      <c r="Z653" s="179"/>
    </row>
    <row r="654">
      <c r="A654" s="179"/>
      <c r="B654" s="179"/>
      <c r="C654" s="179"/>
      <c r="D654" s="179"/>
      <c r="E654" s="179"/>
      <c r="F654" s="179"/>
      <c r="G654" s="179"/>
      <c r="H654" s="179"/>
      <c r="I654" s="179"/>
      <c r="J654" s="179"/>
      <c r="K654" s="179"/>
      <c r="L654" s="179"/>
      <c r="M654" s="179"/>
      <c r="N654" s="179"/>
      <c r="O654" s="179"/>
      <c r="P654" s="179"/>
      <c r="Q654" s="179"/>
      <c r="R654" s="179"/>
      <c r="S654" s="179"/>
      <c r="T654" s="179"/>
      <c r="U654" s="179"/>
      <c r="V654" s="179"/>
      <c r="W654" s="179"/>
      <c r="X654" s="179"/>
      <c r="Y654" s="179"/>
      <c r="Z654" s="179"/>
    </row>
    <row r="655">
      <c r="A655" s="179"/>
      <c r="B655" s="179"/>
      <c r="C655" s="179"/>
      <c r="D655" s="179"/>
      <c r="E655" s="179"/>
      <c r="F655" s="179"/>
      <c r="G655" s="179"/>
      <c r="H655" s="179"/>
      <c r="I655" s="179"/>
      <c r="J655" s="179"/>
      <c r="K655" s="179"/>
      <c r="L655" s="179"/>
      <c r="M655" s="179"/>
      <c r="N655" s="179"/>
      <c r="O655" s="179"/>
      <c r="P655" s="179"/>
      <c r="Q655" s="179"/>
      <c r="R655" s="179"/>
      <c r="S655" s="179"/>
      <c r="T655" s="179"/>
      <c r="U655" s="179"/>
      <c r="V655" s="179"/>
      <c r="W655" s="179"/>
      <c r="X655" s="179"/>
      <c r="Y655" s="179"/>
      <c r="Z655" s="179"/>
    </row>
    <row r="656">
      <c r="A656" s="179"/>
      <c r="B656" s="179"/>
      <c r="C656" s="179"/>
      <c r="D656" s="179"/>
      <c r="E656" s="179"/>
      <c r="F656" s="179"/>
      <c r="G656" s="179"/>
      <c r="H656" s="179"/>
      <c r="I656" s="179"/>
      <c r="J656" s="179"/>
      <c r="K656" s="179"/>
      <c r="L656" s="179"/>
      <c r="M656" s="179"/>
      <c r="N656" s="179"/>
      <c r="O656" s="179"/>
      <c r="P656" s="179"/>
      <c r="Q656" s="179"/>
      <c r="R656" s="179"/>
      <c r="S656" s="179"/>
      <c r="T656" s="179"/>
      <c r="U656" s="179"/>
      <c r="V656" s="179"/>
      <c r="W656" s="179"/>
      <c r="X656" s="179"/>
      <c r="Y656" s="179"/>
      <c r="Z656" s="179"/>
    </row>
    <row r="657">
      <c r="A657" s="179"/>
      <c r="B657" s="179"/>
      <c r="C657" s="179"/>
      <c r="D657" s="179"/>
      <c r="E657" s="179"/>
      <c r="F657" s="179"/>
      <c r="G657" s="179"/>
      <c r="H657" s="179"/>
      <c r="I657" s="179"/>
      <c r="J657" s="179"/>
      <c r="K657" s="179"/>
      <c r="L657" s="179"/>
      <c r="M657" s="179"/>
      <c r="N657" s="179"/>
      <c r="O657" s="179"/>
      <c r="P657" s="179"/>
      <c r="Q657" s="179"/>
      <c r="R657" s="179"/>
      <c r="S657" s="179"/>
      <c r="T657" s="179"/>
      <c r="U657" s="179"/>
      <c r="V657" s="179"/>
      <c r="W657" s="179"/>
      <c r="X657" s="179"/>
      <c r="Y657" s="179"/>
      <c r="Z657" s="179"/>
    </row>
    <row r="658">
      <c r="A658" s="179"/>
      <c r="B658" s="179"/>
      <c r="C658" s="179"/>
      <c r="D658" s="179"/>
      <c r="E658" s="179"/>
      <c r="F658" s="179"/>
      <c r="G658" s="179"/>
      <c r="H658" s="179"/>
      <c r="I658" s="179"/>
      <c r="J658" s="179"/>
      <c r="K658" s="179"/>
      <c r="L658" s="179"/>
      <c r="M658" s="179"/>
      <c r="N658" s="179"/>
      <c r="O658" s="179"/>
      <c r="P658" s="179"/>
      <c r="Q658" s="179"/>
      <c r="R658" s="179"/>
      <c r="S658" s="179"/>
      <c r="T658" s="179"/>
      <c r="U658" s="179"/>
      <c r="V658" s="179"/>
      <c r="W658" s="179"/>
      <c r="X658" s="179"/>
      <c r="Y658" s="179"/>
      <c r="Z658" s="179"/>
    </row>
    <row r="659">
      <c r="A659" s="179"/>
      <c r="B659" s="179"/>
      <c r="C659" s="179"/>
      <c r="D659" s="179"/>
      <c r="E659" s="179"/>
      <c r="F659" s="179"/>
      <c r="G659" s="179"/>
      <c r="H659" s="179"/>
      <c r="I659" s="179"/>
      <c r="J659" s="179"/>
      <c r="K659" s="179"/>
      <c r="L659" s="179"/>
      <c r="M659" s="179"/>
      <c r="N659" s="179"/>
      <c r="O659" s="179"/>
      <c r="P659" s="179"/>
      <c r="Q659" s="179"/>
      <c r="R659" s="179"/>
      <c r="S659" s="179"/>
      <c r="T659" s="179"/>
      <c r="U659" s="179"/>
      <c r="V659" s="179"/>
      <c r="W659" s="179"/>
      <c r="X659" s="179"/>
      <c r="Y659" s="179"/>
      <c r="Z659" s="179"/>
    </row>
    <row r="660">
      <c r="A660" s="179"/>
      <c r="B660" s="179"/>
      <c r="C660" s="179"/>
      <c r="D660" s="179"/>
      <c r="E660" s="179"/>
      <c r="F660" s="179"/>
      <c r="G660" s="179"/>
      <c r="H660" s="179"/>
      <c r="I660" s="179"/>
      <c r="J660" s="179"/>
      <c r="K660" s="179"/>
      <c r="L660" s="179"/>
      <c r="M660" s="179"/>
      <c r="N660" s="179"/>
      <c r="O660" s="179"/>
      <c r="P660" s="179"/>
      <c r="Q660" s="179"/>
      <c r="R660" s="179"/>
      <c r="S660" s="179"/>
      <c r="T660" s="179"/>
      <c r="U660" s="179"/>
      <c r="V660" s="179"/>
      <c r="W660" s="179"/>
      <c r="X660" s="179"/>
      <c r="Y660" s="179"/>
      <c r="Z660" s="179"/>
    </row>
    <row r="661">
      <c r="A661" s="179"/>
      <c r="B661" s="179"/>
      <c r="C661" s="179"/>
      <c r="D661" s="179"/>
      <c r="E661" s="179"/>
      <c r="F661" s="179"/>
      <c r="G661" s="179"/>
      <c r="H661" s="179"/>
      <c r="I661" s="179"/>
      <c r="J661" s="179"/>
      <c r="K661" s="179"/>
      <c r="L661" s="179"/>
      <c r="M661" s="179"/>
      <c r="N661" s="179"/>
      <c r="O661" s="179"/>
      <c r="P661" s="179"/>
      <c r="Q661" s="179"/>
      <c r="R661" s="179"/>
      <c r="S661" s="179"/>
      <c r="T661" s="179"/>
      <c r="U661" s="179"/>
      <c r="V661" s="179"/>
      <c r="W661" s="179"/>
      <c r="X661" s="179"/>
      <c r="Y661" s="179"/>
      <c r="Z661" s="179"/>
    </row>
    <row r="662">
      <c r="A662" s="179"/>
      <c r="B662" s="179"/>
      <c r="C662" s="179"/>
      <c r="D662" s="179"/>
      <c r="E662" s="179"/>
      <c r="F662" s="179"/>
      <c r="G662" s="179"/>
      <c r="H662" s="179"/>
      <c r="I662" s="179"/>
      <c r="J662" s="179"/>
      <c r="K662" s="179"/>
      <c r="L662" s="179"/>
      <c r="M662" s="179"/>
      <c r="N662" s="179"/>
      <c r="O662" s="179"/>
      <c r="P662" s="179"/>
      <c r="Q662" s="179"/>
      <c r="R662" s="179"/>
      <c r="S662" s="179"/>
      <c r="T662" s="179"/>
      <c r="U662" s="179"/>
      <c r="V662" s="179"/>
      <c r="W662" s="179"/>
      <c r="X662" s="179"/>
      <c r="Y662" s="179"/>
      <c r="Z662" s="179"/>
    </row>
    <row r="663">
      <c r="A663" s="179"/>
      <c r="B663" s="179"/>
      <c r="C663" s="179"/>
      <c r="D663" s="179"/>
      <c r="E663" s="179"/>
      <c r="F663" s="179"/>
      <c r="G663" s="179"/>
      <c r="H663" s="179"/>
      <c r="I663" s="179"/>
      <c r="J663" s="179"/>
      <c r="K663" s="179"/>
      <c r="L663" s="179"/>
      <c r="M663" s="179"/>
      <c r="N663" s="179"/>
      <c r="O663" s="179"/>
      <c r="P663" s="179"/>
      <c r="Q663" s="179"/>
      <c r="R663" s="179"/>
      <c r="S663" s="179"/>
      <c r="T663" s="179"/>
      <c r="U663" s="179"/>
      <c r="V663" s="179"/>
      <c r="W663" s="179"/>
      <c r="X663" s="179"/>
      <c r="Y663" s="179"/>
      <c r="Z663" s="179"/>
    </row>
    <row r="664">
      <c r="A664" s="179"/>
      <c r="B664" s="179"/>
      <c r="C664" s="179"/>
      <c r="D664" s="179"/>
      <c r="E664" s="179"/>
      <c r="F664" s="179"/>
      <c r="G664" s="179"/>
      <c r="H664" s="179"/>
      <c r="I664" s="179"/>
      <c r="J664" s="179"/>
      <c r="K664" s="179"/>
      <c r="L664" s="179"/>
      <c r="M664" s="179"/>
      <c r="N664" s="179"/>
      <c r="O664" s="179"/>
      <c r="P664" s="179"/>
      <c r="Q664" s="179"/>
      <c r="R664" s="179"/>
      <c r="S664" s="179"/>
      <c r="T664" s="179"/>
      <c r="U664" s="179"/>
      <c r="V664" s="179"/>
      <c r="W664" s="179"/>
      <c r="X664" s="179"/>
      <c r="Y664" s="179"/>
      <c r="Z664" s="179"/>
    </row>
    <row r="665">
      <c r="A665" s="179"/>
      <c r="B665" s="179"/>
      <c r="C665" s="179"/>
      <c r="D665" s="179"/>
      <c r="E665" s="179"/>
      <c r="F665" s="179"/>
      <c r="G665" s="179"/>
      <c r="H665" s="179"/>
      <c r="I665" s="179"/>
      <c r="J665" s="179"/>
      <c r="K665" s="179"/>
      <c r="L665" s="179"/>
      <c r="M665" s="179"/>
      <c r="N665" s="179"/>
      <c r="O665" s="179"/>
      <c r="P665" s="179"/>
      <c r="Q665" s="179"/>
      <c r="R665" s="179"/>
      <c r="S665" s="179"/>
      <c r="T665" s="179"/>
      <c r="U665" s="179"/>
      <c r="V665" s="179"/>
      <c r="W665" s="179"/>
      <c r="X665" s="179"/>
      <c r="Y665" s="179"/>
      <c r="Z665" s="179"/>
    </row>
    <row r="666">
      <c r="A666" s="179"/>
      <c r="B666" s="179"/>
      <c r="C666" s="179"/>
      <c r="D666" s="179"/>
      <c r="E666" s="179"/>
      <c r="F666" s="179"/>
      <c r="G666" s="179"/>
      <c r="H666" s="179"/>
      <c r="I666" s="179"/>
      <c r="J666" s="179"/>
      <c r="K666" s="179"/>
      <c r="L666" s="179"/>
      <c r="M666" s="179"/>
      <c r="N666" s="179"/>
      <c r="O666" s="179"/>
      <c r="P666" s="179"/>
      <c r="Q666" s="179"/>
      <c r="R666" s="179"/>
      <c r="S666" s="179"/>
      <c r="T666" s="179"/>
      <c r="U666" s="179"/>
      <c r="V666" s="179"/>
      <c r="W666" s="179"/>
      <c r="X666" s="179"/>
      <c r="Y666" s="179"/>
      <c r="Z666" s="179"/>
    </row>
    <row r="667">
      <c r="A667" s="179"/>
      <c r="B667" s="179"/>
      <c r="C667" s="179"/>
      <c r="D667" s="179"/>
      <c r="E667" s="179"/>
      <c r="F667" s="179"/>
      <c r="G667" s="179"/>
      <c r="H667" s="179"/>
      <c r="I667" s="179"/>
      <c r="J667" s="179"/>
      <c r="K667" s="179"/>
      <c r="L667" s="179"/>
      <c r="M667" s="179"/>
      <c r="N667" s="179"/>
      <c r="O667" s="179"/>
      <c r="P667" s="179"/>
      <c r="Q667" s="179"/>
      <c r="R667" s="179"/>
      <c r="S667" s="179"/>
      <c r="T667" s="179"/>
      <c r="U667" s="179"/>
      <c r="V667" s="179"/>
      <c r="W667" s="179"/>
      <c r="X667" s="179"/>
      <c r="Y667" s="179"/>
      <c r="Z667" s="179"/>
    </row>
    <row r="668">
      <c r="A668" s="179"/>
      <c r="B668" s="179"/>
      <c r="C668" s="179"/>
      <c r="D668" s="179"/>
      <c r="E668" s="179"/>
      <c r="F668" s="179"/>
      <c r="G668" s="179"/>
      <c r="H668" s="179"/>
      <c r="I668" s="179"/>
      <c r="J668" s="179"/>
      <c r="K668" s="179"/>
      <c r="L668" s="179"/>
      <c r="M668" s="179"/>
      <c r="N668" s="179"/>
      <c r="O668" s="179"/>
      <c r="P668" s="179"/>
      <c r="Q668" s="179"/>
      <c r="R668" s="179"/>
      <c r="S668" s="179"/>
      <c r="T668" s="179"/>
      <c r="U668" s="179"/>
      <c r="V668" s="179"/>
      <c r="W668" s="179"/>
      <c r="X668" s="179"/>
      <c r="Y668" s="179"/>
      <c r="Z668" s="179"/>
    </row>
    <row r="669">
      <c r="A669" s="179"/>
      <c r="B669" s="179"/>
      <c r="C669" s="179"/>
      <c r="D669" s="179"/>
      <c r="E669" s="179"/>
      <c r="F669" s="179"/>
      <c r="G669" s="179"/>
      <c r="H669" s="179"/>
      <c r="I669" s="179"/>
      <c r="J669" s="179"/>
      <c r="K669" s="179"/>
      <c r="L669" s="179"/>
      <c r="M669" s="179"/>
      <c r="N669" s="179"/>
      <c r="O669" s="179"/>
      <c r="P669" s="179"/>
      <c r="Q669" s="179"/>
      <c r="R669" s="179"/>
      <c r="S669" s="179"/>
      <c r="T669" s="179"/>
      <c r="U669" s="179"/>
      <c r="V669" s="179"/>
      <c r="W669" s="179"/>
      <c r="X669" s="179"/>
      <c r="Y669" s="179"/>
      <c r="Z669" s="179"/>
    </row>
    <row r="670">
      <c r="A670" s="179"/>
      <c r="B670" s="179"/>
      <c r="C670" s="179"/>
      <c r="D670" s="179"/>
      <c r="E670" s="179"/>
      <c r="F670" s="179"/>
      <c r="G670" s="179"/>
      <c r="H670" s="179"/>
      <c r="I670" s="179"/>
      <c r="J670" s="179"/>
      <c r="K670" s="179"/>
      <c r="L670" s="179"/>
      <c r="M670" s="179"/>
      <c r="N670" s="179"/>
      <c r="O670" s="179"/>
      <c r="P670" s="179"/>
      <c r="Q670" s="179"/>
      <c r="R670" s="179"/>
      <c r="S670" s="179"/>
      <c r="T670" s="179"/>
      <c r="U670" s="179"/>
      <c r="V670" s="179"/>
      <c r="W670" s="179"/>
      <c r="X670" s="179"/>
      <c r="Y670" s="179"/>
      <c r="Z670" s="179"/>
    </row>
    <row r="671">
      <c r="A671" s="179"/>
      <c r="B671" s="179"/>
      <c r="C671" s="179"/>
      <c r="D671" s="179"/>
      <c r="E671" s="179"/>
      <c r="F671" s="179"/>
      <c r="G671" s="179"/>
      <c r="H671" s="179"/>
      <c r="I671" s="179"/>
      <c r="J671" s="179"/>
      <c r="K671" s="179"/>
      <c r="L671" s="179"/>
      <c r="M671" s="179"/>
      <c r="N671" s="179"/>
      <c r="O671" s="179"/>
      <c r="P671" s="179"/>
      <c r="Q671" s="179"/>
      <c r="R671" s="179"/>
      <c r="S671" s="179"/>
      <c r="T671" s="179"/>
      <c r="U671" s="179"/>
      <c r="V671" s="179"/>
      <c r="W671" s="179"/>
      <c r="X671" s="179"/>
      <c r="Y671" s="179"/>
      <c r="Z671" s="179"/>
    </row>
    <row r="672">
      <c r="A672" s="179"/>
      <c r="B672" s="179"/>
      <c r="C672" s="179"/>
      <c r="D672" s="179"/>
      <c r="E672" s="179"/>
      <c r="F672" s="179"/>
      <c r="G672" s="179"/>
      <c r="H672" s="179"/>
      <c r="I672" s="179"/>
      <c r="J672" s="179"/>
      <c r="K672" s="179"/>
      <c r="L672" s="179"/>
      <c r="M672" s="179"/>
      <c r="N672" s="179"/>
      <c r="O672" s="179"/>
      <c r="P672" s="179"/>
      <c r="Q672" s="179"/>
      <c r="R672" s="179"/>
      <c r="S672" s="179"/>
      <c r="T672" s="179"/>
      <c r="U672" s="179"/>
      <c r="V672" s="179"/>
      <c r="W672" s="179"/>
      <c r="X672" s="179"/>
      <c r="Y672" s="179"/>
      <c r="Z672" s="179"/>
    </row>
    <row r="673">
      <c r="A673" s="179"/>
      <c r="B673" s="179"/>
      <c r="C673" s="179"/>
      <c r="D673" s="179"/>
      <c r="E673" s="179"/>
      <c r="F673" s="179"/>
      <c r="G673" s="179"/>
      <c r="H673" s="179"/>
      <c r="I673" s="179"/>
      <c r="J673" s="179"/>
      <c r="K673" s="179"/>
      <c r="L673" s="179"/>
      <c r="M673" s="179"/>
      <c r="N673" s="179"/>
      <c r="O673" s="179"/>
      <c r="P673" s="179"/>
      <c r="Q673" s="179"/>
      <c r="R673" s="179"/>
      <c r="S673" s="179"/>
      <c r="T673" s="179"/>
      <c r="U673" s="179"/>
      <c r="V673" s="179"/>
      <c r="W673" s="179"/>
      <c r="X673" s="179"/>
      <c r="Y673" s="179"/>
      <c r="Z673" s="179"/>
    </row>
    <row r="674">
      <c r="A674" s="179"/>
      <c r="B674" s="179"/>
      <c r="C674" s="179"/>
      <c r="D674" s="179"/>
      <c r="E674" s="179"/>
      <c r="F674" s="179"/>
      <c r="G674" s="179"/>
      <c r="H674" s="179"/>
      <c r="I674" s="179"/>
      <c r="J674" s="179"/>
      <c r="K674" s="179"/>
      <c r="L674" s="179"/>
      <c r="M674" s="179"/>
      <c r="N674" s="179"/>
      <c r="O674" s="179"/>
      <c r="P674" s="179"/>
      <c r="Q674" s="179"/>
      <c r="R674" s="179"/>
      <c r="S674" s="179"/>
      <c r="T674" s="179"/>
      <c r="U674" s="179"/>
      <c r="V674" s="179"/>
      <c r="W674" s="179"/>
      <c r="X674" s="179"/>
      <c r="Y674" s="179"/>
      <c r="Z674" s="179"/>
    </row>
    <row r="675">
      <c r="A675" s="179"/>
      <c r="B675" s="179"/>
      <c r="C675" s="179"/>
      <c r="D675" s="179"/>
      <c r="E675" s="179"/>
      <c r="F675" s="179"/>
      <c r="G675" s="179"/>
      <c r="H675" s="179"/>
      <c r="I675" s="179"/>
      <c r="J675" s="179"/>
      <c r="K675" s="179"/>
      <c r="L675" s="179"/>
      <c r="M675" s="179"/>
      <c r="N675" s="179"/>
      <c r="O675" s="179"/>
      <c r="P675" s="179"/>
      <c r="Q675" s="179"/>
      <c r="R675" s="179"/>
      <c r="S675" s="179"/>
      <c r="T675" s="179"/>
      <c r="U675" s="179"/>
      <c r="V675" s="179"/>
      <c r="W675" s="179"/>
      <c r="X675" s="179"/>
      <c r="Y675" s="179"/>
      <c r="Z675" s="179"/>
    </row>
    <row r="676">
      <c r="A676" s="179"/>
      <c r="B676" s="179"/>
      <c r="C676" s="179"/>
      <c r="D676" s="179"/>
      <c r="E676" s="179"/>
      <c r="F676" s="179"/>
      <c r="G676" s="179"/>
      <c r="H676" s="179"/>
      <c r="I676" s="179"/>
      <c r="J676" s="179"/>
      <c r="K676" s="179"/>
      <c r="L676" s="179"/>
      <c r="M676" s="179"/>
      <c r="N676" s="179"/>
      <c r="O676" s="179"/>
      <c r="P676" s="179"/>
      <c r="Q676" s="179"/>
      <c r="R676" s="179"/>
      <c r="S676" s="179"/>
      <c r="T676" s="179"/>
      <c r="U676" s="179"/>
      <c r="V676" s="179"/>
      <c r="W676" s="179"/>
      <c r="X676" s="179"/>
      <c r="Y676" s="179"/>
      <c r="Z676" s="179"/>
    </row>
    <row r="677">
      <c r="A677" s="179"/>
      <c r="B677" s="179"/>
      <c r="C677" s="179"/>
      <c r="D677" s="179"/>
      <c r="E677" s="179"/>
      <c r="F677" s="179"/>
      <c r="G677" s="179"/>
      <c r="H677" s="179"/>
      <c r="I677" s="179"/>
      <c r="J677" s="179"/>
      <c r="K677" s="179"/>
      <c r="L677" s="179"/>
      <c r="M677" s="179"/>
      <c r="N677" s="179"/>
      <c r="O677" s="179"/>
      <c r="P677" s="179"/>
      <c r="Q677" s="179"/>
      <c r="R677" s="179"/>
      <c r="S677" s="179"/>
      <c r="T677" s="179"/>
      <c r="U677" s="179"/>
      <c r="V677" s="179"/>
      <c r="W677" s="179"/>
      <c r="X677" s="179"/>
      <c r="Y677" s="179"/>
      <c r="Z677" s="179"/>
    </row>
    <row r="678">
      <c r="A678" s="179"/>
      <c r="B678" s="179"/>
      <c r="C678" s="179"/>
      <c r="D678" s="179"/>
      <c r="E678" s="179"/>
      <c r="F678" s="179"/>
      <c r="G678" s="179"/>
      <c r="H678" s="179"/>
      <c r="I678" s="179"/>
      <c r="J678" s="179"/>
      <c r="K678" s="179"/>
      <c r="L678" s="179"/>
      <c r="M678" s="179"/>
      <c r="N678" s="179"/>
      <c r="O678" s="179"/>
      <c r="P678" s="179"/>
      <c r="Q678" s="179"/>
      <c r="R678" s="179"/>
      <c r="S678" s="179"/>
      <c r="T678" s="179"/>
      <c r="U678" s="179"/>
      <c r="V678" s="179"/>
      <c r="W678" s="179"/>
      <c r="X678" s="179"/>
      <c r="Y678" s="179"/>
      <c r="Z678" s="179"/>
    </row>
    <row r="679">
      <c r="A679" s="179"/>
      <c r="B679" s="179"/>
      <c r="C679" s="179"/>
      <c r="D679" s="179"/>
      <c r="E679" s="179"/>
      <c r="F679" s="179"/>
      <c r="G679" s="179"/>
      <c r="H679" s="179"/>
      <c r="I679" s="179"/>
      <c r="J679" s="179"/>
      <c r="K679" s="179"/>
      <c r="L679" s="179"/>
      <c r="M679" s="179"/>
      <c r="N679" s="179"/>
      <c r="O679" s="179"/>
      <c r="P679" s="179"/>
      <c r="Q679" s="179"/>
      <c r="R679" s="179"/>
      <c r="S679" s="179"/>
      <c r="T679" s="179"/>
      <c r="U679" s="179"/>
      <c r="V679" s="179"/>
      <c r="W679" s="179"/>
      <c r="X679" s="179"/>
      <c r="Y679" s="179"/>
      <c r="Z679" s="179"/>
    </row>
    <row r="680">
      <c r="A680" s="179"/>
      <c r="B680" s="179"/>
      <c r="C680" s="179"/>
      <c r="D680" s="179"/>
      <c r="E680" s="179"/>
      <c r="F680" s="179"/>
      <c r="G680" s="179"/>
      <c r="H680" s="179"/>
      <c r="I680" s="179"/>
      <c r="J680" s="179"/>
      <c r="K680" s="179"/>
      <c r="L680" s="179"/>
      <c r="M680" s="179"/>
      <c r="N680" s="179"/>
      <c r="O680" s="179"/>
      <c r="P680" s="179"/>
      <c r="Q680" s="179"/>
      <c r="R680" s="179"/>
      <c r="S680" s="179"/>
      <c r="T680" s="179"/>
      <c r="U680" s="179"/>
      <c r="V680" s="179"/>
      <c r="W680" s="179"/>
      <c r="X680" s="179"/>
      <c r="Y680" s="179"/>
      <c r="Z680" s="179"/>
    </row>
    <row r="681">
      <c r="A681" s="179"/>
      <c r="B681" s="179"/>
      <c r="C681" s="179"/>
      <c r="D681" s="179"/>
      <c r="E681" s="179"/>
      <c r="F681" s="179"/>
      <c r="G681" s="179"/>
      <c r="H681" s="179"/>
      <c r="I681" s="179"/>
      <c r="J681" s="179"/>
      <c r="K681" s="179"/>
      <c r="L681" s="179"/>
      <c r="M681" s="179"/>
      <c r="N681" s="179"/>
      <c r="O681" s="179"/>
      <c r="P681" s="179"/>
      <c r="Q681" s="179"/>
      <c r="R681" s="179"/>
      <c r="S681" s="179"/>
      <c r="T681" s="179"/>
      <c r="U681" s="179"/>
      <c r="V681" s="179"/>
      <c r="W681" s="179"/>
      <c r="X681" s="179"/>
      <c r="Y681" s="179"/>
      <c r="Z681" s="179"/>
    </row>
    <row r="682">
      <c r="A682" s="179"/>
      <c r="B682" s="179"/>
      <c r="C682" s="179"/>
      <c r="D682" s="179"/>
      <c r="E682" s="179"/>
      <c r="F682" s="179"/>
      <c r="G682" s="179"/>
      <c r="H682" s="179"/>
      <c r="I682" s="179"/>
      <c r="J682" s="179"/>
      <c r="K682" s="179"/>
      <c r="L682" s="179"/>
      <c r="M682" s="179"/>
      <c r="N682" s="179"/>
      <c r="O682" s="179"/>
      <c r="P682" s="179"/>
      <c r="Q682" s="179"/>
      <c r="R682" s="179"/>
      <c r="S682" s="179"/>
      <c r="T682" s="179"/>
      <c r="U682" s="179"/>
      <c r="V682" s="179"/>
      <c r="W682" s="179"/>
      <c r="X682" s="179"/>
      <c r="Y682" s="179"/>
      <c r="Z682" s="179"/>
    </row>
    <row r="683">
      <c r="A683" s="179"/>
      <c r="B683" s="179"/>
      <c r="C683" s="179"/>
      <c r="D683" s="179"/>
      <c r="E683" s="179"/>
      <c r="F683" s="179"/>
      <c r="G683" s="179"/>
      <c r="H683" s="179"/>
      <c r="I683" s="179"/>
      <c r="J683" s="179"/>
      <c r="K683" s="179"/>
      <c r="L683" s="179"/>
      <c r="M683" s="179"/>
      <c r="N683" s="179"/>
      <c r="O683" s="179"/>
      <c r="P683" s="179"/>
      <c r="Q683" s="179"/>
      <c r="R683" s="179"/>
      <c r="S683" s="179"/>
      <c r="T683" s="179"/>
      <c r="U683" s="179"/>
      <c r="V683" s="179"/>
      <c r="W683" s="179"/>
      <c r="X683" s="179"/>
      <c r="Y683" s="179"/>
      <c r="Z683" s="179"/>
    </row>
    <row r="684">
      <c r="A684" s="179"/>
      <c r="B684" s="179"/>
      <c r="C684" s="179"/>
      <c r="D684" s="179"/>
      <c r="E684" s="179"/>
      <c r="F684" s="179"/>
      <c r="G684" s="179"/>
      <c r="H684" s="179"/>
      <c r="I684" s="179"/>
      <c r="J684" s="179"/>
      <c r="K684" s="179"/>
      <c r="L684" s="179"/>
      <c r="M684" s="179"/>
      <c r="N684" s="179"/>
      <c r="O684" s="179"/>
      <c r="P684" s="179"/>
      <c r="Q684" s="179"/>
      <c r="R684" s="179"/>
      <c r="S684" s="179"/>
      <c r="T684" s="179"/>
      <c r="U684" s="179"/>
      <c r="V684" s="179"/>
      <c r="W684" s="179"/>
      <c r="X684" s="179"/>
      <c r="Y684" s="179"/>
      <c r="Z684" s="179"/>
    </row>
    <row r="685">
      <c r="A685" s="179"/>
      <c r="B685" s="179"/>
      <c r="C685" s="179"/>
      <c r="D685" s="179"/>
      <c r="E685" s="179"/>
      <c r="F685" s="179"/>
      <c r="G685" s="179"/>
      <c r="H685" s="179"/>
      <c r="I685" s="179"/>
      <c r="J685" s="179"/>
      <c r="K685" s="179"/>
      <c r="L685" s="179"/>
      <c r="M685" s="179"/>
      <c r="N685" s="179"/>
      <c r="O685" s="179"/>
      <c r="P685" s="179"/>
      <c r="Q685" s="179"/>
      <c r="R685" s="179"/>
      <c r="S685" s="179"/>
      <c r="T685" s="179"/>
      <c r="U685" s="179"/>
      <c r="V685" s="179"/>
      <c r="W685" s="179"/>
      <c r="X685" s="179"/>
      <c r="Y685" s="179"/>
      <c r="Z685" s="179"/>
    </row>
    <row r="686">
      <c r="A686" s="179"/>
      <c r="B686" s="179"/>
      <c r="C686" s="179"/>
      <c r="D686" s="179"/>
      <c r="E686" s="179"/>
      <c r="F686" s="179"/>
      <c r="G686" s="179"/>
      <c r="H686" s="179"/>
      <c r="I686" s="179"/>
      <c r="J686" s="179"/>
      <c r="K686" s="179"/>
      <c r="L686" s="179"/>
      <c r="M686" s="179"/>
      <c r="N686" s="179"/>
      <c r="O686" s="179"/>
      <c r="P686" s="179"/>
      <c r="Q686" s="179"/>
      <c r="R686" s="179"/>
      <c r="S686" s="179"/>
      <c r="T686" s="179"/>
      <c r="U686" s="179"/>
      <c r="V686" s="179"/>
      <c r="W686" s="179"/>
      <c r="X686" s="179"/>
      <c r="Y686" s="179"/>
      <c r="Z686" s="179"/>
    </row>
    <row r="687">
      <c r="A687" s="179"/>
      <c r="B687" s="179"/>
      <c r="C687" s="179"/>
      <c r="D687" s="179"/>
      <c r="E687" s="179"/>
      <c r="F687" s="179"/>
      <c r="G687" s="179"/>
      <c r="H687" s="179"/>
      <c r="I687" s="179"/>
      <c r="J687" s="179"/>
      <c r="K687" s="179"/>
      <c r="L687" s="179"/>
      <c r="M687" s="179"/>
      <c r="N687" s="179"/>
      <c r="O687" s="179"/>
      <c r="P687" s="179"/>
      <c r="Q687" s="179"/>
      <c r="R687" s="179"/>
      <c r="S687" s="179"/>
      <c r="T687" s="179"/>
      <c r="U687" s="179"/>
      <c r="V687" s="179"/>
      <c r="W687" s="179"/>
      <c r="X687" s="179"/>
      <c r="Y687" s="179"/>
      <c r="Z687" s="179"/>
    </row>
    <row r="688">
      <c r="A688" s="179"/>
      <c r="B688" s="179"/>
      <c r="C688" s="179"/>
      <c r="D688" s="179"/>
      <c r="E688" s="179"/>
      <c r="F688" s="179"/>
      <c r="G688" s="179"/>
      <c r="H688" s="179"/>
      <c r="I688" s="179"/>
      <c r="J688" s="179"/>
      <c r="K688" s="179"/>
      <c r="L688" s="179"/>
      <c r="M688" s="179"/>
      <c r="N688" s="179"/>
      <c r="O688" s="179"/>
      <c r="P688" s="179"/>
      <c r="Q688" s="179"/>
      <c r="R688" s="179"/>
      <c r="S688" s="179"/>
      <c r="T688" s="179"/>
      <c r="U688" s="179"/>
      <c r="V688" s="179"/>
      <c r="W688" s="179"/>
      <c r="X688" s="179"/>
      <c r="Y688" s="179"/>
      <c r="Z688" s="179"/>
    </row>
    <row r="689">
      <c r="A689" s="179"/>
      <c r="B689" s="179"/>
      <c r="C689" s="179"/>
      <c r="D689" s="179"/>
      <c r="E689" s="179"/>
      <c r="F689" s="179"/>
      <c r="G689" s="179"/>
      <c r="H689" s="179"/>
      <c r="I689" s="179"/>
      <c r="J689" s="179"/>
      <c r="K689" s="179"/>
      <c r="L689" s="179"/>
      <c r="M689" s="179"/>
      <c r="N689" s="179"/>
      <c r="O689" s="179"/>
      <c r="P689" s="179"/>
      <c r="Q689" s="179"/>
      <c r="R689" s="179"/>
      <c r="S689" s="179"/>
      <c r="T689" s="179"/>
      <c r="U689" s="179"/>
      <c r="V689" s="179"/>
      <c r="W689" s="179"/>
      <c r="X689" s="179"/>
      <c r="Y689" s="179"/>
      <c r="Z689" s="179"/>
    </row>
    <row r="690">
      <c r="A690" s="179"/>
      <c r="B690" s="179"/>
      <c r="C690" s="179"/>
      <c r="D690" s="179"/>
      <c r="E690" s="179"/>
      <c r="F690" s="179"/>
      <c r="G690" s="179"/>
      <c r="H690" s="179"/>
      <c r="I690" s="179"/>
      <c r="J690" s="179"/>
      <c r="K690" s="179"/>
      <c r="L690" s="179"/>
      <c r="M690" s="179"/>
      <c r="N690" s="179"/>
      <c r="O690" s="179"/>
      <c r="P690" s="179"/>
      <c r="Q690" s="179"/>
      <c r="R690" s="179"/>
      <c r="S690" s="179"/>
      <c r="T690" s="179"/>
      <c r="U690" s="179"/>
      <c r="V690" s="179"/>
      <c r="W690" s="179"/>
      <c r="X690" s="179"/>
      <c r="Y690" s="179"/>
      <c r="Z690" s="179"/>
    </row>
    <row r="691">
      <c r="A691" s="179"/>
      <c r="B691" s="179"/>
      <c r="C691" s="179"/>
      <c r="D691" s="179"/>
      <c r="E691" s="179"/>
      <c r="F691" s="179"/>
      <c r="G691" s="179"/>
      <c r="H691" s="179"/>
      <c r="I691" s="179"/>
      <c r="J691" s="179"/>
      <c r="K691" s="179"/>
      <c r="L691" s="179"/>
      <c r="M691" s="179"/>
      <c r="N691" s="179"/>
      <c r="O691" s="179"/>
      <c r="P691" s="179"/>
      <c r="Q691" s="179"/>
      <c r="R691" s="179"/>
      <c r="S691" s="179"/>
      <c r="T691" s="179"/>
      <c r="U691" s="179"/>
      <c r="V691" s="179"/>
      <c r="W691" s="179"/>
      <c r="X691" s="179"/>
      <c r="Y691" s="179"/>
      <c r="Z691" s="179"/>
    </row>
    <row r="692">
      <c r="A692" s="179"/>
      <c r="B692" s="179"/>
      <c r="C692" s="179"/>
      <c r="D692" s="179"/>
      <c r="E692" s="179"/>
      <c r="F692" s="179"/>
      <c r="G692" s="179"/>
      <c r="H692" s="179"/>
      <c r="I692" s="179"/>
      <c r="J692" s="179"/>
      <c r="K692" s="179"/>
      <c r="L692" s="179"/>
      <c r="M692" s="179"/>
      <c r="N692" s="179"/>
      <c r="O692" s="179"/>
      <c r="P692" s="179"/>
      <c r="Q692" s="179"/>
      <c r="R692" s="179"/>
      <c r="S692" s="179"/>
      <c r="T692" s="179"/>
      <c r="U692" s="179"/>
      <c r="V692" s="179"/>
      <c r="W692" s="179"/>
      <c r="X692" s="179"/>
      <c r="Y692" s="179"/>
      <c r="Z692" s="179"/>
    </row>
    <row r="693">
      <c r="A693" s="179"/>
      <c r="B693" s="179"/>
      <c r="C693" s="179"/>
      <c r="D693" s="179"/>
      <c r="E693" s="179"/>
      <c r="F693" s="179"/>
      <c r="G693" s="179"/>
      <c r="H693" s="179"/>
      <c r="I693" s="179"/>
      <c r="J693" s="179"/>
      <c r="K693" s="179"/>
      <c r="L693" s="179"/>
      <c r="M693" s="179"/>
      <c r="N693" s="179"/>
      <c r="O693" s="179"/>
      <c r="P693" s="179"/>
      <c r="Q693" s="179"/>
      <c r="R693" s="179"/>
      <c r="S693" s="179"/>
      <c r="T693" s="179"/>
      <c r="U693" s="179"/>
      <c r="V693" s="179"/>
      <c r="W693" s="179"/>
      <c r="X693" s="179"/>
      <c r="Y693" s="179"/>
      <c r="Z693" s="179"/>
    </row>
    <row r="694">
      <c r="A694" s="179"/>
      <c r="B694" s="179"/>
      <c r="C694" s="179"/>
      <c r="D694" s="179"/>
      <c r="E694" s="179"/>
      <c r="F694" s="179"/>
      <c r="G694" s="179"/>
      <c r="H694" s="179"/>
      <c r="I694" s="179"/>
      <c r="J694" s="179"/>
      <c r="K694" s="179"/>
      <c r="L694" s="179"/>
      <c r="M694" s="179"/>
      <c r="N694" s="179"/>
      <c r="O694" s="179"/>
      <c r="P694" s="179"/>
      <c r="Q694" s="179"/>
      <c r="R694" s="179"/>
      <c r="S694" s="179"/>
      <c r="T694" s="179"/>
      <c r="U694" s="179"/>
      <c r="V694" s="179"/>
      <c r="W694" s="179"/>
      <c r="X694" s="179"/>
      <c r="Y694" s="179"/>
      <c r="Z694" s="179"/>
    </row>
    <row r="695">
      <c r="A695" s="179"/>
      <c r="B695" s="179"/>
      <c r="C695" s="179"/>
      <c r="D695" s="179"/>
      <c r="E695" s="179"/>
      <c r="F695" s="179"/>
      <c r="G695" s="179"/>
      <c r="H695" s="179"/>
      <c r="I695" s="179"/>
      <c r="J695" s="179"/>
      <c r="K695" s="179"/>
      <c r="L695" s="179"/>
      <c r="M695" s="179"/>
      <c r="N695" s="179"/>
      <c r="O695" s="179"/>
      <c r="P695" s="179"/>
      <c r="Q695" s="179"/>
      <c r="R695" s="179"/>
      <c r="S695" s="179"/>
      <c r="T695" s="179"/>
      <c r="U695" s="179"/>
      <c r="V695" s="179"/>
      <c r="W695" s="179"/>
      <c r="X695" s="179"/>
      <c r="Y695" s="179"/>
      <c r="Z695" s="179"/>
    </row>
    <row r="696">
      <c r="A696" s="179"/>
      <c r="B696" s="179"/>
      <c r="C696" s="179"/>
      <c r="D696" s="179"/>
      <c r="E696" s="179"/>
      <c r="F696" s="179"/>
      <c r="G696" s="179"/>
      <c r="H696" s="179"/>
      <c r="I696" s="179"/>
      <c r="J696" s="179"/>
      <c r="K696" s="179"/>
      <c r="L696" s="179"/>
      <c r="M696" s="179"/>
      <c r="N696" s="179"/>
      <c r="O696" s="179"/>
      <c r="P696" s="179"/>
      <c r="Q696" s="179"/>
      <c r="R696" s="179"/>
      <c r="S696" s="179"/>
      <c r="T696" s="179"/>
      <c r="U696" s="179"/>
      <c r="V696" s="179"/>
      <c r="W696" s="179"/>
      <c r="X696" s="179"/>
      <c r="Y696" s="179"/>
      <c r="Z696" s="179"/>
    </row>
    <row r="697">
      <c r="A697" s="179"/>
      <c r="B697" s="179"/>
      <c r="C697" s="179"/>
      <c r="D697" s="179"/>
      <c r="E697" s="179"/>
      <c r="F697" s="179"/>
      <c r="G697" s="179"/>
      <c r="H697" s="179"/>
      <c r="I697" s="179"/>
      <c r="J697" s="179"/>
      <c r="K697" s="179"/>
      <c r="L697" s="179"/>
      <c r="M697" s="179"/>
      <c r="N697" s="179"/>
      <c r="O697" s="179"/>
      <c r="P697" s="179"/>
      <c r="Q697" s="179"/>
      <c r="R697" s="179"/>
      <c r="S697" s="179"/>
      <c r="T697" s="179"/>
      <c r="U697" s="179"/>
      <c r="V697" s="179"/>
      <c r="W697" s="179"/>
      <c r="X697" s="179"/>
      <c r="Y697" s="179"/>
      <c r="Z697" s="179"/>
    </row>
    <row r="698">
      <c r="A698" s="179"/>
      <c r="B698" s="179"/>
      <c r="C698" s="179"/>
      <c r="D698" s="179"/>
      <c r="E698" s="179"/>
      <c r="F698" s="179"/>
      <c r="G698" s="179"/>
      <c r="H698" s="179"/>
      <c r="I698" s="179"/>
      <c r="J698" s="179"/>
      <c r="K698" s="179"/>
      <c r="L698" s="179"/>
      <c r="M698" s="179"/>
      <c r="N698" s="179"/>
      <c r="O698" s="179"/>
      <c r="P698" s="179"/>
      <c r="Q698" s="179"/>
      <c r="R698" s="179"/>
      <c r="S698" s="179"/>
      <c r="T698" s="179"/>
      <c r="U698" s="179"/>
      <c r="V698" s="179"/>
      <c r="W698" s="179"/>
      <c r="X698" s="179"/>
      <c r="Y698" s="179"/>
      <c r="Z698" s="179"/>
    </row>
    <row r="699">
      <c r="A699" s="179"/>
      <c r="B699" s="179"/>
      <c r="C699" s="179"/>
      <c r="D699" s="179"/>
      <c r="E699" s="179"/>
      <c r="F699" s="179"/>
      <c r="G699" s="179"/>
      <c r="H699" s="179"/>
      <c r="I699" s="179"/>
      <c r="J699" s="179"/>
      <c r="K699" s="179"/>
      <c r="L699" s="179"/>
      <c r="M699" s="179"/>
      <c r="N699" s="179"/>
      <c r="O699" s="179"/>
      <c r="P699" s="179"/>
      <c r="Q699" s="179"/>
      <c r="R699" s="179"/>
      <c r="S699" s="179"/>
      <c r="T699" s="179"/>
      <c r="U699" s="179"/>
      <c r="V699" s="179"/>
      <c r="W699" s="179"/>
      <c r="X699" s="179"/>
      <c r="Y699" s="179"/>
      <c r="Z699" s="179"/>
    </row>
    <row r="700">
      <c r="A700" s="179"/>
      <c r="B700" s="179"/>
      <c r="C700" s="179"/>
      <c r="D700" s="179"/>
      <c r="E700" s="179"/>
      <c r="F700" s="179"/>
      <c r="G700" s="179"/>
      <c r="H700" s="179"/>
      <c r="I700" s="179"/>
      <c r="J700" s="179"/>
      <c r="K700" s="179"/>
      <c r="L700" s="179"/>
      <c r="M700" s="179"/>
      <c r="N700" s="179"/>
      <c r="O700" s="179"/>
      <c r="P700" s="179"/>
      <c r="Q700" s="179"/>
      <c r="R700" s="179"/>
      <c r="S700" s="179"/>
      <c r="T700" s="179"/>
      <c r="U700" s="179"/>
      <c r="V700" s="179"/>
      <c r="W700" s="179"/>
      <c r="X700" s="179"/>
      <c r="Y700" s="179"/>
      <c r="Z700" s="179"/>
    </row>
    <row r="701">
      <c r="A701" s="179"/>
      <c r="B701" s="179"/>
      <c r="C701" s="179"/>
      <c r="D701" s="179"/>
      <c r="E701" s="179"/>
      <c r="F701" s="179"/>
      <c r="G701" s="179"/>
      <c r="H701" s="179"/>
      <c r="I701" s="179"/>
      <c r="J701" s="179"/>
      <c r="K701" s="179"/>
      <c r="L701" s="179"/>
      <c r="M701" s="179"/>
      <c r="N701" s="179"/>
      <c r="O701" s="179"/>
      <c r="P701" s="179"/>
      <c r="Q701" s="179"/>
      <c r="R701" s="179"/>
      <c r="S701" s="179"/>
      <c r="T701" s="179"/>
      <c r="U701" s="179"/>
      <c r="V701" s="179"/>
      <c r="W701" s="179"/>
      <c r="X701" s="179"/>
      <c r="Y701" s="179"/>
      <c r="Z701" s="179"/>
    </row>
    <row r="702">
      <c r="A702" s="179"/>
      <c r="B702" s="179"/>
      <c r="C702" s="179"/>
      <c r="D702" s="179"/>
      <c r="E702" s="179"/>
      <c r="F702" s="179"/>
      <c r="G702" s="179"/>
      <c r="H702" s="179"/>
      <c r="I702" s="179"/>
      <c r="J702" s="179"/>
      <c r="K702" s="179"/>
      <c r="L702" s="179"/>
      <c r="M702" s="179"/>
      <c r="N702" s="179"/>
      <c r="O702" s="179"/>
      <c r="P702" s="179"/>
      <c r="Q702" s="179"/>
      <c r="R702" s="179"/>
      <c r="S702" s="179"/>
      <c r="T702" s="179"/>
      <c r="U702" s="179"/>
      <c r="V702" s="179"/>
      <c r="W702" s="179"/>
      <c r="X702" s="179"/>
      <c r="Y702" s="179"/>
      <c r="Z702" s="179"/>
    </row>
    <row r="703">
      <c r="A703" s="179"/>
      <c r="B703" s="179"/>
      <c r="C703" s="179"/>
      <c r="D703" s="179"/>
      <c r="E703" s="179"/>
      <c r="F703" s="179"/>
      <c r="G703" s="179"/>
      <c r="H703" s="179"/>
      <c r="I703" s="179"/>
      <c r="J703" s="179"/>
      <c r="K703" s="179"/>
      <c r="L703" s="179"/>
      <c r="M703" s="179"/>
      <c r="N703" s="179"/>
      <c r="O703" s="179"/>
      <c r="P703" s="179"/>
      <c r="Q703" s="179"/>
      <c r="R703" s="179"/>
      <c r="S703" s="179"/>
      <c r="T703" s="179"/>
      <c r="U703" s="179"/>
      <c r="V703" s="179"/>
      <c r="W703" s="179"/>
      <c r="X703" s="179"/>
      <c r="Y703" s="179"/>
      <c r="Z703" s="179"/>
    </row>
    <row r="704">
      <c r="A704" s="179"/>
      <c r="B704" s="179"/>
      <c r="C704" s="179"/>
      <c r="D704" s="179"/>
      <c r="E704" s="179"/>
      <c r="F704" s="179"/>
      <c r="G704" s="179"/>
      <c r="H704" s="179"/>
      <c r="I704" s="179"/>
      <c r="J704" s="179"/>
      <c r="K704" s="179"/>
      <c r="L704" s="179"/>
      <c r="M704" s="179"/>
      <c r="N704" s="179"/>
      <c r="O704" s="179"/>
      <c r="P704" s="179"/>
      <c r="Q704" s="179"/>
      <c r="R704" s="179"/>
      <c r="S704" s="179"/>
      <c r="T704" s="179"/>
      <c r="U704" s="179"/>
      <c r="V704" s="179"/>
      <c r="W704" s="179"/>
      <c r="X704" s="179"/>
      <c r="Y704" s="179"/>
      <c r="Z704" s="179"/>
    </row>
    <row r="705">
      <c r="A705" s="179"/>
      <c r="B705" s="179"/>
      <c r="C705" s="179"/>
      <c r="D705" s="179"/>
      <c r="E705" s="179"/>
      <c r="F705" s="179"/>
      <c r="G705" s="179"/>
      <c r="H705" s="179"/>
      <c r="I705" s="179"/>
      <c r="J705" s="179"/>
      <c r="K705" s="179"/>
      <c r="L705" s="179"/>
      <c r="M705" s="179"/>
      <c r="N705" s="179"/>
      <c r="O705" s="179"/>
      <c r="P705" s="179"/>
      <c r="Q705" s="179"/>
      <c r="R705" s="179"/>
      <c r="S705" s="179"/>
      <c r="T705" s="179"/>
      <c r="U705" s="179"/>
      <c r="V705" s="179"/>
      <c r="W705" s="179"/>
      <c r="X705" s="179"/>
      <c r="Y705" s="179"/>
      <c r="Z705" s="179"/>
    </row>
    <row r="706">
      <c r="A706" s="179"/>
      <c r="B706" s="179"/>
      <c r="C706" s="179"/>
      <c r="D706" s="179"/>
      <c r="E706" s="179"/>
      <c r="F706" s="179"/>
      <c r="G706" s="179"/>
      <c r="H706" s="179"/>
      <c r="I706" s="179"/>
      <c r="J706" s="179"/>
      <c r="K706" s="179"/>
      <c r="L706" s="179"/>
      <c r="M706" s="179"/>
      <c r="N706" s="179"/>
      <c r="O706" s="179"/>
      <c r="P706" s="179"/>
      <c r="Q706" s="179"/>
      <c r="R706" s="179"/>
      <c r="S706" s="179"/>
      <c r="T706" s="179"/>
      <c r="U706" s="179"/>
      <c r="V706" s="179"/>
      <c r="W706" s="179"/>
      <c r="X706" s="179"/>
      <c r="Y706" s="179"/>
      <c r="Z706" s="179"/>
    </row>
    <row r="707">
      <c r="A707" s="179"/>
      <c r="B707" s="179"/>
      <c r="C707" s="179"/>
      <c r="D707" s="179"/>
      <c r="E707" s="179"/>
      <c r="F707" s="179"/>
      <c r="G707" s="179"/>
      <c r="H707" s="179"/>
      <c r="I707" s="179"/>
      <c r="J707" s="179"/>
      <c r="K707" s="179"/>
      <c r="L707" s="179"/>
      <c r="M707" s="179"/>
      <c r="N707" s="179"/>
      <c r="O707" s="179"/>
      <c r="P707" s="179"/>
      <c r="Q707" s="179"/>
      <c r="R707" s="179"/>
      <c r="S707" s="179"/>
      <c r="T707" s="179"/>
      <c r="U707" s="179"/>
      <c r="V707" s="179"/>
      <c r="W707" s="179"/>
      <c r="X707" s="179"/>
      <c r="Y707" s="179"/>
      <c r="Z707" s="179"/>
    </row>
    <row r="708">
      <c r="A708" s="179"/>
      <c r="B708" s="179"/>
      <c r="C708" s="179"/>
      <c r="D708" s="179"/>
      <c r="E708" s="179"/>
      <c r="F708" s="179"/>
      <c r="G708" s="179"/>
      <c r="H708" s="179"/>
      <c r="I708" s="179"/>
      <c r="J708" s="179"/>
      <c r="K708" s="179"/>
      <c r="L708" s="179"/>
      <c r="M708" s="179"/>
      <c r="N708" s="179"/>
      <c r="O708" s="179"/>
      <c r="P708" s="179"/>
      <c r="Q708" s="179"/>
      <c r="R708" s="179"/>
      <c r="S708" s="179"/>
      <c r="T708" s="179"/>
      <c r="U708" s="179"/>
      <c r="V708" s="179"/>
      <c r="W708" s="179"/>
      <c r="X708" s="179"/>
      <c r="Y708" s="179"/>
      <c r="Z708" s="179"/>
    </row>
    <row r="709">
      <c r="A709" s="179"/>
      <c r="B709" s="179"/>
      <c r="C709" s="179"/>
      <c r="D709" s="179"/>
      <c r="E709" s="179"/>
      <c r="F709" s="179"/>
      <c r="G709" s="179"/>
      <c r="H709" s="179"/>
      <c r="I709" s="179"/>
      <c r="J709" s="179"/>
      <c r="K709" s="179"/>
      <c r="L709" s="179"/>
      <c r="M709" s="179"/>
      <c r="N709" s="179"/>
      <c r="O709" s="179"/>
      <c r="P709" s="179"/>
      <c r="Q709" s="179"/>
      <c r="R709" s="179"/>
      <c r="S709" s="179"/>
      <c r="T709" s="179"/>
      <c r="U709" s="179"/>
      <c r="V709" s="179"/>
      <c r="W709" s="179"/>
      <c r="X709" s="179"/>
      <c r="Y709" s="179"/>
      <c r="Z709" s="179"/>
    </row>
    <row r="710">
      <c r="A710" s="179"/>
      <c r="B710" s="179"/>
      <c r="C710" s="179"/>
      <c r="D710" s="179"/>
      <c r="E710" s="179"/>
      <c r="F710" s="179"/>
      <c r="G710" s="179"/>
      <c r="H710" s="179"/>
      <c r="I710" s="179"/>
      <c r="J710" s="179"/>
      <c r="K710" s="179"/>
      <c r="L710" s="179"/>
      <c r="M710" s="179"/>
      <c r="N710" s="179"/>
      <c r="O710" s="179"/>
      <c r="P710" s="179"/>
      <c r="Q710" s="179"/>
      <c r="R710" s="179"/>
      <c r="S710" s="179"/>
      <c r="T710" s="179"/>
      <c r="U710" s="179"/>
      <c r="V710" s="179"/>
      <c r="W710" s="179"/>
      <c r="X710" s="179"/>
      <c r="Y710" s="179"/>
      <c r="Z710" s="179"/>
    </row>
    <row r="711">
      <c r="A711" s="179"/>
      <c r="B711" s="179"/>
      <c r="C711" s="179"/>
      <c r="D711" s="179"/>
      <c r="E711" s="179"/>
      <c r="F711" s="179"/>
      <c r="G711" s="179"/>
      <c r="H711" s="179"/>
      <c r="I711" s="179"/>
      <c r="J711" s="179"/>
      <c r="K711" s="179"/>
      <c r="L711" s="179"/>
      <c r="M711" s="179"/>
      <c r="N711" s="179"/>
      <c r="O711" s="179"/>
      <c r="P711" s="179"/>
      <c r="Q711" s="179"/>
      <c r="R711" s="179"/>
      <c r="S711" s="179"/>
      <c r="T711" s="179"/>
      <c r="U711" s="179"/>
      <c r="V711" s="179"/>
      <c r="W711" s="179"/>
      <c r="X711" s="179"/>
      <c r="Y711" s="179"/>
      <c r="Z711" s="179"/>
    </row>
    <row r="712">
      <c r="A712" s="179"/>
      <c r="B712" s="179"/>
      <c r="C712" s="179"/>
      <c r="D712" s="179"/>
      <c r="E712" s="179"/>
      <c r="F712" s="179"/>
      <c r="G712" s="179"/>
      <c r="H712" s="179"/>
      <c r="I712" s="179"/>
      <c r="J712" s="179"/>
      <c r="K712" s="179"/>
      <c r="L712" s="179"/>
      <c r="M712" s="179"/>
      <c r="N712" s="179"/>
      <c r="O712" s="179"/>
      <c r="P712" s="179"/>
      <c r="Q712" s="179"/>
      <c r="R712" s="179"/>
      <c r="S712" s="179"/>
      <c r="T712" s="179"/>
      <c r="U712" s="179"/>
      <c r="V712" s="179"/>
      <c r="W712" s="179"/>
      <c r="X712" s="179"/>
      <c r="Y712" s="179"/>
      <c r="Z712" s="179"/>
    </row>
    <row r="713">
      <c r="A713" s="179"/>
      <c r="B713" s="179"/>
      <c r="C713" s="179"/>
      <c r="D713" s="179"/>
      <c r="E713" s="179"/>
      <c r="F713" s="179"/>
      <c r="G713" s="179"/>
      <c r="H713" s="179"/>
      <c r="I713" s="179"/>
      <c r="J713" s="179"/>
      <c r="K713" s="179"/>
      <c r="L713" s="179"/>
      <c r="M713" s="179"/>
      <c r="N713" s="179"/>
      <c r="O713" s="179"/>
      <c r="P713" s="179"/>
      <c r="Q713" s="179"/>
      <c r="R713" s="179"/>
      <c r="S713" s="179"/>
      <c r="T713" s="179"/>
      <c r="U713" s="179"/>
      <c r="V713" s="179"/>
      <c r="W713" s="179"/>
      <c r="X713" s="179"/>
      <c r="Y713" s="179"/>
      <c r="Z713" s="179"/>
    </row>
    <row r="714">
      <c r="A714" s="179"/>
      <c r="B714" s="179"/>
      <c r="C714" s="179"/>
      <c r="D714" s="179"/>
      <c r="E714" s="179"/>
      <c r="F714" s="179"/>
      <c r="G714" s="179"/>
      <c r="H714" s="179"/>
      <c r="I714" s="179"/>
      <c r="J714" s="179"/>
      <c r="K714" s="179"/>
      <c r="L714" s="179"/>
      <c r="M714" s="179"/>
      <c r="N714" s="179"/>
      <c r="O714" s="179"/>
      <c r="P714" s="179"/>
      <c r="Q714" s="179"/>
      <c r="R714" s="179"/>
      <c r="S714" s="179"/>
      <c r="T714" s="179"/>
      <c r="U714" s="179"/>
      <c r="V714" s="179"/>
      <c r="W714" s="179"/>
      <c r="X714" s="179"/>
      <c r="Y714" s="179"/>
      <c r="Z714" s="179"/>
    </row>
    <row r="715">
      <c r="A715" s="179"/>
      <c r="B715" s="179"/>
      <c r="C715" s="179"/>
      <c r="D715" s="179"/>
      <c r="E715" s="179"/>
      <c r="F715" s="179"/>
      <c r="G715" s="179"/>
      <c r="H715" s="179"/>
      <c r="I715" s="179"/>
      <c r="J715" s="179"/>
      <c r="K715" s="179"/>
      <c r="L715" s="179"/>
      <c r="M715" s="179"/>
      <c r="N715" s="179"/>
      <c r="O715" s="179"/>
      <c r="P715" s="179"/>
      <c r="Q715" s="179"/>
      <c r="R715" s="179"/>
      <c r="S715" s="179"/>
      <c r="T715" s="179"/>
      <c r="U715" s="179"/>
      <c r="V715" s="179"/>
      <c r="W715" s="179"/>
      <c r="X715" s="179"/>
      <c r="Y715" s="179"/>
      <c r="Z715" s="179"/>
    </row>
    <row r="716">
      <c r="A716" s="179"/>
      <c r="B716" s="179"/>
      <c r="C716" s="179"/>
      <c r="D716" s="179"/>
      <c r="E716" s="179"/>
      <c r="F716" s="179"/>
      <c r="G716" s="179"/>
      <c r="H716" s="179"/>
      <c r="I716" s="179"/>
      <c r="J716" s="179"/>
      <c r="K716" s="179"/>
      <c r="L716" s="179"/>
      <c r="M716" s="179"/>
      <c r="N716" s="179"/>
      <c r="O716" s="179"/>
      <c r="P716" s="179"/>
      <c r="Q716" s="179"/>
      <c r="R716" s="179"/>
      <c r="S716" s="179"/>
      <c r="T716" s="179"/>
      <c r="U716" s="179"/>
      <c r="V716" s="179"/>
      <c r="W716" s="179"/>
      <c r="X716" s="179"/>
      <c r="Y716" s="179"/>
      <c r="Z716" s="179"/>
    </row>
    <row r="717">
      <c r="A717" s="179"/>
      <c r="B717" s="179"/>
      <c r="C717" s="179"/>
      <c r="D717" s="179"/>
      <c r="E717" s="179"/>
      <c r="F717" s="179"/>
      <c r="G717" s="179"/>
      <c r="H717" s="179"/>
      <c r="I717" s="179"/>
      <c r="J717" s="179"/>
      <c r="K717" s="179"/>
      <c r="L717" s="179"/>
      <c r="M717" s="179"/>
      <c r="N717" s="179"/>
      <c r="O717" s="179"/>
      <c r="P717" s="179"/>
      <c r="Q717" s="179"/>
      <c r="R717" s="179"/>
      <c r="S717" s="179"/>
      <c r="T717" s="179"/>
      <c r="U717" s="179"/>
      <c r="V717" s="179"/>
      <c r="W717" s="179"/>
      <c r="X717" s="179"/>
      <c r="Y717" s="179"/>
      <c r="Z717" s="179"/>
    </row>
    <row r="718">
      <c r="A718" s="179"/>
      <c r="B718" s="179"/>
      <c r="C718" s="179"/>
      <c r="D718" s="179"/>
      <c r="E718" s="179"/>
      <c r="F718" s="179"/>
      <c r="G718" s="179"/>
      <c r="H718" s="179"/>
      <c r="I718" s="179"/>
      <c r="J718" s="179"/>
      <c r="K718" s="179"/>
      <c r="L718" s="179"/>
      <c r="M718" s="179"/>
      <c r="N718" s="179"/>
      <c r="O718" s="179"/>
      <c r="P718" s="179"/>
      <c r="Q718" s="179"/>
      <c r="R718" s="179"/>
      <c r="S718" s="179"/>
      <c r="T718" s="179"/>
      <c r="U718" s="179"/>
      <c r="V718" s="179"/>
      <c r="W718" s="179"/>
      <c r="X718" s="179"/>
      <c r="Y718" s="179"/>
      <c r="Z718" s="179"/>
    </row>
    <row r="719">
      <c r="A719" s="179"/>
      <c r="B719" s="179"/>
      <c r="C719" s="179"/>
      <c r="D719" s="179"/>
      <c r="E719" s="179"/>
      <c r="F719" s="179"/>
      <c r="G719" s="179"/>
      <c r="H719" s="179"/>
      <c r="I719" s="179"/>
      <c r="J719" s="179"/>
      <c r="K719" s="179"/>
      <c r="L719" s="179"/>
      <c r="M719" s="179"/>
      <c r="N719" s="179"/>
      <c r="O719" s="179"/>
      <c r="P719" s="179"/>
      <c r="Q719" s="179"/>
      <c r="R719" s="179"/>
      <c r="S719" s="179"/>
      <c r="T719" s="179"/>
      <c r="U719" s="179"/>
      <c r="V719" s="179"/>
      <c r="W719" s="179"/>
      <c r="X719" s="179"/>
      <c r="Y719" s="179"/>
      <c r="Z719" s="179"/>
    </row>
    <row r="720">
      <c r="A720" s="179"/>
      <c r="B720" s="179"/>
      <c r="C720" s="179"/>
      <c r="D720" s="179"/>
      <c r="E720" s="179"/>
      <c r="F720" s="179"/>
      <c r="G720" s="179"/>
      <c r="H720" s="179"/>
      <c r="I720" s="179"/>
      <c r="J720" s="179"/>
      <c r="K720" s="179"/>
      <c r="L720" s="179"/>
      <c r="M720" s="179"/>
      <c r="N720" s="179"/>
      <c r="O720" s="179"/>
      <c r="P720" s="179"/>
      <c r="Q720" s="179"/>
      <c r="R720" s="179"/>
      <c r="S720" s="179"/>
      <c r="T720" s="179"/>
      <c r="U720" s="179"/>
      <c r="V720" s="179"/>
      <c r="W720" s="179"/>
      <c r="X720" s="179"/>
      <c r="Y720" s="179"/>
      <c r="Z720" s="179"/>
    </row>
    <row r="721">
      <c r="A721" s="179"/>
      <c r="B721" s="179"/>
      <c r="C721" s="179"/>
      <c r="D721" s="179"/>
      <c r="E721" s="179"/>
      <c r="F721" s="179"/>
      <c r="G721" s="179"/>
      <c r="H721" s="179"/>
      <c r="I721" s="179"/>
      <c r="J721" s="179"/>
      <c r="K721" s="179"/>
      <c r="L721" s="179"/>
      <c r="M721" s="179"/>
      <c r="N721" s="179"/>
      <c r="O721" s="179"/>
      <c r="P721" s="179"/>
      <c r="Q721" s="179"/>
      <c r="R721" s="179"/>
      <c r="S721" s="179"/>
      <c r="T721" s="179"/>
      <c r="U721" s="179"/>
      <c r="V721" s="179"/>
      <c r="W721" s="179"/>
      <c r="X721" s="179"/>
      <c r="Y721" s="179"/>
      <c r="Z721" s="179"/>
    </row>
    <row r="722">
      <c r="A722" s="179"/>
      <c r="B722" s="179"/>
      <c r="C722" s="179"/>
      <c r="D722" s="179"/>
      <c r="E722" s="179"/>
      <c r="F722" s="179"/>
      <c r="G722" s="179"/>
      <c r="H722" s="179"/>
      <c r="I722" s="179"/>
      <c r="J722" s="179"/>
      <c r="K722" s="179"/>
      <c r="L722" s="179"/>
      <c r="M722" s="179"/>
      <c r="N722" s="179"/>
      <c r="O722" s="179"/>
      <c r="P722" s="179"/>
      <c r="Q722" s="179"/>
      <c r="R722" s="179"/>
      <c r="S722" s="179"/>
      <c r="T722" s="179"/>
      <c r="U722" s="179"/>
      <c r="V722" s="179"/>
      <c r="W722" s="179"/>
      <c r="X722" s="179"/>
      <c r="Y722" s="179"/>
      <c r="Z722" s="179"/>
    </row>
    <row r="723">
      <c r="A723" s="179"/>
      <c r="B723" s="179"/>
      <c r="C723" s="179"/>
      <c r="D723" s="179"/>
      <c r="E723" s="179"/>
      <c r="F723" s="179"/>
      <c r="G723" s="179"/>
      <c r="H723" s="179"/>
      <c r="I723" s="179"/>
      <c r="J723" s="179"/>
      <c r="K723" s="179"/>
      <c r="L723" s="179"/>
      <c r="M723" s="179"/>
      <c r="N723" s="179"/>
      <c r="O723" s="179"/>
      <c r="P723" s="179"/>
      <c r="Q723" s="179"/>
      <c r="R723" s="179"/>
      <c r="S723" s="179"/>
      <c r="T723" s="179"/>
      <c r="U723" s="179"/>
      <c r="V723" s="179"/>
      <c r="W723" s="179"/>
      <c r="X723" s="179"/>
      <c r="Y723" s="179"/>
      <c r="Z723" s="179"/>
    </row>
    <row r="724">
      <c r="A724" s="179"/>
      <c r="B724" s="179"/>
      <c r="C724" s="179"/>
      <c r="D724" s="179"/>
      <c r="E724" s="179"/>
      <c r="F724" s="179"/>
      <c r="G724" s="179"/>
      <c r="H724" s="179"/>
      <c r="I724" s="179"/>
      <c r="J724" s="179"/>
      <c r="K724" s="179"/>
      <c r="L724" s="179"/>
      <c r="M724" s="179"/>
      <c r="N724" s="179"/>
      <c r="O724" s="179"/>
      <c r="P724" s="179"/>
      <c r="Q724" s="179"/>
      <c r="R724" s="179"/>
      <c r="S724" s="179"/>
      <c r="T724" s="179"/>
      <c r="U724" s="179"/>
      <c r="V724" s="179"/>
      <c r="W724" s="179"/>
      <c r="X724" s="179"/>
      <c r="Y724" s="179"/>
      <c r="Z724" s="179"/>
    </row>
    <row r="725">
      <c r="A725" s="179"/>
      <c r="B725" s="179"/>
      <c r="C725" s="179"/>
      <c r="D725" s="179"/>
      <c r="E725" s="179"/>
      <c r="F725" s="179"/>
      <c r="G725" s="179"/>
      <c r="H725" s="179"/>
      <c r="I725" s="179"/>
      <c r="J725" s="179"/>
      <c r="K725" s="179"/>
      <c r="L725" s="179"/>
      <c r="M725" s="179"/>
      <c r="N725" s="179"/>
      <c r="O725" s="179"/>
      <c r="P725" s="179"/>
      <c r="Q725" s="179"/>
      <c r="R725" s="179"/>
      <c r="S725" s="179"/>
      <c r="T725" s="179"/>
      <c r="U725" s="179"/>
      <c r="V725" s="179"/>
      <c r="W725" s="179"/>
      <c r="X725" s="179"/>
      <c r="Y725" s="179"/>
      <c r="Z725" s="179"/>
    </row>
    <row r="726">
      <c r="A726" s="179"/>
      <c r="B726" s="179"/>
      <c r="C726" s="179"/>
      <c r="D726" s="179"/>
      <c r="E726" s="179"/>
      <c r="F726" s="179"/>
      <c r="G726" s="179"/>
      <c r="H726" s="179"/>
      <c r="I726" s="179"/>
      <c r="J726" s="179"/>
      <c r="K726" s="179"/>
      <c r="L726" s="179"/>
      <c r="M726" s="179"/>
      <c r="N726" s="179"/>
      <c r="O726" s="179"/>
      <c r="P726" s="179"/>
      <c r="Q726" s="179"/>
      <c r="R726" s="179"/>
      <c r="S726" s="179"/>
      <c r="T726" s="179"/>
      <c r="U726" s="179"/>
      <c r="V726" s="179"/>
      <c r="W726" s="179"/>
      <c r="X726" s="179"/>
      <c r="Y726" s="179"/>
      <c r="Z726" s="179"/>
    </row>
    <row r="727">
      <c r="A727" s="179"/>
      <c r="B727" s="179"/>
      <c r="C727" s="179"/>
      <c r="D727" s="179"/>
      <c r="E727" s="179"/>
      <c r="F727" s="179"/>
      <c r="G727" s="179"/>
      <c r="H727" s="179"/>
      <c r="I727" s="179"/>
      <c r="J727" s="179"/>
      <c r="K727" s="179"/>
      <c r="L727" s="179"/>
      <c r="M727" s="179"/>
      <c r="N727" s="179"/>
      <c r="O727" s="179"/>
      <c r="P727" s="179"/>
      <c r="Q727" s="179"/>
      <c r="R727" s="179"/>
      <c r="S727" s="179"/>
      <c r="T727" s="179"/>
      <c r="U727" s="179"/>
      <c r="V727" s="179"/>
      <c r="W727" s="179"/>
      <c r="X727" s="179"/>
      <c r="Y727" s="179"/>
      <c r="Z727" s="179"/>
    </row>
    <row r="728">
      <c r="A728" s="179"/>
      <c r="B728" s="179"/>
      <c r="C728" s="179"/>
      <c r="D728" s="179"/>
      <c r="E728" s="179"/>
      <c r="F728" s="179"/>
      <c r="G728" s="179"/>
      <c r="H728" s="179"/>
      <c r="I728" s="179"/>
      <c r="J728" s="179"/>
      <c r="K728" s="179"/>
      <c r="L728" s="179"/>
      <c r="M728" s="179"/>
      <c r="N728" s="179"/>
      <c r="O728" s="179"/>
      <c r="P728" s="179"/>
      <c r="Q728" s="179"/>
      <c r="R728" s="179"/>
      <c r="S728" s="179"/>
      <c r="T728" s="179"/>
      <c r="U728" s="179"/>
      <c r="V728" s="179"/>
      <c r="W728" s="179"/>
      <c r="X728" s="179"/>
      <c r="Y728" s="179"/>
      <c r="Z728" s="179"/>
    </row>
    <row r="729">
      <c r="A729" s="179"/>
      <c r="B729" s="179"/>
      <c r="C729" s="179"/>
      <c r="D729" s="179"/>
      <c r="E729" s="179"/>
      <c r="F729" s="179"/>
      <c r="G729" s="179"/>
      <c r="H729" s="179"/>
      <c r="I729" s="179"/>
      <c r="J729" s="179"/>
      <c r="K729" s="179"/>
      <c r="L729" s="179"/>
      <c r="M729" s="179"/>
      <c r="N729" s="179"/>
      <c r="O729" s="179"/>
      <c r="P729" s="179"/>
      <c r="Q729" s="179"/>
      <c r="R729" s="179"/>
      <c r="S729" s="179"/>
      <c r="T729" s="179"/>
      <c r="U729" s="179"/>
      <c r="V729" s="179"/>
      <c r="W729" s="179"/>
      <c r="X729" s="179"/>
      <c r="Y729" s="179"/>
      <c r="Z729" s="179"/>
    </row>
    <row r="730">
      <c r="A730" s="179"/>
      <c r="B730" s="179"/>
      <c r="C730" s="179"/>
      <c r="D730" s="179"/>
      <c r="E730" s="179"/>
      <c r="F730" s="179"/>
      <c r="G730" s="179"/>
      <c r="H730" s="179"/>
      <c r="I730" s="179"/>
      <c r="J730" s="179"/>
      <c r="K730" s="179"/>
      <c r="L730" s="179"/>
      <c r="M730" s="179"/>
      <c r="N730" s="179"/>
      <c r="O730" s="179"/>
      <c r="P730" s="179"/>
      <c r="Q730" s="179"/>
      <c r="R730" s="179"/>
      <c r="S730" s="179"/>
      <c r="T730" s="179"/>
      <c r="U730" s="179"/>
      <c r="V730" s="179"/>
      <c r="W730" s="179"/>
      <c r="X730" s="179"/>
      <c r="Y730" s="179"/>
      <c r="Z730" s="179"/>
    </row>
    <row r="731">
      <c r="A731" s="179"/>
      <c r="B731" s="179"/>
      <c r="C731" s="179"/>
      <c r="D731" s="179"/>
      <c r="E731" s="179"/>
      <c r="F731" s="179"/>
      <c r="G731" s="179"/>
      <c r="H731" s="179"/>
      <c r="I731" s="179"/>
      <c r="J731" s="179"/>
      <c r="K731" s="179"/>
      <c r="L731" s="179"/>
      <c r="M731" s="179"/>
      <c r="N731" s="179"/>
      <c r="O731" s="179"/>
      <c r="P731" s="179"/>
      <c r="Q731" s="179"/>
      <c r="R731" s="179"/>
      <c r="S731" s="179"/>
      <c r="T731" s="179"/>
      <c r="U731" s="179"/>
      <c r="V731" s="179"/>
      <c r="W731" s="179"/>
      <c r="X731" s="179"/>
      <c r="Y731" s="179"/>
      <c r="Z731" s="179"/>
    </row>
    <row r="732">
      <c r="A732" s="179"/>
      <c r="B732" s="179"/>
      <c r="C732" s="179"/>
      <c r="D732" s="179"/>
      <c r="E732" s="179"/>
      <c r="F732" s="179"/>
      <c r="G732" s="179"/>
      <c r="H732" s="179"/>
      <c r="I732" s="179"/>
      <c r="J732" s="179"/>
      <c r="K732" s="179"/>
      <c r="L732" s="179"/>
      <c r="M732" s="179"/>
      <c r="N732" s="179"/>
      <c r="O732" s="179"/>
      <c r="P732" s="179"/>
      <c r="Q732" s="179"/>
      <c r="R732" s="179"/>
      <c r="S732" s="179"/>
      <c r="T732" s="179"/>
      <c r="U732" s="179"/>
      <c r="V732" s="179"/>
      <c r="W732" s="179"/>
      <c r="X732" s="179"/>
      <c r="Y732" s="179"/>
      <c r="Z732" s="179"/>
    </row>
    <row r="733">
      <c r="A733" s="179"/>
      <c r="B733" s="179"/>
      <c r="C733" s="179"/>
      <c r="D733" s="179"/>
      <c r="E733" s="179"/>
      <c r="F733" s="179"/>
      <c r="G733" s="179"/>
      <c r="H733" s="179"/>
      <c r="I733" s="179"/>
      <c r="J733" s="179"/>
      <c r="K733" s="179"/>
      <c r="L733" s="179"/>
      <c r="M733" s="179"/>
      <c r="N733" s="179"/>
      <c r="O733" s="179"/>
      <c r="P733" s="179"/>
      <c r="Q733" s="179"/>
      <c r="R733" s="179"/>
      <c r="S733" s="179"/>
      <c r="T733" s="179"/>
      <c r="U733" s="179"/>
      <c r="V733" s="179"/>
      <c r="W733" s="179"/>
      <c r="X733" s="179"/>
      <c r="Y733" s="179"/>
      <c r="Z733" s="179"/>
    </row>
    <row r="734">
      <c r="A734" s="179"/>
      <c r="B734" s="179"/>
      <c r="C734" s="179"/>
      <c r="D734" s="179"/>
      <c r="E734" s="179"/>
      <c r="F734" s="179"/>
      <c r="G734" s="179"/>
      <c r="H734" s="179"/>
      <c r="I734" s="179"/>
      <c r="J734" s="179"/>
      <c r="K734" s="179"/>
      <c r="L734" s="179"/>
      <c r="M734" s="179"/>
      <c r="N734" s="179"/>
      <c r="O734" s="179"/>
      <c r="P734" s="179"/>
      <c r="Q734" s="179"/>
      <c r="R734" s="179"/>
      <c r="S734" s="179"/>
      <c r="T734" s="179"/>
      <c r="U734" s="179"/>
      <c r="V734" s="179"/>
      <c r="W734" s="179"/>
      <c r="X734" s="179"/>
      <c r="Y734" s="179"/>
      <c r="Z734" s="179"/>
    </row>
    <row r="735">
      <c r="A735" s="179"/>
      <c r="B735" s="179"/>
      <c r="C735" s="179"/>
      <c r="D735" s="179"/>
      <c r="E735" s="179"/>
      <c r="F735" s="179"/>
      <c r="G735" s="179"/>
      <c r="H735" s="179"/>
      <c r="I735" s="179"/>
      <c r="J735" s="179"/>
      <c r="K735" s="179"/>
      <c r="L735" s="179"/>
      <c r="M735" s="179"/>
      <c r="N735" s="179"/>
      <c r="O735" s="179"/>
      <c r="P735" s="179"/>
      <c r="Q735" s="179"/>
      <c r="R735" s="179"/>
      <c r="S735" s="179"/>
      <c r="T735" s="179"/>
      <c r="U735" s="179"/>
      <c r="V735" s="179"/>
      <c r="W735" s="179"/>
      <c r="X735" s="179"/>
      <c r="Y735" s="179"/>
      <c r="Z735" s="179"/>
    </row>
    <row r="736">
      <c r="A736" s="179"/>
      <c r="B736" s="179"/>
      <c r="C736" s="179"/>
      <c r="D736" s="179"/>
      <c r="E736" s="179"/>
      <c r="F736" s="179"/>
      <c r="G736" s="179"/>
      <c r="H736" s="179"/>
      <c r="I736" s="179"/>
      <c r="J736" s="179"/>
      <c r="K736" s="179"/>
      <c r="L736" s="179"/>
      <c r="M736" s="179"/>
      <c r="N736" s="179"/>
      <c r="O736" s="179"/>
      <c r="P736" s="179"/>
      <c r="Q736" s="179"/>
      <c r="R736" s="179"/>
      <c r="S736" s="179"/>
      <c r="T736" s="179"/>
      <c r="U736" s="179"/>
      <c r="V736" s="179"/>
      <c r="W736" s="179"/>
      <c r="X736" s="179"/>
      <c r="Y736" s="179"/>
      <c r="Z736" s="179"/>
    </row>
    <row r="737">
      <c r="A737" s="179"/>
      <c r="B737" s="179"/>
      <c r="C737" s="179"/>
      <c r="D737" s="179"/>
      <c r="E737" s="179"/>
      <c r="F737" s="179"/>
      <c r="G737" s="179"/>
      <c r="H737" s="179"/>
      <c r="I737" s="179"/>
      <c r="J737" s="179"/>
      <c r="K737" s="179"/>
      <c r="L737" s="179"/>
      <c r="M737" s="179"/>
      <c r="N737" s="179"/>
      <c r="O737" s="179"/>
      <c r="P737" s="179"/>
      <c r="Q737" s="179"/>
      <c r="R737" s="179"/>
      <c r="S737" s="179"/>
      <c r="T737" s="179"/>
      <c r="U737" s="179"/>
      <c r="V737" s="179"/>
      <c r="W737" s="179"/>
      <c r="X737" s="179"/>
      <c r="Y737" s="179"/>
      <c r="Z737" s="179"/>
    </row>
    <row r="738">
      <c r="A738" s="179"/>
      <c r="B738" s="179"/>
      <c r="C738" s="179"/>
      <c r="D738" s="179"/>
      <c r="E738" s="179"/>
      <c r="F738" s="179"/>
      <c r="G738" s="179"/>
      <c r="H738" s="179"/>
      <c r="I738" s="179"/>
      <c r="J738" s="179"/>
      <c r="K738" s="179"/>
      <c r="L738" s="179"/>
      <c r="M738" s="179"/>
      <c r="N738" s="179"/>
      <c r="O738" s="179"/>
      <c r="P738" s="179"/>
      <c r="Q738" s="179"/>
      <c r="R738" s="179"/>
      <c r="S738" s="179"/>
      <c r="T738" s="179"/>
      <c r="U738" s="179"/>
      <c r="V738" s="179"/>
      <c r="W738" s="179"/>
      <c r="X738" s="179"/>
      <c r="Y738" s="179"/>
      <c r="Z738" s="179"/>
    </row>
    <row r="739">
      <c r="A739" s="179"/>
      <c r="B739" s="179"/>
      <c r="C739" s="179"/>
      <c r="D739" s="179"/>
      <c r="E739" s="179"/>
      <c r="F739" s="179"/>
      <c r="G739" s="179"/>
      <c r="H739" s="179"/>
      <c r="I739" s="179"/>
      <c r="J739" s="179"/>
      <c r="K739" s="179"/>
      <c r="L739" s="179"/>
      <c r="M739" s="179"/>
      <c r="N739" s="179"/>
      <c r="O739" s="179"/>
      <c r="P739" s="179"/>
      <c r="Q739" s="179"/>
      <c r="R739" s="179"/>
      <c r="S739" s="179"/>
      <c r="T739" s="179"/>
      <c r="U739" s="179"/>
      <c r="V739" s="179"/>
      <c r="W739" s="179"/>
      <c r="X739" s="179"/>
      <c r="Y739" s="179"/>
      <c r="Z739" s="179"/>
    </row>
    <row r="740">
      <c r="A740" s="179"/>
      <c r="B740" s="179"/>
      <c r="C740" s="179"/>
      <c r="D740" s="179"/>
      <c r="E740" s="179"/>
      <c r="F740" s="179"/>
      <c r="G740" s="179"/>
      <c r="H740" s="179"/>
      <c r="I740" s="179"/>
      <c r="J740" s="179"/>
      <c r="K740" s="179"/>
      <c r="L740" s="179"/>
      <c r="M740" s="179"/>
      <c r="N740" s="179"/>
      <c r="O740" s="179"/>
      <c r="P740" s="179"/>
      <c r="Q740" s="179"/>
      <c r="R740" s="179"/>
      <c r="S740" s="179"/>
      <c r="T740" s="179"/>
      <c r="U740" s="179"/>
      <c r="V740" s="179"/>
      <c r="W740" s="179"/>
      <c r="X740" s="179"/>
      <c r="Y740" s="179"/>
      <c r="Z740" s="179"/>
    </row>
    <row r="741">
      <c r="A741" s="179"/>
      <c r="B741" s="179"/>
      <c r="C741" s="179"/>
      <c r="D741" s="179"/>
      <c r="E741" s="179"/>
      <c r="F741" s="179"/>
      <c r="G741" s="179"/>
      <c r="H741" s="179"/>
      <c r="I741" s="179"/>
      <c r="J741" s="179"/>
      <c r="K741" s="179"/>
      <c r="L741" s="179"/>
      <c r="M741" s="179"/>
      <c r="N741" s="179"/>
      <c r="O741" s="179"/>
      <c r="P741" s="179"/>
      <c r="Q741" s="179"/>
      <c r="R741" s="179"/>
      <c r="S741" s="179"/>
      <c r="T741" s="179"/>
      <c r="U741" s="179"/>
      <c r="V741" s="179"/>
      <c r="W741" s="179"/>
      <c r="X741" s="179"/>
      <c r="Y741" s="179"/>
      <c r="Z741" s="179"/>
    </row>
    <row r="742">
      <c r="A742" s="179"/>
      <c r="B742" s="179"/>
      <c r="C742" s="179"/>
      <c r="D742" s="179"/>
      <c r="E742" s="179"/>
      <c r="F742" s="179"/>
      <c r="G742" s="179"/>
      <c r="H742" s="179"/>
      <c r="I742" s="179"/>
      <c r="J742" s="179"/>
      <c r="K742" s="179"/>
      <c r="L742" s="179"/>
      <c r="M742" s="179"/>
      <c r="N742" s="179"/>
      <c r="O742" s="179"/>
      <c r="P742" s="179"/>
      <c r="Q742" s="179"/>
      <c r="R742" s="179"/>
      <c r="S742" s="179"/>
      <c r="T742" s="179"/>
      <c r="U742" s="179"/>
      <c r="V742" s="179"/>
      <c r="W742" s="179"/>
      <c r="X742" s="179"/>
      <c r="Y742" s="179"/>
      <c r="Z742" s="179"/>
    </row>
    <row r="743">
      <c r="A743" s="179"/>
      <c r="B743" s="179"/>
      <c r="C743" s="179"/>
      <c r="D743" s="179"/>
      <c r="E743" s="179"/>
      <c r="F743" s="179"/>
      <c r="G743" s="179"/>
      <c r="H743" s="179"/>
      <c r="I743" s="179"/>
      <c r="J743" s="179"/>
      <c r="K743" s="179"/>
      <c r="L743" s="179"/>
      <c r="M743" s="179"/>
      <c r="N743" s="179"/>
      <c r="O743" s="179"/>
      <c r="P743" s="179"/>
      <c r="Q743" s="179"/>
      <c r="R743" s="179"/>
      <c r="S743" s="179"/>
      <c r="T743" s="179"/>
      <c r="U743" s="179"/>
      <c r="V743" s="179"/>
      <c r="W743" s="179"/>
      <c r="X743" s="179"/>
      <c r="Y743" s="179"/>
      <c r="Z743" s="179"/>
    </row>
    <row r="744">
      <c r="A744" s="179"/>
      <c r="B744" s="179"/>
      <c r="C744" s="179"/>
      <c r="D744" s="179"/>
      <c r="E744" s="179"/>
      <c r="F744" s="179"/>
      <c r="G744" s="179"/>
      <c r="H744" s="179"/>
      <c r="I744" s="179"/>
      <c r="J744" s="179"/>
      <c r="K744" s="179"/>
      <c r="L744" s="179"/>
      <c r="M744" s="179"/>
      <c r="N744" s="179"/>
      <c r="O744" s="179"/>
      <c r="P744" s="179"/>
      <c r="Q744" s="179"/>
      <c r="R744" s="179"/>
      <c r="S744" s="179"/>
      <c r="T744" s="179"/>
      <c r="U744" s="179"/>
      <c r="V744" s="179"/>
      <c r="W744" s="179"/>
      <c r="X744" s="179"/>
      <c r="Y744" s="179"/>
      <c r="Z744" s="179"/>
    </row>
    <row r="745">
      <c r="A745" s="179"/>
      <c r="B745" s="179"/>
      <c r="C745" s="179"/>
      <c r="D745" s="179"/>
      <c r="E745" s="179"/>
      <c r="F745" s="179"/>
      <c r="G745" s="179"/>
      <c r="H745" s="179"/>
      <c r="I745" s="179"/>
      <c r="J745" s="179"/>
      <c r="K745" s="179"/>
      <c r="L745" s="179"/>
      <c r="M745" s="179"/>
      <c r="N745" s="179"/>
      <c r="O745" s="179"/>
      <c r="P745" s="179"/>
      <c r="Q745" s="179"/>
      <c r="R745" s="179"/>
      <c r="S745" s="179"/>
      <c r="T745" s="179"/>
      <c r="U745" s="179"/>
      <c r="V745" s="179"/>
      <c r="W745" s="179"/>
      <c r="X745" s="179"/>
      <c r="Y745" s="179"/>
      <c r="Z745" s="179"/>
    </row>
    <row r="746">
      <c r="A746" s="179"/>
      <c r="B746" s="179"/>
      <c r="C746" s="179"/>
      <c r="D746" s="179"/>
      <c r="E746" s="179"/>
      <c r="F746" s="179"/>
      <c r="G746" s="179"/>
      <c r="H746" s="179"/>
      <c r="I746" s="179"/>
      <c r="J746" s="179"/>
      <c r="K746" s="179"/>
      <c r="L746" s="179"/>
      <c r="M746" s="179"/>
      <c r="N746" s="179"/>
      <c r="O746" s="179"/>
      <c r="P746" s="179"/>
      <c r="Q746" s="179"/>
      <c r="R746" s="179"/>
      <c r="S746" s="179"/>
      <c r="T746" s="179"/>
      <c r="U746" s="179"/>
      <c r="V746" s="179"/>
      <c r="W746" s="179"/>
      <c r="X746" s="179"/>
      <c r="Y746" s="179"/>
      <c r="Z746" s="179"/>
    </row>
    <row r="747">
      <c r="A747" s="179"/>
      <c r="B747" s="179"/>
      <c r="C747" s="179"/>
      <c r="D747" s="179"/>
      <c r="E747" s="179"/>
      <c r="F747" s="179"/>
      <c r="G747" s="179"/>
      <c r="H747" s="179"/>
      <c r="I747" s="179"/>
      <c r="J747" s="179"/>
      <c r="K747" s="179"/>
      <c r="L747" s="179"/>
      <c r="M747" s="179"/>
      <c r="N747" s="179"/>
      <c r="O747" s="179"/>
      <c r="P747" s="179"/>
      <c r="Q747" s="179"/>
      <c r="R747" s="179"/>
      <c r="S747" s="179"/>
      <c r="T747" s="179"/>
      <c r="U747" s="179"/>
      <c r="V747" s="179"/>
      <c r="W747" s="179"/>
      <c r="X747" s="179"/>
      <c r="Y747" s="179"/>
      <c r="Z747" s="179"/>
    </row>
    <row r="748">
      <c r="A748" s="179"/>
      <c r="B748" s="179"/>
      <c r="C748" s="179"/>
      <c r="D748" s="179"/>
      <c r="E748" s="179"/>
      <c r="F748" s="179"/>
      <c r="G748" s="179"/>
      <c r="H748" s="179"/>
      <c r="I748" s="179"/>
      <c r="J748" s="179"/>
      <c r="K748" s="179"/>
      <c r="L748" s="179"/>
      <c r="M748" s="179"/>
      <c r="N748" s="179"/>
      <c r="O748" s="179"/>
      <c r="P748" s="179"/>
      <c r="Q748" s="179"/>
      <c r="R748" s="179"/>
      <c r="S748" s="179"/>
      <c r="T748" s="179"/>
      <c r="U748" s="179"/>
      <c r="V748" s="179"/>
      <c r="W748" s="179"/>
      <c r="X748" s="179"/>
      <c r="Y748" s="179"/>
      <c r="Z748" s="179"/>
    </row>
    <row r="749">
      <c r="A749" s="179"/>
      <c r="B749" s="179"/>
      <c r="C749" s="179"/>
      <c r="D749" s="179"/>
      <c r="E749" s="179"/>
      <c r="F749" s="179"/>
      <c r="G749" s="179"/>
      <c r="H749" s="179"/>
      <c r="I749" s="179"/>
      <c r="J749" s="179"/>
      <c r="K749" s="179"/>
      <c r="L749" s="179"/>
      <c r="M749" s="179"/>
      <c r="N749" s="179"/>
      <c r="O749" s="179"/>
      <c r="P749" s="179"/>
      <c r="Q749" s="179"/>
      <c r="R749" s="179"/>
      <c r="S749" s="179"/>
      <c r="T749" s="179"/>
      <c r="U749" s="179"/>
      <c r="V749" s="179"/>
      <c r="W749" s="179"/>
      <c r="X749" s="179"/>
      <c r="Y749" s="179"/>
      <c r="Z749" s="179"/>
    </row>
    <row r="750">
      <c r="A750" s="179"/>
      <c r="B750" s="179"/>
      <c r="C750" s="179"/>
      <c r="D750" s="179"/>
      <c r="E750" s="179"/>
      <c r="F750" s="179"/>
      <c r="G750" s="179"/>
      <c r="H750" s="179"/>
      <c r="I750" s="179"/>
      <c r="J750" s="179"/>
      <c r="K750" s="179"/>
      <c r="L750" s="179"/>
      <c r="M750" s="179"/>
      <c r="N750" s="179"/>
      <c r="O750" s="179"/>
      <c r="P750" s="179"/>
      <c r="Q750" s="179"/>
      <c r="R750" s="179"/>
      <c r="S750" s="179"/>
      <c r="T750" s="179"/>
      <c r="U750" s="179"/>
      <c r="V750" s="179"/>
      <c r="W750" s="179"/>
      <c r="X750" s="179"/>
      <c r="Y750" s="179"/>
      <c r="Z750" s="179"/>
    </row>
    <row r="751">
      <c r="A751" s="179"/>
      <c r="B751" s="179"/>
      <c r="C751" s="179"/>
      <c r="D751" s="179"/>
      <c r="E751" s="179"/>
      <c r="F751" s="179"/>
      <c r="G751" s="179"/>
      <c r="H751" s="179"/>
      <c r="I751" s="179"/>
      <c r="J751" s="179"/>
      <c r="K751" s="179"/>
      <c r="L751" s="179"/>
      <c r="M751" s="179"/>
      <c r="N751" s="179"/>
      <c r="O751" s="179"/>
      <c r="P751" s="179"/>
      <c r="Q751" s="179"/>
      <c r="R751" s="179"/>
      <c r="S751" s="179"/>
      <c r="T751" s="179"/>
      <c r="U751" s="179"/>
      <c r="V751" s="179"/>
      <c r="W751" s="179"/>
      <c r="X751" s="179"/>
      <c r="Y751" s="179"/>
      <c r="Z751" s="179"/>
    </row>
    <row r="752">
      <c r="A752" s="179"/>
      <c r="B752" s="179"/>
      <c r="C752" s="179"/>
      <c r="D752" s="179"/>
      <c r="E752" s="179"/>
      <c r="F752" s="179"/>
      <c r="G752" s="179"/>
      <c r="H752" s="179"/>
      <c r="I752" s="179"/>
      <c r="J752" s="179"/>
      <c r="K752" s="179"/>
      <c r="L752" s="179"/>
      <c r="M752" s="179"/>
      <c r="N752" s="179"/>
      <c r="O752" s="179"/>
      <c r="P752" s="179"/>
      <c r="Q752" s="179"/>
      <c r="R752" s="179"/>
      <c r="S752" s="179"/>
      <c r="T752" s="179"/>
      <c r="U752" s="179"/>
      <c r="V752" s="179"/>
      <c r="W752" s="179"/>
      <c r="X752" s="179"/>
      <c r="Y752" s="179"/>
      <c r="Z752" s="179"/>
    </row>
    <row r="753">
      <c r="A753" s="179"/>
      <c r="B753" s="179"/>
      <c r="C753" s="179"/>
      <c r="D753" s="179"/>
      <c r="E753" s="179"/>
      <c r="F753" s="179"/>
      <c r="G753" s="179"/>
      <c r="H753" s="179"/>
      <c r="I753" s="179"/>
      <c r="J753" s="179"/>
      <c r="K753" s="179"/>
      <c r="L753" s="179"/>
      <c r="M753" s="179"/>
      <c r="N753" s="179"/>
      <c r="O753" s="179"/>
      <c r="P753" s="179"/>
      <c r="Q753" s="179"/>
      <c r="R753" s="179"/>
      <c r="S753" s="179"/>
      <c r="T753" s="179"/>
      <c r="U753" s="179"/>
      <c r="V753" s="179"/>
      <c r="W753" s="179"/>
      <c r="X753" s="179"/>
      <c r="Y753" s="179"/>
      <c r="Z753" s="179"/>
    </row>
    <row r="754">
      <c r="A754" s="179"/>
      <c r="B754" s="179"/>
      <c r="C754" s="179"/>
      <c r="D754" s="179"/>
      <c r="E754" s="179"/>
      <c r="F754" s="179"/>
      <c r="G754" s="179"/>
      <c r="H754" s="179"/>
      <c r="I754" s="179"/>
      <c r="J754" s="179"/>
      <c r="K754" s="179"/>
      <c r="L754" s="179"/>
      <c r="M754" s="179"/>
      <c r="N754" s="179"/>
      <c r="O754" s="179"/>
      <c r="P754" s="179"/>
      <c r="Q754" s="179"/>
      <c r="R754" s="179"/>
      <c r="S754" s="179"/>
      <c r="T754" s="179"/>
      <c r="U754" s="179"/>
      <c r="V754" s="179"/>
      <c r="W754" s="179"/>
      <c r="X754" s="179"/>
      <c r="Y754" s="179"/>
      <c r="Z754" s="179"/>
    </row>
    <row r="755">
      <c r="A755" s="179"/>
      <c r="B755" s="179"/>
      <c r="C755" s="179"/>
      <c r="D755" s="179"/>
      <c r="E755" s="179"/>
      <c r="F755" s="179"/>
      <c r="G755" s="179"/>
      <c r="H755" s="179"/>
      <c r="I755" s="179"/>
      <c r="J755" s="179"/>
      <c r="K755" s="179"/>
      <c r="L755" s="179"/>
      <c r="M755" s="179"/>
      <c r="N755" s="179"/>
      <c r="O755" s="179"/>
      <c r="P755" s="179"/>
      <c r="Q755" s="179"/>
      <c r="R755" s="179"/>
      <c r="S755" s="179"/>
      <c r="T755" s="179"/>
      <c r="U755" s="179"/>
      <c r="V755" s="179"/>
      <c r="W755" s="179"/>
      <c r="X755" s="179"/>
      <c r="Y755" s="179"/>
      <c r="Z755" s="179"/>
    </row>
    <row r="756">
      <c r="A756" s="179"/>
      <c r="B756" s="179"/>
      <c r="C756" s="179"/>
      <c r="D756" s="179"/>
      <c r="E756" s="179"/>
      <c r="F756" s="179"/>
      <c r="G756" s="179"/>
      <c r="H756" s="179"/>
      <c r="I756" s="179"/>
      <c r="J756" s="179"/>
      <c r="K756" s="179"/>
      <c r="L756" s="179"/>
      <c r="M756" s="179"/>
      <c r="N756" s="179"/>
      <c r="O756" s="179"/>
      <c r="P756" s="179"/>
      <c r="Q756" s="179"/>
      <c r="R756" s="179"/>
      <c r="S756" s="179"/>
      <c r="T756" s="179"/>
      <c r="U756" s="179"/>
      <c r="V756" s="179"/>
      <c r="W756" s="179"/>
      <c r="X756" s="179"/>
      <c r="Y756" s="179"/>
      <c r="Z756" s="179"/>
    </row>
    <row r="757">
      <c r="A757" s="179"/>
      <c r="B757" s="179"/>
      <c r="C757" s="179"/>
      <c r="D757" s="179"/>
      <c r="E757" s="179"/>
      <c r="F757" s="179"/>
      <c r="G757" s="179"/>
      <c r="H757" s="179"/>
      <c r="I757" s="179"/>
      <c r="J757" s="179"/>
      <c r="K757" s="179"/>
      <c r="L757" s="179"/>
      <c r="M757" s="179"/>
      <c r="N757" s="179"/>
      <c r="O757" s="179"/>
      <c r="P757" s="179"/>
      <c r="Q757" s="179"/>
      <c r="R757" s="179"/>
      <c r="S757" s="179"/>
      <c r="T757" s="179"/>
      <c r="U757" s="179"/>
      <c r="V757" s="179"/>
      <c r="W757" s="179"/>
      <c r="X757" s="179"/>
      <c r="Y757" s="179"/>
      <c r="Z757" s="179"/>
    </row>
    <row r="758">
      <c r="A758" s="179"/>
      <c r="B758" s="179"/>
      <c r="C758" s="179"/>
      <c r="D758" s="179"/>
      <c r="E758" s="179"/>
      <c r="F758" s="179"/>
      <c r="G758" s="179"/>
      <c r="H758" s="179"/>
      <c r="I758" s="179"/>
      <c r="J758" s="179"/>
      <c r="K758" s="179"/>
      <c r="L758" s="179"/>
      <c r="M758" s="179"/>
      <c r="N758" s="179"/>
      <c r="O758" s="179"/>
      <c r="P758" s="179"/>
      <c r="Q758" s="179"/>
      <c r="R758" s="179"/>
      <c r="S758" s="179"/>
      <c r="T758" s="179"/>
      <c r="U758" s="179"/>
      <c r="V758" s="179"/>
      <c r="W758" s="179"/>
      <c r="X758" s="179"/>
      <c r="Y758" s="179"/>
      <c r="Z758" s="179"/>
    </row>
    <row r="759">
      <c r="A759" s="179"/>
      <c r="B759" s="179"/>
      <c r="C759" s="179"/>
      <c r="D759" s="179"/>
      <c r="E759" s="179"/>
      <c r="F759" s="179"/>
      <c r="G759" s="179"/>
      <c r="H759" s="179"/>
      <c r="I759" s="179"/>
      <c r="J759" s="179"/>
      <c r="K759" s="179"/>
      <c r="L759" s="179"/>
      <c r="M759" s="179"/>
      <c r="N759" s="179"/>
      <c r="O759" s="179"/>
      <c r="P759" s="179"/>
      <c r="Q759" s="179"/>
      <c r="R759" s="179"/>
      <c r="S759" s="179"/>
      <c r="T759" s="179"/>
      <c r="U759" s="179"/>
      <c r="V759" s="179"/>
      <c r="W759" s="179"/>
      <c r="X759" s="179"/>
      <c r="Y759" s="179"/>
      <c r="Z759" s="179"/>
    </row>
    <row r="760">
      <c r="A760" s="179"/>
      <c r="B760" s="179"/>
      <c r="C760" s="179"/>
      <c r="D760" s="179"/>
      <c r="E760" s="179"/>
      <c r="F760" s="179"/>
      <c r="G760" s="179"/>
      <c r="H760" s="179"/>
      <c r="I760" s="179"/>
      <c r="J760" s="179"/>
      <c r="K760" s="179"/>
      <c r="L760" s="179"/>
      <c r="M760" s="179"/>
      <c r="N760" s="179"/>
      <c r="O760" s="179"/>
      <c r="P760" s="179"/>
      <c r="Q760" s="179"/>
      <c r="R760" s="179"/>
      <c r="S760" s="179"/>
      <c r="T760" s="179"/>
      <c r="U760" s="179"/>
      <c r="V760" s="179"/>
      <c r="W760" s="179"/>
      <c r="X760" s="179"/>
      <c r="Y760" s="179"/>
      <c r="Z760" s="179"/>
    </row>
    <row r="761">
      <c r="A761" s="179"/>
      <c r="B761" s="179"/>
      <c r="C761" s="179"/>
      <c r="D761" s="179"/>
      <c r="E761" s="179"/>
      <c r="F761" s="179"/>
      <c r="G761" s="179"/>
      <c r="H761" s="179"/>
      <c r="I761" s="179"/>
      <c r="J761" s="179"/>
      <c r="K761" s="179"/>
      <c r="L761" s="179"/>
      <c r="M761" s="179"/>
      <c r="N761" s="179"/>
      <c r="O761" s="179"/>
      <c r="P761" s="179"/>
      <c r="Q761" s="179"/>
      <c r="R761" s="179"/>
      <c r="S761" s="179"/>
      <c r="T761" s="179"/>
      <c r="U761" s="179"/>
      <c r="V761" s="179"/>
      <c r="W761" s="179"/>
      <c r="X761" s="179"/>
      <c r="Y761" s="179"/>
      <c r="Z761" s="179"/>
    </row>
    <row r="762">
      <c r="A762" s="179"/>
      <c r="B762" s="179"/>
      <c r="C762" s="179"/>
      <c r="D762" s="179"/>
      <c r="E762" s="179"/>
      <c r="F762" s="179"/>
      <c r="G762" s="179"/>
      <c r="H762" s="179"/>
      <c r="I762" s="179"/>
      <c r="J762" s="179"/>
      <c r="K762" s="179"/>
      <c r="L762" s="179"/>
      <c r="M762" s="179"/>
      <c r="N762" s="179"/>
      <c r="O762" s="179"/>
      <c r="P762" s="179"/>
      <c r="Q762" s="179"/>
      <c r="R762" s="179"/>
      <c r="S762" s="179"/>
      <c r="T762" s="179"/>
      <c r="U762" s="179"/>
      <c r="V762" s="179"/>
      <c r="W762" s="179"/>
      <c r="X762" s="179"/>
      <c r="Y762" s="179"/>
      <c r="Z762" s="179"/>
    </row>
    <row r="763">
      <c r="A763" s="179"/>
      <c r="B763" s="179"/>
      <c r="C763" s="179"/>
      <c r="D763" s="179"/>
      <c r="E763" s="179"/>
      <c r="F763" s="179"/>
      <c r="G763" s="179"/>
      <c r="H763" s="179"/>
      <c r="I763" s="179"/>
      <c r="J763" s="179"/>
      <c r="K763" s="179"/>
      <c r="L763" s="179"/>
      <c r="M763" s="179"/>
      <c r="N763" s="179"/>
      <c r="O763" s="179"/>
      <c r="P763" s="179"/>
      <c r="Q763" s="179"/>
      <c r="R763" s="179"/>
      <c r="S763" s="179"/>
      <c r="T763" s="179"/>
      <c r="U763" s="179"/>
      <c r="V763" s="179"/>
      <c r="W763" s="179"/>
      <c r="X763" s="179"/>
      <c r="Y763" s="179"/>
      <c r="Z763" s="179"/>
    </row>
    <row r="764">
      <c r="A764" s="179"/>
      <c r="B764" s="179"/>
      <c r="C764" s="179"/>
      <c r="D764" s="179"/>
      <c r="E764" s="179"/>
      <c r="F764" s="179"/>
      <c r="G764" s="179"/>
      <c r="H764" s="179"/>
      <c r="I764" s="179"/>
      <c r="J764" s="179"/>
      <c r="K764" s="179"/>
      <c r="L764" s="179"/>
      <c r="M764" s="179"/>
      <c r="N764" s="179"/>
      <c r="O764" s="179"/>
      <c r="P764" s="179"/>
      <c r="Q764" s="179"/>
      <c r="R764" s="179"/>
      <c r="S764" s="179"/>
      <c r="T764" s="179"/>
      <c r="U764" s="179"/>
      <c r="V764" s="179"/>
      <c r="W764" s="179"/>
      <c r="X764" s="179"/>
      <c r="Y764" s="179"/>
      <c r="Z764" s="179"/>
    </row>
    <row r="765">
      <c r="A765" s="179"/>
      <c r="B765" s="179"/>
      <c r="C765" s="179"/>
      <c r="D765" s="179"/>
      <c r="E765" s="179"/>
      <c r="F765" s="179"/>
      <c r="G765" s="179"/>
      <c r="H765" s="179"/>
      <c r="I765" s="179"/>
      <c r="J765" s="179"/>
      <c r="K765" s="179"/>
      <c r="L765" s="179"/>
      <c r="M765" s="179"/>
      <c r="N765" s="179"/>
      <c r="O765" s="179"/>
      <c r="P765" s="179"/>
      <c r="Q765" s="179"/>
      <c r="R765" s="179"/>
      <c r="S765" s="179"/>
      <c r="T765" s="179"/>
      <c r="U765" s="179"/>
      <c r="V765" s="179"/>
      <c r="W765" s="179"/>
      <c r="X765" s="179"/>
      <c r="Y765" s="179"/>
      <c r="Z765" s="179"/>
    </row>
    <row r="766">
      <c r="A766" s="179"/>
      <c r="B766" s="179"/>
      <c r="C766" s="179"/>
      <c r="D766" s="179"/>
      <c r="E766" s="179"/>
      <c r="F766" s="179"/>
      <c r="G766" s="179"/>
      <c r="H766" s="179"/>
      <c r="I766" s="179"/>
      <c r="J766" s="179"/>
      <c r="K766" s="179"/>
      <c r="L766" s="179"/>
      <c r="M766" s="179"/>
      <c r="N766" s="179"/>
      <c r="O766" s="179"/>
      <c r="P766" s="179"/>
      <c r="Q766" s="179"/>
      <c r="R766" s="179"/>
      <c r="S766" s="179"/>
      <c r="T766" s="179"/>
      <c r="U766" s="179"/>
      <c r="V766" s="179"/>
      <c r="W766" s="179"/>
      <c r="X766" s="179"/>
      <c r="Y766" s="179"/>
      <c r="Z766" s="179"/>
    </row>
    <row r="767">
      <c r="A767" s="179"/>
      <c r="B767" s="179"/>
      <c r="C767" s="179"/>
      <c r="D767" s="179"/>
      <c r="E767" s="179"/>
      <c r="F767" s="179"/>
      <c r="G767" s="179"/>
      <c r="H767" s="179"/>
      <c r="I767" s="179"/>
      <c r="J767" s="179"/>
      <c r="K767" s="179"/>
      <c r="L767" s="179"/>
      <c r="M767" s="179"/>
      <c r="N767" s="179"/>
      <c r="O767" s="179"/>
      <c r="P767" s="179"/>
      <c r="Q767" s="179"/>
      <c r="R767" s="179"/>
      <c r="S767" s="179"/>
      <c r="T767" s="179"/>
      <c r="U767" s="179"/>
      <c r="V767" s="179"/>
      <c r="W767" s="179"/>
      <c r="X767" s="179"/>
      <c r="Y767" s="179"/>
      <c r="Z767" s="179"/>
    </row>
    <row r="768">
      <c r="A768" s="179"/>
      <c r="B768" s="179"/>
      <c r="C768" s="179"/>
      <c r="D768" s="179"/>
      <c r="E768" s="179"/>
      <c r="F768" s="179"/>
      <c r="G768" s="179"/>
      <c r="H768" s="179"/>
      <c r="I768" s="179"/>
      <c r="J768" s="179"/>
      <c r="K768" s="179"/>
      <c r="L768" s="179"/>
      <c r="M768" s="179"/>
      <c r="N768" s="179"/>
      <c r="O768" s="179"/>
      <c r="P768" s="179"/>
      <c r="Q768" s="179"/>
      <c r="R768" s="179"/>
      <c r="S768" s="179"/>
      <c r="T768" s="179"/>
      <c r="U768" s="179"/>
      <c r="V768" s="179"/>
      <c r="W768" s="179"/>
      <c r="X768" s="179"/>
      <c r="Y768" s="179"/>
      <c r="Z768" s="179"/>
    </row>
    <row r="769">
      <c r="A769" s="179"/>
      <c r="B769" s="179"/>
      <c r="C769" s="179"/>
      <c r="D769" s="179"/>
      <c r="E769" s="179"/>
      <c r="F769" s="179"/>
      <c r="G769" s="179"/>
      <c r="H769" s="179"/>
      <c r="I769" s="179"/>
      <c r="J769" s="179"/>
      <c r="K769" s="179"/>
      <c r="L769" s="179"/>
      <c r="M769" s="179"/>
      <c r="N769" s="179"/>
      <c r="O769" s="179"/>
      <c r="P769" s="179"/>
      <c r="Q769" s="179"/>
      <c r="R769" s="179"/>
      <c r="S769" s="179"/>
      <c r="T769" s="179"/>
      <c r="U769" s="179"/>
      <c r="V769" s="179"/>
      <c r="W769" s="179"/>
      <c r="X769" s="179"/>
      <c r="Y769" s="179"/>
      <c r="Z769" s="179"/>
    </row>
    <row r="770">
      <c r="A770" s="179"/>
      <c r="B770" s="179"/>
      <c r="C770" s="179"/>
      <c r="D770" s="179"/>
      <c r="E770" s="179"/>
      <c r="F770" s="179"/>
      <c r="G770" s="179"/>
      <c r="H770" s="179"/>
      <c r="I770" s="179"/>
      <c r="J770" s="179"/>
      <c r="K770" s="179"/>
      <c r="L770" s="179"/>
      <c r="M770" s="179"/>
      <c r="N770" s="179"/>
      <c r="O770" s="179"/>
      <c r="P770" s="179"/>
      <c r="Q770" s="179"/>
      <c r="R770" s="179"/>
      <c r="S770" s="179"/>
      <c r="T770" s="179"/>
      <c r="U770" s="179"/>
      <c r="V770" s="179"/>
      <c r="W770" s="179"/>
      <c r="X770" s="179"/>
      <c r="Y770" s="179"/>
      <c r="Z770" s="179"/>
    </row>
    <row r="771">
      <c r="A771" s="179"/>
      <c r="B771" s="179"/>
      <c r="C771" s="179"/>
      <c r="D771" s="179"/>
      <c r="E771" s="179"/>
      <c r="F771" s="179"/>
      <c r="G771" s="179"/>
      <c r="H771" s="179"/>
      <c r="I771" s="179"/>
      <c r="J771" s="179"/>
      <c r="K771" s="179"/>
      <c r="L771" s="179"/>
      <c r="M771" s="179"/>
      <c r="N771" s="179"/>
      <c r="O771" s="179"/>
      <c r="P771" s="179"/>
      <c r="Q771" s="179"/>
      <c r="R771" s="179"/>
      <c r="S771" s="179"/>
      <c r="T771" s="179"/>
      <c r="U771" s="179"/>
      <c r="V771" s="179"/>
      <c r="W771" s="179"/>
      <c r="X771" s="179"/>
      <c r="Y771" s="179"/>
      <c r="Z771" s="179"/>
    </row>
    <row r="772">
      <c r="A772" s="179"/>
      <c r="B772" s="179"/>
      <c r="C772" s="179"/>
      <c r="D772" s="179"/>
      <c r="E772" s="179"/>
      <c r="F772" s="179"/>
      <c r="G772" s="179"/>
      <c r="H772" s="179"/>
      <c r="I772" s="179"/>
      <c r="J772" s="179"/>
      <c r="K772" s="179"/>
      <c r="L772" s="179"/>
      <c r="M772" s="179"/>
      <c r="N772" s="179"/>
      <c r="O772" s="179"/>
      <c r="P772" s="179"/>
      <c r="Q772" s="179"/>
      <c r="R772" s="179"/>
      <c r="S772" s="179"/>
      <c r="T772" s="179"/>
      <c r="U772" s="179"/>
      <c r="V772" s="179"/>
      <c r="W772" s="179"/>
      <c r="X772" s="179"/>
      <c r="Y772" s="179"/>
      <c r="Z772" s="179"/>
    </row>
    <row r="773">
      <c r="A773" s="179"/>
      <c r="B773" s="179"/>
      <c r="C773" s="179"/>
      <c r="D773" s="179"/>
      <c r="E773" s="179"/>
      <c r="F773" s="179"/>
      <c r="G773" s="179"/>
      <c r="H773" s="179"/>
      <c r="I773" s="179"/>
      <c r="J773" s="179"/>
      <c r="K773" s="179"/>
      <c r="L773" s="179"/>
      <c r="M773" s="179"/>
      <c r="N773" s="179"/>
      <c r="O773" s="179"/>
      <c r="P773" s="179"/>
      <c r="Q773" s="179"/>
      <c r="R773" s="179"/>
      <c r="S773" s="179"/>
      <c r="T773" s="179"/>
      <c r="U773" s="179"/>
      <c r="V773" s="179"/>
      <c r="W773" s="179"/>
      <c r="X773" s="179"/>
      <c r="Y773" s="179"/>
      <c r="Z773" s="179"/>
    </row>
    <row r="774">
      <c r="A774" s="179"/>
      <c r="B774" s="179"/>
      <c r="C774" s="179"/>
      <c r="D774" s="179"/>
      <c r="E774" s="179"/>
      <c r="F774" s="179"/>
      <c r="G774" s="179"/>
      <c r="H774" s="179"/>
      <c r="I774" s="179"/>
      <c r="J774" s="179"/>
      <c r="K774" s="179"/>
      <c r="L774" s="179"/>
      <c r="M774" s="179"/>
      <c r="N774" s="179"/>
      <c r="O774" s="179"/>
      <c r="P774" s="179"/>
      <c r="Q774" s="179"/>
      <c r="R774" s="179"/>
      <c r="S774" s="179"/>
      <c r="T774" s="179"/>
      <c r="U774" s="179"/>
      <c r="V774" s="179"/>
      <c r="W774" s="179"/>
      <c r="X774" s="179"/>
      <c r="Y774" s="179"/>
      <c r="Z774" s="179"/>
    </row>
    <row r="775">
      <c r="A775" s="179"/>
      <c r="B775" s="179"/>
      <c r="C775" s="179"/>
      <c r="D775" s="179"/>
      <c r="E775" s="179"/>
      <c r="F775" s="179"/>
      <c r="G775" s="179"/>
      <c r="H775" s="179"/>
      <c r="I775" s="179"/>
      <c r="J775" s="179"/>
      <c r="K775" s="179"/>
      <c r="L775" s="179"/>
      <c r="M775" s="179"/>
      <c r="N775" s="179"/>
      <c r="O775" s="179"/>
      <c r="P775" s="179"/>
      <c r="Q775" s="179"/>
      <c r="R775" s="179"/>
      <c r="S775" s="179"/>
      <c r="T775" s="179"/>
      <c r="U775" s="179"/>
      <c r="V775" s="179"/>
      <c r="W775" s="179"/>
      <c r="X775" s="179"/>
      <c r="Y775" s="179"/>
      <c r="Z775" s="179"/>
    </row>
    <row r="776">
      <c r="A776" s="179"/>
      <c r="B776" s="179"/>
      <c r="C776" s="179"/>
      <c r="D776" s="179"/>
      <c r="E776" s="179"/>
      <c r="F776" s="179"/>
      <c r="G776" s="179"/>
      <c r="H776" s="179"/>
      <c r="I776" s="179"/>
      <c r="J776" s="179"/>
      <c r="K776" s="179"/>
      <c r="L776" s="179"/>
      <c r="M776" s="179"/>
      <c r="N776" s="179"/>
      <c r="O776" s="179"/>
      <c r="P776" s="179"/>
      <c r="Q776" s="179"/>
      <c r="R776" s="179"/>
      <c r="S776" s="179"/>
      <c r="T776" s="179"/>
      <c r="U776" s="179"/>
      <c r="V776" s="179"/>
      <c r="W776" s="179"/>
      <c r="X776" s="179"/>
      <c r="Y776" s="179"/>
      <c r="Z776" s="179"/>
    </row>
    <row r="777">
      <c r="A777" s="179"/>
      <c r="B777" s="179"/>
      <c r="C777" s="179"/>
      <c r="D777" s="179"/>
      <c r="E777" s="179"/>
      <c r="F777" s="179"/>
      <c r="G777" s="179"/>
      <c r="H777" s="179"/>
      <c r="I777" s="179"/>
      <c r="J777" s="179"/>
      <c r="K777" s="179"/>
      <c r="L777" s="179"/>
      <c r="M777" s="179"/>
      <c r="N777" s="179"/>
      <c r="O777" s="179"/>
      <c r="P777" s="179"/>
      <c r="Q777" s="179"/>
      <c r="R777" s="179"/>
      <c r="S777" s="179"/>
      <c r="T777" s="179"/>
      <c r="U777" s="179"/>
      <c r="V777" s="179"/>
      <c r="W777" s="179"/>
      <c r="X777" s="179"/>
      <c r="Y777" s="179"/>
      <c r="Z777" s="179"/>
    </row>
    <row r="778">
      <c r="A778" s="179"/>
      <c r="B778" s="179"/>
      <c r="C778" s="179"/>
      <c r="D778" s="179"/>
      <c r="E778" s="179"/>
      <c r="F778" s="179"/>
      <c r="G778" s="179"/>
      <c r="H778" s="179"/>
      <c r="I778" s="179"/>
      <c r="J778" s="179"/>
      <c r="K778" s="179"/>
      <c r="L778" s="179"/>
      <c r="M778" s="179"/>
      <c r="N778" s="179"/>
      <c r="O778" s="179"/>
      <c r="P778" s="179"/>
      <c r="Q778" s="179"/>
      <c r="R778" s="179"/>
      <c r="S778" s="179"/>
      <c r="T778" s="179"/>
      <c r="U778" s="179"/>
      <c r="V778" s="179"/>
      <c r="W778" s="179"/>
      <c r="X778" s="179"/>
      <c r="Y778" s="179"/>
      <c r="Z778" s="179"/>
    </row>
    <row r="779">
      <c r="A779" s="179"/>
      <c r="B779" s="179"/>
      <c r="C779" s="179"/>
      <c r="D779" s="179"/>
      <c r="E779" s="179"/>
      <c r="F779" s="179"/>
      <c r="G779" s="179"/>
      <c r="H779" s="179"/>
      <c r="I779" s="179"/>
      <c r="J779" s="179"/>
      <c r="K779" s="179"/>
      <c r="L779" s="179"/>
      <c r="M779" s="179"/>
      <c r="N779" s="179"/>
      <c r="O779" s="179"/>
      <c r="P779" s="179"/>
      <c r="Q779" s="179"/>
      <c r="R779" s="179"/>
      <c r="S779" s="179"/>
      <c r="T779" s="179"/>
      <c r="U779" s="179"/>
      <c r="V779" s="179"/>
      <c r="W779" s="179"/>
      <c r="X779" s="179"/>
      <c r="Y779" s="179"/>
      <c r="Z779" s="179"/>
    </row>
    <row r="780">
      <c r="A780" s="179"/>
      <c r="B780" s="179"/>
      <c r="C780" s="179"/>
      <c r="D780" s="179"/>
      <c r="E780" s="179"/>
      <c r="F780" s="179"/>
      <c r="G780" s="179"/>
      <c r="H780" s="179"/>
      <c r="I780" s="179"/>
      <c r="J780" s="179"/>
      <c r="K780" s="179"/>
      <c r="L780" s="179"/>
      <c r="M780" s="179"/>
      <c r="N780" s="179"/>
      <c r="O780" s="179"/>
      <c r="P780" s="179"/>
      <c r="Q780" s="179"/>
      <c r="R780" s="179"/>
      <c r="S780" s="179"/>
      <c r="T780" s="179"/>
      <c r="U780" s="179"/>
      <c r="V780" s="179"/>
      <c r="W780" s="179"/>
      <c r="X780" s="179"/>
      <c r="Y780" s="179"/>
      <c r="Z780" s="179"/>
    </row>
    <row r="781">
      <c r="A781" s="179"/>
      <c r="B781" s="179"/>
      <c r="C781" s="179"/>
      <c r="D781" s="179"/>
      <c r="E781" s="179"/>
      <c r="F781" s="179"/>
      <c r="G781" s="179"/>
      <c r="H781" s="179"/>
      <c r="I781" s="179"/>
      <c r="J781" s="179"/>
      <c r="K781" s="179"/>
      <c r="L781" s="179"/>
      <c r="M781" s="179"/>
      <c r="N781" s="179"/>
      <c r="O781" s="179"/>
      <c r="P781" s="179"/>
      <c r="Q781" s="179"/>
      <c r="R781" s="179"/>
      <c r="S781" s="179"/>
      <c r="T781" s="179"/>
      <c r="U781" s="179"/>
      <c r="V781" s="179"/>
      <c r="W781" s="179"/>
      <c r="X781" s="179"/>
      <c r="Y781" s="179"/>
      <c r="Z781" s="179"/>
    </row>
    <row r="782">
      <c r="A782" s="179"/>
      <c r="B782" s="179"/>
      <c r="C782" s="179"/>
      <c r="D782" s="179"/>
      <c r="E782" s="179"/>
      <c r="F782" s="179"/>
      <c r="G782" s="179"/>
      <c r="H782" s="179"/>
      <c r="I782" s="179"/>
      <c r="J782" s="179"/>
      <c r="K782" s="179"/>
      <c r="L782" s="179"/>
      <c r="M782" s="179"/>
      <c r="N782" s="179"/>
      <c r="O782" s="179"/>
      <c r="P782" s="179"/>
      <c r="Q782" s="179"/>
      <c r="R782" s="179"/>
      <c r="S782" s="179"/>
      <c r="T782" s="179"/>
      <c r="U782" s="179"/>
      <c r="V782" s="179"/>
      <c r="W782" s="179"/>
      <c r="X782" s="179"/>
      <c r="Y782" s="179"/>
      <c r="Z782" s="179"/>
    </row>
    <row r="783">
      <c r="A783" s="179"/>
      <c r="B783" s="179"/>
      <c r="C783" s="179"/>
      <c r="D783" s="179"/>
      <c r="E783" s="179"/>
      <c r="F783" s="179"/>
      <c r="G783" s="179"/>
      <c r="H783" s="179"/>
      <c r="I783" s="179"/>
      <c r="J783" s="179"/>
      <c r="K783" s="179"/>
      <c r="L783" s="179"/>
      <c r="M783" s="179"/>
      <c r="N783" s="179"/>
      <c r="O783" s="179"/>
      <c r="P783" s="179"/>
      <c r="Q783" s="179"/>
      <c r="R783" s="179"/>
      <c r="S783" s="179"/>
      <c r="T783" s="179"/>
      <c r="U783" s="179"/>
      <c r="V783" s="179"/>
      <c r="W783" s="179"/>
      <c r="X783" s="179"/>
      <c r="Y783" s="179"/>
      <c r="Z783" s="179"/>
    </row>
    <row r="784">
      <c r="A784" s="179"/>
      <c r="B784" s="179"/>
      <c r="C784" s="179"/>
      <c r="D784" s="179"/>
      <c r="E784" s="179"/>
      <c r="F784" s="179"/>
      <c r="G784" s="179"/>
      <c r="H784" s="179"/>
      <c r="I784" s="179"/>
      <c r="J784" s="179"/>
      <c r="K784" s="179"/>
      <c r="L784" s="179"/>
      <c r="M784" s="179"/>
      <c r="N784" s="179"/>
      <c r="O784" s="179"/>
      <c r="P784" s="179"/>
      <c r="Q784" s="179"/>
      <c r="R784" s="179"/>
      <c r="S784" s="179"/>
      <c r="T784" s="179"/>
      <c r="U784" s="179"/>
      <c r="V784" s="179"/>
      <c r="W784" s="179"/>
      <c r="X784" s="179"/>
      <c r="Y784" s="179"/>
      <c r="Z784" s="179"/>
    </row>
    <row r="785">
      <c r="A785" s="179"/>
      <c r="B785" s="179"/>
      <c r="C785" s="179"/>
      <c r="D785" s="179"/>
      <c r="E785" s="179"/>
      <c r="F785" s="179"/>
      <c r="G785" s="179"/>
      <c r="H785" s="179"/>
      <c r="I785" s="179"/>
      <c r="J785" s="179"/>
      <c r="K785" s="179"/>
      <c r="L785" s="179"/>
      <c r="M785" s="179"/>
      <c r="N785" s="179"/>
      <c r="O785" s="179"/>
      <c r="P785" s="179"/>
      <c r="Q785" s="179"/>
      <c r="R785" s="179"/>
      <c r="S785" s="179"/>
      <c r="T785" s="179"/>
      <c r="U785" s="179"/>
      <c r="V785" s="179"/>
      <c r="W785" s="179"/>
      <c r="X785" s="179"/>
      <c r="Y785" s="179"/>
      <c r="Z785" s="179"/>
    </row>
    <row r="786">
      <c r="A786" s="179"/>
      <c r="B786" s="179"/>
      <c r="C786" s="179"/>
      <c r="D786" s="179"/>
      <c r="E786" s="179"/>
      <c r="F786" s="179"/>
      <c r="G786" s="179"/>
      <c r="H786" s="179"/>
      <c r="I786" s="179"/>
      <c r="J786" s="179"/>
      <c r="K786" s="179"/>
      <c r="L786" s="179"/>
      <c r="M786" s="179"/>
      <c r="N786" s="179"/>
      <c r="O786" s="179"/>
      <c r="P786" s="179"/>
      <c r="Q786" s="179"/>
      <c r="R786" s="179"/>
      <c r="S786" s="179"/>
      <c r="T786" s="179"/>
      <c r="U786" s="179"/>
      <c r="V786" s="179"/>
      <c r="W786" s="179"/>
      <c r="X786" s="179"/>
      <c r="Y786" s="179"/>
      <c r="Z786" s="179"/>
    </row>
    <row r="787">
      <c r="A787" s="179"/>
      <c r="B787" s="179"/>
      <c r="C787" s="179"/>
      <c r="D787" s="179"/>
      <c r="E787" s="179"/>
      <c r="F787" s="179"/>
      <c r="G787" s="179"/>
      <c r="H787" s="179"/>
      <c r="I787" s="179"/>
      <c r="J787" s="179"/>
      <c r="K787" s="179"/>
      <c r="L787" s="179"/>
      <c r="M787" s="179"/>
      <c r="N787" s="179"/>
      <c r="O787" s="179"/>
      <c r="P787" s="179"/>
      <c r="Q787" s="179"/>
      <c r="R787" s="179"/>
      <c r="S787" s="179"/>
      <c r="T787" s="179"/>
      <c r="U787" s="179"/>
      <c r="V787" s="179"/>
      <c r="W787" s="179"/>
      <c r="X787" s="179"/>
      <c r="Y787" s="179"/>
      <c r="Z787" s="179"/>
    </row>
    <row r="788">
      <c r="A788" s="179"/>
      <c r="B788" s="179"/>
      <c r="C788" s="179"/>
      <c r="D788" s="179"/>
      <c r="E788" s="179"/>
      <c r="F788" s="179"/>
      <c r="G788" s="179"/>
      <c r="H788" s="179"/>
      <c r="I788" s="179"/>
      <c r="J788" s="179"/>
      <c r="K788" s="179"/>
      <c r="L788" s="179"/>
      <c r="M788" s="179"/>
      <c r="N788" s="179"/>
      <c r="O788" s="179"/>
      <c r="P788" s="179"/>
      <c r="Q788" s="179"/>
      <c r="R788" s="179"/>
      <c r="S788" s="179"/>
      <c r="T788" s="179"/>
      <c r="U788" s="179"/>
      <c r="V788" s="179"/>
      <c r="W788" s="179"/>
      <c r="X788" s="179"/>
      <c r="Y788" s="179"/>
      <c r="Z788" s="179"/>
    </row>
    <row r="789">
      <c r="A789" s="179"/>
      <c r="B789" s="179"/>
      <c r="C789" s="179"/>
      <c r="D789" s="179"/>
      <c r="E789" s="179"/>
      <c r="F789" s="179"/>
      <c r="G789" s="179"/>
      <c r="H789" s="179"/>
      <c r="I789" s="179"/>
      <c r="J789" s="179"/>
      <c r="K789" s="179"/>
      <c r="L789" s="179"/>
      <c r="M789" s="179"/>
      <c r="N789" s="179"/>
      <c r="O789" s="179"/>
      <c r="P789" s="179"/>
      <c r="Q789" s="179"/>
      <c r="R789" s="179"/>
      <c r="S789" s="179"/>
      <c r="T789" s="179"/>
      <c r="U789" s="179"/>
      <c r="V789" s="179"/>
      <c r="W789" s="179"/>
      <c r="X789" s="179"/>
      <c r="Y789" s="179"/>
      <c r="Z789" s="179"/>
    </row>
    <row r="790">
      <c r="A790" s="179"/>
      <c r="B790" s="179"/>
      <c r="C790" s="179"/>
      <c r="D790" s="179"/>
      <c r="E790" s="179"/>
      <c r="F790" s="179"/>
      <c r="G790" s="179"/>
      <c r="H790" s="179"/>
      <c r="I790" s="179"/>
      <c r="J790" s="179"/>
      <c r="K790" s="179"/>
      <c r="L790" s="179"/>
      <c r="M790" s="179"/>
      <c r="N790" s="179"/>
      <c r="O790" s="179"/>
      <c r="P790" s="179"/>
      <c r="Q790" s="179"/>
      <c r="R790" s="179"/>
      <c r="S790" s="179"/>
      <c r="T790" s="179"/>
      <c r="U790" s="179"/>
      <c r="V790" s="179"/>
      <c r="W790" s="179"/>
      <c r="X790" s="179"/>
      <c r="Y790" s="179"/>
      <c r="Z790" s="179"/>
    </row>
    <row r="791">
      <c r="A791" s="179"/>
      <c r="B791" s="179"/>
      <c r="C791" s="179"/>
      <c r="D791" s="179"/>
      <c r="E791" s="179"/>
      <c r="F791" s="179"/>
      <c r="G791" s="179"/>
      <c r="H791" s="179"/>
      <c r="I791" s="179"/>
      <c r="J791" s="179"/>
      <c r="K791" s="179"/>
      <c r="L791" s="179"/>
      <c r="M791" s="179"/>
      <c r="N791" s="179"/>
      <c r="O791" s="179"/>
      <c r="P791" s="179"/>
      <c r="Q791" s="179"/>
      <c r="R791" s="179"/>
      <c r="S791" s="179"/>
      <c r="T791" s="179"/>
      <c r="U791" s="179"/>
      <c r="V791" s="179"/>
      <c r="W791" s="179"/>
      <c r="X791" s="179"/>
      <c r="Y791" s="179"/>
      <c r="Z791" s="179"/>
    </row>
    <row r="792">
      <c r="A792" s="179"/>
      <c r="B792" s="179"/>
      <c r="C792" s="179"/>
      <c r="D792" s="179"/>
      <c r="E792" s="179"/>
      <c r="F792" s="179"/>
      <c r="G792" s="179"/>
      <c r="H792" s="179"/>
      <c r="I792" s="179"/>
      <c r="J792" s="179"/>
      <c r="K792" s="179"/>
      <c r="L792" s="179"/>
      <c r="M792" s="179"/>
      <c r="N792" s="179"/>
      <c r="O792" s="179"/>
      <c r="P792" s="179"/>
      <c r="Q792" s="179"/>
      <c r="R792" s="179"/>
      <c r="S792" s="179"/>
      <c r="T792" s="179"/>
      <c r="U792" s="179"/>
      <c r="V792" s="179"/>
      <c r="W792" s="179"/>
      <c r="X792" s="179"/>
      <c r="Y792" s="179"/>
      <c r="Z792" s="179"/>
    </row>
    <row r="793">
      <c r="A793" s="179"/>
      <c r="B793" s="179"/>
      <c r="C793" s="179"/>
      <c r="D793" s="179"/>
      <c r="E793" s="179"/>
      <c r="F793" s="179"/>
      <c r="G793" s="179"/>
      <c r="H793" s="179"/>
      <c r="I793" s="179"/>
      <c r="J793" s="179"/>
      <c r="K793" s="179"/>
      <c r="L793" s="179"/>
      <c r="M793" s="179"/>
      <c r="N793" s="179"/>
      <c r="O793" s="179"/>
      <c r="P793" s="179"/>
      <c r="Q793" s="179"/>
      <c r="R793" s="179"/>
      <c r="S793" s="179"/>
      <c r="T793" s="179"/>
      <c r="U793" s="179"/>
      <c r="V793" s="179"/>
      <c r="W793" s="179"/>
      <c r="X793" s="179"/>
      <c r="Y793" s="179"/>
      <c r="Z793" s="179"/>
    </row>
    <row r="794">
      <c r="A794" s="179"/>
      <c r="B794" s="179"/>
      <c r="C794" s="179"/>
      <c r="D794" s="179"/>
      <c r="E794" s="179"/>
      <c r="F794" s="179"/>
      <c r="G794" s="179"/>
      <c r="H794" s="179"/>
      <c r="I794" s="179"/>
      <c r="J794" s="179"/>
      <c r="K794" s="179"/>
      <c r="L794" s="179"/>
      <c r="M794" s="179"/>
      <c r="N794" s="179"/>
      <c r="O794" s="179"/>
      <c r="P794" s="179"/>
      <c r="Q794" s="179"/>
      <c r="R794" s="179"/>
      <c r="S794" s="179"/>
      <c r="T794" s="179"/>
      <c r="U794" s="179"/>
      <c r="V794" s="179"/>
      <c r="W794" s="179"/>
      <c r="X794" s="179"/>
      <c r="Y794" s="179"/>
      <c r="Z794" s="179"/>
    </row>
    <row r="795">
      <c r="A795" s="179"/>
      <c r="B795" s="179"/>
      <c r="C795" s="179"/>
      <c r="D795" s="179"/>
      <c r="E795" s="179"/>
      <c r="F795" s="179"/>
      <c r="G795" s="179"/>
      <c r="H795" s="179"/>
      <c r="I795" s="179"/>
      <c r="J795" s="179"/>
      <c r="K795" s="179"/>
      <c r="L795" s="179"/>
      <c r="M795" s="179"/>
      <c r="N795" s="179"/>
      <c r="O795" s="179"/>
      <c r="P795" s="179"/>
      <c r="Q795" s="179"/>
      <c r="R795" s="179"/>
      <c r="S795" s="179"/>
      <c r="T795" s="179"/>
      <c r="U795" s="179"/>
      <c r="V795" s="179"/>
      <c r="W795" s="179"/>
      <c r="X795" s="179"/>
      <c r="Y795" s="179"/>
      <c r="Z795" s="179"/>
    </row>
    <row r="796">
      <c r="A796" s="179"/>
      <c r="B796" s="179"/>
      <c r="C796" s="179"/>
      <c r="D796" s="179"/>
      <c r="E796" s="179"/>
      <c r="F796" s="179"/>
      <c r="G796" s="179"/>
      <c r="H796" s="179"/>
      <c r="I796" s="179"/>
      <c r="J796" s="179"/>
      <c r="K796" s="179"/>
      <c r="L796" s="179"/>
      <c r="M796" s="179"/>
      <c r="N796" s="179"/>
      <c r="O796" s="179"/>
      <c r="P796" s="179"/>
      <c r="Q796" s="179"/>
      <c r="R796" s="179"/>
      <c r="S796" s="179"/>
      <c r="T796" s="179"/>
      <c r="U796" s="179"/>
      <c r="V796" s="179"/>
      <c r="W796" s="179"/>
      <c r="X796" s="179"/>
      <c r="Y796" s="179"/>
      <c r="Z796" s="179"/>
    </row>
    <row r="797">
      <c r="A797" s="179"/>
      <c r="B797" s="179"/>
      <c r="C797" s="179"/>
      <c r="D797" s="179"/>
      <c r="E797" s="179"/>
      <c r="F797" s="179"/>
      <c r="G797" s="179"/>
      <c r="H797" s="179"/>
      <c r="I797" s="179"/>
      <c r="J797" s="179"/>
      <c r="K797" s="179"/>
      <c r="L797" s="179"/>
      <c r="M797" s="179"/>
      <c r="N797" s="179"/>
      <c r="O797" s="179"/>
      <c r="P797" s="179"/>
      <c r="Q797" s="179"/>
      <c r="R797" s="179"/>
      <c r="S797" s="179"/>
      <c r="T797" s="179"/>
      <c r="U797" s="179"/>
      <c r="V797" s="179"/>
      <c r="W797" s="179"/>
      <c r="X797" s="179"/>
      <c r="Y797" s="179"/>
      <c r="Z797" s="179"/>
    </row>
    <row r="798">
      <c r="A798" s="179"/>
      <c r="B798" s="179"/>
      <c r="C798" s="179"/>
      <c r="D798" s="179"/>
      <c r="E798" s="179"/>
      <c r="F798" s="179"/>
      <c r="G798" s="179"/>
      <c r="H798" s="179"/>
      <c r="I798" s="179"/>
      <c r="J798" s="179"/>
      <c r="K798" s="179"/>
      <c r="L798" s="179"/>
      <c r="M798" s="179"/>
      <c r="N798" s="179"/>
      <c r="O798" s="179"/>
      <c r="P798" s="179"/>
      <c r="Q798" s="179"/>
      <c r="R798" s="179"/>
      <c r="S798" s="179"/>
      <c r="T798" s="179"/>
      <c r="U798" s="179"/>
      <c r="V798" s="179"/>
      <c r="W798" s="179"/>
      <c r="X798" s="179"/>
      <c r="Y798" s="179"/>
      <c r="Z798" s="179"/>
    </row>
    <row r="799">
      <c r="A799" s="179"/>
      <c r="B799" s="179"/>
      <c r="C799" s="179"/>
      <c r="D799" s="179"/>
      <c r="E799" s="179"/>
      <c r="F799" s="179"/>
      <c r="G799" s="179"/>
      <c r="H799" s="179"/>
      <c r="I799" s="179"/>
      <c r="J799" s="179"/>
      <c r="K799" s="179"/>
      <c r="L799" s="179"/>
      <c r="M799" s="179"/>
      <c r="N799" s="179"/>
      <c r="O799" s="179"/>
      <c r="P799" s="179"/>
      <c r="Q799" s="179"/>
      <c r="R799" s="179"/>
      <c r="S799" s="179"/>
      <c r="T799" s="179"/>
      <c r="U799" s="179"/>
      <c r="V799" s="179"/>
      <c r="W799" s="179"/>
      <c r="X799" s="179"/>
      <c r="Y799" s="179"/>
      <c r="Z799" s="179"/>
    </row>
    <row r="800">
      <c r="A800" s="179"/>
      <c r="B800" s="179"/>
      <c r="C800" s="179"/>
      <c r="D800" s="179"/>
      <c r="E800" s="179"/>
      <c r="F800" s="179"/>
      <c r="G800" s="179"/>
      <c r="H800" s="179"/>
      <c r="I800" s="179"/>
      <c r="J800" s="179"/>
      <c r="K800" s="179"/>
      <c r="L800" s="179"/>
      <c r="M800" s="179"/>
      <c r="N800" s="179"/>
      <c r="O800" s="179"/>
      <c r="P800" s="179"/>
      <c r="Q800" s="179"/>
      <c r="R800" s="179"/>
      <c r="S800" s="179"/>
      <c r="T800" s="179"/>
      <c r="U800" s="179"/>
      <c r="V800" s="179"/>
      <c r="W800" s="179"/>
      <c r="X800" s="179"/>
      <c r="Y800" s="179"/>
      <c r="Z800" s="179"/>
    </row>
    <row r="801">
      <c r="A801" s="179"/>
      <c r="B801" s="179"/>
      <c r="C801" s="179"/>
      <c r="D801" s="179"/>
      <c r="E801" s="179"/>
      <c r="F801" s="179"/>
      <c r="G801" s="179"/>
      <c r="H801" s="179"/>
      <c r="I801" s="179"/>
      <c r="J801" s="179"/>
      <c r="K801" s="179"/>
      <c r="L801" s="179"/>
      <c r="M801" s="179"/>
      <c r="N801" s="179"/>
      <c r="O801" s="179"/>
      <c r="P801" s="179"/>
      <c r="Q801" s="179"/>
      <c r="R801" s="179"/>
      <c r="S801" s="179"/>
      <c r="T801" s="179"/>
      <c r="U801" s="179"/>
      <c r="V801" s="179"/>
      <c r="W801" s="179"/>
      <c r="X801" s="179"/>
      <c r="Y801" s="179"/>
      <c r="Z801" s="179"/>
    </row>
    <row r="802">
      <c r="A802" s="179"/>
      <c r="B802" s="179"/>
      <c r="C802" s="179"/>
      <c r="D802" s="179"/>
      <c r="E802" s="179"/>
      <c r="F802" s="179"/>
      <c r="G802" s="179"/>
      <c r="H802" s="179"/>
      <c r="I802" s="179"/>
      <c r="J802" s="179"/>
      <c r="K802" s="179"/>
      <c r="L802" s="179"/>
      <c r="M802" s="179"/>
      <c r="N802" s="179"/>
      <c r="O802" s="179"/>
      <c r="P802" s="179"/>
      <c r="Q802" s="179"/>
      <c r="R802" s="179"/>
      <c r="S802" s="179"/>
      <c r="T802" s="179"/>
      <c r="U802" s="179"/>
      <c r="V802" s="179"/>
      <c r="W802" s="179"/>
      <c r="X802" s="179"/>
      <c r="Y802" s="179"/>
      <c r="Z802" s="179"/>
    </row>
    <row r="803">
      <c r="A803" s="179"/>
      <c r="B803" s="179"/>
      <c r="C803" s="179"/>
      <c r="D803" s="179"/>
      <c r="E803" s="179"/>
      <c r="F803" s="179"/>
      <c r="G803" s="179"/>
      <c r="H803" s="179"/>
      <c r="I803" s="179"/>
      <c r="J803" s="179"/>
      <c r="K803" s="179"/>
      <c r="L803" s="179"/>
      <c r="M803" s="179"/>
      <c r="N803" s="179"/>
      <c r="O803" s="179"/>
      <c r="P803" s="179"/>
      <c r="Q803" s="179"/>
      <c r="R803" s="179"/>
      <c r="S803" s="179"/>
      <c r="T803" s="179"/>
      <c r="U803" s="179"/>
      <c r="V803" s="179"/>
      <c r="W803" s="179"/>
      <c r="X803" s="179"/>
      <c r="Y803" s="179"/>
      <c r="Z803" s="179"/>
    </row>
    <row r="804">
      <c r="A804" s="179"/>
      <c r="B804" s="179"/>
      <c r="C804" s="179"/>
      <c r="D804" s="179"/>
      <c r="E804" s="179"/>
      <c r="F804" s="179"/>
      <c r="G804" s="179"/>
      <c r="H804" s="179"/>
      <c r="I804" s="179"/>
      <c r="J804" s="179"/>
      <c r="K804" s="179"/>
      <c r="L804" s="179"/>
      <c r="M804" s="179"/>
      <c r="N804" s="179"/>
      <c r="O804" s="179"/>
      <c r="P804" s="179"/>
      <c r="Q804" s="179"/>
      <c r="R804" s="179"/>
      <c r="S804" s="179"/>
      <c r="T804" s="179"/>
      <c r="U804" s="179"/>
      <c r="V804" s="179"/>
      <c r="W804" s="179"/>
      <c r="X804" s="179"/>
      <c r="Y804" s="179"/>
      <c r="Z804" s="179"/>
    </row>
    <row r="805">
      <c r="A805" s="179"/>
      <c r="B805" s="179"/>
      <c r="C805" s="179"/>
      <c r="D805" s="179"/>
      <c r="E805" s="179"/>
      <c r="F805" s="179"/>
      <c r="G805" s="179"/>
      <c r="H805" s="179"/>
      <c r="I805" s="179"/>
      <c r="J805" s="179"/>
      <c r="K805" s="179"/>
      <c r="L805" s="179"/>
      <c r="M805" s="179"/>
      <c r="N805" s="179"/>
      <c r="O805" s="179"/>
      <c r="P805" s="179"/>
      <c r="Q805" s="179"/>
      <c r="R805" s="179"/>
      <c r="S805" s="179"/>
      <c r="T805" s="179"/>
      <c r="U805" s="179"/>
      <c r="V805" s="179"/>
      <c r="W805" s="179"/>
      <c r="X805" s="179"/>
      <c r="Y805" s="179"/>
      <c r="Z805" s="179"/>
    </row>
    <row r="806">
      <c r="A806" s="179"/>
      <c r="B806" s="179"/>
      <c r="C806" s="179"/>
      <c r="D806" s="179"/>
      <c r="E806" s="179"/>
      <c r="F806" s="179"/>
      <c r="G806" s="179"/>
      <c r="H806" s="179"/>
      <c r="I806" s="179"/>
      <c r="J806" s="179"/>
      <c r="K806" s="179"/>
      <c r="L806" s="179"/>
      <c r="M806" s="179"/>
      <c r="N806" s="179"/>
      <c r="O806" s="179"/>
      <c r="P806" s="179"/>
      <c r="Q806" s="179"/>
      <c r="R806" s="179"/>
      <c r="S806" s="179"/>
      <c r="T806" s="179"/>
      <c r="U806" s="179"/>
      <c r="V806" s="179"/>
      <c r="W806" s="179"/>
      <c r="X806" s="179"/>
      <c r="Y806" s="179"/>
      <c r="Z806" s="179"/>
    </row>
    <row r="807">
      <c r="A807" s="179"/>
      <c r="B807" s="179"/>
      <c r="C807" s="179"/>
      <c r="D807" s="179"/>
      <c r="E807" s="179"/>
      <c r="F807" s="179"/>
      <c r="G807" s="179"/>
      <c r="H807" s="179"/>
      <c r="I807" s="179"/>
      <c r="J807" s="179"/>
      <c r="K807" s="179"/>
      <c r="L807" s="179"/>
      <c r="M807" s="179"/>
      <c r="N807" s="179"/>
      <c r="O807" s="179"/>
      <c r="P807" s="179"/>
      <c r="Q807" s="179"/>
      <c r="R807" s="179"/>
      <c r="S807" s="179"/>
      <c r="T807" s="179"/>
      <c r="U807" s="179"/>
      <c r="V807" s="179"/>
      <c r="W807" s="179"/>
      <c r="X807" s="179"/>
      <c r="Y807" s="179"/>
      <c r="Z807" s="179"/>
    </row>
    <row r="808">
      <c r="A808" s="179"/>
      <c r="B808" s="179"/>
      <c r="C808" s="179"/>
      <c r="D808" s="179"/>
      <c r="E808" s="179"/>
      <c r="F808" s="179"/>
      <c r="G808" s="179"/>
      <c r="H808" s="179"/>
      <c r="I808" s="179"/>
      <c r="J808" s="179"/>
      <c r="K808" s="179"/>
      <c r="L808" s="179"/>
      <c r="M808" s="179"/>
      <c r="N808" s="179"/>
      <c r="O808" s="179"/>
      <c r="P808" s="179"/>
      <c r="Q808" s="179"/>
      <c r="R808" s="179"/>
      <c r="S808" s="179"/>
      <c r="T808" s="179"/>
      <c r="U808" s="179"/>
      <c r="V808" s="179"/>
      <c r="W808" s="179"/>
      <c r="X808" s="179"/>
      <c r="Y808" s="179"/>
      <c r="Z808" s="179"/>
    </row>
    <row r="809">
      <c r="A809" s="179"/>
      <c r="B809" s="179"/>
      <c r="C809" s="179"/>
      <c r="D809" s="179"/>
      <c r="E809" s="179"/>
      <c r="F809" s="179"/>
      <c r="G809" s="179"/>
      <c r="H809" s="179"/>
      <c r="I809" s="179"/>
      <c r="J809" s="179"/>
      <c r="K809" s="179"/>
      <c r="L809" s="179"/>
      <c r="M809" s="179"/>
      <c r="N809" s="179"/>
      <c r="O809" s="179"/>
      <c r="P809" s="179"/>
      <c r="Q809" s="179"/>
      <c r="R809" s="179"/>
      <c r="S809" s="179"/>
      <c r="T809" s="179"/>
      <c r="U809" s="179"/>
      <c r="V809" s="179"/>
      <c r="W809" s="179"/>
      <c r="X809" s="179"/>
      <c r="Y809" s="179"/>
      <c r="Z809" s="179"/>
    </row>
    <row r="810">
      <c r="A810" s="179"/>
      <c r="B810" s="179"/>
      <c r="C810" s="179"/>
      <c r="D810" s="179"/>
      <c r="E810" s="179"/>
      <c r="F810" s="179"/>
      <c r="G810" s="179"/>
      <c r="H810" s="179"/>
      <c r="I810" s="179"/>
      <c r="J810" s="179"/>
      <c r="K810" s="179"/>
      <c r="L810" s="179"/>
      <c r="M810" s="179"/>
      <c r="N810" s="179"/>
      <c r="O810" s="179"/>
      <c r="P810" s="179"/>
      <c r="Q810" s="179"/>
      <c r="R810" s="179"/>
      <c r="S810" s="179"/>
      <c r="T810" s="179"/>
      <c r="U810" s="179"/>
      <c r="V810" s="179"/>
      <c r="W810" s="179"/>
      <c r="X810" s="179"/>
      <c r="Y810" s="179"/>
      <c r="Z810" s="179"/>
    </row>
    <row r="811">
      <c r="A811" s="179"/>
      <c r="B811" s="179"/>
      <c r="C811" s="179"/>
      <c r="D811" s="179"/>
      <c r="E811" s="179"/>
      <c r="F811" s="179"/>
      <c r="G811" s="179"/>
      <c r="H811" s="179"/>
      <c r="I811" s="179"/>
      <c r="J811" s="179"/>
      <c r="K811" s="179"/>
      <c r="L811" s="179"/>
      <c r="M811" s="179"/>
      <c r="N811" s="179"/>
      <c r="O811" s="179"/>
      <c r="P811" s="179"/>
      <c r="Q811" s="179"/>
      <c r="R811" s="179"/>
      <c r="S811" s="179"/>
      <c r="T811" s="179"/>
      <c r="U811" s="179"/>
      <c r="V811" s="179"/>
      <c r="W811" s="179"/>
      <c r="X811" s="179"/>
      <c r="Y811" s="179"/>
      <c r="Z811" s="179"/>
    </row>
    <row r="812">
      <c r="A812" s="179"/>
      <c r="B812" s="179"/>
      <c r="C812" s="179"/>
      <c r="D812" s="179"/>
      <c r="E812" s="179"/>
      <c r="F812" s="179"/>
      <c r="G812" s="179"/>
      <c r="H812" s="179"/>
      <c r="I812" s="179"/>
      <c r="J812" s="179"/>
      <c r="K812" s="179"/>
      <c r="L812" s="179"/>
      <c r="M812" s="179"/>
      <c r="N812" s="179"/>
      <c r="O812" s="179"/>
      <c r="P812" s="179"/>
      <c r="Q812" s="179"/>
      <c r="R812" s="179"/>
      <c r="S812" s="179"/>
      <c r="T812" s="179"/>
      <c r="U812" s="179"/>
      <c r="V812" s="179"/>
      <c r="W812" s="179"/>
      <c r="X812" s="179"/>
      <c r="Y812" s="179"/>
      <c r="Z812" s="179"/>
    </row>
    <row r="813">
      <c r="A813" s="179"/>
      <c r="B813" s="179"/>
      <c r="C813" s="179"/>
      <c r="D813" s="179"/>
      <c r="E813" s="179"/>
      <c r="F813" s="179"/>
      <c r="G813" s="179"/>
      <c r="H813" s="179"/>
      <c r="I813" s="179"/>
      <c r="J813" s="179"/>
      <c r="K813" s="179"/>
      <c r="L813" s="179"/>
      <c r="M813" s="179"/>
      <c r="N813" s="179"/>
      <c r="O813" s="179"/>
      <c r="P813" s="179"/>
      <c r="Q813" s="179"/>
      <c r="R813" s="179"/>
      <c r="S813" s="179"/>
      <c r="T813" s="179"/>
      <c r="U813" s="179"/>
      <c r="V813" s="179"/>
      <c r="W813" s="179"/>
      <c r="X813" s="179"/>
      <c r="Y813" s="179"/>
      <c r="Z813" s="179"/>
    </row>
    <row r="814">
      <c r="A814" s="179"/>
      <c r="B814" s="179"/>
      <c r="C814" s="179"/>
      <c r="D814" s="179"/>
      <c r="E814" s="179"/>
      <c r="F814" s="179"/>
      <c r="G814" s="179"/>
      <c r="H814" s="179"/>
      <c r="I814" s="179"/>
      <c r="J814" s="179"/>
      <c r="K814" s="179"/>
      <c r="L814" s="179"/>
      <c r="M814" s="179"/>
      <c r="N814" s="179"/>
      <c r="O814" s="179"/>
      <c r="P814" s="179"/>
      <c r="Q814" s="179"/>
      <c r="R814" s="179"/>
      <c r="S814" s="179"/>
      <c r="T814" s="179"/>
      <c r="U814" s="179"/>
      <c r="V814" s="179"/>
      <c r="W814" s="179"/>
      <c r="X814" s="179"/>
      <c r="Y814" s="179"/>
      <c r="Z814" s="179"/>
    </row>
    <row r="815">
      <c r="A815" s="179"/>
      <c r="B815" s="179"/>
      <c r="C815" s="179"/>
      <c r="D815" s="179"/>
      <c r="E815" s="179"/>
      <c r="F815" s="179"/>
      <c r="G815" s="179"/>
      <c r="H815" s="179"/>
      <c r="I815" s="179"/>
      <c r="J815" s="179"/>
      <c r="K815" s="179"/>
      <c r="L815" s="179"/>
      <c r="M815" s="179"/>
      <c r="N815" s="179"/>
      <c r="O815" s="179"/>
      <c r="P815" s="179"/>
      <c r="Q815" s="179"/>
      <c r="R815" s="179"/>
      <c r="S815" s="179"/>
      <c r="T815" s="179"/>
      <c r="U815" s="179"/>
      <c r="V815" s="179"/>
      <c r="W815" s="179"/>
      <c r="X815" s="179"/>
      <c r="Y815" s="179"/>
      <c r="Z815" s="179"/>
    </row>
    <row r="816">
      <c r="A816" s="179"/>
      <c r="B816" s="179"/>
      <c r="C816" s="179"/>
      <c r="D816" s="179"/>
      <c r="E816" s="179"/>
      <c r="F816" s="179"/>
      <c r="G816" s="179"/>
      <c r="H816" s="179"/>
      <c r="I816" s="179"/>
      <c r="J816" s="179"/>
      <c r="K816" s="179"/>
      <c r="L816" s="179"/>
      <c r="M816" s="179"/>
      <c r="N816" s="179"/>
      <c r="O816" s="179"/>
      <c r="P816" s="179"/>
      <c r="Q816" s="179"/>
      <c r="R816" s="179"/>
      <c r="S816" s="179"/>
      <c r="T816" s="179"/>
      <c r="U816" s="179"/>
      <c r="V816" s="179"/>
      <c r="W816" s="179"/>
      <c r="X816" s="179"/>
      <c r="Y816" s="179"/>
      <c r="Z816" s="179"/>
    </row>
    <row r="817">
      <c r="A817" s="179"/>
      <c r="B817" s="179"/>
      <c r="C817" s="179"/>
      <c r="D817" s="179"/>
      <c r="E817" s="179"/>
      <c r="F817" s="179"/>
      <c r="G817" s="179"/>
      <c r="H817" s="179"/>
      <c r="I817" s="179"/>
      <c r="J817" s="179"/>
      <c r="K817" s="179"/>
      <c r="L817" s="179"/>
      <c r="M817" s="179"/>
      <c r="N817" s="179"/>
      <c r="O817" s="179"/>
      <c r="P817" s="179"/>
      <c r="Q817" s="179"/>
      <c r="R817" s="179"/>
      <c r="S817" s="179"/>
      <c r="T817" s="179"/>
      <c r="U817" s="179"/>
      <c r="V817" s="179"/>
      <c r="W817" s="179"/>
      <c r="X817" s="179"/>
      <c r="Y817" s="179"/>
      <c r="Z817" s="179"/>
    </row>
    <row r="818">
      <c r="A818" s="179"/>
      <c r="B818" s="179"/>
      <c r="C818" s="179"/>
      <c r="D818" s="179"/>
      <c r="E818" s="179"/>
      <c r="F818" s="179"/>
      <c r="G818" s="179"/>
      <c r="H818" s="179"/>
      <c r="I818" s="179"/>
      <c r="J818" s="179"/>
      <c r="K818" s="179"/>
      <c r="L818" s="179"/>
      <c r="M818" s="179"/>
      <c r="N818" s="179"/>
      <c r="O818" s="179"/>
      <c r="P818" s="179"/>
      <c r="Q818" s="179"/>
      <c r="R818" s="179"/>
      <c r="S818" s="179"/>
      <c r="T818" s="179"/>
      <c r="U818" s="179"/>
      <c r="V818" s="179"/>
      <c r="W818" s="179"/>
      <c r="X818" s="179"/>
      <c r="Y818" s="179"/>
      <c r="Z818" s="179"/>
    </row>
    <row r="819">
      <c r="A819" s="179"/>
      <c r="B819" s="179"/>
      <c r="C819" s="179"/>
      <c r="D819" s="179"/>
      <c r="E819" s="179"/>
      <c r="F819" s="179"/>
      <c r="G819" s="179"/>
      <c r="H819" s="179"/>
      <c r="I819" s="179"/>
      <c r="J819" s="179"/>
      <c r="K819" s="179"/>
      <c r="L819" s="179"/>
      <c r="M819" s="179"/>
      <c r="N819" s="179"/>
      <c r="O819" s="179"/>
      <c r="P819" s="179"/>
      <c r="Q819" s="179"/>
      <c r="R819" s="179"/>
      <c r="S819" s="179"/>
      <c r="T819" s="179"/>
      <c r="U819" s="179"/>
      <c r="V819" s="179"/>
      <c r="W819" s="179"/>
      <c r="X819" s="179"/>
      <c r="Y819" s="179"/>
      <c r="Z819" s="179"/>
    </row>
    <row r="820">
      <c r="A820" s="179"/>
      <c r="B820" s="179"/>
      <c r="C820" s="179"/>
      <c r="D820" s="179"/>
      <c r="E820" s="179"/>
      <c r="F820" s="179"/>
      <c r="G820" s="179"/>
      <c r="H820" s="179"/>
      <c r="I820" s="179"/>
      <c r="J820" s="179"/>
      <c r="K820" s="179"/>
      <c r="L820" s="179"/>
      <c r="M820" s="179"/>
      <c r="N820" s="179"/>
      <c r="O820" s="179"/>
      <c r="P820" s="179"/>
      <c r="Q820" s="179"/>
      <c r="R820" s="179"/>
      <c r="S820" s="179"/>
      <c r="T820" s="179"/>
      <c r="U820" s="179"/>
      <c r="V820" s="179"/>
      <c r="W820" s="179"/>
      <c r="X820" s="179"/>
      <c r="Y820" s="179"/>
      <c r="Z820" s="179"/>
    </row>
    <row r="821">
      <c r="A821" s="179"/>
      <c r="B821" s="179"/>
      <c r="C821" s="179"/>
      <c r="D821" s="179"/>
      <c r="E821" s="179"/>
      <c r="F821" s="179"/>
      <c r="G821" s="179"/>
      <c r="H821" s="179"/>
      <c r="I821" s="179"/>
      <c r="J821" s="179"/>
      <c r="K821" s="179"/>
      <c r="L821" s="179"/>
      <c r="M821" s="179"/>
      <c r="N821" s="179"/>
      <c r="O821" s="179"/>
      <c r="P821" s="179"/>
      <c r="Q821" s="179"/>
      <c r="R821" s="179"/>
      <c r="S821" s="179"/>
      <c r="T821" s="179"/>
      <c r="U821" s="179"/>
      <c r="V821" s="179"/>
      <c r="W821" s="179"/>
      <c r="X821" s="179"/>
      <c r="Y821" s="179"/>
      <c r="Z821" s="179"/>
    </row>
    <row r="822">
      <c r="A822" s="179"/>
      <c r="B822" s="179"/>
      <c r="C822" s="179"/>
      <c r="D822" s="179"/>
      <c r="E822" s="179"/>
      <c r="F822" s="179"/>
      <c r="G822" s="179"/>
      <c r="H822" s="179"/>
      <c r="I822" s="179"/>
      <c r="J822" s="179"/>
      <c r="K822" s="179"/>
      <c r="L822" s="179"/>
      <c r="M822" s="179"/>
      <c r="N822" s="179"/>
      <c r="O822" s="179"/>
      <c r="P822" s="179"/>
      <c r="Q822" s="179"/>
      <c r="R822" s="179"/>
      <c r="S822" s="179"/>
      <c r="T822" s="179"/>
      <c r="U822" s="179"/>
      <c r="V822" s="179"/>
      <c r="W822" s="179"/>
      <c r="X822" s="179"/>
      <c r="Y822" s="179"/>
      <c r="Z822" s="179"/>
    </row>
    <row r="823">
      <c r="A823" s="179"/>
      <c r="B823" s="179"/>
      <c r="C823" s="179"/>
      <c r="D823" s="179"/>
      <c r="E823" s="179"/>
      <c r="F823" s="179"/>
      <c r="G823" s="179"/>
      <c r="H823" s="179"/>
      <c r="I823" s="179"/>
      <c r="J823" s="179"/>
      <c r="K823" s="179"/>
      <c r="L823" s="179"/>
      <c r="M823" s="179"/>
      <c r="N823" s="179"/>
      <c r="O823" s="179"/>
      <c r="P823" s="179"/>
      <c r="Q823" s="179"/>
      <c r="R823" s="179"/>
      <c r="S823" s="179"/>
      <c r="T823" s="179"/>
      <c r="U823" s="179"/>
      <c r="V823" s="179"/>
      <c r="W823" s="179"/>
      <c r="X823" s="179"/>
      <c r="Y823" s="179"/>
      <c r="Z823" s="179"/>
    </row>
    <row r="824">
      <c r="A824" s="179"/>
      <c r="B824" s="179"/>
      <c r="C824" s="179"/>
      <c r="D824" s="179"/>
      <c r="E824" s="179"/>
      <c r="F824" s="179"/>
      <c r="G824" s="179"/>
      <c r="H824" s="179"/>
      <c r="I824" s="179"/>
      <c r="J824" s="179"/>
      <c r="K824" s="179"/>
      <c r="L824" s="179"/>
      <c r="M824" s="179"/>
      <c r="N824" s="179"/>
      <c r="O824" s="179"/>
      <c r="P824" s="179"/>
      <c r="Q824" s="179"/>
      <c r="R824" s="179"/>
      <c r="S824" s="179"/>
      <c r="T824" s="179"/>
      <c r="U824" s="179"/>
      <c r="V824" s="179"/>
      <c r="W824" s="179"/>
      <c r="X824" s="179"/>
      <c r="Y824" s="179"/>
      <c r="Z824" s="179"/>
    </row>
    <row r="825">
      <c r="A825" s="179"/>
      <c r="B825" s="179"/>
      <c r="C825" s="179"/>
      <c r="D825" s="179"/>
      <c r="E825" s="179"/>
      <c r="F825" s="179"/>
      <c r="G825" s="179"/>
      <c r="H825" s="179"/>
      <c r="I825" s="179"/>
      <c r="J825" s="179"/>
      <c r="K825" s="179"/>
      <c r="L825" s="179"/>
      <c r="M825" s="179"/>
      <c r="N825" s="179"/>
      <c r="O825" s="179"/>
      <c r="P825" s="179"/>
      <c r="Q825" s="179"/>
      <c r="R825" s="179"/>
      <c r="S825" s="179"/>
      <c r="T825" s="179"/>
      <c r="U825" s="179"/>
      <c r="V825" s="179"/>
      <c r="W825" s="179"/>
      <c r="X825" s="179"/>
      <c r="Y825" s="179"/>
      <c r="Z825" s="179"/>
    </row>
    <row r="826">
      <c r="A826" s="179"/>
      <c r="B826" s="179"/>
      <c r="C826" s="179"/>
      <c r="D826" s="179"/>
      <c r="E826" s="179"/>
      <c r="F826" s="179"/>
      <c r="G826" s="179"/>
      <c r="H826" s="179"/>
      <c r="I826" s="179"/>
      <c r="J826" s="179"/>
      <c r="K826" s="179"/>
      <c r="L826" s="179"/>
      <c r="M826" s="179"/>
      <c r="N826" s="179"/>
      <c r="O826" s="179"/>
      <c r="P826" s="179"/>
      <c r="Q826" s="179"/>
      <c r="R826" s="179"/>
      <c r="S826" s="179"/>
      <c r="T826" s="179"/>
      <c r="U826" s="179"/>
      <c r="V826" s="179"/>
      <c r="W826" s="179"/>
      <c r="X826" s="179"/>
      <c r="Y826" s="179"/>
      <c r="Z826" s="179"/>
    </row>
    <row r="827">
      <c r="A827" s="179"/>
      <c r="B827" s="179"/>
      <c r="C827" s="179"/>
      <c r="D827" s="179"/>
      <c r="E827" s="179"/>
      <c r="F827" s="179"/>
      <c r="G827" s="179"/>
      <c r="H827" s="179"/>
      <c r="I827" s="179"/>
      <c r="J827" s="179"/>
      <c r="K827" s="179"/>
      <c r="L827" s="179"/>
      <c r="M827" s="179"/>
      <c r="N827" s="179"/>
      <c r="O827" s="179"/>
      <c r="P827" s="179"/>
      <c r="Q827" s="179"/>
      <c r="R827" s="179"/>
      <c r="S827" s="179"/>
      <c r="T827" s="179"/>
      <c r="U827" s="179"/>
      <c r="V827" s="179"/>
      <c r="W827" s="179"/>
      <c r="X827" s="179"/>
      <c r="Y827" s="179"/>
      <c r="Z827" s="179"/>
    </row>
    <row r="828">
      <c r="A828" s="179"/>
      <c r="B828" s="179"/>
      <c r="C828" s="179"/>
      <c r="D828" s="179"/>
      <c r="E828" s="179"/>
      <c r="F828" s="179"/>
      <c r="G828" s="179"/>
      <c r="H828" s="179"/>
      <c r="I828" s="179"/>
      <c r="J828" s="179"/>
      <c r="K828" s="179"/>
      <c r="L828" s="179"/>
      <c r="M828" s="179"/>
      <c r="N828" s="179"/>
      <c r="O828" s="179"/>
      <c r="P828" s="179"/>
      <c r="Q828" s="179"/>
      <c r="R828" s="179"/>
      <c r="S828" s="179"/>
      <c r="T828" s="179"/>
      <c r="U828" s="179"/>
      <c r="V828" s="179"/>
      <c r="W828" s="179"/>
      <c r="X828" s="179"/>
      <c r="Y828" s="179"/>
      <c r="Z828" s="179"/>
    </row>
    <row r="829">
      <c r="A829" s="179"/>
      <c r="B829" s="179"/>
      <c r="C829" s="179"/>
      <c r="D829" s="179"/>
      <c r="E829" s="179"/>
      <c r="F829" s="179"/>
      <c r="G829" s="179"/>
      <c r="H829" s="179"/>
      <c r="I829" s="179"/>
      <c r="J829" s="179"/>
      <c r="K829" s="179"/>
      <c r="L829" s="179"/>
      <c r="M829" s="179"/>
      <c r="N829" s="179"/>
      <c r="O829" s="179"/>
      <c r="P829" s="179"/>
      <c r="Q829" s="179"/>
      <c r="R829" s="179"/>
      <c r="S829" s="179"/>
      <c r="T829" s="179"/>
      <c r="U829" s="179"/>
      <c r="V829" s="179"/>
      <c r="W829" s="179"/>
      <c r="X829" s="179"/>
      <c r="Y829" s="179"/>
      <c r="Z829" s="179"/>
    </row>
    <row r="830">
      <c r="A830" s="179"/>
      <c r="B830" s="179"/>
      <c r="C830" s="179"/>
      <c r="D830" s="179"/>
      <c r="E830" s="179"/>
      <c r="F830" s="179"/>
      <c r="G830" s="179"/>
      <c r="H830" s="179"/>
      <c r="I830" s="179"/>
      <c r="J830" s="179"/>
      <c r="K830" s="179"/>
      <c r="L830" s="179"/>
      <c r="M830" s="179"/>
      <c r="N830" s="179"/>
      <c r="O830" s="179"/>
      <c r="P830" s="179"/>
      <c r="Q830" s="179"/>
      <c r="R830" s="179"/>
      <c r="S830" s="179"/>
      <c r="T830" s="179"/>
      <c r="U830" s="179"/>
      <c r="V830" s="179"/>
      <c r="W830" s="179"/>
      <c r="X830" s="179"/>
      <c r="Y830" s="179"/>
      <c r="Z830" s="179"/>
    </row>
    <row r="831">
      <c r="A831" s="179"/>
      <c r="B831" s="179"/>
      <c r="C831" s="179"/>
      <c r="D831" s="179"/>
      <c r="E831" s="179"/>
      <c r="F831" s="179"/>
      <c r="G831" s="179"/>
      <c r="H831" s="179"/>
      <c r="I831" s="179"/>
      <c r="J831" s="179"/>
      <c r="K831" s="179"/>
      <c r="L831" s="179"/>
      <c r="M831" s="179"/>
      <c r="N831" s="179"/>
      <c r="O831" s="179"/>
      <c r="P831" s="179"/>
      <c r="Q831" s="179"/>
      <c r="R831" s="179"/>
      <c r="S831" s="179"/>
      <c r="T831" s="179"/>
      <c r="U831" s="179"/>
      <c r="V831" s="179"/>
      <c r="W831" s="179"/>
      <c r="X831" s="179"/>
      <c r="Y831" s="179"/>
      <c r="Z831" s="179"/>
    </row>
    <row r="832">
      <c r="A832" s="179"/>
      <c r="B832" s="179"/>
      <c r="C832" s="179"/>
      <c r="D832" s="179"/>
      <c r="E832" s="179"/>
      <c r="F832" s="179"/>
      <c r="G832" s="179"/>
      <c r="H832" s="179"/>
      <c r="I832" s="179"/>
      <c r="J832" s="179"/>
      <c r="K832" s="179"/>
      <c r="L832" s="179"/>
      <c r="M832" s="179"/>
      <c r="N832" s="179"/>
      <c r="O832" s="179"/>
      <c r="P832" s="179"/>
      <c r="Q832" s="179"/>
      <c r="R832" s="179"/>
      <c r="S832" s="179"/>
      <c r="T832" s="179"/>
      <c r="U832" s="179"/>
      <c r="V832" s="179"/>
      <c r="W832" s="179"/>
      <c r="X832" s="179"/>
      <c r="Y832" s="179"/>
      <c r="Z832" s="179"/>
    </row>
    <row r="833">
      <c r="A833" s="179"/>
      <c r="B833" s="179"/>
      <c r="C833" s="179"/>
      <c r="D833" s="179"/>
      <c r="E833" s="179"/>
      <c r="F833" s="179"/>
      <c r="G833" s="179"/>
      <c r="H833" s="179"/>
      <c r="I833" s="179"/>
      <c r="J833" s="179"/>
      <c r="K833" s="179"/>
      <c r="L833" s="179"/>
      <c r="M833" s="179"/>
      <c r="N833" s="179"/>
      <c r="O833" s="179"/>
      <c r="P833" s="179"/>
      <c r="Q833" s="179"/>
      <c r="R833" s="179"/>
      <c r="S833" s="179"/>
      <c r="T833" s="179"/>
      <c r="U833" s="179"/>
      <c r="V833" s="179"/>
      <c r="W833" s="179"/>
      <c r="X833" s="179"/>
      <c r="Y833" s="179"/>
      <c r="Z833" s="179"/>
    </row>
    <row r="834">
      <c r="A834" s="179"/>
      <c r="B834" s="179"/>
      <c r="C834" s="179"/>
      <c r="D834" s="179"/>
      <c r="E834" s="179"/>
      <c r="F834" s="179"/>
      <c r="G834" s="179"/>
      <c r="H834" s="179"/>
      <c r="I834" s="179"/>
      <c r="J834" s="179"/>
      <c r="K834" s="179"/>
      <c r="L834" s="179"/>
      <c r="M834" s="179"/>
      <c r="N834" s="179"/>
      <c r="O834" s="179"/>
      <c r="P834" s="179"/>
      <c r="Q834" s="179"/>
      <c r="R834" s="179"/>
      <c r="S834" s="179"/>
      <c r="T834" s="179"/>
      <c r="U834" s="179"/>
      <c r="V834" s="179"/>
      <c r="W834" s="179"/>
      <c r="X834" s="179"/>
      <c r="Y834" s="179"/>
      <c r="Z834" s="179"/>
    </row>
    <row r="835">
      <c r="A835" s="179"/>
      <c r="B835" s="179"/>
      <c r="C835" s="179"/>
      <c r="D835" s="179"/>
      <c r="E835" s="179"/>
      <c r="F835" s="179"/>
      <c r="G835" s="179"/>
      <c r="H835" s="179"/>
      <c r="I835" s="179"/>
      <c r="J835" s="179"/>
      <c r="K835" s="179"/>
      <c r="L835" s="179"/>
      <c r="M835" s="179"/>
      <c r="N835" s="179"/>
      <c r="O835" s="179"/>
      <c r="P835" s="179"/>
      <c r="Q835" s="179"/>
      <c r="R835" s="179"/>
      <c r="S835" s="179"/>
      <c r="T835" s="179"/>
      <c r="U835" s="179"/>
      <c r="V835" s="179"/>
      <c r="W835" s="179"/>
      <c r="X835" s="179"/>
      <c r="Y835" s="179"/>
      <c r="Z835" s="179"/>
    </row>
    <row r="836">
      <c r="A836" s="179"/>
      <c r="B836" s="179"/>
      <c r="C836" s="179"/>
      <c r="D836" s="179"/>
      <c r="E836" s="179"/>
      <c r="F836" s="179"/>
      <c r="G836" s="179"/>
      <c r="H836" s="179"/>
      <c r="I836" s="179"/>
      <c r="J836" s="179"/>
      <c r="K836" s="179"/>
      <c r="L836" s="179"/>
      <c r="M836" s="179"/>
      <c r="N836" s="179"/>
      <c r="O836" s="179"/>
      <c r="P836" s="179"/>
      <c r="Q836" s="179"/>
      <c r="R836" s="179"/>
      <c r="S836" s="179"/>
      <c r="T836" s="179"/>
      <c r="U836" s="179"/>
      <c r="V836" s="179"/>
      <c r="W836" s="179"/>
      <c r="X836" s="179"/>
      <c r="Y836" s="179"/>
      <c r="Z836" s="179"/>
    </row>
    <row r="837">
      <c r="A837" s="179"/>
      <c r="B837" s="179"/>
      <c r="C837" s="179"/>
      <c r="D837" s="179"/>
      <c r="E837" s="179"/>
      <c r="F837" s="179"/>
      <c r="G837" s="179"/>
      <c r="H837" s="179"/>
      <c r="I837" s="179"/>
      <c r="J837" s="179"/>
      <c r="K837" s="179"/>
      <c r="L837" s="179"/>
      <c r="M837" s="179"/>
      <c r="N837" s="179"/>
      <c r="O837" s="179"/>
      <c r="P837" s="179"/>
      <c r="Q837" s="179"/>
      <c r="R837" s="179"/>
      <c r="S837" s="179"/>
      <c r="T837" s="179"/>
      <c r="U837" s="179"/>
      <c r="V837" s="179"/>
      <c r="W837" s="179"/>
      <c r="X837" s="179"/>
      <c r="Y837" s="179"/>
      <c r="Z837" s="179"/>
    </row>
    <row r="838">
      <c r="A838" s="179"/>
      <c r="B838" s="179"/>
      <c r="C838" s="179"/>
      <c r="D838" s="179"/>
      <c r="E838" s="179"/>
      <c r="F838" s="179"/>
      <c r="G838" s="179"/>
      <c r="H838" s="179"/>
      <c r="I838" s="179"/>
      <c r="J838" s="179"/>
      <c r="K838" s="179"/>
      <c r="L838" s="179"/>
      <c r="M838" s="179"/>
      <c r="N838" s="179"/>
      <c r="O838" s="179"/>
      <c r="P838" s="179"/>
      <c r="Q838" s="179"/>
      <c r="R838" s="179"/>
      <c r="S838" s="179"/>
      <c r="T838" s="179"/>
      <c r="U838" s="179"/>
      <c r="V838" s="179"/>
      <c r="W838" s="179"/>
      <c r="X838" s="179"/>
      <c r="Y838" s="179"/>
      <c r="Z838" s="179"/>
    </row>
    <row r="839">
      <c r="A839" s="179"/>
      <c r="B839" s="179"/>
      <c r="C839" s="179"/>
      <c r="D839" s="179"/>
      <c r="E839" s="179"/>
      <c r="F839" s="179"/>
      <c r="G839" s="179"/>
      <c r="H839" s="179"/>
      <c r="I839" s="179"/>
      <c r="J839" s="179"/>
      <c r="K839" s="179"/>
      <c r="L839" s="179"/>
      <c r="M839" s="179"/>
      <c r="N839" s="179"/>
      <c r="O839" s="179"/>
      <c r="P839" s="179"/>
      <c r="Q839" s="179"/>
      <c r="R839" s="179"/>
      <c r="S839" s="179"/>
      <c r="T839" s="179"/>
      <c r="U839" s="179"/>
      <c r="V839" s="179"/>
      <c r="W839" s="179"/>
      <c r="X839" s="179"/>
      <c r="Y839" s="179"/>
      <c r="Z839" s="179"/>
    </row>
    <row r="840">
      <c r="A840" s="179"/>
      <c r="B840" s="179"/>
      <c r="C840" s="179"/>
      <c r="D840" s="179"/>
      <c r="E840" s="179"/>
      <c r="F840" s="179"/>
      <c r="G840" s="179"/>
      <c r="H840" s="179"/>
      <c r="I840" s="179"/>
      <c r="J840" s="179"/>
      <c r="K840" s="179"/>
      <c r="L840" s="179"/>
      <c r="M840" s="179"/>
      <c r="N840" s="179"/>
      <c r="O840" s="179"/>
      <c r="P840" s="179"/>
      <c r="Q840" s="179"/>
      <c r="R840" s="179"/>
      <c r="S840" s="179"/>
      <c r="T840" s="179"/>
      <c r="U840" s="179"/>
      <c r="V840" s="179"/>
      <c r="W840" s="179"/>
      <c r="X840" s="179"/>
      <c r="Y840" s="179"/>
      <c r="Z840" s="179"/>
    </row>
    <row r="841">
      <c r="A841" s="179"/>
      <c r="B841" s="179"/>
      <c r="C841" s="179"/>
      <c r="D841" s="179"/>
      <c r="E841" s="179"/>
      <c r="F841" s="179"/>
      <c r="G841" s="179"/>
      <c r="H841" s="179"/>
      <c r="I841" s="179"/>
      <c r="J841" s="179"/>
      <c r="K841" s="179"/>
      <c r="L841" s="179"/>
      <c r="M841" s="179"/>
      <c r="N841" s="179"/>
      <c r="O841" s="179"/>
      <c r="P841" s="179"/>
      <c r="Q841" s="179"/>
      <c r="R841" s="179"/>
      <c r="S841" s="179"/>
      <c r="T841" s="179"/>
      <c r="U841" s="179"/>
      <c r="V841" s="179"/>
      <c r="W841" s="179"/>
      <c r="X841" s="179"/>
      <c r="Y841" s="179"/>
      <c r="Z841" s="179"/>
    </row>
    <row r="842">
      <c r="A842" s="179"/>
      <c r="B842" s="179"/>
      <c r="C842" s="179"/>
      <c r="D842" s="179"/>
      <c r="E842" s="179"/>
      <c r="F842" s="179"/>
      <c r="G842" s="179"/>
      <c r="H842" s="179"/>
      <c r="I842" s="179"/>
      <c r="J842" s="179"/>
      <c r="K842" s="179"/>
      <c r="L842" s="179"/>
      <c r="M842" s="179"/>
      <c r="N842" s="179"/>
      <c r="O842" s="179"/>
      <c r="P842" s="179"/>
      <c r="Q842" s="179"/>
      <c r="R842" s="179"/>
      <c r="S842" s="179"/>
      <c r="T842" s="179"/>
      <c r="U842" s="179"/>
      <c r="V842" s="179"/>
      <c r="W842" s="179"/>
      <c r="X842" s="179"/>
      <c r="Y842" s="179"/>
      <c r="Z842" s="179"/>
    </row>
    <row r="843">
      <c r="A843" s="179"/>
      <c r="B843" s="179"/>
      <c r="C843" s="179"/>
      <c r="D843" s="179"/>
      <c r="E843" s="179"/>
      <c r="F843" s="179"/>
      <c r="G843" s="179"/>
      <c r="H843" s="179"/>
      <c r="I843" s="179"/>
      <c r="J843" s="179"/>
      <c r="K843" s="179"/>
      <c r="L843" s="179"/>
      <c r="M843" s="179"/>
      <c r="N843" s="179"/>
      <c r="O843" s="179"/>
      <c r="P843" s="179"/>
      <c r="Q843" s="179"/>
      <c r="R843" s="179"/>
      <c r="S843" s="179"/>
      <c r="T843" s="179"/>
      <c r="U843" s="179"/>
      <c r="V843" s="179"/>
      <c r="W843" s="179"/>
      <c r="X843" s="179"/>
      <c r="Y843" s="179"/>
      <c r="Z843" s="179"/>
    </row>
    <row r="844">
      <c r="A844" s="179"/>
      <c r="B844" s="179"/>
      <c r="C844" s="179"/>
      <c r="D844" s="179"/>
      <c r="E844" s="179"/>
      <c r="F844" s="179"/>
      <c r="G844" s="179"/>
      <c r="H844" s="179"/>
      <c r="I844" s="179"/>
      <c r="J844" s="179"/>
      <c r="K844" s="179"/>
      <c r="L844" s="179"/>
      <c r="M844" s="179"/>
      <c r="N844" s="179"/>
      <c r="O844" s="179"/>
      <c r="P844" s="179"/>
      <c r="Q844" s="179"/>
      <c r="R844" s="179"/>
      <c r="S844" s="179"/>
      <c r="T844" s="179"/>
      <c r="U844" s="179"/>
      <c r="V844" s="179"/>
      <c r="W844" s="179"/>
      <c r="X844" s="179"/>
      <c r="Y844" s="179"/>
      <c r="Z844" s="179"/>
    </row>
    <row r="845">
      <c r="A845" s="179"/>
      <c r="B845" s="179"/>
      <c r="C845" s="179"/>
      <c r="D845" s="179"/>
      <c r="E845" s="179"/>
      <c r="F845" s="179"/>
      <c r="G845" s="179"/>
      <c r="H845" s="179"/>
      <c r="I845" s="179"/>
      <c r="J845" s="179"/>
      <c r="K845" s="179"/>
      <c r="L845" s="179"/>
      <c r="M845" s="179"/>
      <c r="N845" s="179"/>
      <c r="O845" s="179"/>
      <c r="P845" s="179"/>
      <c r="Q845" s="179"/>
      <c r="R845" s="179"/>
      <c r="S845" s="179"/>
      <c r="T845" s="179"/>
      <c r="U845" s="179"/>
      <c r="V845" s="179"/>
      <c r="W845" s="179"/>
      <c r="X845" s="179"/>
      <c r="Y845" s="179"/>
      <c r="Z845" s="179"/>
    </row>
    <row r="846">
      <c r="A846" s="179"/>
      <c r="B846" s="179"/>
      <c r="C846" s="179"/>
      <c r="D846" s="179"/>
      <c r="E846" s="179"/>
      <c r="F846" s="179"/>
      <c r="G846" s="179"/>
      <c r="H846" s="179"/>
      <c r="I846" s="179"/>
      <c r="J846" s="179"/>
      <c r="K846" s="179"/>
      <c r="L846" s="179"/>
      <c r="M846" s="179"/>
      <c r="N846" s="179"/>
      <c r="O846" s="179"/>
      <c r="P846" s="179"/>
      <c r="Q846" s="179"/>
      <c r="R846" s="179"/>
      <c r="S846" s="179"/>
      <c r="T846" s="179"/>
      <c r="U846" s="179"/>
      <c r="V846" s="179"/>
      <c r="W846" s="179"/>
      <c r="X846" s="179"/>
      <c r="Y846" s="179"/>
      <c r="Z846" s="179"/>
    </row>
    <row r="847">
      <c r="A847" s="179"/>
      <c r="B847" s="179"/>
      <c r="C847" s="179"/>
      <c r="D847" s="179"/>
      <c r="E847" s="179"/>
      <c r="F847" s="179"/>
      <c r="G847" s="179"/>
      <c r="H847" s="179"/>
      <c r="I847" s="179"/>
      <c r="J847" s="179"/>
      <c r="K847" s="179"/>
      <c r="L847" s="179"/>
      <c r="M847" s="179"/>
      <c r="N847" s="179"/>
      <c r="O847" s="179"/>
      <c r="P847" s="179"/>
      <c r="Q847" s="179"/>
      <c r="R847" s="179"/>
      <c r="S847" s="179"/>
      <c r="T847" s="179"/>
      <c r="U847" s="179"/>
      <c r="V847" s="179"/>
      <c r="W847" s="179"/>
      <c r="X847" s="179"/>
      <c r="Y847" s="179"/>
      <c r="Z847" s="179"/>
    </row>
    <row r="848">
      <c r="A848" s="179"/>
      <c r="B848" s="179"/>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row>
    <row r="849">
      <c r="A849" s="179"/>
      <c r="B849" s="179"/>
      <c r="C849" s="179"/>
      <c r="D849" s="179"/>
      <c r="E849" s="179"/>
      <c r="F849" s="179"/>
      <c r="G849" s="179"/>
      <c r="H849" s="179"/>
      <c r="I849" s="179"/>
      <c r="J849" s="179"/>
      <c r="K849" s="179"/>
      <c r="L849" s="179"/>
      <c r="M849" s="179"/>
      <c r="N849" s="179"/>
      <c r="O849" s="179"/>
      <c r="P849" s="179"/>
      <c r="Q849" s="179"/>
      <c r="R849" s="179"/>
      <c r="S849" s="179"/>
      <c r="T849" s="179"/>
      <c r="U849" s="179"/>
      <c r="V849" s="179"/>
      <c r="W849" s="179"/>
      <c r="X849" s="179"/>
      <c r="Y849" s="179"/>
      <c r="Z849" s="179"/>
    </row>
    <row r="850">
      <c r="A850" s="179"/>
      <c r="B850" s="179"/>
      <c r="C850" s="179"/>
      <c r="D850" s="179"/>
      <c r="E850" s="179"/>
      <c r="F850" s="179"/>
      <c r="G850" s="179"/>
      <c r="H850" s="179"/>
      <c r="I850" s="179"/>
      <c r="J850" s="179"/>
      <c r="K850" s="179"/>
      <c r="L850" s="179"/>
      <c r="M850" s="179"/>
      <c r="N850" s="179"/>
      <c r="O850" s="179"/>
      <c r="P850" s="179"/>
      <c r="Q850" s="179"/>
      <c r="R850" s="179"/>
      <c r="S850" s="179"/>
      <c r="T850" s="179"/>
      <c r="U850" s="179"/>
      <c r="V850" s="179"/>
      <c r="W850" s="179"/>
      <c r="X850" s="179"/>
      <c r="Y850" s="179"/>
      <c r="Z850" s="179"/>
    </row>
    <row r="851">
      <c r="A851" s="179"/>
      <c r="B851" s="179"/>
      <c r="C851" s="179"/>
      <c r="D851" s="179"/>
      <c r="E851" s="179"/>
      <c r="F851" s="179"/>
      <c r="G851" s="179"/>
      <c r="H851" s="179"/>
      <c r="I851" s="179"/>
      <c r="J851" s="179"/>
      <c r="K851" s="179"/>
      <c r="L851" s="179"/>
      <c r="M851" s="179"/>
      <c r="N851" s="179"/>
      <c r="O851" s="179"/>
      <c r="P851" s="179"/>
      <c r="Q851" s="179"/>
      <c r="R851" s="179"/>
      <c r="S851" s="179"/>
      <c r="T851" s="179"/>
      <c r="U851" s="179"/>
      <c r="V851" s="179"/>
      <c r="W851" s="179"/>
      <c r="X851" s="179"/>
      <c r="Y851" s="179"/>
      <c r="Z851" s="179"/>
    </row>
    <row r="852">
      <c r="A852" s="179"/>
      <c r="B852" s="179"/>
      <c r="C852" s="179"/>
      <c r="D852" s="179"/>
      <c r="E852" s="179"/>
      <c r="F852" s="179"/>
      <c r="G852" s="179"/>
      <c r="H852" s="179"/>
      <c r="I852" s="179"/>
      <c r="J852" s="179"/>
      <c r="K852" s="179"/>
      <c r="L852" s="179"/>
      <c r="M852" s="179"/>
      <c r="N852" s="179"/>
      <c r="O852" s="179"/>
      <c r="P852" s="179"/>
      <c r="Q852" s="179"/>
      <c r="R852" s="179"/>
      <c r="S852" s="179"/>
      <c r="T852" s="179"/>
      <c r="U852" s="179"/>
      <c r="V852" s="179"/>
      <c r="W852" s="179"/>
      <c r="X852" s="179"/>
      <c r="Y852" s="179"/>
      <c r="Z852" s="179"/>
    </row>
    <row r="853">
      <c r="A853" s="179"/>
      <c r="B853" s="179"/>
      <c r="C853" s="179"/>
      <c r="D853" s="179"/>
      <c r="E853" s="179"/>
      <c r="F853" s="179"/>
      <c r="G853" s="179"/>
      <c r="H853" s="179"/>
      <c r="I853" s="179"/>
      <c r="J853" s="179"/>
      <c r="K853" s="179"/>
      <c r="L853" s="179"/>
      <c r="M853" s="179"/>
      <c r="N853" s="179"/>
      <c r="O853" s="179"/>
      <c r="P853" s="179"/>
      <c r="Q853" s="179"/>
      <c r="R853" s="179"/>
      <c r="S853" s="179"/>
      <c r="T853" s="179"/>
      <c r="U853" s="179"/>
      <c r="V853" s="179"/>
      <c r="W853" s="179"/>
      <c r="X853" s="179"/>
      <c r="Y853" s="179"/>
      <c r="Z853" s="179"/>
    </row>
    <row r="854">
      <c r="A854" s="179"/>
      <c r="B854" s="179"/>
      <c r="C854" s="179"/>
      <c r="D854" s="179"/>
      <c r="E854" s="179"/>
      <c r="F854" s="179"/>
      <c r="G854" s="179"/>
      <c r="H854" s="179"/>
      <c r="I854" s="179"/>
      <c r="J854" s="179"/>
      <c r="K854" s="179"/>
      <c r="L854" s="179"/>
      <c r="M854" s="179"/>
      <c r="N854" s="179"/>
      <c r="O854" s="179"/>
      <c r="P854" s="179"/>
      <c r="Q854" s="179"/>
      <c r="R854" s="179"/>
      <c r="S854" s="179"/>
      <c r="T854" s="179"/>
      <c r="U854" s="179"/>
      <c r="V854" s="179"/>
      <c r="W854" s="179"/>
      <c r="X854" s="179"/>
      <c r="Y854" s="179"/>
      <c r="Z854" s="179"/>
    </row>
    <row r="855">
      <c r="A855" s="179"/>
      <c r="B855" s="179"/>
      <c r="C855" s="179"/>
      <c r="D855" s="179"/>
      <c r="E855" s="179"/>
      <c r="F855" s="179"/>
      <c r="G855" s="179"/>
      <c r="H855" s="179"/>
      <c r="I855" s="179"/>
      <c r="J855" s="179"/>
      <c r="K855" s="179"/>
      <c r="L855" s="179"/>
      <c r="M855" s="179"/>
      <c r="N855" s="179"/>
      <c r="O855" s="179"/>
      <c r="P855" s="179"/>
      <c r="Q855" s="179"/>
      <c r="R855" s="179"/>
      <c r="S855" s="179"/>
      <c r="T855" s="179"/>
      <c r="U855" s="179"/>
      <c r="V855" s="179"/>
      <c r="W855" s="179"/>
      <c r="X855" s="179"/>
      <c r="Y855" s="179"/>
      <c r="Z855" s="179"/>
    </row>
    <row r="856">
      <c r="A856" s="179"/>
      <c r="B856" s="179"/>
      <c r="C856" s="179"/>
      <c r="D856" s="179"/>
      <c r="E856" s="179"/>
      <c r="F856" s="179"/>
      <c r="G856" s="179"/>
      <c r="H856" s="179"/>
      <c r="I856" s="179"/>
      <c r="J856" s="179"/>
      <c r="K856" s="179"/>
      <c r="L856" s="179"/>
      <c r="M856" s="179"/>
      <c r="N856" s="179"/>
      <c r="O856" s="179"/>
      <c r="P856" s="179"/>
      <c r="Q856" s="179"/>
      <c r="R856" s="179"/>
      <c r="S856" s="179"/>
      <c r="T856" s="179"/>
      <c r="U856" s="179"/>
      <c r="V856" s="179"/>
      <c r="W856" s="179"/>
      <c r="X856" s="179"/>
      <c r="Y856" s="179"/>
      <c r="Z856" s="179"/>
    </row>
    <row r="857">
      <c r="A857" s="179"/>
      <c r="B857" s="179"/>
      <c r="C857" s="179"/>
      <c r="D857" s="179"/>
      <c r="E857" s="179"/>
      <c r="F857" s="179"/>
      <c r="G857" s="179"/>
      <c r="H857" s="179"/>
      <c r="I857" s="179"/>
      <c r="J857" s="179"/>
      <c r="K857" s="179"/>
      <c r="L857" s="179"/>
      <c r="M857" s="179"/>
      <c r="N857" s="179"/>
      <c r="O857" s="179"/>
      <c r="P857" s="179"/>
      <c r="Q857" s="179"/>
      <c r="R857" s="179"/>
      <c r="S857" s="179"/>
      <c r="T857" s="179"/>
      <c r="U857" s="179"/>
      <c r="V857" s="179"/>
      <c r="W857" s="179"/>
      <c r="X857" s="179"/>
      <c r="Y857" s="179"/>
      <c r="Z857" s="179"/>
    </row>
    <row r="858">
      <c r="A858" s="179"/>
      <c r="B858" s="179"/>
      <c r="C858" s="179"/>
      <c r="D858" s="179"/>
      <c r="E858" s="179"/>
      <c r="F858" s="179"/>
      <c r="G858" s="179"/>
      <c r="H858" s="179"/>
      <c r="I858" s="179"/>
      <c r="J858" s="179"/>
      <c r="K858" s="179"/>
      <c r="L858" s="179"/>
      <c r="M858" s="179"/>
      <c r="N858" s="179"/>
      <c r="O858" s="179"/>
      <c r="P858" s="179"/>
      <c r="Q858" s="179"/>
      <c r="R858" s="179"/>
      <c r="S858" s="179"/>
      <c r="T858" s="179"/>
      <c r="U858" s="179"/>
      <c r="V858" s="179"/>
      <c r="W858" s="179"/>
      <c r="X858" s="179"/>
      <c r="Y858" s="179"/>
      <c r="Z858" s="179"/>
    </row>
    <row r="859">
      <c r="A859" s="179"/>
      <c r="B859" s="179"/>
      <c r="C859" s="179"/>
      <c r="D859" s="179"/>
      <c r="E859" s="179"/>
      <c r="F859" s="179"/>
      <c r="G859" s="179"/>
      <c r="H859" s="179"/>
      <c r="I859" s="179"/>
      <c r="J859" s="179"/>
      <c r="K859" s="179"/>
      <c r="L859" s="179"/>
      <c r="M859" s="179"/>
      <c r="N859" s="179"/>
      <c r="O859" s="179"/>
      <c r="P859" s="179"/>
      <c r="Q859" s="179"/>
      <c r="R859" s="179"/>
      <c r="S859" s="179"/>
      <c r="T859" s="179"/>
      <c r="U859" s="179"/>
      <c r="V859" s="179"/>
      <c r="W859" s="179"/>
      <c r="X859" s="179"/>
      <c r="Y859" s="179"/>
      <c r="Z859" s="179"/>
    </row>
    <row r="860">
      <c r="A860" s="179"/>
      <c r="B860" s="179"/>
      <c r="C860" s="179"/>
      <c r="D860" s="179"/>
      <c r="E860" s="179"/>
      <c r="F860" s="179"/>
      <c r="G860" s="179"/>
      <c r="H860" s="179"/>
      <c r="I860" s="179"/>
      <c r="J860" s="179"/>
      <c r="K860" s="179"/>
      <c r="L860" s="179"/>
      <c r="M860" s="179"/>
      <c r="N860" s="179"/>
      <c r="O860" s="179"/>
      <c r="P860" s="179"/>
      <c r="Q860" s="179"/>
      <c r="R860" s="179"/>
      <c r="S860" s="179"/>
      <c r="T860" s="179"/>
      <c r="U860" s="179"/>
      <c r="V860" s="179"/>
      <c r="W860" s="179"/>
      <c r="X860" s="179"/>
      <c r="Y860" s="179"/>
      <c r="Z860" s="179"/>
    </row>
    <row r="861">
      <c r="A861" s="179"/>
      <c r="B861" s="179"/>
      <c r="C861" s="179"/>
      <c r="D861" s="179"/>
      <c r="E861" s="179"/>
      <c r="F861" s="179"/>
      <c r="G861" s="179"/>
      <c r="H861" s="179"/>
      <c r="I861" s="179"/>
      <c r="J861" s="179"/>
      <c r="K861" s="179"/>
      <c r="L861" s="179"/>
      <c r="M861" s="179"/>
      <c r="N861" s="179"/>
      <c r="O861" s="179"/>
      <c r="P861" s="179"/>
      <c r="Q861" s="179"/>
      <c r="R861" s="179"/>
      <c r="S861" s="179"/>
      <c r="T861" s="179"/>
      <c r="U861" s="179"/>
      <c r="V861" s="179"/>
      <c r="W861" s="179"/>
      <c r="X861" s="179"/>
      <c r="Y861" s="179"/>
      <c r="Z861" s="179"/>
    </row>
    <row r="862">
      <c r="A862" s="179"/>
      <c r="B862" s="179"/>
      <c r="C862" s="179"/>
      <c r="D862" s="179"/>
      <c r="E862" s="179"/>
      <c r="F862" s="179"/>
      <c r="G862" s="179"/>
      <c r="H862" s="179"/>
      <c r="I862" s="179"/>
      <c r="J862" s="179"/>
      <c r="K862" s="179"/>
      <c r="L862" s="179"/>
      <c r="M862" s="179"/>
      <c r="N862" s="179"/>
      <c r="O862" s="179"/>
      <c r="P862" s="179"/>
      <c r="Q862" s="179"/>
      <c r="R862" s="179"/>
      <c r="S862" s="179"/>
      <c r="T862" s="179"/>
      <c r="U862" s="179"/>
      <c r="V862" s="179"/>
      <c r="W862" s="179"/>
      <c r="X862" s="179"/>
      <c r="Y862" s="179"/>
      <c r="Z862" s="179"/>
    </row>
    <row r="863">
      <c r="A863" s="179"/>
      <c r="B863" s="179"/>
      <c r="C863" s="179"/>
      <c r="D863" s="179"/>
      <c r="E863" s="179"/>
      <c r="F863" s="179"/>
      <c r="G863" s="179"/>
      <c r="H863" s="179"/>
      <c r="I863" s="179"/>
      <c r="J863" s="179"/>
      <c r="K863" s="179"/>
      <c r="L863" s="179"/>
      <c r="M863" s="179"/>
      <c r="N863" s="179"/>
      <c r="O863" s="179"/>
      <c r="P863" s="179"/>
      <c r="Q863" s="179"/>
      <c r="R863" s="179"/>
      <c r="S863" s="179"/>
      <c r="T863" s="179"/>
      <c r="U863" s="179"/>
      <c r="V863" s="179"/>
      <c r="W863" s="179"/>
      <c r="X863" s="179"/>
      <c r="Y863" s="179"/>
      <c r="Z863" s="179"/>
    </row>
    <row r="864">
      <c r="A864" s="179"/>
      <c r="B864" s="179"/>
      <c r="C864" s="179"/>
      <c r="D864" s="179"/>
      <c r="E864" s="179"/>
      <c r="F864" s="179"/>
      <c r="G864" s="179"/>
      <c r="H864" s="179"/>
      <c r="I864" s="179"/>
      <c r="J864" s="179"/>
      <c r="K864" s="179"/>
      <c r="L864" s="179"/>
      <c r="M864" s="179"/>
      <c r="N864" s="179"/>
      <c r="O864" s="179"/>
      <c r="P864" s="179"/>
      <c r="Q864" s="179"/>
      <c r="R864" s="179"/>
      <c r="S864" s="179"/>
      <c r="T864" s="179"/>
      <c r="U864" s="179"/>
      <c r="V864" s="179"/>
      <c r="W864" s="179"/>
      <c r="X864" s="179"/>
      <c r="Y864" s="179"/>
      <c r="Z864" s="179"/>
    </row>
    <row r="865">
      <c r="A865" s="179"/>
      <c r="B865" s="179"/>
      <c r="C865" s="179"/>
      <c r="D865" s="179"/>
      <c r="E865" s="179"/>
      <c r="F865" s="179"/>
      <c r="G865" s="179"/>
      <c r="H865" s="179"/>
      <c r="I865" s="179"/>
      <c r="J865" s="179"/>
      <c r="K865" s="179"/>
      <c r="L865" s="179"/>
      <c r="M865" s="179"/>
      <c r="N865" s="179"/>
      <c r="O865" s="179"/>
      <c r="P865" s="179"/>
      <c r="Q865" s="179"/>
      <c r="R865" s="179"/>
      <c r="S865" s="179"/>
      <c r="T865" s="179"/>
      <c r="U865" s="179"/>
      <c r="V865" s="179"/>
      <c r="W865" s="179"/>
      <c r="X865" s="179"/>
      <c r="Y865" s="179"/>
      <c r="Z865" s="179"/>
    </row>
    <row r="866">
      <c r="A866" s="179"/>
      <c r="B866" s="179"/>
      <c r="C866" s="179"/>
      <c r="D866" s="179"/>
      <c r="E866" s="179"/>
      <c r="F866" s="179"/>
      <c r="G866" s="179"/>
      <c r="H866" s="179"/>
      <c r="I866" s="179"/>
      <c r="J866" s="179"/>
      <c r="K866" s="179"/>
      <c r="L866" s="179"/>
      <c r="M866" s="179"/>
      <c r="N866" s="179"/>
      <c r="O866" s="179"/>
      <c r="P866" s="179"/>
      <c r="Q866" s="179"/>
      <c r="R866" s="179"/>
      <c r="S866" s="179"/>
      <c r="T866" s="179"/>
      <c r="U866" s="179"/>
      <c r="V866" s="179"/>
      <c r="W866" s="179"/>
      <c r="X866" s="179"/>
      <c r="Y866" s="179"/>
      <c r="Z866" s="179"/>
    </row>
    <row r="867">
      <c r="A867" s="179"/>
      <c r="B867" s="179"/>
      <c r="C867" s="179"/>
      <c r="D867" s="179"/>
      <c r="E867" s="179"/>
      <c r="F867" s="179"/>
      <c r="G867" s="179"/>
      <c r="H867" s="179"/>
      <c r="I867" s="179"/>
      <c r="J867" s="179"/>
      <c r="K867" s="179"/>
      <c r="L867" s="179"/>
      <c r="M867" s="179"/>
      <c r="N867" s="179"/>
      <c r="O867" s="179"/>
      <c r="P867" s="179"/>
      <c r="Q867" s="179"/>
      <c r="R867" s="179"/>
      <c r="S867" s="179"/>
      <c r="T867" s="179"/>
      <c r="U867" s="179"/>
      <c r="V867" s="179"/>
      <c r="W867" s="179"/>
      <c r="X867" s="179"/>
      <c r="Y867" s="179"/>
      <c r="Z867" s="179"/>
    </row>
    <row r="868">
      <c r="A868" s="179"/>
      <c r="B868" s="179"/>
      <c r="C868" s="179"/>
      <c r="D868" s="179"/>
      <c r="E868" s="179"/>
      <c r="F868" s="179"/>
      <c r="G868" s="179"/>
      <c r="H868" s="179"/>
      <c r="I868" s="179"/>
      <c r="J868" s="179"/>
      <c r="K868" s="179"/>
      <c r="L868" s="179"/>
      <c r="M868" s="179"/>
      <c r="N868" s="179"/>
      <c r="O868" s="179"/>
      <c r="P868" s="179"/>
      <c r="Q868" s="179"/>
      <c r="R868" s="179"/>
      <c r="S868" s="179"/>
      <c r="T868" s="179"/>
      <c r="U868" s="179"/>
      <c r="V868" s="179"/>
      <c r="W868" s="179"/>
      <c r="X868" s="179"/>
      <c r="Y868" s="179"/>
      <c r="Z868" s="179"/>
    </row>
    <row r="869">
      <c r="A869" s="179"/>
      <c r="B869" s="179"/>
      <c r="C869" s="179"/>
      <c r="D869" s="179"/>
      <c r="E869" s="179"/>
      <c r="F869" s="179"/>
      <c r="G869" s="179"/>
      <c r="H869" s="179"/>
      <c r="I869" s="179"/>
      <c r="J869" s="179"/>
      <c r="K869" s="179"/>
      <c r="L869" s="179"/>
      <c r="M869" s="179"/>
      <c r="N869" s="179"/>
      <c r="O869" s="179"/>
      <c r="P869" s="179"/>
      <c r="Q869" s="179"/>
      <c r="R869" s="179"/>
      <c r="S869" s="179"/>
      <c r="T869" s="179"/>
      <c r="U869" s="179"/>
      <c r="V869" s="179"/>
      <c r="W869" s="179"/>
      <c r="X869" s="179"/>
      <c r="Y869" s="179"/>
      <c r="Z869" s="179"/>
    </row>
    <row r="870">
      <c r="A870" s="179"/>
      <c r="B870" s="179"/>
      <c r="C870" s="179"/>
      <c r="D870" s="179"/>
      <c r="E870" s="179"/>
      <c r="F870" s="179"/>
      <c r="G870" s="179"/>
      <c r="H870" s="179"/>
      <c r="I870" s="179"/>
      <c r="J870" s="179"/>
      <c r="K870" s="179"/>
      <c r="L870" s="179"/>
      <c r="M870" s="179"/>
      <c r="N870" s="179"/>
      <c r="O870" s="179"/>
      <c r="P870" s="179"/>
      <c r="Q870" s="179"/>
      <c r="R870" s="179"/>
      <c r="S870" s="179"/>
      <c r="T870" s="179"/>
      <c r="U870" s="179"/>
      <c r="V870" s="179"/>
      <c r="W870" s="179"/>
      <c r="X870" s="179"/>
      <c r="Y870" s="179"/>
      <c r="Z870" s="179"/>
    </row>
    <row r="871">
      <c r="A871" s="179"/>
      <c r="B871" s="179"/>
      <c r="C871" s="179"/>
      <c r="D871" s="179"/>
      <c r="E871" s="179"/>
      <c r="F871" s="179"/>
      <c r="G871" s="179"/>
      <c r="H871" s="179"/>
      <c r="I871" s="179"/>
      <c r="J871" s="179"/>
      <c r="K871" s="179"/>
      <c r="L871" s="179"/>
      <c r="M871" s="179"/>
      <c r="N871" s="179"/>
      <c r="O871" s="179"/>
      <c r="P871" s="179"/>
      <c r="Q871" s="179"/>
      <c r="R871" s="179"/>
      <c r="S871" s="179"/>
      <c r="T871" s="179"/>
      <c r="U871" s="179"/>
      <c r="V871" s="179"/>
      <c r="W871" s="179"/>
      <c r="X871" s="179"/>
      <c r="Y871" s="179"/>
      <c r="Z871" s="179"/>
    </row>
    <row r="872">
      <c r="A872" s="179"/>
      <c r="B872" s="179"/>
      <c r="C872" s="179"/>
      <c r="D872" s="179"/>
      <c r="E872" s="179"/>
      <c r="F872" s="179"/>
      <c r="G872" s="179"/>
      <c r="H872" s="179"/>
      <c r="I872" s="179"/>
      <c r="J872" s="179"/>
      <c r="K872" s="179"/>
      <c r="L872" s="179"/>
      <c r="M872" s="179"/>
      <c r="N872" s="179"/>
      <c r="O872" s="179"/>
      <c r="P872" s="179"/>
      <c r="Q872" s="179"/>
      <c r="R872" s="179"/>
      <c r="S872" s="179"/>
      <c r="T872" s="179"/>
      <c r="U872" s="179"/>
      <c r="V872" s="179"/>
      <c r="W872" s="179"/>
      <c r="X872" s="179"/>
      <c r="Y872" s="179"/>
      <c r="Z872" s="179"/>
    </row>
    <row r="873">
      <c r="A873" s="179"/>
      <c r="B873" s="179"/>
      <c r="C873" s="179"/>
      <c r="D873" s="179"/>
      <c r="E873" s="179"/>
      <c r="F873" s="179"/>
      <c r="G873" s="179"/>
      <c r="H873" s="179"/>
      <c r="I873" s="179"/>
      <c r="J873" s="179"/>
      <c r="K873" s="179"/>
      <c r="L873" s="179"/>
      <c r="M873" s="179"/>
      <c r="N873" s="179"/>
      <c r="O873" s="179"/>
      <c r="P873" s="179"/>
      <c r="Q873" s="179"/>
      <c r="R873" s="179"/>
      <c r="S873" s="179"/>
      <c r="T873" s="179"/>
      <c r="U873" s="179"/>
      <c r="V873" s="179"/>
      <c r="W873" s="179"/>
      <c r="X873" s="179"/>
      <c r="Y873" s="179"/>
      <c r="Z873" s="179"/>
    </row>
    <row r="874">
      <c r="A874" s="179"/>
      <c r="B874" s="179"/>
      <c r="C874" s="179"/>
      <c r="D874" s="179"/>
      <c r="E874" s="179"/>
      <c r="F874" s="179"/>
      <c r="G874" s="179"/>
      <c r="H874" s="179"/>
      <c r="I874" s="179"/>
      <c r="J874" s="179"/>
      <c r="K874" s="179"/>
      <c r="L874" s="179"/>
      <c r="M874" s="179"/>
      <c r="N874" s="179"/>
      <c r="O874" s="179"/>
      <c r="P874" s="179"/>
      <c r="Q874" s="179"/>
      <c r="R874" s="179"/>
      <c r="S874" s="179"/>
      <c r="T874" s="179"/>
      <c r="U874" s="179"/>
      <c r="V874" s="179"/>
      <c r="W874" s="179"/>
      <c r="X874" s="179"/>
      <c r="Y874" s="179"/>
      <c r="Z874" s="179"/>
    </row>
    <row r="875">
      <c r="A875" s="179"/>
      <c r="B875" s="179"/>
      <c r="C875" s="179"/>
      <c r="D875" s="179"/>
      <c r="E875" s="179"/>
      <c r="F875" s="179"/>
      <c r="G875" s="179"/>
      <c r="H875" s="179"/>
      <c r="I875" s="179"/>
      <c r="J875" s="179"/>
      <c r="K875" s="179"/>
      <c r="L875" s="179"/>
      <c r="M875" s="179"/>
      <c r="N875" s="179"/>
      <c r="O875" s="179"/>
      <c r="P875" s="179"/>
      <c r="Q875" s="179"/>
      <c r="R875" s="179"/>
      <c r="S875" s="179"/>
      <c r="T875" s="179"/>
      <c r="U875" s="179"/>
      <c r="V875" s="179"/>
      <c r="W875" s="179"/>
      <c r="X875" s="179"/>
      <c r="Y875" s="179"/>
      <c r="Z875" s="179"/>
    </row>
    <row r="876">
      <c r="A876" s="179"/>
      <c r="B876" s="179"/>
      <c r="C876" s="179"/>
      <c r="D876" s="179"/>
      <c r="E876" s="179"/>
      <c r="F876" s="179"/>
      <c r="G876" s="179"/>
      <c r="H876" s="179"/>
      <c r="I876" s="179"/>
      <c r="J876" s="179"/>
      <c r="K876" s="179"/>
      <c r="L876" s="179"/>
      <c r="M876" s="179"/>
      <c r="N876" s="179"/>
      <c r="O876" s="179"/>
      <c r="P876" s="179"/>
      <c r="Q876" s="179"/>
      <c r="R876" s="179"/>
      <c r="S876" s="179"/>
      <c r="T876" s="179"/>
      <c r="U876" s="179"/>
      <c r="V876" s="179"/>
      <c r="W876" s="179"/>
      <c r="X876" s="179"/>
      <c r="Y876" s="179"/>
      <c r="Z876" s="179"/>
    </row>
    <row r="877">
      <c r="A877" s="179"/>
      <c r="B877" s="179"/>
      <c r="C877" s="179"/>
      <c r="D877" s="179"/>
      <c r="E877" s="179"/>
      <c r="F877" s="179"/>
      <c r="G877" s="179"/>
      <c r="H877" s="179"/>
      <c r="I877" s="179"/>
      <c r="J877" s="179"/>
      <c r="K877" s="179"/>
      <c r="L877" s="179"/>
      <c r="M877" s="179"/>
      <c r="N877" s="179"/>
      <c r="O877" s="179"/>
      <c r="P877" s="179"/>
      <c r="Q877" s="179"/>
      <c r="R877" s="179"/>
      <c r="S877" s="179"/>
      <c r="T877" s="179"/>
      <c r="U877" s="179"/>
      <c r="V877" s="179"/>
      <c r="W877" s="179"/>
      <c r="X877" s="179"/>
      <c r="Y877" s="179"/>
      <c r="Z877" s="179"/>
    </row>
    <row r="878">
      <c r="A878" s="179"/>
      <c r="B878" s="179"/>
      <c r="C878" s="179"/>
      <c r="D878" s="179"/>
      <c r="E878" s="179"/>
      <c r="F878" s="179"/>
      <c r="G878" s="179"/>
      <c r="H878" s="179"/>
      <c r="I878" s="179"/>
      <c r="J878" s="179"/>
      <c r="K878" s="179"/>
      <c r="L878" s="179"/>
      <c r="M878" s="179"/>
      <c r="N878" s="179"/>
      <c r="O878" s="179"/>
      <c r="P878" s="179"/>
      <c r="Q878" s="179"/>
      <c r="R878" s="179"/>
      <c r="S878" s="179"/>
      <c r="T878" s="179"/>
      <c r="U878" s="179"/>
      <c r="V878" s="179"/>
      <c r="W878" s="179"/>
      <c r="X878" s="179"/>
      <c r="Y878" s="179"/>
      <c r="Z878" s="179"/>
    </row>
    <row r="879">
      <c r="A879" s="179"/>
      <c r="B879" s="179"/>
      <c r="C879" s="179"/>
      <c r="D879" s="179"/>
      <c r="E879" s="179"/>
      <c r="F879" s="179"/>
      <c r="G879" s="179"/>
      <c r="H879" s="179"/>
      <c r="I879" s="179"/>
      <c r="J879" s="179"/>
      <c r="K879" s="179"/>
      <c r="L879" s="179"/>
      <c r="M879" s="179"/>
      <c r="N879" s="179"/>
      <c r="O879" s="179"/>
      <c r="P879" s="179"/>
      <c r="Q879" s="179"/>
      <c r="R879" s="179"/>
      <c r="S879" s="179"/>
      <c r="T879" s="179"/>
      <c r="U879" s="179"/>
      <c r="V879" s="179"/>
      <c r="W879" s="179"/>
      <c r="X879" s="179"/>
      <c r="Y879" s="179"/>
      <c r="Z879" s="179"/>
    </row>
    <row r="880">
      <c r="A880" s="179"/>
      <c r="B880" s="179"/>
      <c r="C880" s="179"/>
      <c r="D880" s="179"/>
      <c r="E880" s="179"/>
      <c r="F880" s="179"/>
      <c r="G880" s="179"/>
      <c r="H880" s="179"/>
      <c r="I880" s="179"/>
      <c r="J880" s="179"/>
      <c r="K880" s="179"/>
      <c r="L880" s="179"/>
      <c r="M880" s="179"/>
      <c r="N880" s="179"/>
      <c r="O880" s="179"/>
      <c r="P880" s="179"/>
      <c r="Q880" s="179"/>
      <c r="R880" s="179"/>
      <c r="S880" s="179"/>
      <c r="T880" s="179"/>
      <c r="U880" s="179"/>
      <c r="V880" s="179"/>
      <c r="W880" s="179"/>
      <c r="X880" s="179"/>
      <c r="Y880" s="179"/>
      <c r="Z880" s="179"/>
    </row>
    <row r="881">
      <c r="A881" s="179"/>
      <c r="B881" s="179"/>
      <c r="C881" s="179"/>
      <c r="D881" s="179"/>
      <c r="E881" s="179"/>
      <c r="F881" s="179"/>
      <c r="G881" s="179"/>
      <c r="H881" s="179"/>
      <c r="I881" s="179"/>
      <c r="J881" s="179"/>
      <c r="K881" s="179"/>
      <c r="L881" s="179"/>
      <c r="M881" s="179"/>
      <c r="N881" s="179"/>
      <c r="O881" s="179"/>
      <c r="P881" s="179"/>
      <c r="Q881" s="179"/>
      <c r="R881" s="179"/>
      <c r="S881" s="179"/>
      <c r="T881" s="179"/>
      <c r="U881" s="179"/>
      <c r="V881" s="179"/>
      <c r="W881" s="179"/>
      <c r="X881" s="179"/>
      <c r="Y881" s="179"/>
      <c r="Z881" s="179"/>
    </row>
    <row r="882">
      <c r="A882" s="179"/>
      <c r="B882" s="179"/>
      <c r="C882" s="179"/>
      <c r="D882" s="179"/>
      <c r="E882" s="179"/>
      <c r="F882" s="179"/>
      <c r="G882" s="179"/>
      <c r="H882" s="179"/>
      <c r="I882" s="179"/>
      <c r="J882" s="179"/>
      <c r="K882" s="179"/>
      <c r="L882" s="179"/>
      <c r="M882" s="179"/>
      <c r="N882" s="179"/>
      <c r="O882" s="179"/>
      <c r="P882" s="179"/>
      <c r="Q882" s="179"/>
      <c r="R882" s="179"/>
      <c r="S882" s="179"/>
      <c r="T882" s="179"/>
      <c r="U882" s="179"/>
      <c r="V882" s="179"/>
      <c r="W882" s="179"/>
      <c r="X882" s="179"/>
      <c r="Y882" s="179"/>
      <c r="Z882" s="179"/>
    </row>
    <row r="883">
      <c r="A883" s="179"/>
      <c r="B883" s="179"/>
      <c r="C883" s="179"/>
      <c r="D883" s="179"/>
      <c r="E883" s="179"/>
      <c r="F883" s="179"/>
      <c r="G883" s="179"/>
      <c r="H883" s="179"/>
      <c r="I883" s="179"/>
      <c r="J883" s="179"/>
      <c r="K883" s="179"/>
      <c r="L883" s="179"/>
      <c r="M883" s="179"/>
      <c r="N883" s="179"/>
      <c r="O883" s="179"/>
      <c r="P883" s="179"/>
      <c r="Q883" s="179"/>
      <c r="R883" s="179"/>
      <c r="S883" s="179"/>
      <c r="T883" s="179"/>
      <c r="U883" s="179"/>
      <c r="V883" s="179"/>
      <c r="W883" s="179"/>
      <c r="X883" s="179"/>
      <c r="Y883" s="179"/>
      <c r="Z883" s="179"/>
    </row>
    <row r="884">
      <c r="A884" s="179"/>
      <c r="B884" s="179"/>
      <c r="C884" s="179"/>
      <c r="D884" s="179"/>
      <c r="E884" s="179"/>
      <c r="F884" s="179"/>
      <c r="G884" s="179"/>
      <c r="H884" s="179"/>
      <c r="I884" s="179"/>
      <c r="J884" s="179"/>
      <c r="K884" s="179"/>
      <c r="L884" s="179"/>
      <c r="M884" s="179"/>
      <c r="N884" s="179"/>
      <c r="O884" s="179"/>
      <c r="P884" s="179"/>
      <c r="Q884" s="179"/>
      <c r="R884" s="179"/>
      <c r="S884" s="179"/>
      <c r="T884" s="179"/>
      <c r="U884" s="179"/>
      <c r="V884" s="179"/>
      <c r="W884" s="179"/>
      <c r="X884" s="179"/>
      <c r="Y884" s="179"/>
      <c r="Z884" s="179"/>
    </row>
    <row r="885">
      <c r="A885" s="179"/>
      <c r="B885" s="179"/>
      <c r="C885" s="179"/>
      <c r="D885" s="179"/>
      <c r="E885" s="179"/>
      <c r="F885" s="179"/>
      <c r="G885" s="179"/>
      <c r="H885" s="179"/>
      <c r="I885" s="179"/>
      <c r="J885" s="179"/>
      <c r="K885" s="179"/>
      <c r="L885" s="179"/>
      <c r="M885" s="179"/>
      <c r="N885" s="179"/>
      <c r="O885" s="179"/>
      <c r="P885" s="179"/>
      <c r="Q885" s="179"/>
      <c r="R885" s="179"/>
      <c r="S885" s="179"/>
      <c r="T885" s="179"/>
      <c r="U885" s="179"/>
      <c r="V885" s="179"/>
      <c r="W885" s="179"/>
      <c r="X885" s="179"/>
      <c r="Y885" s="179"/>
      <c r="Z885" s="179"/>
    </row>
    <row r="886">
      <c r="A886" s="179"/>
      <c r="B886" s="179"/>
      <c r="C886" s="179"/>
      <c r="D886" s="179"/>
      <c r="E886" s="179"/>
      <c r="F886" s="179"/>
      <c r="G886" s="179"/>
      <c r="H886" s="179"/>
      <c r="I886" s="179"/>
      <c r="J886" s="179"/>
      <c r="K886" s="179"/>
      <c r="L886" s="179"/>
      <c r="M886" s="179"/>
      <c r="N886" s="179"/>
      <c r="O886" s="179"/>
      <c r="P886" s="179"/>
      <c r="Q886" s="179"/>
      <c r="R886" s="179"/>
      <c r="S886" s="179"/>
      <c r="T886" s="179"/>
      <c r="U886" s="179"/>
      <c r="V886" s="179"/>
      <c r="W886" s="179"/>
      <c r="X886" s="179"/>
      <c r="Y886" s="179"/>
      <c r="Z886" s="179"/>
    </row>
    <row r="887">
      <c r="A887" s="179"/>
      <c r="B887" s="179"/>
      <c r="C887" s="179"/>
      <c r="D887" s="179"/>
      <c r="E887" s="179"/>
      <c r="F887" s="179"/>
      <c r="G887" s="179"/>
      <c r="H887" s="179"/>
      <c r="I887" s="179"/>
      <c r="J887" s="179"/>
      <c r="K887" s="179"/>
      <c r="L887" s="179"/>
      <c r="M887" s="179"/>
      <c r="N887" s="179"/>
      <c r="O887" s="179"/>
      <c r="P887" s="179"/>
      <c r="Q887" s="179"/>
      <c r="R887" s="179"/>
      <c r="S887" s="179"/>
      <c r="T887" s="179"/>
      <c r="U887" s="179"/>
      <c r="V887" s="179"/>
      <c r="W887" s="179"/>
      <c r="X887" s="179"/>
      <c r="Y887" s="179"/>
      <c r="Z887" s="179"/>
    </row>
    <row r="888">
      <c r="A888" s="179"/>
      <c r="B888" s="179"/>
      <c r="C888" s="179"/>
      <c r="D888" s="179"/>
      <c r="E888" s="179"/>
      <c r="F888" s="179"/>
      <c r="G888" s="179"/>
      <c r="H888" s="179"/>
      <c r="I888" s="179"/>
      <c r="J888" s="179"/>
      <c r="K888" s="179"/>
      <c r="L888" s="179"/>
      <c r="M888" s="179"/>
      <c r="N888" s="179"/>
      <c r="O888" s="179"/>
      <c r="P888" s="179"/>
      <c r="Q888" s="179"/>
      <c r="R888" s="179"/>
      <c r="S888" s="179"/>
      <c r="T888" s="179"/>
      <c r="U888" s="179"/>
      <c r="V888" s="179"/>
      <c r="W888" s="179"/>
      <c r="X888" s="179"/>
      <c r="Y888" s="179"/>
      <c r="Z888" s="179"/>
    </row>
    <row r="889">
      <c r="A889" s="179"/>
      <c r="B889" s="179"/>
      <c r="C889" s="179"/>
      <c r="D889" s="179"/>
      <c r="E889" s="179"/>
      <c r="F889" s="179"/>
      <c r="G889" s="179"/>
      <c r="H889" s="179"/>
      <c r="I889" s="179"/>
      <c r="J889" s="179"/>
      <c r="K889" s="179"/>
      <c r="L889" s="179"/>
      <c r="M889" s="179"/>
      <c r="N889" s="179"/>
      <c r="O889" s="179"/>
      <c r="P889" s="179"/>
      <c r="Q889" s="179"/>
      <c r="R889" s="179"/>
      <c r="S889" s="179"/>
      <c r="T889" s="179"/>
      <c r="U889" s="179"/>
      <c r="V889" s="179"/>
      <c r="W889" s="179"/>
      <c r="X889" s="179"/>
      <c r="Y889" s="179"/>
      <c r="Z889" s="179"/>
    </row>
    <row r="890">
      <c r="A890" s="179"/>
      <c r="B890" s="179"/>
      <c r="C890" s="179"/>
      <c r="D890" s="179"/>
      <c r="E890" s="179"/>
      <c r="F890" s="179"/>
      <c r="G890" s="179"/>
      <c r="H890" s="179"/>
      <c r="I890" s="179"/>
      <c r="J890" s="179"/>
      <c r="K890" s="179"/>
      <c r="L890" s="179"/>
      <c r="M890" s="179"/>
      <c r="N890" s="179"/>
      <c r="O890" s="179"/>
      <c r="P890" s="179"/>
      <c r="Q890" s="179"/>
      <c r="R890" s="179"/>
      <c r="S890" s="179"/>
      <c r="T890" s="179"/>
      <c r="U890" s="179"/>
      <c r="V890" s="179"/>
      <c r="W890" s="179"/>
      <c r="X890" s="179"/>
      <c r="Y890" s="179"/>
      <c r="Z890" s="179"/>
    </row>
    <row r="891">
      <c r="A891" s="179"/>
      <c r="B891" s="179"/>
      <c r="C891" s="179"/>
      <c r="D891" s="179"/>
      <c r="E891" s="179"/>
      <c r="F891" s="179"/>
      <c r="G891" s="179"/>
      <c r="H891" s="179"/>
      <c r="I891" s="179"/>
      <c r="J891" s="179"/>
      <c r="K891" s="179"/>
      <c r="L891" s="179"/>
      <c r="M891" s="179"/>
      <c r="N891" s="179"/>
      <c r="O891" s="179"/>
      <c r="P891" s="179"/>
      <c r="Q891" s="179"/>
      <c r="R891" s="179"/>
      <c r="S891" s="179"/>
      <c r="T891" s="179"/>
      <c r="U891" s="179"/>
      <c r="V891" s="179"/>
      <c r="W891" s="179"/>
      <c r="X891" s="179"/>
      <c r="Y891" s="179"/>
      <c r="Z891" s="179"/>
    </row>
    <row r="892">
      <c r="A892" s="179"/>
      <c r="B892" s="179"/>
      <c r="C892" s="179"/>
      <c r="D892" s="179"/>
      <c r="E892" s="179"/>
      <c r="F892" s="179"/>
      <c r="G892" s="179"/>
      <c r="H892" s="179"/>
      <c r="I892" s="179"/>
      <c r="J892" s="179"/>
      <c r="K892" s="179"/>
      <c r="L892" s="179"/>
      <c r="M892" s="179"/>
      <c r="N892" s="179"/>
      <c r="O892" s="179"/>
      <c r="P892" s="179"/>
      <c r="Q892" s="179"/>
      <c r="R892" s="179"/>
      <c r="S892" s="179"/>
      <c r="T892" s="179"/>
      <c r="U892" s="179"/>
      <c r="V892" s="179"/>
      <c r="W892" s="179"/>
      <c r="X892" s="179"/>
      <c r="Y892" s="179"/>
      <c r="Z892" s="179"/>
    </row>
    <row r="893">
      <c r="A893" s="179"/>
      <c r="B893" s="179"/>
      <c r="C893" s="179"/>
      <c r="D893" s="179"/>
      <c r="E893" s="179"/>
      <c r="F893" s="179"/>
      <c r="G893" s="179"/>
      <c r="H893" s="179"/>
      <c r="I893" s="179"/>
      <c r="J893" s="179"/>
      <c r="K893" s="179"/>
      <c r="L893" s="179"/>
      <c r="M893" s="179"/>
      <c r="N893" s="179"/>
      <c r="O893" s="179"/>
      <c r="P893" s="179"/>
      <c r="Q893" s="179"/>
      <c r="R893" s="179"/>
      <c r="S893" s="179"/>
      <c r="T893" s="179"/>
      <c r="U893" s="179"/>
      <c r="V893" s="179"/>
      <c r="W893" s="179"/>
      <c r="X893" s="179"/>
      <c r="Y893" s="179"/>
      <c r="Z893" s="179"/>
    </row>
    <row r="894">
      <c r="A894" s="179"/>
      <c r="B894" s="179"/>
      <c r="C894" s="179"/>
      <c r="D894" s="179"/>
      <c r="E894" s="179"/>
      <c r="F894" s="179"/>
      <c r="G894" s="179"/>
      <c r="H894" s="179"/>
      <c r="I894" s="179"/>
      <c r="J894" s="179"/>
      <c r="K894" s="179"/>
      <c r="L894" s="179"/>
      <c r="M894" s="179"/>
      <c r="N894" s="179"/>
      <c r="O894" s="179"/>
      <c r="P894" s="179"/>
      <c r="Q894" s="179"/>
      <c r="R894" s="179"/>
      <c r="S894" s="179"/>
      <c r="T894" s="179"/>
      <c r="U894" s="179"/>
      <c r="V894" s="179"/>
      <c r="W894" s="179"/>
      <c r="X894" s="179"/>
      <c r="Y894" s="179"/>
      <c r="Z894" s="179"/>
    </row>
    <row r="895">
      <c r="A895" s="179"/>
      <c r="B895" s="179"/>
      <c r="C895" s="179"/>
      <c r="D895" s="179"/>
      <c r="E895" s="179"/>
      <c r="F895" s="179"/>
      <c r="G895" s="179"/>
      <c r="H895" s="179"/>
      <c r="I895" s="179"/>
      <c r="J895" s="179"/>
      <c r="K895" s="179"/>
      <c r="L895" s="179"/>
      <c r="M895" s="179"/>
      <c r="N895" s="179"/>
      <c r="O895" s="179"/>
      <c r="P895" s="179"/>
      <c r="Q895" s="179"/>
      <c r="R895" s="179"/>
      <c r="S895" s="179"/>
      <c r="T895" s="179"/>
      <c r="U895" s="179"/>
      <c r="V895" s="179"/>
      <c r="W895" s="179"/>
      <c r="X895" s="179"/>
      <c r="Y895" s="179"/>
      <c r="Z895" s="179"/>
    </row>
    <row r="896">
      <c r="A896" s="179"/>
      <c r="B896" s="179"/>
      <c r="C896" s="179"/>
      <c r="D896" s="179"/>
      <c r="E896" s="179"/>
      <c r="F896" s="179"/>
      <c r="G896" s="179"/>
      <c r="H896" s="179"/>
      <c r="I896" s="179"/>
      <c r="J896" s="179"/>
      <c r="K896" s="179"/>
      <c r="L896" s="179"/>
      <c r="M896" s="179"/>
      <c r="N896" s="179"/>
      <c r="O896" s="179"/>
      <c r="P896" s="179"/>
      <c r="Q896" s="179"/>
      <c r="R896" s="179"/>
      <c r="S896" s="179"/>
      <c r="T896" s="179"/>
      <c r="U896" s="179"/>
      <c r="V896" s="179"/>
      <c r="W896" s="179"/>
      <c r="X896" s="179"/>
      <c r="Y896" s="179"/>
      <c r="Z896" s="179"/>
    </row>
    <row r="897">
      <c r="A897" s="179"/>
      <c r="B897" s="179"/>
      <c r="C897" s="179"/>
      <c r="D897" s="179"/>
      <c r="E897" s="179"/>
      <c r="F897" s="179"/>
      <c r="G897" s="179"/>
      <c r="H897" s="179"/>
      <c r="I897" s="179"/>
      <c r="J897" s="179"/>
      <c r="K897" s="179"/>
      <c r="L897" s="179"/>
      <c r="M897" s="179"/>
      <c r="N897" s="179"/>
      <c r="O897" s="179"/>
      <c r="P897" s="179"/>
      <c r="Q897" s="179"/>
      <c r="R897" s="179"/>
      <c r="S897" s="179"/>
      <c r="T897" s="179"/>
      <c r="U897" s="179"/>
      <c r="V897" s="179"/>
      <c r="W897" s="179"/>
      <c r="X897" s="179"/>
      <c r="Y897" s="179"/>
      <c r="Z897" s="179"/>
    </row>
    <row r="898">
      <c r="A898" s="179"/>
      <c r="B898" s="179"/>
      <c r="C898" s="179"/>
      <c r="D898" s="179"/>
      <c r="E898" s="179"/>
      <c r="F898" s="179"/>
      <c r="G898" s="179"/>
      <c r="H898" s="179"/>
      <c r="I898" s="179"/>
      <c r="J898" s="179"/>
      <c r="K898" s="179"/>
      <c r="L898" s="179"/>
      <c r="M898" s="179"/>
      <c r="N898" s="179"/>
      <c r="O898" s="179"/>
      <c r="P898" s="179"/>
      <c r="Q898" s="179"/>
      <c r="R898" s="179"/>
      <c r="S898" s="179"/>
      <c r="T898" s="179"/>
      <c r="U898" s="179"/>
      <c r="V898" s="179"/>
      <c r="W898" s="179"/>
      <c r="X898" s="179"/>
      <c r="Y898" s="179"/>
      <c r="Z898" s="179"/>
    </row>
    <row r="899">
      <c r="A899" s="179"/>
      <c r="B899" s="179"/>
      <c r="C899" s="179"/>
      <c r="D899" s="179"/>
      <c r="E899" s="179"/>
      <c r="F899" s="179"/>
      <c r="G899" s="179"/>
      <c r="H899" s="179"/>
      <c r="I899" s="179"/>
      <c r="J899" s="179"/>
      <c r="K899" s="179"/>
      <c r="L899" s="179"/>
      <c r="M899" s="179"/>
      <c r="N899" s="179"/>
      <c r="O899" s="179"/>
      <c r="P899" s="179"/>
      <c r="Q899" s="179"/>
      <c r="R899" s="179"/>
      <c r="S899" s="179"/>
      <c r="T899" s="179"/>
      <c r="U899" s="179"/>
      <c r="V899" s="179"/>
      <c r="W899" s="179"/>
      <c r="X899" s="179"/>
      <c r="Y899" s="179"/>
      <c r="Z899" s="179"/>
    </row>
    <row r="900">
      <c r="A900" s="179"/>
      <c r="B900" s="179"/>
      <c r="C900" s="179"/>
      <c r="D900" s="179"/>
      <c r="E900" s="179"/>
      <c r="F900" s="179"/>
      <c r="G900" s="179"/>
      <c r="H900" s="179"/>
      <c r="I900" s="179"/>
      <c r="J900" s="179"/>
      <c r="K900" s="179"/>
      <c r="L900" s="179"/>
      <c r="M900" s="179"/>
      <c r="N900" s="179"/>
      <c r="O900" s="179"/>
      <c r="P900" s="179"/>
      <c r="Q900" s="179"/>
      <c r="R900" s="179"/>
      <c r="S900" s="179"/>
      <c r="T900" s="179"/>
      <c r="U900" s="179"/>
      <c r="V900" s="179"/>
      <c r="W900" s="179"/>
      <c r="X900" s="179"/>
      <c r="Y900" s="179"/>
      <c r="Z900" s="179"/>
    </row>
    <row r="901">
      <c r="A901" s="179"/>
      <c r="B901" s="179"/>
      <c r="C901" s="179"/>
      <c r="D901" s="179"/>
      <c r="E901" s="179"/>
      <c r="F901" s="179"/>
      <c r="G901" s="179"/>
      <c r="H901" s="179"/>
      <c r="I901" s="179"/>
      <c r="J901" s="179"/>
      <c r="K901" s="179"/>
      <c r="L901" s="179"/>
      <c r="M901" s="179"/>
      <c r="N901" s="179"/>
      <c r="O901" s="179"/>
      <c r="P901" s="179"/>
      <c r="Q901" s="179"/>
      <c r="R901" s="179"/>
      <c r="S901" s="179"/>
      <c r="T901" s="179"/>
      <c r="U901" s="179"/>
      <c r="V901" s="179"/>
      <c r="W901" s="179"/>
      <c r="X901" s="179"/>
      <c r="Y901" s="179"/>
      <c r="Z901" s="179"/>
    </row>
    <row r="902">
      <c r="A902" s="179"/>
      <c r="B902" s="179"/>
      <c r="C902" s="179"/>
      <c r="D902" s="179"/>
      <c r="E902" s="179"/>
      <c r="F902" s="179"/>
      <c r="G902" s="179"/>
      <c r="H902" s="179"/>
      <c r="I902" s="179"/>
      <c r="J902" s="179"/>
      <c r="K902" s="179"/>
      <c r="L902" s="179"/>
      <c r="M902" s="179"/>
      <c r="N902" s="179"/>
      <c r="O902" s="179"/>
      <c r="P902" s="179"/>
      <c r="Q902" s="179"/>
      <c r="R902" s="179"/>
      <c r="S902" s="179"/>
      <c r="T902" s="179"/>
      <c r="U902" s="179"/>
      <c r="V902" s="179"/>
      <c r="W902" s="179"/>
      <c r="X902" s="179"/>
      <c r="Y902" s="179"/>
      <c r="Z902" s="179"/>
    </row>
    <row r="903">
      <c r="A903" s="179"/>
      <c r="B903" s="179"/>
      <c r="C903" s="179"/>
      <c r="D903" s="179"/>
      <c r="E903" s="179"/>
      <c r="F903" s="179"/>
      <c r="G903" s="179"/>
      <c r="H903" s="179"/>
      <c r="I903" s="179"/>
      <c r="J903" s="179"/>
      <c r="K903" s="179"/>
      <c r="L903" s="179"/>
      <c r="M903" s="179"/>
      <c r="N903" s="179"/>
      <c r="O903" s="179"/>
      <c r="P903" s="179"/>
      <c r="Q903" s="179"/>
      <c r="R903" s="179"/>
      <c r="S903" s="179"/>
      <c r="T903" s="179"/>
      <c r="U903" s="179"/>
      <c r="V903" s="179"/>
      <c r="W903" s="179"/>
      <c r="X903" s="179"/>
      <c r="Y903" s="179"/>
      <c r="Z903" s="179"/>
    </row>
    <row r="904">
      <c r="A904" s="179"/>
      <c r="B904" s="179"/>
      <c r="C904" s="179"/>
      <c r="D904" s="179"/>
      <c r="E904" s="179"/>
      <c r="F904" s="179"/>
      <c r="G904" s="179"/>
      <c r="H904" s="179"/>
      <c r="I904" s="179"/>
      <c r="J904" s="179"/>
      <c r="K904" s="179"/>
      <c r="L904" s="179"/>
      <c r="M904" s="179"/>
      <c r="N904" s="179"/>
      <c r="O904" s="179"/>
      <c r="P904" s="179"/>
      <c r="Q904" s="179"/>
      <c r="R904" s="179"/>
      <c r="S904" s="179"/>
      <c r="T904" s="179"/>
      <c r="U904" s="179"/>
      <c r="V904" s="179"/>
      <c r="W904" s="179"/>
      <c r="X904" s="179"/>
      <c r="Y904" s="179"/>
      <c r="Z904" s="179"/>
    </row>
    <row r="905">
      <c r="A905" s="179"/>
      <c r="B905" s="179"/>
      <c r="C905" s="179"/>
      <c r="D905" s="179"/>
      <c r="E905" s="179"/>
      <c r="F905" s="179"/>
      <c r="G905" s="179"/>
      <c r="H905" s="179"/>
      <c r="I905" s="179"/>
      <c r="J905" s="179"/>
      <c r="K905" s="179"/>
      <c r="L905" s="179"/>
      <c r="M905" s="179"/>
      <c r="N905" s="179"/>
      <c r="O905" s="179"/>
      <c r="P905" s="179"/>
      <c r="Q905" s="179"/>
      <c r="R905" s="179"/>
      <c r="S905" s="179"/>
      <c r="T905" s="179"/>
      <c r="U905" s="179"/>
      <c r="V905" s="179"/>
      <c r="W905" s="179"/>
      <c r="X905" s="179"/>
      <c r="Y905" s="179"/>
      <c r="Z905" s="179"/>
    </row>
    <row r="906">
      <c r="A906" s="179"/>
      <c r="B906" s="179"/>
      <c r="C906" s="179"/>
      <c r="D906" s="179"/>
      <c r="E906" s="179"/>
      <c r="F906" s="179"/>
      <c r="G906" s="179"/>
      <c r="H906" s="179"/>
      <c r="I906" s="179"/>
      <c r="J906" s="179"/>
      <c r="K906" s="179"/>
      <c r="L906" s="179"/>
      <c r="M906" s="179"/>
      <c r="N906" s="179"/>
      <c r="O906" s="179"/>
      <c r="P906" s="179"/>
      <c r="Q906" s="179"/>
      <c r="R906" s="179"/>
      <c r="S906" s="179"/>
      <c r="T906" s="179"/>
      <c r="U906" s="179"/>
      <c r="V906" s="179"/>
      <c r="W906" s="179"/>
      <c r="X906" s="179"/>
      <c r="Y906" s="179"/>
      <c r="Z906" s="179"/>
    </row>
    <row r="907">
      <c r="A907" s="179"/>
      <c r="B907" s="179"/>
      <c r="C907" s="179"/>
      <c r="D907" s="179"/>
      <c r="E907" s="179"/>
      <c r="F907" s="179"/>
      <c r="G907" s="179"/>
      <c r="H907" s="179"/>
      <c r="I907" s="179"/>
      <c r="J907" s="179"/>
      <c r="K907" s="179"/>
      <c r="L907" s="179"/>
      <c r="M907" s="179"/>
      <c r="N907" s="179"/>
      <c r="O907" s="179"/>
      <c r="P907" s="179"/>
      <c r="Q907" s="179"/>
      <c r="R907" s="179"/>
      <c r="S907" s="179"/>
      <c r="T907" s="179"/>
      <c r="U907" s="179"/>
      <c r="V907" s="179"/>
      <c r="W907" s="179"/>
      <c r="X907" s="179"/>
      <c r="Y907" s="179"/>
      <c r="Z907" s="179"/>
    </row>
    <row r="908">
      <c r="A908" s="179"/>
      <c r="B908" s="179"/>
      <c r="C908" s="179"/>
      <c r="D908" s="179"/>
      <c r="E908" s="179"/>
      <c r="F908" s="179"/>
      <c r="G908" s="179"/>
      <c r="H908" s="179"/>
      <c r="I908" s="179"/>
      <c r="J908" s="179"/>
      <c r="K908" s="179"/>
      <c r="L908" s="179"/>
      <c r="M908" s="179"/>
      <c r="N908" s="179"/>
      <c r="O908" s="179"/>
      <c r="P908" s="179"/>
      <c r="Q908" s="179"/>
      <c r="R908" s="179"/>
      <c r="S908" s="179"/>
      <c r="T908" s="179"/>
      <c r="U908" s="179"/>
      <c r="V908" s="179"/>
      <c r="W908" s="179"/>
      <c r="X908" s="179"/>
      <c r="Y908" s="179"/>
      <c r="Z908" s="179"/>
    </row>
    <row r="909">
      <c r="A909" s="179"/>
      <c r="B909" s="179"/>
      <c r="C909" s="179"/>
      <c r="D909" s="179"/>
      <c r="E909" s="179"/>
      <c r="F909" s="179"/>
      <c r="G909" s="179"/>
      <c r="H909" s="179"/>
      <c r="I909" s="179"/>
      <c r="J909" s="179"/>
      <c r="K909" s="179"/>
      <c r="L909" s="179"/>
      <c r="M909" s="179"/>
      <c r="N909" s="179"/>
      <c r="O909" s="179"/>
      <c r="P909" s="179"/>
      <c r="Q909" s="179"/>
      <c r="R909" s="179"/>
      <c r="S909" s="179"/>
      <c r="T909" s="179"/>
      <c r="U909" s="179"/>
      <c r="V909" s="179"/>
      <c r="W909" s="179"/>
      <c r="X909" s="179"/>
      <c r="Y909" s="179"/>
      <c r="Z909" s="179"/>
    </row>
    <row r="910">
      <c r="A910" s="179"/>
      <c r="B910" s="179"/>
      <c r="C910" s="179"/>
      <c r="D910" s="179"/>
      <c r="E910" s="179"/>
      <c r="F910" s="179"/>
      <c r="G910" s="179"/>
      <c r="H910" s="179"/>
      <c r="I910" s="179"/>
      <c r="J910" s="179"/>
      <c r="K910" s="179"/>
      <c r="L910" s="179"/>
      <c r="M910" s="179"/>
      <c r="N910" s="179"/>
      <c r="O910" s="179"/>
      <c r="P910" s="179"/>
      <c r="Q910" s="179"/>
      <c r="R910" s="179"/>
      <c r="S910" s="179"/>
      <c r="T910" s="179"/>
      <c r="U910" s="179"/>
      <c r="V910" s="179"/>
      <c r="W910" s="179"/>
      <c r="X910" s="179"/>
      <c r="Y910" s="179"/>
      <c r="Z910" s="179"/>
    </row>
    <row r="911">
      <c r="A911" s="179"/>
      <c r="B911" s="179"/>
      <c r="C911" s="179"/>
      <c r="D911" s="179"/>
      <c r="E911" s="179"/>
      <c r="F911" s="179"/>
      <c r="G911" s="179"/>
      <c r="H911" s="179"/>
      <c r="I911" s="179"/>
      <c r="J911" s="179"/>
      <c r="K911" s="179"/>
      <c r="L911" s="179"/>
      <c r="M911" s="179"/>
      <c r="N911" s="179"/>
      <c r="O911" s="179"/>
      <c r="P911" s="179"/>
      <c r="Q911" s="179"/>
      <c r="R911" s="179"/>
      <c r="S911" s="179"/>
      <c r="T911" s="179"/>
      <c r="U911" s="179"/>
      <c r="V911" s="179"/>
      <c r="W911" s="179"/>
      <c r="X911" s="179"/>
      <c r="Y911" s="179"/>
      <c r="Z911" s="179"/>
    </row>
    <row r="912">
      <c r="A912" s="179"/>
      <c r="B912" s="179"/>
      <c r="C912" s="179"/>
      <c r="D912" s="179"/>
      <c r="E912" s="179"/>
      <c r="F912" s="179"/>
      <c r="G912" s="179"/>
      <c r="H912" s="179"/>
      <c r="I912" s="179"/>
      <c r="J912" s="179"/>
      <c r="K912" s="179"/>
      <c r="L912" s="179"/>
      <c r="M912" s="179"/>
      <c r="N912" s="179"/>
      <c r="O912" s="179"/>
      <c r="P912" s="179"/>
      <c r="Q912" s="179"/>
      <c r="R912" s="179"/>
      <c r="S912" s="179"/>
      <c r="T912" s="179"/>
      <c r="U912" s="179"/>
      <c r="V912" s="179"/>
      <c r="W912" s="179"/>
      <c r="X912" s="179"/>
      <c r="Y912" s="179"/>
      <c r="Z912" s="179"/>
    </row>
    <row r="913">
      <c r="A913" s="179"/>
      <c r="B913" s="179"/>
      <c r="C913" s="179"/>
      <c r="D913" s="179"/>
      <c r="E913" s="179"/>
      <c r="F913" s="179"/>
      <c r="G913" s="179"/>
      <c r="H913" s="179"/>
      <c r="I913" s="179"/>
      <c r="J913" s="179"/>
      <c r="K913" s="179"/>
      <c r="L913" s="179"/>
      <c r="M913" s="179"/>
      <c r="N913" s="179"/>
      <c r="O913" s="179"/>
      <c r="P913" s="179"/>
      <c r="Q913" s="179"/>
      <c r="R913" s="179"/>
      <c r="S913" s="179"/>
      <c r="T913" s="179"/>
      <c r="U913" s="179"/>
      <c r="V913" s="179"/>
      <c r="W913" s="179"/>
      <c r="X913" s="179"/>
      <c r="Y913" s="179"/>
      <c r="Z913" s="179"/>
    </row>
    <row r="914">
      <c r="A914" s="179"/>
      <c r="B914" s="179"/>
      <c r="C914" s="179"/>
      <c r="D914" s="179"/>
      <c r="E914" s="179"/>
      <c r="F914" s="179"/>
      <c r="G914" s="179"/>
      <c r="H914" s="179"/>
      <c r="I914" s="179"/>
      <c r="J914" s="179"/>
      <c r="K914" s="179"/>
      <c r="L914" s="179"/>
      <c r="M914" s="179"/>
      <c r="N914" s="179"/>
      <c r="O914" s="179"/>
      <c r="P914" s="179"/>
      <c r="Q914" s="179"/>
      <c r="R914" s="179"/>
      <c r="S914" s="179"/>
      <c r="T914" s="179"/>
      <c r="U914" s="179"/>
      <c r="V914" s="179"/>
      <c r="W914" s="179"/>
      <c r="X914" s="179"/>
      <c r="Y914" s="179"/>
      <c r="Z914" s="179"/>
    </row>
    <row r="915">
      <c r="A915" s="179"/>
      <c r="B915" s="179"/>
      <c r="C915" s="179"/>
      <c r="D915" s="179"/>
      <c r="E915" s="179"/>
      <c r="F915" s="179"/>
      <c r="G915" s="179"/>
      <c r="H915" s="179"/>
      <c r="I915" s="179"/>
      <c r="J915" s="179"/>
      <c r="K915" s="179"/>
      <c r="L915" s="179"/>
      <c r="M915" s="179"/>
      <c r="N915" s="179"/>
      <c r="O915" s="179"/>
      <c r="P915" s="179"/>
      <c r="Q915" s="179"/>
      <c r="R915" s="179"/>
      <c r="S915" s="179"/>
      <c r="T915" s="179"/>
      <c r="U915" s="179"/>
      <c r="V915" s="179"/>
      <c r="W915" s="179"/>
      <c r="X915" s="179"/>
      <c r="Y915" s="179"/>
      <c r="Z915" s="179"/>
    </row>
    <row r="916">
      <c r="A916" s="179"/>
      <c r="B916" s="179"/>
      <c r="C916" s="179"/>
      <c r="D916" s="179"/>
      <c r="E916" s="179"/>
      <c r="F916" s="179"/>
      <c r="G916" s="179"/>
      <c r="H916" s="179"/>
      <c r="I916" s="179"/>
      <c r="J916" s="179"/>
      <c r="K916" s="179"/>
      <c r="L916" s="179"/>
      <c r="M916" s="179"/>
      <c r="N916" s="179"/>
      <c r="O916" s="179"/>
      <c r="P916" s="179"/>
      <c r="Q916" s="179"/>
      <c r="R916" s="179"/>
      <c r="S916" s="179"/>
      <c r="T916" s="179"/>
      <c r="U916" s="179"/>
      <c r="V916" s="179"/>
      <c r="W916" s="179"/>
      <c r="X916" s="179"/>
      <c r="Y916" s="179"/>
      <c r="Z916" s="179"/>
    </row>
    <row r="917">
      <c r="A917" s="179"/>
      <c r="B917" s="179"/>
      <c r="C917" s="179"/>
      <c r="D917" s="179"/>
      <c r="E917" s="179"/>
      <c r="F917" s="179"/>
      <c r="G917" s="179"/>
      <c r="H917" s="179"/>
      <c r="I917" s="179"/>
      <c r="J917" s="179"/>
      <c r="K917" s="179"/>
      <c r="L917" s="179"/>
      <c r="M917" s="179"/>
      <c r="N917" s="179"/>
      <c r="O917" s="179"/>
      <c r="P917" s="179"/>
      <c r="Q917" s="179"/>
      <c r="R917" s="179"/>
      <c r="S917" s="179"/>
      <c r="T917" s="179"/>
      <c r="U917" s="179"/>
      <c r="V917" s="179"/>
      <c r="W917" s="179"/>
      <c r="X917" s="179"/>
      <c r="Y917" s="179"/>
      <c r="Z917" s="179"/>
    </row>
    <row r="918">
      <c r="A918" s="179"/>
      <c r="B918" s="179"/>
      <c r="C918" s="179"/>
      <c r="D918" s="179"/>
      <c r="E918" s="179"/>
      <c r="F918" s="179"/>
      <c r="G918" s="179"/>
      <c r="H918" s="179"/>
      <c r="I918" s="179"/>
      <c r="J918" s="179"/>
      <c r="K918" s="179"/>
      <c r="L918" s="179"/>
      <c r="M918" s="179"/>
      <c r="N918" s="179"/>
      <c r="O918" s="179"/>
      <c r="P918" s="179"/>
      <c r="Q918" s="179"/>
      <c r="R918" s="179"/>
      <c r="S918" s="179"/>
      <c r="T918" s="179"/>
      <c r="U918" s="179"/>
      <c r="V918" s="179"/>
      <c r="W918" s="179"/>
      <c r="X918" s="179"/>
      <c r="Y918" s="179"/>
      <c r="Z918" s="179"/>
    </row>
    <row r="919">
      <c r="A919" s="179"/>
      <c r="B919" s="179"/>
      <c r="C919" s="179"/>
      <c r="D919" s="179"/>
      <c r="E919" s="179"/>
      <c r="F919" s="179"/>
      <c r="G919" s="179"/>
      <c r="H919" s="179"/>
      <c r="I919" s="179"/>
      <c r="J919" s="179"/>
      <c r="K919" s="179"/>
      <c r="L919" s="179"/>
      <c r="M919" s="179"/>
      <c r="N919" s="179"/>
      <c r="O919" s="179"/>
      <c r="P919" s="179"/>
      <c r="Q919" s="179"/>
      <c r="R919" s="179"/>
      <c r="S919" s="179"/>
      <c r="T919" s="179"/>
      <c r="U919" s="179"/>
      <c r="V919" s="179"/>
      <c r="W919" s="179"/>
      <c r="X919" s="179"/>
      <c r="Y919" s="179"/>
      <c r="Z919" s="179"/>
    </row>
    <row r="920">
      <c r="A920" s="179"/>
      <c r="B920" s="179"/>
      <c r="C920" s="179"/>
      <c r="D920" s="179"/>
      <c r="E920" s="179"/>
      <c r="F920" s="179"/>
      <c r="G920" s="179"/>
      <c r="H920" s="179"/>
      <c r="I920" s="179"/>
      <c r="J920" s="179"/>
      <c r="K920" s="179"/>
      <c r="L920" s="179"/>
      <c r="M920" s="179"/>
      <c r="N920" s="179"/>
      <c r="O920" s="179"/>
      <c r="P920" s="179"/>
      <c r="Q920" s="179"/>
      <c r="R920" s="179"/>
      <c r="S920" s="179"/>
      <c r="T920" s="179"/>
      <c r="U920" s="179"/>
      <c r="V920" s="179"/>
      <c r="W920" s="179"/>
      <c r="X920" s="179"/>
      <c r="Y920" s="179"/>
      <c r="Z920" s="179"/>
    </row>
    <row r="921">
      <c r="A921" s="179"/>
      <c r="B921" s="179"/>
      <c r="C921" s="179"/>
      <c r="D921" s="179"/>
      <c r="E921" s="179"/>
      <c r="F921" s="179"/>
      <c r="G921" s="179"/>
      <c r="H921" s="179"/>
      <c r="I921" s="179"/>
      <c r="J921" s="179"/>
      <c r="K921" s="179"/>
      <c r="L921" s="179"/>
      <c r="M921" s="179"/>
      <c r="N921" s="179"/>
      <c r="O921" s="179"/>
      <c r="P921" s="179"/>
      <c r="Q921" s="179"/>
      <c r="R921" s="179"/>
      <c r="S921" s="179"/>
      <c r="T921" s="179"/>
      <c r="U921" s="179"/>
      <c r="V921" s="179"/>
      <c r="W921" s="179"/>
      <c r="X921" s="179"/>
      <c r="Y921" s="179"/>
      <c r="Z921" s="179"/>
    </row>
    <row r="922">
      <c r="A922" s="179"/>
      <c r="B922" s="179"/>
      <c r="C922" s="179"/>
      <c r="D922" s="179"/>
      <c r="E922" s="179"/>
      <c r="F922" s="179"/>
      <c r="G922" s="179"/>
      <c r="H922" s="179"/>
      <c r="I922" s="179"/>
      <c r="J922" s="179"/>
      <c r="K922" s="179"/>
      <c r="L922" s="179"/>
      <c r="M922" s="179"/>
      <c r="N922" s="179"/>
      <c r="O922" s="179"/>
      <c r="P922" s="179"/>
      <c r="Q922" s="179"/>
      <c r="R922" s="179"/>
      <c r="S922" s="179"/>
      <c r="T922" s="179"/>
      <c r="U922" s="179"/>
      <c r="V922" s="179"/>
      <c r="W922" s="179"/>
      <c r="X922" s="179"/>
      <c r="Y922" s="179"/>
      <c r="Z922" s="179"/>
    </row>
    <row r="923">
      <c r="A923" s="179"/>
      <c r="B923" s="179"/>
      <c r="C923" s="179"/>
      <c r="D923" s="179"/>
      <c r="E923" s="179"/>
      <c r="F923" s="179"/>
      <c r="G923" s="179"/>
      <c r="H923" s="179"/>
      <c r="I923" s="179"/>
      <c r="J923" s="179"/>
      <c r="K923" s="179"/>
      <c r="L923" s="179"/>
      <c r="M923" s="179"/>
      <c r="N923" s="179"/>
      <c r="O923" s="179"/>
      <c r="P923" s="179"/>
      <c r="Q923" s="179"/>
      <c r="R923" s="179"/>
      <c r="S923" s="179"/>
      <c r="T923" s="179"/>
      <c r="U923" s="179"/>
      <c r="V923" s="179"/>
      <c r="W923" s="179"/>
      <c r="X923" s="179"/>
      <c r="Y923" s="179"/>
      <c r="Z923" s="179"/>
    </row>
    <row r="924">
      <c r="A924" s="179"/>
      <c r="B924" s="179"/>
      <c r="C924" s="179"/>
      <c r="D924" s="179"/>
      <c r="E924" s="179"/>
      <c r="F924" s="179"/>
      <c r="G924" s="179"/>
      <c r="H924" s="179"/>
      <c r="I924" s="179"/>
      <c r="J924" s="179"/>
      <c r="K924" s="179"/>
      <c r="L924" s="179"/>
      <c r="M924" s="179"/>
      <c r="N924" s="179"/>
      <c r="O924" s="179"/>
      <c r="P924" s="179"/>
      <c r="Q924" s="179"/>
      <c r="R924" s="179"/>
      <c r="S924" s="179"/>
      <c r="T924" s="179"/>
      <c r="U924" s="179"/>
      <c r="V924" s="179"/>
      <c r="W924" s="179"/>
      <c r="X924" s="179"/>
      <c r="Y924" s="179"/>
      <c r="Z924" s="179"/>
    </row>
    <row r="925">
      <c r="A925" s="179"/>
      <c r="B925" s="179"/>
      <c r="C925" s="179"/>
      <c r="D925" s="179"/>
      <c r="E925" s="179"/>
      <c r="F925" s="179"/>
      <c r="G925" s="179"/>
      <c r="H925" s="179"/>
      <c r="I925" s="179"/>
      <c r="J925" s="179"/>
      <c r="K925" s="179"/>
      <c r="L925" s="179"/>
      <c r="M925" s="179"/>
      <c r="N925" s="179"/>
      <c r="O925" s="179"/>
      <c r="P925" s="179"/>
      <c r="Q925" s="179"/>
      <c r="R925" s="179"/>
      <c r="S925" s="179"/>
      <c r="T925" s="179"/>
      <c r="U925" s="179"/>
      <c r="V925" s="179"/>
      <c r="W925" s="179"/>
      <c r="X925" s="179"/>
      <c r="Y925" s="179"/>
      <c r="Z925" s="179"/>
    </row>
    <row r="926">
      <c r="A926" s="179"/>
      <c r="B926" s="179"/>
      <c r="C926" s="179"/>
      <c r="D926" s="179"/>
      <c r="E926" s="179"/>
      <c r="F926" s="179"/>
      <c r="G926" s="179"/>
      <c r="H926" s="179"/>
      <c r="I926" s="179"/>
      <c r="J926" s="179"/>
      <c r="K926" s="179"/>
      <c r="L926" s="179"/>
      <c r="M926" s="179"/>
      <c r="N926" s="179"/>
      <c r="O926" s="179"/>
      <c r="P926" s="179"/>
      <c r="Q926" s="179"/>
      <c r="R926" s="179"/>
      <c r="S926" s="179"/>
      <c r="T926" s="179"/>
      <c r="U926" s="179"/>
      <c r="V926" s="179"/>
      <c r="W926" s="179"/>
      <c r="X926" s="179"/>
      <c r="Y926" s="179"/>
      <c r="Z926" s="179"/>
    </row>
    <row r="927">
      <c r="A927" s="179"/>
      <c r="B927" s="179"/>
      <c r="C927" s="179"/>
      <c r="D927" s="179"/>
      <c r="E927" s="179"/>
      <c r="F927" s="179"/>
      <c r="G927" s="179"/>
      <c r="H927" s="179"/>
      <c r="I927" s="179"/>
      <c r="J927" s="179"/>
      <c r="K927" s="179"/>
      <c r="L927" s="179"/>
      <c r="M927" s="179"/>
      <c r="N927" s="179"/>
      <c r="O927" s="179"/>
      <c r="P927" s="179"/>
      <c r="Q927" s="179"/>
      <c r="R927" s="179"/>
      <c r="S927" s="179"/>
      <c r="T927" s="179"/>
      <c r="U927" s="179"/>
      <c r="V927" s="179"/>
      <c r="W927" s="179"/>
      <c r="X927" s="179"/>
      <c r="Y927" s="179"/>
      <c r="Z927" s="179"/>
    </row>
    <row r="928">
      <c r="A928" s="179"/>
      <c r="B928" s="179"/>
      <c r="C928" s="179"/>
      <c r="D928" s="179"/>
      <c r="E928" s="179"/>
      <c r="F928" s="179"/>
      <c r="G928" s="179"/>
      <c r="H928" s="179"/>
      <c r="I928" s="179"/>
      <c r="J928" s="179"/>
      <c r="K928" s="179"/>
      <c r="L928" s="179"/>
      <c r="M928" s="179"/>
      <c r="N928" s="179"/>
      <c r="O928" s="179"/>
      <c r="P928" s="179"/>
      <c r="Q928" s="179"/>
      <c r="R928" s="179"/>
      <c r="S928" s="179"/>
      <c r="T928" s="179"/>
      <c r="U928" s="179"/>
      <c r="V928" s="179"/>
      <c r="W928" s="179"/>
      <c r="X928" s="179"/>
      <c r="Y928" s="179"/>
      <c r="Z928" s="179"/>
    </row>
    <row r="929">
      <c r="A929" s="179"/>
      <c r="B929" s="179"/>
      <c r="C929" s="179"/>
      <c r="D929" s="179"/>
      <c r="E929" s="179"/>
      <c r="F929" s="179"/>
      <c r="G929" s="179"/>
      <c r="H929" s="179"/>
      <c r="I929" s="179"/>
      <c r="J929" s="179"/>
      <c r="K929" s="179"/>
      <c r="L929" s="179"/>
      <c r="M929" s="179"/>
      <c r="N929" s="179"/>
      <c r="O929" s="179"/>
      <c r="P929" s="179"/>
      <c r="Q929" s="179"/>
      <c r="R929" s="179"/>
      <c r="S929" s="179"/>
      <c r="T929" s="179"/>
      <c r="U929" s="179"/>
      <c r="V929" s="179"/>
      <c r="W929" s="179"/>
      <c r="X929" s="179"/>
      <c r="Y929" s="179"/>
      <c r="Z929" s="179"/>
    </row>
    <row r="930">
      <c r="A930" s="179"/>
      <c r="B930" s="179"/>
      <c r="C930" s="179"/>
      <c r="D930" s="179"/>
      <c r="E930" s="179"/>
      <c r="F930" s="179"/>
      <c r="G930" s="179"/>
      <c r="H930" s="179"/>
      <c r="I930" s="179"/>
      <c r="J930" s="179"/>
      <c r="K930" s="179"/>
      <c r="L930" s="179"/>
      <c r="M930" s="179"/>
      <c r="N930" s="179"/>
      <c r="O930" s="179"/>
      <c r="P930" s="179"/>
      <c r="Q930" s="179"/>
      <c r="R930" s="179"/>
      <c r="S930" s="179"/>
      <c r="T930" s="179"/>
      <c r="U930" s="179"/>
      <c r="V930" s="179"/>
      <c r="W930" s="179"/>
      <c r="X930" s="179"/>
      <c r="Y930" s="179"/>
      <c r="Z930" s="179"/>
    </row>
    <row r="931">
      <c r="A931" s="179"/>
      <c r="B931" s="179"/>
      <c r="C931" s="179"/>
      <c r="D931" s="179"/>
      <c r="E931" s="179"/>
      <c r="F931" s="179"/>
      <c r="G931" s="179"/>
      <c r="H931" s="179"/>
      <c r="I931" s="179"/>
      <c r="J931" s="179"/>
      <c r="K931" s="179"/>
      <c r="L931" s="179"/>
      <c r="M931" s="179"/>
      <c r="N931" s="179"/>
      <c r="O931" s="179"/>
      <c r="P931" s="179"/>
      <c r="Q931" s="179"/>
      <c r="R931" s="179"/>
      <c r="S931" s="179"/>
      <c r="T931" s="179"/>
      <c r="U931" s="179"/>
      <c r="V931" s="179"/>
      <c r="W931" s="179"/>
      <c r="X931" s="179"/>
      <c r="Y931" s="179"/>
      <c r="Z931" s="179"/>
    </row>
    <row r="932">
      <c r="A932" s="179"/>
      <c r="B932" s="179"/>
      <c r="C932" s="179"/>
      <c r="D932" s="179"/>
      <c r="E932" s="179"/>
      <c r="F932" s="179"/>
      <c r="G932" s="179"/>
      <c r="H932" s="179"/>
      <c r="I932" s="179"/>
      <c r="J932" s="179"/>
      <c r="K932" s="179"/>
      <c r="L932" s="179"/>
      <c r="M932" s="179"/>
      <c r="N932" s="179"/>
      <c r="O932" s="179"/>
      <c r="P932" s="179"/>
      <c r="Q932" s="179"/>
      <c r="R932" s="179"/>
      <c r="S932" s="179"/>
      <c r="T932" s="179"/>
      <c r="U932" s="179"/>
      <c r="V932" s="179"/>
      <c r="W932" s="179"/>
      <c r="X932" s="179"/>
      <c r="Y932" s="179"/>
      <c r="Z932" s="179"/>
    </row>
    <row r="933">
      <c r="A933" s="179"/>
      <c r="B933" s="179"/>
      <c r="C933" s="179"/>
      <c r="D933" s="179"/>
      <c r="E933" s="179"/>
      <c r="F933" s="179"/>
      <c r="G933" s="179"/>
      <c r="H933" s="179"/>
      <c r="I933" s="179"/>
      <c r="J933" s="179"/>
      <c r="K933" s="179"/>
      <c r="L933" s="179"/>
      <c r="M933" s="179"/>
      <c r="N933" s="179"/>
      <c r="O933" s="179"/>
      <c r="P933" s="179"/>
      <c r="Q933" s="179"/>
      <c r="R933" s="179"/>
      <c r="S933" s="179"/>
      <c r="T933" s="179"/>
      <c r="U933" s="179"/>
      <c r="V933" s="179"/>
      <c r="W933" s="179"/>
      <c r="X933" s="179"/>
      <c r="Y933" s="179"/>
      <c r="Z933" s="179"/>
    </row>
    <row r="934">
      <c r="A934" s="179"/>
      <c r="B934" s="179"/>
      <c r="C934" s="179"/>
      <c r="D934" s="179"/>
      <c r="E934" s="179"/>
      <c r="F934" s="179"/>
      <c r="G934" s="179"/>
      <c r="H934" s="179"/>
      <c r="I934" s="179"/>
      <c r="J934" s="179"/>
      <c r="K934" s="179"/>
      <c r="L934" s="179"/>
      <c r="M934" s="179"/>
      <c r="N934" s="179"/>
      <c r="O934" s="179"/>
      <c r="P934" s="179"/>
      <c r="Q934" s="179"/>
      <c r="R934" s="179"/>
      <c r="S934" s="179"/>
      <c r="T934" s="179"/>
      <c r="U934" s="179"/>
      <c r="V934" s="179"/>
      <c r="W934" s="179"/>
      <c r="X934" s="179"/>
      <c r="Y934" s="179"/>
      <c r="Z934" s="179"/>
    </row>
    <row r="935">
      <c r="A935" s="179"/>
      <c r="B935" s="179"/>
      <c r="C935" s="179"/>
      <c r="D935" s="179"/>
      <c r="E935" s="179"/>
      <c r="F935" s="179"/>
      <c r="G935" s="179"/>
      <c r="H935" s="179"/>
      <c r="I935" s="179"/>
      <c r="J935" s="179"/>
      <c r="K935" s="179"/>
      <c r="L935" s="179"/>
      <c r="M935" s="179"/>
      <c r="N935" s="179"/>
      <c r="O935" s="179"/>
      <c r="P935" s="179"/>
      <c r="Q935" s="179"/>
      <c r="R935" s="179"/>
      <c r="S935" s="179"/>
      <c r="T935" s="179"/>
      <c r="U935" s="179"/>
      <c r="V935" s="179"/>
      <c r="W935" s="179"/>
      <c r="X935" s="179"/>
      <c r="Y935" s="179"/>
      <c r="Z935" s="179"/>
    </row>
    <row r="936">
      <c r="A936" s="179"/>
      <c r="B936" s="179"/>
      <c r="C936" s="179"/>
      <c r="D936" s="179"/>
      <c r="E936" s="179"/>
      <c r="F936" s="179"/>
      <c r="G936" s="179"/>
      <c r="H936" s="179"/>
      <c r="I936" s="179"/>
      <c r="J936" s="179"/>
      <c r="K936" s="179"/>
      <c r="L936" s="179"/>
      <c r="M936" s="179"/>
      <c r="N936" s="179"/>
      <c r="O936" s="179"/>
      <c r="P936" s="179"/>
      <c r="Q936" s="179"/>
      <c r="R936" s="179"/>
      <c r="S936" s="179"/>
      <c r="T936" s="179"/>
      <c r="U936" s="179"/>
      <c r="V936" s="179"/>
      <c r="W936" s="179"/>
      <c r="X936" s="179"/>
      <c r="Y936" s="179"/>
      <c r="Z936" s="179"/>
    </row>
    <row r="937">
      <c r="A937" s="179"/>
      <c r="B937" s="179"/>
      <c r="C937" s="179"/>
      <c r="D937" s="179"/>
      <c r="E937" s="179"/>
      <c r="F937" s="179"/>
      <c r="G937" s="179"/>
      <c r="H937" s="179"/>
      <c r="I937" s="179"/>
      <c r="J937" s="179"/>
      <c r="K937" s="179"/>
      <c r="L937" s="179"/>
      <c r="M937" s="179"/>
      <c r="N937" s="179"/>
      <c r="O937" s="179"/>
      <c r="P937" s="179"/>
      <c r="Q937" s="179"/>
      <c r="R937" s="179"/>
      <c r="S937" s="179"/>
      <c r="T937" s="179"/>
      <c r="U937" s="179"/>
      <c r="V937" s="179"/>
      <c r="W937" s="179"/>
      <c r="X937" s="179"/>
      <c r="Y937" s="179"/>
      <c r="Z937" s="179"/>
    </row>
    <row r="938">
      <c r="A938" s="179"/>
      <c r="B938" s="179"/>
      <c r="C938" s="179"/>
      <c r="D938" s="179"/>
      <c r="E938" s="179"/>
      <c r="F938" s="179"/>
      <c r="G938" s="179"/>
      <c r="H938" s="179"/>
      <c r="I938" s="179"/>
      <c r="J938" s="179"/>
      <c r="K938" s="179"/>
      <c r="L938" s="179"/>
      <c r="M938" s="179"/>
      <c r="N938" s="179"/>
      <c r="O938" s="179"/>
      <c r="P938" s="179"/>
      <c r="Q938" s="179"/>
      <c r="R938" s="179"/>
      <c r="S938" s="179"/>
      <c r="T938" s="179"/>
      <c r="U938" s="179"/>
      <c r="V938" s="179"/>
      <c r="W938" s="179"/>
      <c r="X938" s="179"/>
      <c r="Y938" s="179"/>
      <c r="Z938" s="179"/>
    </row>
    <row r="939">
      <c r="A939" s="179"/>
      <c r="B939" s="179"/>
      <c r="C939" s="179"/>
      <c r="D939" s="179"/>
      <c r="E939" s="179"/>
      <c r="F939" s="179"/>
      <c r="G939" s="179"/>
      <c r="H939" s="179"/>
      <c r="I939" s="179"/>
      <c r="J939" s="179"/>
      <c r="K939" s="179"/>
      <c r="L939" s="179"/>
      <c r="M939" s="179"/>
      <c r="N939" s="179"/>
      <c r="O939" s="179"/>
      <c r="P939" s="179"/>
      <c r="Q939" s="179"/>
      <c r="R939" s="179"/>
      <c r="S939" s="179"/>
      <c r="T939" s="179"/>
      <c r="U939" s="179"/>
      <c r="V939" s="179"/>
      <c r="W939" s="179"/>
      <c r="X939" s="179"/>
      <c r="Y939" s="179"/>
      <c r="Z939" s="179"/>
    </row>
    <row r="940">
      <c r="A940" s="179"/>
      <c r="B940" s="179"/>
      <c r="C940" s="179"/>
      <c r="D940" s="179"/>
      <c r="E940" s="179"/>
      <c r="F940" s="179"/>
      <c r="G940" s="179"/>
      <c r="H940" s="179"/>
      <c r="I940" s="179"/>
      <c r="J940" s="179"/>
      <c r="K940" s="179"/>
      <c r="L940" s="179"/>
      <c r="M940" s="179"/>
      <c r="N940" s="179"/>
      <c r="O940" s="179"/>
      <c r="P940" s="179"/>
      <c r="Q940" s="179"/>
      <c r="R940" s="179"/>
      <c r="S940" s="179"/>
      <c r="T940" s="179"/>
      <c r="U940" s="179"/>
      <c r="V940" s="179"/>
      <c r="W940" s="179"/>
      <c r="X940" s="179"/>
      <c r="Y940" s="179"/>
      <c r="Z940" s="179"/>
    </row>
    <row r="941">
      <c r="A941" s="179"/>
      <c r="B941" s="179"/>
      <c r="C941" s="179"/>
      <c r="D941" s="179"/>
      <c r="E941" s="179"/>
      <c r="F941" s="179"/>
      <c r="G941" s="179"/>
      <c r="H941" s="179"/>
      <c r="I941" s="179"/>
      <c r="J941" s="179"/>
      <c r="K941" s="179"/>
      <c r="L941" s="179"/>
      <c r="M941" s="179"/>
      <c r="N941" s="179"/>
      <c r="O941" s="179"/>
      <c r="P941" s="179"/>
      <c r="Q941" s="179"/>
      <c r="R941" s="179"/>
      <c r="S941" s="179"/>
      <c r="T941" s="179"/>
      <c r="U941" s="179"/>
      <c r="V941" s="179"/>
      <c r="W941" s="179"/>
      <c r="X941" s="179"/>
      <c r="Y941" s="179"/>
      <c r="Z941" s="179"/>
    </row>
    <row r="942">
      <c r="A942" s="179"/>
      <c r="B942" s="179"/>
      <c r="C942" s="179"/>
      <c r="D942" s="179"/>
      <c r="E942" s="179"/>
      <c r="F942" s="179"/>
      <c r="G942" s="179"/>
      <c r="H942" s="179"/>
      <c r="I942" s="179"/>
      <c r="J942" s="179"/>
      <c r="K942" s="179"/>
      <c r="L942" s="179"/>
      <c r="M942" s="179"/>
      <c r="N942" s="179"/>
      <c r="O942" s="179"/>
      <c r="P942" s="179"/>
      <c r="Q942" s="179"/>
      <c r="R942" s="179"/>
      <c r="S942" s="179"/>
      <c r="T942" s="179"/>
      <c r="U942" s="179"/>
      <c r="V942" s="179"/>
      <c r="W942" s="179"/>
      <c r="X942" s="179"/>
      <c r="Y942" s="179"/>
      <c r="Z942" s="179"/>
    </row>
    <row r="943">
      <c r="A943" s="179"/>
      <c r="B943" s="179"/>
      <c r="C943" s="179"/>
      <c r="D943" s="179"/>
      <c r="E943" s="179"/>
      <c r="F943" s="179"/>
      <c r="G943" s="179"/>
      <c r="H943" s="179"/>
      <c r="I943" s="179"/>
      <c r="J943" s="179"/>
      <c r="K943" s="179"/>
      <c r="L943" s="179"/>
      <c r="M943" s="179"/>
      <c r="N943" s="179"/>
      <c r="O943" s="179"/>
      <c r="P943" s="179"/>
      <c r="Q943" s="179"/>
      <c r="R943" s="179"/>
      <c r="S943" s="179"/>
      <c r="T943" s="179"/>
      <c r="U943" s="179"/>
      <c r="V943" s="179"/>
      <c r="W943" s="179"/>
      <c r="X943" s="179"/>
      <c r="Y943" s="179"/>
      <c r="Z943" s="179"/>
    </row>
    <row r="944">
      <c r="A944" s="179"/>
      <c r="B944" s="179"/>
      <c r="C944" s="179"/>
      <c r="D944" s="179"/>
      <c r="E944" s="179"/>
      <c r="F944" s="179"/>
      <c r="G944" s="179"/>
      <c r="H944" s="179"/>
      <c r="I944" s="179"/>
      <c r="J944" s="179"/>
      <c r="K944" s="179"/>
      <c r="L944" s="179"/>
      <c r="M944" s="179"/>
      <c r="N944" s="179"/>
      <c r="O944" s="179"/>
      <c r="P944" s="179"/>
      <c r="Q944" s="179"/>
      <c r="R944" s="179"/>
      <c r="S944" s="179"/>
      <c r="T944" s="179"/>
      <c r="U944" s="179"/>
      <c r="V944" s="179"/>
      <c r="W944" s="179"/>
      <c r="X944" s="179"/>
      <c r="Y944" s="179"/>
      <c r="Z944" s="179"/>
    </row>
    <row r="945">
      <c r="A945" s="179"/>
      <c r="B945" s="179"/>
      <c r="C945" s="179"/>
      <c r="D945" s="179"/>
      <c r="E945" s="179"/>
      <c r="F945" s="179"/>
      <c r="G945" s="179"/>
      <c r="H945" s="179"/>
      <c r="I945" s="179"/>
      <c r="J945" s="179"/>
      <c r="K945" s="179"/>
      <c r="L945" s="179"/>
      <c r="M945" s="179"/>
      <c r="N945" s="179"/>
      <c r="O945" s="179"/>
      <c r="P945" s="179"/>
      <c r="Q945" s="179"/>
      <c r="R945" s="179"/>
      <c r="S945" s="179"/>
      <c r="T945" s="179"/>
      <c r="U945" s="179"/>
      <c r="V945" s="179"/>
      <c r="W945" s="179"/>
      <c r="X945" s="179"/>
      <c r="Y945" s="179"/>
      <c r="Z945" s="179"/>
    </row>
    <row r="946">
      <c r="A946" s="179"/>
      <c r="B946" s="179"/>
      <c r="C946" s="179"/>
      <c r="D946" s="179"/>
      <c r="E946" s="179"/>
      <c r="F946" s="179"/>
      <c r="G946" s="179"/>
      <c r="H946" s="179"/>
      <c r="I946" s="179"/>
      <c r="J946" s="179"/>
      <c r="K946" s="179"/>
      <c r="L946" s="179"/>
      <c r="M946" s="179"/>
      <c r="N946" s="179"/>
      <c r="O946" s="179"/>
      <c r="P946" s="179"/>
      <c r="Q946" s="179"/>
      <c r="R946" s="179"/>
      <c r="S946" s="179"/>
      <c r="T946" s="179"/>
      <c r="U946" s="179"/>
      <c r="V946" s="179"/>
      <c r="W946" s="179"/>
      <c r="X946" s="179"/>
      <c r="Y946" s="179"/>
      <c r="Z946" s="179"/>
    </row>
    <row r="947">
      <c r="A947" s="179"/>
      <c r="B947" s="179"/>
      <c r="C947" s="179"/>
      <c r="D947" s="179"/>
      <c r="E947" s="179"/>
      <c r="F947" s="179"/>
      <c r="G947" s="179"/>
      <c r="H947" s="179"/>
      <c r="I947" s="179"/>
      <c r="J947" s="179"/>
      <c r="K947" s="179"/>
      <c r="L947" s="179"/>
      <c r="M947" s="179"/>
      <c r="N947" s="179"/>
      <c r="O947" s="179"/>
      <c r="P947" s="179"/>
      <c r="Q947" s="179"/>
      <c r="R947" s="179"/>
      <c r="S947" s="179"/>
      <c r="T947" s="179"/>
      <c r="U947" s="179"/>
      <c r="V947" s="179"/>
      <c r="W947" s="179"/>
      <c r="X947" s="179"/>
      <c r="Y947" s="179"/>
      <c r="Z947" s="179"/>
    </row>
    <row r="948">
      <c r="A948" s="179"/>
      <c r="B948" s="179"/>
      <c r="C948" s="179"/>
      <c r="D948" s="179"/>
      <c r="E948" s="179"/>
      <c r="F948" s="179"/>
      <c r="G948" s="179"/>
      <c r="H948" s="179"/>
      <c r="I948" s="179"/>
      <c r="J948" s="179"/>
      <c r="K948" s="179"/>
      <c r="L948" s="179"/>
      <c r="M948" s="179"/>
      <c r="N948" s="179"/>
      <c r="O948" s="179"/>
      <c r="P948" s="179"/>
      <c r="Q948" s="179"/>
      <c r="R948" s="179"/>
      <c r="S948" s="179"/>
      <c r="T948" s="179"/>
      <c r="U948" s="179"/>
      <c r="V948" s="179"/>
      <c r="W948" s="179"/>
      <c r="X948" s="179"/>
      <c r="Y948" s="179"/>
      <c r="Z948" s="179"/>
    </row>
    <row r="949">
      <c r="A949" s="179"/>
      <c r="B949" s="179"/>
      <c r="C949" s="179"/>
      <c r="D949" s="179"/>
      <c r="E949" s="179"/>
      <c r="F949" s="179"/>
      <c r="G949" s="179"/>
      <c r="H949" s="179"/>
      <c r="I949" s="179"/>
      <c r="J949" s="179"/>
      <c r="K949" s="179"/>
      <c r="L949" s="179"/>
      <c r="M949" s="179"/>
      <c r="N949" s="179"/>
      <c r="O949" s="179"/>
      <c r="P949" s="179"/>
      <c r="Q949" s="179"/>
      <c r="R949" s="179"/>
      <c r="S949" s="179"/>
      <c r="T949" s="179"/>
      <c r="U949" s="179"/>
      <c r="V949" s="179"/>
      <c r="W949" s="179"/>
      <c r="X949" s="179"/>
      <c r="Y949" s="179"/>
      <c r="Z949" s="179"/>
    </row>
    <row r="950">
      <c r="A950" s="179"/>
      <c r="B950" s="179"/>
      <c r="C950" s="179"/>
      <c r="D950" s="179"/>
      <c r="E950" s="179"/>
      <c r="F950" s="179"/>
      <c r="G950" s="179"/>
      <c r="H950" s="179"/>
      <c r="I950" s="179"/>
      <c r="J950" s="179"/>
      <c r="K950" s="179"/>
      <c r="L950" s="179"/>
      <c r="M950" s="179"/>
      <c r="N950" s="179"/>
      <c r="O950" s="179"/>
      <c r="P950" s="179"/>
      <c r="Q950" s="179"/>
      <c r="R950" s="179"/>
      <c r="S950" s="179"/>
      <c r="T950" s="179"/>
      <c r="U950" s="179"/>
      <c r="V950" s="179"/>
      <c r="W950" s="179"/>
      <c r="X950" s="179"/>
      <c r="Y950" s="179"/>
      <c r="Z950" s="179"/>
    </row>
    <row r="951">
      <c r="A951" s="179"/>
      <c r="B951" s="179"/>
      <c r="C951" s="179"/>
      <c r="D951" s="179"/>
      <c r="E951" s="179"/>
      <c r="F951" s="179"/>
      <c r="G951" s="179"/>
      <c r="H951" s="179"/>
      <c r="I951" s="179"/>
      <c r="J951" s="179"/>
      <c r="K951" s="179"/>
      <c r="L951" s="179"/>
      <c r="M951" s="179"/>
      <c r="N951" s="179"/>
      <c r="O951" s="179"/>
      <c r="P951" s="179"/>
      <c r="Q951" s="179"/>
      <c r="R951" s="179"/>
      <c r="S951" s="179"/>
      <c r="T951" s="179"/>
      <c r="U951" s="179"/>
      <c r="V951" s="179"/>
      <c r="W951" s="179"/>
      <c r="X951" s="179"/>
      <c r="Y951" s="179"/>
      <c r="Z951" s="179"/>
    </row>
    <row r="952">
      <c r="A952" s="179"/>
      <c r="B952" s="179"/>
      <c r="C952" s="179"/>
      <c r="D952" s="179"/>
      <c r="E952" s="179"/>
      <c r="F952" s="179"/>
      <c r="G952" s="179"/>
      <c r="H952" s="179"/>
      <c r="I952" s="179"/>
      <c r="J952" s="179"/>
      <c r="K952" s="179"/>
      <c r="L952" s="179"/>
      <c r="M952" s="179"/>
      <c r="N952" s="179"/>
      <c r="O952" s="179"/>
      <c r="P952" s="179"/>
      <c r="Q952" s="179"/>
      <c r="R952" s="179"/>
      <c r="S952" s="179"/>
      <c r="T952" s="179"/>
      <c r="U952" s="179"/>
      <c r="V952" s="179"/>
      <c r="W952" s="179"/>
      <c r="X952" s="179"/>
      <c r="Y952" s="179"/>
      <c r="Z952" s="179"/>
    </row>
    <row r="953">
      <c r="A953" s="179"/>
      <c r="B953" s="179"/>
      <c r="C953" s="179"/>
      <c r="D953" s="179"/>
      <c r="E953" s="179"/>
      <c r="F953" s="179"/>
      <c r="G953" s="179"/>
      <c r="H953" s="179"/>
      <c r="I953" s="179"/>
      <c r="J953" s="179"/>
      <c r="K953" s="179"/>
      <c r="L953" s="179"/>
      <c r="M953" s="179"/>
      <c r="N953" s="179"/>
      <c r="O953" s="179"/>
      <c r="P953" s="179"/>
      <c r="Q953" s="179"/>
      <c r="R953" s="179"/>
      <c r="S953" s="179"/>
      <c r="T953" s="179"/>
      <c r="U953" s="179"/>
      <c r="V953" s="179"/>
      <c r="W953" s="179"/>
      <c r="X953" s="179"/>
      <c r="Y953" s="179"/>
      <c r="Z953" s="179"/>
    </row>
    <row r="954">
      <c r="A954" s="179"/>
      <c r="B954" s="179"/>
      <c r="C954" s="179"/>
      <c r="D954" s="179"/>
      <c r="E954" s="179"/>
      <c r="F954" s="179"/>
      <c r="G954" s="179"/>
      <c r="H954" s="179"/>
      <c r="I954" s="179"/>
      <c r="J954" s="179"/>
      <c r="K954" s="179"/>
      <c r="L954" s="179"/>
      <c r="M954" s="179"/>
      <c r="N954" s="179"/>
      <c r="O954" s="179"/>
      <c r="P954" s="179"/>
      <c r="Q954" s="179"/>
      <c r="R954" s="179"/>
      <c r="S954" s="179"/>
      <c r="T954" s="179"/>
      <c r="U954" s="179"/>
      <c r="V954" s="179"/>
      <c r="W954" s="179"/>
      <c r="X954" s="179"/>
      <c r="Y954" s="179"/>
      <c r="Z954" s="179"/>
    </row>
    <row r="955">
      <c r="A955" s="179"/>
      <c r="B955" s="179"/>
      <c r="C955" s="179"/>
      <c r="D955" s="179"/>
      <c r="E955" s="179"/>
      <c r="F955" s="179"/>
      <c r="G955" s="179"/>
      <c r="H955" s="179"/>
      <c r="I955" s="179"/>
      <c r="J955" s="179"/>
      <c r="K955" s="179"/>
      <c r="L955" s="179"/>
      <c r="M955" s="179"/>
      <c r="N955" s="179"/>
      <c r="O955" s="179"/>
      <c r="P955" s="179"/>
      <c r="Q955" s="179"/>
      <c r="R955" s="179"/>
      <c r="S955" s="179"/>
      <c r="T955" s="179"/>
      <c r="U955" s="179"/>
      <c r="V955" s="179"/>
      <c r="W955" s="179"/>
      <c r="X955" s="179"/>
      <c r="Y955" s="179"/>
      <c r="Z955" s="179"/>
    </row>
    <row r="956">
      <c r="A956" s="179"/>
      <c r="B956" s="179"/>
      <c r="C956" s="179"/>
      <c r="D956" s="179"/>
      <c r="E956" s="179"/>
      <c r="F956" s="179"/>
      <c r="G956" s="179"/>
      <c r="H956" s="179"/>
      <c r="I956" s="179"/>
      <c r="J956" s="179"/>
      <c r="K956" s="179"/>
      <c r="L956" s="179"/>
      <c r="M956" s="179"/>
      <c r="N956" s="179"/>
      <c r="O956" s="179"/>
      <c r="P956" s="179"/>
      <c r="Q956" s="179"/>
      <c r="R956" s="179"/>
      <c r="S956" s="179"/>
      <c r="T956" s="179"/>
      <c r="U956" s="179"/>
      <c r="V956" s="179"/>
      <c r="W956" s="179"/>
      <c r="X956" s="179"/>
      <c r="Y956" s="179"/>
      <c r="Z956" s="179"/>
    </row>
    <row r="957">
      <c r="A957" s="179"/>
      <c r="B957" s="179"/>
      <c r="C957" s="179"/>
      <c r="D957" s="179"/>
      <c r="E957" s="179"/>
      <c r="F957" s="179"/>
      <c r="G957" s="179"/>
      <c r="H957" s="179"/>
      <c r="I957" s="179"/>
      <c r="J957" s="179"/>
      <c r="K957" s="179"/>
      <c r="L957" s="179"/>
      <c r="M957" s="179"/>
      <c r="N957" s="179"/>
      <c r="O957" s="179"/>
      <c r="P957" s="179"/>
      <c r="Q957" s="179"/>
      <c r="R957" s="179"/>
      <c r="S957" s="179"/>
      <c r="T957" s="179"/>
      <c r="U957" s="179"/>
      <c r="V957" s="179"/>
      <c r="W957" s="179"/>
      <c r="X957" s="179"/>
      <c r="Y957" s="179"/>
      <c r="Z957" s="179"/>
    </row>
    <row r="958">
      <c r="A958" s="179"/>
      <c r="B958" s="179"/>
      <c r="C958" s="179"/>
      <c r="D958" s="179"/>
      <c r="E958" s="179"/>
      <c r="F958" s="179"/>
      <c r="G958" s="179"/>
      <c r="H958" s="179"/>
      <c r="I958" s="179"/>
      <c r="J958" s="179"/>
      <c r="K958" s="179"/>
      <c r="L958" s="179"/>
      <c r="M958" s="179"/>
      <c r="N958" s="179"/>
      <c r="O958" s="179"/>
      <c r="P958" s="179"/>
      <c r="Q958" s="179"/>
      <c r="R958" s="179"/>
      <c r="S958" s="179"/>
      <c r="T958" s="179"/>
      <c r="U958" s="179"/>
      <c r="V958" s="179"/>
      <c r="W958" s="179"/>
      <c r="X958" s="179"/>
      <c r="Y958" s="179"/>
      <c r="Z958" s="179"/>
    </row>
    <row r="959">
      <c r="A959" s="179"/>
      <c r="B959" s="179"/>
      <c r="C959" s="179"/>
      <c r="D959" s="179"/>
      <c r="E959" s="179"/>
      <c r="F959" s="179"/>
      <c r="G959" s="179"/>
      <c r="H959" s="179"/>
      <c r="I959" s="179"/>
      <c r="J959" s="179"/>
      <c r="K959" s="179"/>
      <c r="L959" s="179"/>
      <c r="M959" s="179"/>
      <c r="N959" s="179"/>
      <c r="O959" s="179"/>
      <c r="P959" s="179"/>
      <c r="Q959" s="179"/>
      <c r="R959" s="179"/>
      <c r="S959" s="179"/>
      <c r="T959" s="179"/>
      <c r="U959" s="179"/>
      <c r="V959" s="179"/>
      <c r="W959" s="179"/>
      <c r="X959" s="179"/>
      <c r="Y959" s="179"/>
      <c r="Z959" s="179"/>
    </row>
    <row r="960">
      <c r="A960" s="179"/>
      <c r="B960" s="179"/>
      <c r="C960" s="179"/>
      <c r="D960" s="179"/>
      <c r="E960" s="179"/>
      <c r="F960" s="179"/>
      <c r="G960" s="179"/>
      <c r="H960" s="179"/>
      <c r="I960" s="179"/>
      <c r="J960" s="179"/>
      <c r="K960" s="179"/>
      <c r="L960" s="179"/>
      <c r="M960" s="179"/>
      <c r="N960" s="179"/>
      <c r="O960" s="179"/>
      <c r="P960" s="179"/>
      <c r="Q960" s="179"/>
      <c r="R960" s="179"/>
      <c r="S960" s="179"/>
      <c r="T960" s="179"/>
      <c r="U960" s="179"/>
      <c r="V960" s="179"/>
      <c r="W960" s="179"/>
      <c r="X960" s="179"/>
      <c r="Y960" s="179"/>
      <c r="Z960" s="179"/>
    </row>
    <row r="961">
      <c r="A961" s="179"/>
      <c r="B961" s="179"/>
      <c r="C961" s="179"/>
      <c r="D961" s="179"/>
      <c r="E961" s="179"/>
      <c r="F961" s="179"/>
      <c r="G961" s="179"/>
      <c r="H961" s="179"/>
      <c r="I961" s="179"/>
      <c r="J961" s="179"/>
      <c r="K961" s="179"/>
      <c r="L961" s="179"/>
      <c r="M961" s="179"/>
      <c r="N961" s="179"/>
      <c r="O961" s="179"/>
      <c r="P961" s="179"/>
      <c r="Q961" s="179"/>
      <c r="R961" s="179"/>
      <c r="S961" s="179"/>
      <c r="T961" s="179"/>
      <c r="U961" s="179"/>
      <c r="V961" s="179"/>
      <c r="W961" s="179"/>
      <c r="X961" s="179"/>
      <c r="Y961" s="179"/>
      <c r="Z961" s="179"/>
    </row>
    <row r="962">
      <c r="A962" s="179"/>
      <c r="B962" s="179"/>
      <c r="C962" s="179"/>
      <c r="D962" s="179"/>
      <c r="E962" s="179"/>
      <c r="F962" s="179"/>
      <c r="G962" s="179"/>
      <c r="H962" s="179"/>
      <c r="I962" s="179"/>
      <c r="J962" s="179"/>
      <c r="K962" s="179"/>
      <c r="L962" s="179"/>
      <c r="M962" s="179"/>
      <c r="N962" s="179"/>
      <c r="O962" s="179"/>
      <c r="P962" s="179"/>
      <c r="Q962" s="179"/>
      <c r="R962" s="179"/>
      <c r="S962" s="179"/>
      <c r="T962" s="179"/>
      <c r="U962" s="179"/>
      <c r="V962" s="179"/>
      <c r="W962" s="179"/>
      <c r="X962" s="179"/>
      <c r="Y962" s="179"/>
      <c r="Z962" s="179"/>
    </row>
    <row r="963">
      <c r="A963" s="179"/>
      <c r="B963" s="179"/>
      <c r="C963" s="179"/>
      <c r="D963" s="179"/>
      <c r="E963" s="179"/>
      <c r="F963" s="179"/>
      <c r="G963" s="179"/>
      <c r="H963" s="179"/>
      <c r="I963" s="179"/>
      <c r="J963" s="179"/>
      <c r="K963" s="179"/>
      <c r="L963" s="179"/>
      <c r="M963" s="179"/>
      <c r="N963" s="179"/>
      <c r="O963" s="179"/>
      <c r="P963" s="179"/>
      <c r="Q963" s="179"/>
      <c r="R963" s="179"/>
      <c r="S963" s="179"/>
      <c r="T963" s="179"/>
      <c r="U963" s="179"/>
      <c r="V963" s="179"/>
      <c r="W963" s="179"/>
      <c r="X963" s="179"/>
      <c r="Y963" s="179"/>
      <c r="Z963" s="179"/>
    </row>
    <row r="964">
      <c r="A964" s="179"/>
      <c r="B964" s="179"/>
      <c r="C964" s="179"/>
      <c r="D964" s="179"/>
      <c r="E964" s="179"/>
      <c r="F964" s="179"/>
      <c r="G964" s="179"/>
      <c r="H964" s="179"/>
      <c r="I964" s="179"/>
      <c r="J964" s="179"/>
      <c r="K964" s="179"/>
      <c r="L964" s="179"/>
      <c r="M964" s="179"/>
      <c r="N964" s="179"/>
      <c r="O964" s="179"/>
      <c r="P964" s="179"/>
      <c r="Q964" s="179"/>
      <c r="R964" s="179"/>
      <c r="S964" s="179"/>
      <c r="T964" s="179"/>
      <c r="U964" s="179"/>
      <c r="V964" s="179"/>
      <c r="W964" s="179"/>
      <c r="X964" s="179"/>
      <c r="Y964" s="179"/>
      <c r="Z964" s="179"/>
    </row>
    <row r="965">
      <c r="A965" s="179"/>
      <c r="B965" s="179"/>
      <c r="C965" s="179"/>
      <c r="D965" s="179"/>
      <c r="E965" s="179"/>
      <c r="F965" s="179"/>
      <c r="G965" s="179"/>
      <c r="H965" s="179"/>
      <c r="I965" s="179"/>
      <c r="J965" s="179"/>
      <c r="K965" s="179"/>
      <c r="L965" s="179"/>
      <c r="M965" s="179"/>
      <c r="N965" s="179"/>
      <c r="O965" s="179"/>
      <c r="P965" s="179"/>
      <c r="Q965" s="179"/>
      <c r="R965" s="179"/>
      <c r="S965" s="179"/>
      <c r="T965" s="179"/>
      <c r="U965" s="179"/>
      <c r="V965" s="179"/>
      <c r="W965" s="179"/>
      <c r="X965" s="179"/>
      <c r="Y965" s="179"/>
      <c r="Z965" s="179"/>
    </row>
    <row r="966">
      <c r="A966" s="179"/>
      <c r="B966" s="179"/>
      <c r="C966" s="179"/>
      <c r="D966" s="179"/>
      <c r="E966" s="179"/>
      <c r="F966" s="179"/>
      <c r="G966" s="179"/>
      <c r="H966" s="179"/>
      <c r="I966" s="179"/>
      <c r="J966" s="179"/>
      <c r="K966" s="179"/>
      <c r="L966" s="179"/>
      <c r="M966" s="179"/>
      <c r="N966" s="179"/>
      <c r="O966" s="179"/>
      <c r="P966" s="179"/>
      <c r="Q966" s="179"/>
      <c r="R966" s="179"/>
      <c r="S966" s="179"/>
      <c r="T966" s="179"/>
      <c r="U966" s="179"/>
      <c r="V966" s="179"/>
      <c r="W966" s="179"/>
      <c r="X966" s="179"/>
      <c r="Y966" s="179"/>
      <c r="Z966" s="179"/>
    </row>
    <row r="967">
      <c r="A967" s="179"/>
      <c r="B967" s="179"/>
      <c r="C967" s="179"/>
      <c r="D967" s="179"/>
      <c r="E967" s="179"/>
      <c r="F967" s="179"/>
      <c r="G967" s="179"/>
      <c r="H967" s="179"/>
      <c r="I967" s="179"/>
      <c r="J967" s="179"/>
      <c r="K967" s="179"/>
      <c r="L967" s="179"/>
      <c r="M967" s="179"/>
      <c r="N967" s="179"/>
      <c r="O967" s="179"/>
      <c r="P967" s="179"/>
      <c r="Q967" s="179"/>
      <c r="R967" s="179"/>
      <c r="S967" s="179"/>
      <c r="T967" s="179"/>
      <c r="U967" s="179"/>
      <c r="V967" s="179"/>
      <c r="W967" s="179"/>
      <c r="X967" s="179"/>
      <c r="Y967" s="179"/>
      <c r="Z967" s="179"/>
    </row>
    <row r="968">
      <c r="A968" s="179"/>
      <c r="B968" s="179"/>
      <c r="C968" s="179"/>
      <c r="D968" s="179"/>
      <c r="E968" s="179"/>
      <c r="F968" s="179"/>
      <c r="G968" s="179"/>
      <c r="H968" s="179"/>
      <c r="I968" s="179"/>
      <c r="J968" s="179"/>
      <c r="K968" s="179"/>
      <c r="L968" s="179"/>
      <c r="M968" s="179"/>
      <c r="N968" s="179"/>
      <c r="O968" s="179"/>
      <c r="P968" s="179"/>
      <c r="Q968" s="179"/>
      <c r="R968" s="179"/>
      <c r="S968" s="179"/>
      <c r="T968" s="179"/>
      <c r="U968" s="179"/>
      <c r="V968" s="179"/>
      <c r="W968" s="179"/>
      <c r="X968" s="179"/>
      <c r="Y968" s="179"/>
      <c r="Z968" s="179"/>
    </row>
    <row r="969">
      <c r="A969" s="179"/>
      <c r="B969" s="179"/>
      <c r="C969" s="179"/>
      <c r="D969" s="179"/>
      <c r="E969" s="179"/>
      <c r="F969" s="179"/>
      <c r="G969" s="179"/>
      <c r="H969" s="179"/>
      <c r="I969" s="179"/>
      <c r="J969" s="179"/>
      <c r="K969" s="179"/>
      <c r="L969" s="179"/>
      <c r="M969" s="179"/>
      <c r="N969" s="179"/>
      <c r="O969" s="179"/>
      <c r="P969" s="179"/>
      <c r="Q969" s="179"/>
      <c r="R969" s="179"/>
      <c r="S969" s="179"/>
      <c r="T969" s="179"/>
      <c r="U969" s="179"/>
      <c r="V969" s="179"/>
      <c r="W969" s="179"/>
      <c r="X969" s="179"/>
      <c r="Y969" s="179"/>
      <c r="Z969" s="179"/>
    </row>
    <row r="970">
      <c r="A970" s="179"/>
      <c r="B970" s="179"/>
      <c r="C970" s="179"/>
      <c r="D970" s="179"/>
      <c r="E970" s="179"/>
      <c r="F970" s="179"/>
      <c r="G970" s="179"/>
      <c r="H970" s="179"/>
      <c r="I970" s="179"/>
      <c r="J970" s="179"/>
      <c r="K970" s="179"/>
      <c r="L970" s="179"/>
      <c r="M970" s="179"/>
      <c r="N970" s="179"/>
      <c r="O970" s="179"/>
      <c r="P970" s="179"/>
      <c r="Q970" s="179"/>
      <c r="R970" s="179"/>
      <c r="S970" s="179"/>
      <c r="T970" s="179"/>
      <c r="U970" s="179"/>
      <c r="V970" s="179"/>
      <c r="W970" s="179"/>
      <c r="X970" s="179"/>
      <c r="Y970" s="179"/>
      <c r="Z970" s="179"/>
    </row>
    <row r="971">
      <c r="A971" s="179"/>
      <c r="B971" s="179"/>
      <c r="C971" s="179"/>
      <c r="D971" s="179"/>
      <c r="E971" s="179"/>
      <c r="F971" s="179"/>
      <c r="G971" s="179"/>
      <c r="H971" s="179"/>
      <c r="I971" s="179"/>
      <c r="J971" s="179"/>
      <c r="K971" s="179"/>
      <c r="L971" s="179"/>
      <c r="M971" s="179"/>
      <c r="N971" s="179"/>
      <c r="O971" s="179"/>
      <c r="P971" s="179"/>
      <c r="Q971" s="179"/>
      <c r="R971" s="179"/>
      <c r="S971" s="179"/>
      <c r="T971" s="179"/>
      <c r="U971" s="179"/>
      <c r="V971" s="179"/>
      <c r="W971" s="179"/>
      <c r="X971" s="179"/>
      <c r="Y971" s="179"/>
      <c r="Z971" s="179"/>
    </row>
    <row r="972">
      <c r="A972" s="179"/>
      <c r="B972" s="179"/>
      <c r="C972" s="179"/>
      <c r="D972" s="179"/>
      <c r="E972" s="179"/>
      <c r="F972" s="179"/>
      <c r="G972" s="179"/>
      <c r="H972" s="179"/>
      <c r="I972" s="179"/>
      <c r="J972" s="179"/>
      <c r="K972" s="179"/>
      <c r="L972" s="179"/>
      <c r="M972" s="179"/>
      <c r="N972" s="179"/>
      <c r="O972" s="179"/>
      <c r="P972" s="179"/>
      <c r="Q972" s="179"/>
      <c r="R972" s="179"/>
      <c r="S972" s="179"/>
      <c r="T972" s="179"/>
      <c r="U972" s="179"/>
      <c r="V972" s="179"/>
      <c r="W972" s="179"/>
      <c r="X972" s="179"/>
      <c r="Y972" s="179"/>
      <c r="Z972" s="179"/>
    </row>
    <row r="973">
      <c r="A973" s="179"/>
      <c r="B973" s="179"/>
      <c r="C973" s="179"/>
      <c r="D973" s="179"/>
      <c r="E973" s="179"/>
      <c r="F973" s="179"/>
      <c r="G973" s="179"/>
      <c r="H973" s="179"/>
      <c r="I973" s="179"/>
      <c r="J973" s="179"/>
      <c r="K973" s="179"/>
      <c r="L973" s="179"/>
      <c r="M973" s="179"/>
      <c r="N973" s="179"/>
      <c r="O973" s="179"/>
      <c r="P973" s="179"/>
      <c r="Q973" s="179"/>
      <c r="R973" s="179"/>
      <c r="S973" s="179"/>
      <c r="T973" s="179"/>
      <c r="U973" s="179"/>
      <c r="V973" s="179"/>
      <c r="W973" s="179"/>
      <c r="X973" s="179"/>
      <c r="Y973" s="179"/>
      <c r="Z973" s="179"/>
    </row>
    <row r="974">
      <c r="A974" s="179"/>
      <c r="B974" s="179"/>
      <c r="C974" s="179"/>
      <c r="D974" s="179"/>
      <c r="E974" s="179"/>
      <c r="F974" s="179"/>
      <c r="G974" s="179"/>
      <c r="H974" s="179"/>
      <c r="I974" s="179"/>
      <c r="J974" s="179"/>
      <c r="K974" s="179"/>
      <c r="L974" s="179"/>
      <c r="M974" s="179"/>
      <c r="N974" s="179"/>
      <c r="O974" s="179"/>
      <c r="P974" s="179"/>
      <c r="Q974" s="179"/>
      <c r="R974" s="179"/>
      <c r="S974" s="179"/>
      <c r="T974" s="179"/>
      <c r="U974" s="179"/>
      <c r="V974" s="179"/>
      <c r="W974" s="179"/>
      <c r="X974" s="179"/>
      <c r="Y974" s="179"/>
      <c r="Z974" s="179"/>
    </row>
    <row r="975">
      <c r="A975" s="179"/>
      <c r="B975" s="179"/>
      <c r="C975" s="179"/>
      <c r="D975" s="179"/>
      <c r="E975" s="179"/>
      <c r="F975" s="179"/>
      <c r="G975" s="179"/>
      <c r="H975" s="179"/>
      <c r="I975" s="179"/>
      <c r="J975" s="179"/>
      <c r="K975" s="179"/>
      <c r="L975" s="179"/>
      <c r="M975" s="179"/>
      <c r="N975" s="179"/>
      <c r="O975" s="179"/>
      <c r="P975" s="179"/>
      <c r="Q975" s="179"/>
      <c r="R975" s="179"/>
      <c r="S975" s="179"/>
      <c r="T975" s="179"/>
      <c r="U975" s="179"/>
      <c r="V975" s="179"/>
      <c r="W975" s="179"/>
      <c r="X975" s="179"/>
      <c r="Y975" s="179"/>
      <c r="Z975" s="179"/>
    </row>
    <row r="976">
      <c r="A976" s="179"/>
      <c r="B976" s="179"/>
      <c r="C976" s="179"/>
      <c r="D976" s="179"/>
      <c r="E976" s="179"/>
      <c r="F976" s="179"/>
      <c r="G976" s="179"/>
      <c r="H976" s="179"/>
      <c r="I976" s="179"/>
      <c r="J976" s="179"/>
      <c r="K976" s="179"/>
      <c r="L976" s="179"/>
      <c r="M976" s="179"/>
      <c r="N976" s="179"/>
      <c r="O976" s="179"/>
      <c r="P976" s="179"/>
      <c r="Q976" s="179"/>
      <c r="R976" s="179"/>
      <c r="S976" s="179"/>
      <c r="T976" s="179"/>
      <c r="U976" s="179"/>
      <c r="V976" s="179"/>
      <c r="W976" s="179"/>
      <c r="X976" s="179"/>
      <c r="Y976" s="179"/>
      <c r="Z976" s="179"/>
    </row>
    <row r="977">
      <c r="A977" s="179"/>
      <c r="B977" s="179"/>
      <c r="C977" s="179"/>
      <c r="D977" s="179"/>
      <c r="E977" s="179"/>
      <c r="F977" s="179"/>
      <c r="G977" s="179"/>
      <c r="H977" s="179"/>
      <c r="I977" s="179"/>
      <c r="J977" s="179"/>
      <c r="K977" s="179"/>
      <c r="L977" s="179"/>
      <c r="M977" s="179"/>
      <c r="N977" s="179"/>
      <c r="O977" s="179"/>
      <c r="P977" s="179"/>
      <c r="Q977" s="179"/>
      <c r="R977" s="179"/>
      <c r="S977" s="179"/>
      <c r="T977" s="179"/>
      <c r="U977" s="179"/>
      <c r="V977" s="179"/>
      <c r="W977" s="179"/>
      <c r="X977" s="179"/>
      <c r="Y977" s="179"/>
      <c r="Z977" s="179"/>
    </row>
    <row r="978">
      <c r="A978" s="179"/>
      <c r="B978" s="179"/>
      <c r="C978" s="179"/>
      <c r="D978" s="179"/>
      <c r="E978" s="179"/>
      <c r="F978" s="179"/>
      <c r="G978" s="179"/>
      <c r="H978" s="179"/>
      <c r="I978" s="179"/>
      <c r="J978" s="179"/>
      <c r="K978" s="179"/>
      <c r="L978" s="179"/>
      <c r="M978" s="179"/>
      <c r="N978" s="179"/>
      <c r="O978" s="179"/>
      <c r="P978" s="179"/>
      <c r="Q978" s="179"/>
      <c r="R978" s="179"/>
      <c r="S978" s="179"/>
      <c r="T978" s="179"/>
      <c r="U978" s="179"/>
      <c r="V978" s="179"/>
      <c r="W978" s="179"/>
      <c r="X978" s="179"/>
      <c r="Y978" s="179"/>
      <c r="Z978" s="179"/>
    </row>
    <row r="979">
      <c r="A979" s="179"/>
      <c r="B979" s="179"/>
      <c r="C979" s="179"/>
      <c r="D979" s="179"/>
      <c r="E979" s="179"/>
      <c r="F979" s="179"/>
      <c r="G979" s="179"/>
      <c r="H979" s="179"/>
      <c r="I979" s="179"/>
      <c r="J979" s="179"/>
      <c r="K979" s="179"/>
      <c r="L979" s="179"/>
      <c r="M979" s="179"/>
      <c r="N979" s="179"/>
      <c r="O979" s="179"/>
      <c r="P979" s="179"/>
      <c r="Q979" s="179"/>
      <c r="R979" s="179"/>
      <c r="S979" s="179"/>
      <c r="T979" s="179"/>
      <c r="U979" s="179"/>
      <c r="V979" s="179"/>
      <c r="W979" s="179"/>
      <c r="X979" s="179"/>
      <c r="Y979" s="179"/>
      <c r="Z979" s="179"/>
    </row>
    <row r="980">
      <c r="A980" s="179"/>
      <c r="B980" s="179"/>
      <c r="C980" s="179"/>
      <c r="D980" s="179"/>
      <c r="E980" s="179"/>
      <c r="F980" s="179"/>
      <c r="G980" s="179"/>
      <c r="H980" s="179"/>
      <c r="I980" s="179"/>
      <c r="J980" s="179"/>
      <c r="K980" s="179"/>
      <c r="L980" s="179"/>
      <c r="M980" s="179"/>
      <c r="N980" s="179"/>
      <c r="O980" s="179"/>
      <c r="P980" s="179"/>
      <c r="Q980" s="179"/>
      <c r="R980" s="179"/>
      <c r="S980" s="179"/>
      <c r="T980" s="179"/>
      <c r="U980" s="179"/>
      <c r="V980" s="179"/>
      <c r="W980" s="179"/>
      <c r="X980" s="179"/>
      <c r="Y980" s="179"/>
      <c r="Z980" s="179"/>
    </row>
    <row r="981">
      <c r="A981" s="179"/>
      <c r="B981" s="179"/>
      <c r="C981" s="179"/>
      <c r="D981" s="179"/>
      <c r="E981" s="179"/>
      <c r="F981" s="179"/>
      <c r="G981" s="179"/>
      <c r="H981" s="179"/>
      <c r="I981" s="179"/>
      <c r="J981" s="179"/>
      <c r="K981" s="179"/>
      <c r="L981" s="179"/>
      <c r="M981" s="179"/>
      <c r="N981" s="179"/>
      <c r="O981" s="179"/>
      <c r="P981" s="179"/>
      <c r="Q981" s="179"/>
      <c r="R981" s="179"/>
      <c r="S981" s="179"/>
      <c r="T981" s="179"/>
      <c r="U981" s="179"/>
      <c r="V981" s="179"/>
      <c r="W981" s="179"/>
      <c r="X981" s="179"/>
      <c r="Y981" s="179"/>
      <c r="Z981" s="179"/>
    </row>
    <row r="982">
      <c r="A982" s="179"/>
      <c r="B982" s="179"/>
      <c r="C982" s="179"/>
      <c r="D982" s="179"/>
      <c r="E982" s="179"/>
      <c r="F982" s="179"/>
      <c r="G982" s="179"/>
      <c r="H982" s="179"/>
      <c r="I982" s="179"/>
      <c r="J982" s="179"/>
      <c r="K982" s="179"/>
      <c r="L982" s="179"/>
      <c r="M982" s="179"/>
      <c r="N982" s="179"/>
      <c r="O982" s="179"/>
      <c r="P982" s="179"/>
      <c r="Q982" s="179"/>
      <c r="R982" s="179"/>
      <c r="S982" s="179"/>
      <c r="T982" s="179"/>
      <c r="U982" s="179"/>
      <c r="V982" s="179"/>
      <c r="W982" s="179"/>
      <c r="X982" s="179"/>
      <c r="Y982" s="179"/>
      <c r="Z982" s="179"/>
    </row>
    <row r="983">
      <c r="A983" s="179"/>
      <c r="B983" s="179"/>
      <c r="C983" s="179"/>
      <c r="D983" s="179"/>
      <c r="E983" s="179"/>
      <c r="F983" s="179"/>
      <c r="G983" s="179"/>
      <c r="H983" s="179"/>
      <c r="I983" s="179"/>
      <c r="J983" s="179"/>
      <c r="K983" s="179"/>
      <c r="L983" s="179"/>
      <c r="M983" s="179"/>
      <c r="N983" s="179"/>
      <c r="O983" s="179"/>
      <c r="P983" s="179"/>
      <c r="Q983" s="179"/>
      <c r="R983" s="179"/>
      <c r="S983" s="179"/>
      <c r="T983" s="179"/>
      <c r="U983" s="179"/>
      <c r="V983" s="179"/>
      <c r="W983" s="179"/>
      <c r="X983" s="179"/>
      <c r="Y983" s="179"/>
      <c r="Z983" s="179"/>
    </row>
    <row r="984">
      <c r="A984" s="179"/>
      <c r="B984" s="179"/>
      <c r="C984" s="179"/>
      <c r="D984" s="179"/>
      <c r="E984" s="179"/>
      <c r="F984" s="179"/>
      <c r="G984" s="179"/>
      <c r="H984" s="179"/>
      <c r="I984" s="179"/>
      <c r="J984" s="179"/>
      <c r="K984" s="179"/>
      <c r="L984" s="179"/>
      <c r="M984" s="179"/>
      <c r="N984" s="179"/>
      <c r="O984" s="179"/>
      <c r="P984" s="179"/>
      <c r="Q984" s="179"/>
      <c r="R984" s="179"/>
      <c r="S984" s="179"/>
      <c r="T984" s="179"/>
      <c r="U984" s="179"/>
      <c r="V984" s="179"/>
      <c r="W984" s="179"/>
      <c r="X984" s="179"/>
      <c r="Y984" s="179"/>
      <c r="Z984" s="179"/>
    </row>
    <row r="985">
      <c r="A985" s="179"/>
      <c r="B985" s="179"/>
      <c r="C985" s="179"/>
      <c r="D985" s="179"/>
      <c r="E985" s="179"/>
      <c r="F985" s="179"/>
      <c r="G985" s="179"/>
      <c r="H985" s="179"/>
      <c r="I985" s="179"/>
      <c r="J985" s="179"/>
      <c r="K985" s="179"/>
      <c r="L985" s="179"/>
      <c r="M985" s="179"/>
      <c r="N985" s="179"/>
      <c r="O985" s="179"/>
      <c r="P985" s="179"/>
      <c r="Q985" s="179"/>
      <c r="R985" s="179"/>
      <c r="S985" s="179"/>
      <c r="T985" s="179"/>
      <c r="U985" s="179"/>
      <c r="V985" s="179"/>
      <c r="W985" s="179"/>
      <c r="X985" s="179"/>
      <c r="Y985" s="179"/>
      <c r="Z985" s="179"/>
    </row>
    <row r="986">
      <c r="A986" s="179"/>
      <c r="B986" s="179"/>
      <c r="C986" s="179"/>
      <c r="D986" s="179"/>
      <c r="E986" s="179"/>
      <c r="F986" s="179"/>
      <c r="G986" s="179"/>
      <c r="H986" s="179"/>
      <c r="I986" s="179"/>
      <c r="J986" s="179"/>
      <c r="K986" s="179"/>
      <c r="L986" s="179"/>
      <c r="M986" s="179"/>
      <c r="N986" s="179"/>
      <c r="O986" s="179"/>
      <c r="P986" s="179"/>
      <c r="Q986" s="179"/>
      <c r="R986" s="179"/>
      <c r="S986" s="179"/>
      <c r="T986" s="179"/>
      <c r="U986" s="179"/>
      <c r="V986" s="179"/>
      <c r="W986" s="179"/>
      <c r="X986" s="179"/>
      <c r="Y986" s="179"/>
      <c r="Z986" s="179"/>
    </row>
    <row r="987">
      <c r="A987" s="179"/>
      <c r="B987" s="179"/>
      <c r="C987" s="179"/>
      <c r="D987" s="179"/>
      <c r="E987" s="179"/>
      <c r="F987" s="179"/>
      <c r="G987" s="179"/>
      <c r="H987" s="179"/>
      <c r="I987" s="179"/>
      <c r="J987" s="179"/>
      <c r="K987" s="179"/>
      <c r="L987" s="179"/>
      <c r="M987" s="179"/>
      <c r="N987" s="179"/>
      <c r="O987" s="179"/>
      <c r="P987" s="179"/>
      <c r="Q987" s="179"/>
      <c r="R987" s="179"/>
      <c r="S987" s="179"/>
      <c r="T987" s="179"/>
      <c r="U987" s="179"/>
      <c r="V987" s="179"/>
      <c r="W987" s="179"/>
      <c r="X987" s="179"/>
      <c r="Y987" s="179"/>
      <c r="Z987" s="179"/>
    </row>
    <row r="988">
      <c r="A988" s="179"/>
      <c r="B988" s="179"/>
      <c r="C988" s="179"/>
      <c r="D988" s="179"/>
      <c r="E988" s="179"/>
      <c r="F988" s="179"/>
      <c r="G988" s="179"/>
      <c r="H988" s="179"/>
      <c r="I988" s="179"/>
      <c r="J988" s="179"/>
      <c r="K988" s="179"/>
      <c r="L988" s="179"/>
      <c r="M988" s="179"/>
      <c r="N988" s="179"/>
      <c r="O988" s="179"/>
      <c r="P988" s="179"/>
      <c r="Q988" s="179"/>
      <c r="R988" s="179"/>
      <c r="S988" s="179"/>
      <c r="T988" s="179"/>
      <c r="U988" s="179"/>
      <c r="V988" s="179"/>
      <c r="W988" s="179"/>
      <c r="X988" s="179"/>
      <c r="Y988" s="179"/>
      <c r="Z988" s="179"/>
    </row>
    <row r="989">
      <c r="A989" s="179"/>
      <c r="B989" s="179"/>
      <c r="C989" s="179"/>
      <c r="D989" s="179"/>
      <c r="E989" s="179"/>
      <c r="F989" s="179"/>
      <c r="G989" s="179"/>
      <c r="H989" s="179"/>
      <c r="I989" s="179"/>
      <c r="J989" s="179"/>
      <c r="K989" s="179"/>
      <c r="L989" s="179"/>
      <c r="M989" s="179"/>
      <c r="N989" s="179"/>
      <c r="O989" s="179"/>
      <c r="P989" s="179"/>
      <c r="Q989" s="179"/>
      <c r="R989" s="179"/>
      <c r="S989" s="179"/>
      <c r="T989" s="179"/>
      <c r="U989" s="179"/>
      <c r="V989" s="179"/>
      <c r="W989" s="179"/>
      <c r="X989" s="179"/>
      <c r="Y989" s="179"/>
      <c r="Z989" s="179"/>
    </row>
    <row r="990">
      <c r="A990" s="179"/>
      <c r="B990" s="179"/>
      <c r="C990" s="179"/>
      <c r="D990" s="179"/>
      <c r="E990" s="179"/>
      <c r="F990" s="179"/>
      <c r="G990" s="179"/>
      <c r="H990" s="179"/>
      <c r="I990" s="179"/>
      <c r="J990" s="179"/>
      <c r="K990" s="179"/>
      <c r="L990" s="179"/>
      <c r="M990" s="179"/>
      <c r="N990" s="179"/>
      <c r="O990" s="179"/>
      <c r="P990" s="179"/>
      <c r="Q990" s="179"/>
      <c r="R990" s="179"/>
      <c r="S990" s="179"/>
      <c r="T990" s="179"/>
      <c r="U990" s="179"/>
      <c r="V990" s="179"/>
      <c r="W990" s="179"/>
      <c r="X990" s="179"/>
      <c r="Y990" s="179"/>
      <c r="Z990" s="179"/>
    </row>
    <row r="991">
      <c r="A991" s="179"/>
      <c r="B991" s="179"/>
      <c r="C991" s="179"/>
      <c r="D991" s="179"/>
      <c r="E991" s="179"/>
      <c r="F991" s="179"/>
      <c r="G991" s="179"/>
      <c r="H991" s="179"/>
      <c r="I991" s="179"/>
      <c r="J991" s="179"/>
      <c r="K991" s="179"/>
      <c r="L991" s="179"/>
      <c r="M991" s="179"/>
      <c r="N991" s="179"/>
      <c r="O991" s="179"/>
      <c r="P991" s="179"/>
      <c r="Q991" s="179"/>
      <c r="R991" s="179"/>
      <c r="S991" s="179"/>
      <c r="T991" s="179"/>
      <c r="U991" s="179"/>
      <c r="V991" s="179"/>
      <c r="W991" s="179"/>
      <c r="X991" s="179"/>
      <c r="Y991" s="179"/>
      <c r="Z991" s="179"/>
    </row>
    <row r="992">
      <c r="A992" s="179"/>
      <c r="B992" s="179"/>
      <c r="C992" s="179"/>
      <c r="D992" s="179"/>
      <c r="E992" s="179"/>
      <c r="F992" s="179"/>
      <c r="G992" s="179"/>
      <c r="H992" s="179"/>
      <c r="I992" s="179"/>
      <c r="J992" s="179"/>
      <c r="K992" s="179"/>
      <c r="L992" s="179"/>
      <c r="M992" s="179"/>
      <c r="N992" s="179"/>
      <c r="O992" s="179"/>
      <c r="P992" s="179"/>
      <c r="Q992" s="179"/>
      <c r="R992" s="179"/>
      <c r="S992" s="179"/>
      <c r="T992" s="179"/>
      <c r="U992" s="179"/>
      <c r="V992" s="179"/>
      <c r="W992" s="179"/>
      <c r="X992" s="179"/>
      <c r="Y992" s="179"/>
      <c r="Z992" s="179"/>
    </row>
    <row r="993">
      <c r="A993" s="179"/>
      <c r="B993" s="179"/>
      <c r="C993" s="179"/>
      <c r="D993" s="179"/>
      <c r="E993" s="179"/>
      <c r="F993" s="179"/>
      <c r="G993" s="179"/>
      <c r="H993" s="179"/>
      <c r="I993" s="179"/>
      <c r="J993" s="179"/>
      <c r="K993" s="179"/>
      <c r="L993" s="179"/>
      <c r="M993" s="179"/>
      <c r="N993" s="179"/>
      <c r="O993" s="179"/>
      <c r="P993" s="179"/>
      <c r="Q993" s="179"/>
      <c r="R993" s="179"/>
      <c r="S993" s="179"/>
      <c r="T993" s="179"/>
      <c r="U993" s="179"/>
      <c r="V993" s="179"/>
      <c r="W993" s="179"/>
      <c r="X993" s="179"/>
      <c r="Y993" s="179"/>
      <c r="Z993" s="179"/>
    </row>
    <row r="994">
      <c r="A994" s="179"/>
      <c r="B994" s="179"/>
      <c r="C994" s="179"/>
      <c r="D994" s="179"/>
      <c r="E994" s="179"/>
      <c r="F994" s="179"/>
      <c r="G994" s="179"/>
      <c r="H994" s="179"/>
      <c r="I994" s="179"/>
      <c r="J994" s="179"/>
      <c r="K994" s="179"/>
      <c r="L994" s="179"/>
      <c r="M994" s="179"/>
      <c r="N994" s="179"/>
      <c r="O994" s="179"/>
      <c r="P994" s="179"/>
      <c r="Q994" s="179"/>
      <c r="R994" s="179"/>
      <c r="S994" s="179"/>
      <c r="T994" s="179"/>
      <c r="U994" s="179"/>
      <c r="V994" s="179"/>
      <c r="W994" s="179"/>
      <c r="X994" s="179"/>
      <c r="Y994" s="179"/>
      <c r="Z994" s="179"/>
    </row>
    <row r="995">
      <c r="A995" s="179"/>
      <c r="B995" s="179"/>
      <c r="C995" s="179"/>
      <c r="D995" s="179"/>
      <c r="E995" s="179"/>
      <c r="F995" s="179"/>
      <c r="G995" s="179"/>
      <c r="H995" s="179"/>
      <c r="I995" s="179"/>
      <c r="J995" s="179"/>
      <c r="K995" s="179"/>
      <c r="L995" s="179"/>
      <c r="M995" s="179"/>
      <c r="N995" s="179"/>
      <c r="O995" s="179"/>
      <c r="P995" s="179"/>
      <c r="Q995" s="179"/>
      <c r="R995" s="179"/>
      <c r="S995" s="179"/>
      <c r="T995" s="179"/>
      <c r="U995" s="179"/>
      <c r="V995" s="179"/>
      <c r="W995" s="179"/>
      <c r="X995" s="179"/>
      <c r="Y995" s="179"/>
      <c r="Z995" s="179"/>
    </row>
    <row r="996">
      <c r="A996" s="179"/>
      <c r="B996" s="179"/>
      <c r="C996" s="179"/>
      <c r="D996" s="179"/>
      <c r="E996" s="179"/>
      <c r="F996" s="179"/>
      <c r="G996" s="179"/>
      <c r="H996" s="179"/>
      <c r="I996" s="179"/>
      <c r="J996" s="179"/>
      <c r="K996" s="179"/>
      <c r="L996" s="179"/>
      <c r="M996" s="179"/>
      <c r="N996" s="179"/>
      <c r="O996" s="179"/>
      <c r="P996" s="179"/>
      <c r="Q996" s="179"/>
      <c r="R996" s="179"/>
      <c r="S996" s="179"/>
      <c r="T996" s="179"/>
      <c r="U996" s="179"/>
      <c r="V996" s="179"/>
      <c r="W996" s="179"/>
      <c r="X996" s="179"/>
      <c r="Y996" s="179"/>
      <c r="Z996" s="179"/>
    </row>
    <row r="997">
      <c r="A997" s="179"/>
      <c r="B997" s="179"/>
      <c r="C997" s="179"/>
      <c r="D997" s="179"/>
      <c r="E997" s="179"/>
      <c r="F997" s="179"/>
      <c r="G997" s="179"/>
      <c r="H997" s="179"/>
      <c r="I997" s="179"/>
      <c r="J997" s="179"/>
      <c r="K997" s="179"/>
      <c r="L997" s="179"/>
      <c r="M997" s="179"/>
      <c r="N997" s="179"/>
      <c r="O997" s="179"/>
      <c r="P997" s="179"/>
      <c r="Q997" s="179"/>
      <c r="R997" s="179"/>
      <c r="S997" s="179"/>
      <c r="T997" s="179"/>
      <c r="U997" s="179"/>
      <c r="V997" s="179"/>
      <c r="W997" s="179"/>
      <c r="X997" s="179"/>
      <c r="Y997" s="179"/>
      <c r="Z997" s="179"/>
    </row>
    <row r="998">
      <c r="A998" s="179"/>
      <c r="B998" s="179"/>
      <c r="C998" s="179"/>
      <c r="D998" s="179"/>
      <c r="E998" s="179"/>
      <c r="F998" s="179"/>
      <c r="G998" s="179"/>
      <c r="H998" s="179"/>
      <c r="I998" s="179"/>
      <c r="J998" s="179"/>
      <c r="K998" s="179"/>
      <c r="L998" s="179"/>
      <c r="M998" s="179"/>
      <c r="N998" s="179"/>
      <c r="O998" s="179"/>
      <c r="P998" s="179"/>
      <c r="Q998" s="179"/>
      <c r="R998" s="179"/>
      <c r="S998" s="179"/>
      <c r="T998" s="179"/>
      <c r="U998" s="179"/>
      <c r="V998" s="179"/>
      <c r="W998" s="179"/>
      <c r="X998" s="179"/>
      <c r="Y998" s="179"/>
      <c r="Z998" s="179"/>
    </row>
    <row r="999">
      <c r="A999" s="179"/>
      <c r="B999" s="179"/>
      <c r="C999" s="179"/>
      <c r="D999" s="179"/>
      <c r="E999" s="179"/>
      <c r="F999" s="179"/>
      <c r="G999" s="179"/>
      <c r="H999" s="179"/>
      <c r="I999" s="179"/>
      <c r="J999" s="179"/>
      <c r="K999" s="179"/>
      <c r="L999" s="179"/>
      <c r="M999" s="179"/>
      <c r="N999" s="179"/>
      <c r="O999" s="179"/>
      <c r="P999" s="179"/>
      <c r="Q999" s="179"/>
      <c r="R999" s="179"/>
      <c r="S999" s="179"/>
      <c r="T999" s="179"/>
      <c r="U999" s="179"/>
      <c r="V999" s="179"/>
      <c r="W999" s="179"/>
      <c r="X999" s="179"/>
      <c r="Y999" s="179"/>
      <c r="Z999" s="179"/>
    </row>
    <row r="1000">
      <c r="A1000" s="179"/>
      <c r="B1000" s="179"/>
      <c r="C1000" s="179"/>
      <c r="D1000" s="179"/>
      <c r="E1000" s="179"/>
      <c r="F1000" s="179"/>
      <c r="G1000" s="179"/>
      <c r="H1000" s="179"/>
      <c r="I1000" s="179"/>
      <c r="J1000" s="179"/>
      <c r="K1000" s="179"/>
      <c r="L1000" s="179"/>
      <c r="M1000" s="179"/>
      <c r="N1000" s="179"/>
      <c r="O1000" s="179"/>
      <c r="P1000" s="179"/>
      <c r="Q1000" s="179"/>
      <c r="R1000" s="179"/>
      <c r="S1000" s="179"/>
      <c r="T1000" s="179"/>
      <c r="U1000" s="179"/>
      <c r="V1000" s="179"/>
      <c r="W1000" s="179"/>
      <c r="X1000" s="179"/>
      <c r="Y1000" s="179"/>
      <c r="Z1000" s="179"/>
    </row>
  </sheetData>
  <drawing r:id="rId1"/>
</worksheet>
</file>